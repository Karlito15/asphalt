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Symfony\Asphalt\documents\Excel\"/>
    </mc:Choice>
  </mc:AlternateContent>
  <bookViews>
    <workbookView xWindow="0" yWindow="0" windowWidth="2160" windowHeight="0" tabRatio="612" activeTab="1"/>
  </bookViews>
  <sheets>
    <sheet name="Crédits" sheetId="52" r:id="rId1"/>
    <sheet name="Cars" sheetId="8" r:id="rId2"/>
    <sheet name="Resume" sheetId="50" r:id="rId3"/>
    <sheet name="|" sheetId="10" r:id="rId4"/>
    <sheet name="garage" sheetId="15" r:id="rId5"/>
    <sheet name="blueprint" sheetId="14" r:id="rId6"/>
    <sheet name="upgrade" sheetId="12" r:id="rId7"/>
    <sheet name="rank" sheetId="49" r:id="rId8"/>
    <sheet name="stats" sheetId="60" r:id="rId9"/>
    <sheet name="missions" sheetId="56" r:id="rId10"/>
    <sheet name="events token" sheetId="59" r:id="rId11"/>
  </sheets>
  <definedNames>
    <definedName name="_xlnm._FilterDatabase" localSheetId="3" hidden="1">'|'!$E$1:$L$15</definedName>
    <definedName name="_xlnm._FilterDatabase" localSheetId="5" hidden="1">blueprint!$E$1:$L$223</definedName>
    <definedName name="_xlnm._FilterDatabase" localSheetId="10" hidden="1">'events token'!$E$1:$L$25</definedName>
    <definedName name="_xlnm._FilterDatabase" localSheetId="4" hidden="1">garage!$E$1:$L$223</definedName>
    <definedName name="_xlnm._FilterDatabase" localSheetId="9" hidden="1">missions!$B$1:$L$49</definedName>
    <definedName name="_xlnm._FilterDatabase" localSheetId="7" hidden="1">rank!$E$1:$L$223</definedName>
    <definedName name="_xlnm._FilterDatabase" localSheetId="8" hidden="1">stats!$E$1:$L$223</definedName>
    <definedName name="_xlnm._FilterDatabase" localSheetId="6" hidden="1">upgrade!$E$1:$L$223</definedName>
    <definedName name="Régions" localSheetId="0">#REF!</definedName>
    <definedName name="Régions" localSheetId="10">#REF!</definedName>
    <definedName name="Régions" localSheetId="9">#REF!</definedName>
    <definedName name="Régions" localSheetId="8">#REF!</definedName>
    <definedName name="Régions">#REF!</definedName>
    <definedName name="Tasks" localSheetId="0">#REF!</definedName>
    <definedName name="Tasks" localSheetId="10">#REF!</definedName>
    <definedName name="Tasks" localSheetId="9">#REF!</definedName>
    <definedName name="Tasks" localSheetId="8">#REF!</definedName>
    <definedName name="Tasks">#REF!</definedName>
    <definedName name="Types" localSheetId="0">#REF!</definedName>
    <definedName name="Types" localSheetId="10">#REF!</definedName>
    <definedName name="Types" localSheetId="9">#REF!</definedName>
    <definedName name="Types" localSheetId="8">#REF!</definedName>
    <definedName name="Type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65" i="60" l="1"/>
  <c r="Y25" i="60"/>
  <c r="AC165" i="60" l="1"/>
  <c r="Y198" i="60" l="1"/>
  <c r="Y114" i="60"/>
  <c r="AC114" i="60" s="1"/>
  <c r="F4" i="52" l="1"/>
  <c r="E4" i="52"/>
  <c r="C4" i="52"/>
  <c r="D4" i="52"/>
  <c r="D6" i="52" s="1"/>
  <c r="Y221" i="60" l="1"/>
  <c r="Y220" i="60"/>
  <c r="Y219" i="60"/>
  <c r="Y218" i="60"/>
  <c r="Y217" i="60"/>
  <c r="Y216" i="60"/>
  <c r="Y215" i="60"/>
  <c r="Y214" i="60"/>
  <c r="Y213" i="60"/>
  <c r="Y212" i="60"/>
  <c r="Y211" i="60"/>
  <c r="Y210" i="60"/>
  <c r="Y209" i="60"/>
  <c r="Y208" i="60"/>
  <c r="Y207" i="60"/>
  <c r="Y206" i="60"/>
  <c r="Y205" i="60"/>
  <c r="Y204" i="60"/>
  <c r="Y203" i="60"/>
  <c r="Y202" i="60"/>
  <c r="Y201" i="60"/>
  <c r="Y200" i="60"/>
  <c r="Y199" i="60"/>
  <c r="Y197" i="60"/>
  <c r="Y196" i="60"/>
  <c r="Y195" i="60"/>
  <c r="Y194" i="60"/>
  <c r="Y193" i="60"/>
  <c r="Y192" i="60"/>
  <c r="Y191" i="60"/>
  <c r="Y190" i="60"/>
  <c r="Y189" i="60"/>
  <c r="Y188" i="60"/>
  <c r="Y187" i="60"/>
  <c r="Y186" i="60"/>
  <c r="Y185" i="60"/>
  <c r="Y184" i="60"/>
  <c r="Y183" i="60"/>
  <c r="Y182" i="60"/>
  <c r="Y181" i="60"/>
  <c r="Y180" i="60"/>
  <c r="Y179" i="60"/>
  <c r="Y178" i="60"/>
  <c r="Y177" i="60"/>
  <c r="Y176" i="60"/>
  <c r="Y175" i="60"/>
  <c r="Y174" i="60"/>
  <c r="Y173" i="60"/>
  <c r="Y172" i="60"/>
  <c r="Y171" i="60"/>
  <c r="Y170" i="60"/>
  <c r="Y169" i="60"/>
  <c r="Y168" i="60"/>
  <c r="Y167" i="60"/>
  <c r="Y166" i="60"/>
  <c r="Y164" i="60"/>
  <c r="Y163" i="60"/>
  <c r="Y162" i="60"/>
  <c r="Y161" i="60"/>
  <c r="Y160" i="60"/>
  <c r="Y159" i="60"/>
  <c r="Y158" i="60"/>
  <c r="Y157" i="60"/>
  <c r="Y156" i="60"/>
  <c r="Y155" i="60"/>
  <c r="Y154" i="60"/>
  <c r="Y153" i="60"/>
  <c r="Y152" i="60"/>
  <c r="Y151" i="60"/>
  <c r="Y150" i="60"/>
  <c r="Y149" i="60"/>
  <c r="Y148" i="60"/>
  <c r="Y147" i="60"/>
  <c r="Y146" i="60"/>
  <c r="Y145" i="60"/>
  <c r="Y144" i="60"/>
  <c r="Y143" i="60"/>
  <c r="Y142" i="60"/>
  <c r="Y141" i="60"/>
  <c r="Y140" i="60"/>
  <c r="Y139" i="60"/>
  <c r="Y138" i="60"/>
  <c r="Y137" i="60"/>
  <c r="Y136" i="60"/>
  <c r="Y135" i="60"/>
  <c r="Y134" i="60"/>
  <c r="Y133" i="60"/>
  <c r="Y132" i="60"/>
  <c r="Y131" i="60"/>
  <c r="Y130" i="60"/>
  <c r="Y129" i="60"/>
  <c r="Y128" i="60"/>
  <c r="Y127" i="60"/>
  <c r="Y126" i="60"/>
  <c r="Y125" i="60"/>
  <c r="Y124" i="60"/>
  <c r="Y123" i="60"/>
  <c r="Y122" i="60"/>
  <c r="Y121" i="60"/>
  <c r="Y120" i="60"/>
  <c r="Y119" i="60"/>
  <c r="Y118" i="60"/>
  <c r="Y117" i="60"/>
  <c r="Y116" i="60"/>
  <c r="Y115" i="60"/>
  <c r="Y113" i="60"/>
  <c r="Y112" i="60"/>
  <c r="Y111" i="60"/>
  <c r="Y110" i="60"/>
  <c r="Y109" i="60"/>
  <c r="Y108" i="60"/>
  <c r="Y107" i="60"/>
  <c r="Y106" i="60"/>
  <c r="Y105" i="60"/>
  <c r="Y104" i="60"/>
  <c r="Y103" i="60"/>
  <c r="Y102" i="60"/>
  <c r="Y101" i="60"/>
  <c r="Y100" i="60"/>
  <c r="Y99" i="60"/>
  <c r="Y98" i="60"/>
  <c r="Y97" i="60"/>
  <c r="Y96" i="60"/>
  <c r="Y95" i="60"/>
  <c r="Y94" i="60"/>
  <c r="Y93" i="60"/>
  <c r="Y92" i="60"/>
  <c r="Y91" i="60"/>
  <c r="Y90" i="60"/>
  <c r="Y89" i="60"/>
  <c r="Y88" i="60"/>
  <c r="Y87" i="60"/>
  <c r="Y86" i="60"/>
  <c r="Y85" i="60"/>
  <c r="Y84" i="60"/>
  <c r="Y83" i="60"/>
  <c r="Y82" i="60"/>
  <c r="Y81" i="60"/>
  <c r="Y80" i="60"/>
  <c r="Y79" i="60"/>
  <c r="Y78" i="60"/>
  <c r="Y77" i="60"/>
  <c r="Y76" i="60"/>
  <c r="Y75" i="60"/>
  <c r="Y74" i="60"/>
  <c r="Y73" i="60"/>
  <c r="Y72" i="60"/>
  <c r="Y71" i="60"/>
  <c r="Y70" i="60"/>
  <c r="Y69" i="60"/>
  <c r="Y68" i="60"/>
  <c r="Y67" i="60"/>
  <c r="Y66" i="60"/>
  <c r="Y65" i="60"/>
  <c r="Y64" i="60"/>
  <c r="Y63" i="60"/>
  <c r="Y62" i="60"/>
  <c r="Y61" i="60"/>
  <c r="Y60" i="60"/>
  <c r="Y58" i="60"/>
  <c r="Y57" i="60"/>
  <c r="Y56" i="60"/>
  <c r="Y55" i="60"/>
  <c r="Y54" i="60"/>
  <c r="Y53" i="60"/>
  <c r="AC53" i="60" s="1"/>
  <c r="Y52" i="60"/>
  <c r="Y51" i="60"/>
  <c r="Y50" i="60"/>
  <c r="Y49" i="60"/>
  <c r="Y48" i="60"/>
  <c r="Y47" i="60"/>
  <c r="Y46" i="60"/>
  <c r="Y45" i="60"/>
  <c r="Y44" i="60"/>
  <c r="Y43" i="60"/>
  <c r="Y42" i="60"/>
  <c r="Y41" i="60"/>
  <c r="Y40" i="60"/>
  <c r="Y39" i="60"/>
  <c r="Y38" i="60"/>
  <c r="Y37" i="60"/>
  <c r="Y36" i="60"/>
  <c r="Y35" i="60"/>
  <c r="Y34" i="60"/>
  <c r="Y33" i="60"/>
  <c r="Y32" i="60"/>
  <c r="Y31" i="60"/>
  <c r="Y30" i="60"/>
  <c r="Y29" i="60"/>
  <c r="Y28" i="60"/>
  <c r="Y27" i="60"/>
  <c r="Y26" i="60"/>
  <c r="S221" i="60"/>
  <c r="S220" i="60"/>
  <c r="S219" i="60"/>
  <c r="S218" i="60"/>
  <c r="S217" i="60"/>
  <c r="S216" i="60"/>
  <c r="S215" i="60"/>
  <c r="S214" i="60"/>
  <c r="S213" i="60"/>
  <c r="S212" i="60"/>
  <c r="S211" i="60"/>
  <c r="S210" i="60"/>
  <c r="S209" i="60"/>
  <c r="S208" i="60"/>
  <c r="S207" i="60"/>
  <c r="S206" i="60"/>
  <c r="S205" i="60"/>
  <c r="S204" i="60"/>
  <c r="S203" i="60"/>
  <c r="S202" i="60"/>
  <c r="S201" i="60"/>
  <c r="S200" i="60"/>
  <c r="S199" i="60"/>
  <c r="S198" i="60"/>
  <c r="S197" i="60"/>
  <c r="S196" i="60"/>
  <c r="S195" i="60"/>
  <c r="S194" i="60"/>
  <c r="S193" i="60"/>
  <c r="S192" i="60"/>
  <c r="S191" i="60"/>
  <c r="S190" i="60"/>
  <c r="S189" i="60"/>
  <c r="S188" i="60"/>
  <c r="S187" i="60"/>
  <c r="S186" i="60"/>
  <c r="S185" i="60"/>
  <c r="S184" i="60"/>
  <c r="S183" i="60"/>
  <c r="S182" i="60"/>
  <c r="S181" i="60"/>
  <c r="S180" i="60"/>
  <c r="S179" i="60"/>
  <c r="S178" i="60"/>
  <c r="S177" i="60"/>
  <c r="S176" i="60"/>
  <c r="S175" i="60"/>
  <c r="S174" i="60"/>
  <c r="S173" i="60"/>
  <c r="S172" i="60"/>
  <c r="S171" i="60"/>
  <c r="S170" i="60"/>
  <c r="S169" i="60"/>
  <c r="S168" i="60"/>
  <c r="S167" i="60"/>
  <c r="S166" i="60"/>
  <c r="S165" i="60"/>
  <c r="S164" i="60"/>
  <c r="S163" i="60"/>
  <c r="S162" i="60"/>
  <c r="S161" i="60"/>
  <c r="S160" i="60"/>
  <c r="S159" i="60"/>
  <c r="S158" i="60"/>
  <c r="S157" i="60"/>
  <c r="S156" i="60"/>
  <c r="S155" i="60"/>
  <c r="S154" i="60"/>
  <c r="S153" i="60"/>
  <c r="S152" i="60"/>
  <c r="S151" i="60"/>
  <c r="S150" i="60"/>
  <c r="S149" i="60"/>
  <c r="S148" i="60"/>
  <c r="S147" i="60"/>
  <c r="S146" i="60"/>
  <c r="S145" i="60"/>
  <c r="S144" i="60"/>
  <c r="S143" i="60"/>
  <c r="S142" i="60"/>
  <c r="S141" i="60"/>
  <c r="S140" i="60"/>
  <c r="S139" i="60"/>
  <c r="S138" i="60"/>
  <c r="S137" i="60"/>
  <c r="S136" i="60"/>
  <c r="S135" i="60"/>
  <c r="S134" i="60"/>
  <c r="S133" i="60"/>
  <c r="S132" i="60"/>
  <c r="S131" i="60"/>
  <c r="S130" i="60"/>
  <c r="S129" i="60"/>
  <c r="S128" i="60"/>
  <c r="S127" i="60"/>
  <c r="S126" i="60"/>
  <c r="S125" i="60"/>
  <c r="S124" i="60"/>
  <c r="S123" i="60"/>
  <c r="S122" i="60"/>
  <c r="S121" i="60"/>
  <c r="S120" i="60"/>
  <c r="S119" i="60"/>
  <c r="S118" i="60"/>
  <c r="S117" i="60"/>
  <c r="S116" i="60"/>
  <c r="S115" i="60"/>
  <c r="S114" i="60"/>
  <c r="S113" i="60"/>
  <c r="S112" i="60"/>
  <c r="S111" i="60"/>
  <c r="S110" i="60"/>
  <c r="S109" i="60"/>
  <c r="S108" i="60"/>
  <c r="S107" i="60"/>
  <c r="S106" i="60"/>
  <c r="S105" i="60"/>
  <c r="S104" i="60"/>
  <c r="S103" i="60"/>
  <c r="S102" i="60"/>
  <c r="S101" i="60"/>
  <c r="S100" i="60"/>
  <c r="S99" i="60"/>
  <c r="S98" i="60"/>
  <c r="S97" i="60"/>
  <c r="S96" i="60"/>
  <c r="S95" i="60"/>
  <c r="S94" i="60"/>
  <c r="S93" i="60"/>
  <c r="S92" i="60"/>
  <c r="S91" i="60"/>
  <c r="S90" i="60"/>
  <c r="S89" i="60"/>
  <c r="S88" i="60"/>
  <c r="S87" i="60"/>
  <c r="S86" i="60"/>
  <c r="S85" i="60"/>
  <c r="S84" i="60"/>
  <c r="S83" i="60"/>
  <c r="S82" i="60"/>
  <c r="S81" i="60"/>
  <c r="S80" i="60"/>
  <c r="S79" i="60"/>
  <c r="S78" i="60"/>
  <c r="S77" i="60"/>
  <c r="S76" i="60"/>
  <c r="S75" i="60"/>
  <c r="S74" i="60"/>
  <c r="S73" i="60"/>
  <c r="S72" i="60"/>
  <c r="S71" i="60"/>
  <c r="S70" i="60"/>
  <c r="S69" i="60"/>
  <c r="S68" i="60"/>
  <c r="S67" i="60"/>
  <c r="S66" i="60"/>
  <c r="S65" i="60"/>
  <c r="S64" i="60"/>
  <c r="S63" i="60"/>
  <c r="S62" i="60"/>
  <c r="S61" i="60"/>
  <c r="S60" i="60"/>
  <c r="S58" i="60"/>
  <c r="S57" i="60"/>
  <c r="S56" i="60"/>
  <c r="S55" i="60"/>
  <c r="S54" i="60"/>
  <c r="S53" i="60"/>
  <c r="S52" i="60"/>
  <c r="S51" i="60"/>
  <c r="S50" i="60"/>
  <c r="S49" i="60"/>
  <c r="S48" i="60"/>
  <c r="S47" i="60"/>
  <c r="S46" i="60"/>
  <c r="S45" i="60"/>
  <c r="S44" i="60"/>
  <c r="S43" i="60"/>
  <c r="S42" i="60"/>
  <c r="S41" i="60"/>
  <c r="S40" i="60"/>
  <c r="S39" i="60"/>
  <c r="S38" i="60"/>
  <c r="S37" i="60"/>
  <c r="S36" i="60"/>
  <c r="S35" i="60"/>
  <c r="S34" i="60"/>
  <c r="S33" i="60"/>
  <c r="S32" i="60"/>
  <c r="S31" i="60"/>
  <c r="S30" i="60"/>
  <c r="S29" i="60"/>
  <c r="S28" i="60"/>
  <c r="S27" i="60"/>
  <c r="S26" i="60"/>
  <c r="S25" i="60"/>
  <c r="M223" i="60"/>
  <c r="L223" i="60"/>
  <c r="K223" i="60"/>
  <c r="J223" i="60"/>
  <c r="I223" i="60"/>
  <c r="H223" i="60"/>
  <c r="G223" i="60"/>
  <c r="F223" i="60"/>
  <c r="E223" i="60"/>
  <c r="D223" i="60"/>
  <c r="C223" i="60"/>
  <c r="B223" i="60"/>
  <c r="M222" i="60"/>
  <c r="L222" i="60"/>
  <c r="K222" i="60"/>
  <c r="J222" i="60"/>
  <c r="I222" i="60"/>
  <c r="H222" i="60"/>
  <c r="G222" i="60"/>
  <c r="F222" i="60"/>
  <c r="E222" i="60"/>
  <c r="D222" i="60"/>
  <c r="C222" i="60"/>
  <c r="B222" i="60"/>
  <c r="M221" i="60"/>
  <c r="L221" i="60"/>
  <c r="K221" i="60"/>
  <c r="J221" i="60"/>
  <c r="I221" i="60"/>
  <c r="H221" i="60"/>
  <c r="G221" i="60"/>
  <c r="F221" i="60"/>
  <c r="E221" i="60"/>
  <c r="D221" i="60"/>
  <c r="C221" i="60"/>
  <c r="B221" i="60"/>
  <c r="M220" i="60"/>
  <c r="L220" i="60"/>
  <c r="K220" i="60"/>
  <c r="J220" i="60"/>
  <c r="I220" i="60"/>
  <c r="H220" i="60"/>
  <c r="G220" i="60"/>
  <c r="F220" i="60"/>
  <c r="E220" i="60"/>
  <c r="D220" i="60"/>
  <c r="C220" i="60"/>
  <c r="B220" i="60"/>
  <c r="M219" i="60"/>
  <c r="L219" i="60"/>
  <c r="K219" i="60"/>
  <c r="J219" i="60"/>
  <c r="I219" i="60"/>
  <c r="H219" i="60"/>
  <c r="G219" i="60"/>
  <c r="F219" i="60"/>
  <c r="E219" i="60"/>
  <c r="D219" i="60"/>
  <c r="C219" i="60"/>
  <c r="B219" i="60"/>
  <c r="M218" i="60"/>
  <c r="L218" i="60"/>
  <c r="K218" i="60"/>
  <c r="J218" i="60"/>
  <c r="I218" i="60"/>
  <c r="H218" i="60"/>
  <c r="G218" i="60"/>
  <c r="F218" i="60"/>
  <c r="E218" i="60"/>
  <c r="D218" i="60"/>
  <c r="C218" i="60"/>
  <c r="B218" i="60"/>
  <c r="M217" i="60"/>
  <c r="L217" i="60"/>
  <c r="K217" i="60"/>
  <c r="J217" i="60"/>
  <c r="I217" i="60"/>
  <c r="H217" i="60"/>
  <c r="G217" i="60"/>
  <c r="F217" i="60"/>
  <c r="E217" i="60"/>
  <c r="D217" i="60"/>
  <c r="C217" i="60"/>
  <c r="B217" i="60"/>
  <c r="M216" i="60"/>
  <c r="L216" i="60"/>
  <c r="K216" i="60"/>
  <c r="J216" i="60"/>
  <c r="I216" i="60"/>
  <c r="H216" i="60"/>
  <c r="G216" i="60"/>
  <c r="F216" i="60"/>
  <c r="E216" i="60"/>
  <c r="D216" i="60"/>
  <c r="C216" i="60"/>
  <c r="B216" i="60"/>
  <c r="M215" i="60"/>
  <c r="L215" i="60"/>
  <c r="K215" i="60"/>
  <c r="J215" i="60"/>
  <c r="I215" i="60"/>
  <c r="H215" i="60"/>
  <c r="G215" i="60"/>
  <c r="F215" i="60"/>
  <c r="E215" i="60"/>
  <c r="D215" i="60"/>
  <c r="C215" i="60"/>
  <c r="B215" i="60"/>
  <c r="M214" i="60"/>
  <c r="L214" i="60"/>
  <c r="K214" i="60"/>
  <c r="J214" i="60"/>
  <c r="I214" i="60"/>
  <c r="H214" i="60"/>
  <c r="G214" i="60"/>
  <c r="F214" i="60"/>
  <c r="E214" i="60"/>
  <c r="D214" i="60"/>
  <c r="C214" i="60"/>
  <c r="B214" i="60"/>
  <c r="M213" i="60"/>
  <c r="L213" i="60"/>
  <c r="K213" i="60"/>
  <c r="J213" i="60"/>
  <c r="I213" i="60"/>
  <c r="H213" i="60"/>
  <c r="G213" i="60"/>
  <c r="F213" i="60"/>
  <c r="E213" i="60"/>
  <c r="D213" i="60"/>
  <c r="C213" i="60"/>
  <c r="B213" i="60"/>
  <c r="M212" i="60"/>
  <c r="L212" i="60"/>
  <c r="K212" i="60"/>
  <c r="J212" i="60"/>
  <c r="I212" i="60"/>
  <c r="H212" i="60"/>
  <c r="G212" i="60"/>
  <c r="F212" i="60"/>
  <c r="E212" i="60"/>
  <c r="D212" i="60"/>
  <c r="C212" i="60"/>
  <c r="B212" i="60"/>
  <c r="M211" i="60"/>
  <c r="L211" i="60"/>
  <c r="K211" i="60"/>
  <c r="J211" i="60"/>
  <c r="I211" i="60"/>
  <c r="H211" i="60"/>
  <c r="G211" i="60"/>
  <c r="F211" i="60"/>
  <c r="E211" i="60"/>
  <c r="D211" i="60"/>
  <c r="C211" i="60"/>
  <c r="B211" i="60"/>
  <c r="M210" i="60"/>
  <c r="L210" i="60"/>
  <c r="K210" i="60"/>
  <c r="J210" i="60"/>
  <c r="I210" i="60"/>
  <c r="H210" i="60"/>
  <c r="G210" i="60"/>
  <c r="F210" i="60"/>
  <c r="E210" i="60"/>
  <c r="D210" i="60"/>
  <c r="C210" i="60"/>
  <c r="B210" i="60"/>
  <c r="M209" i="60"/>
  <c r="L209" i="60"/>
  <c r="K209" i="60"/>
  <c r="J209" i="60"/>
  <c r="I209" i="60"/>
  <c r="H209" i="60"/>
  <c r="G209" i="60"/>
  <c r="F209" i="60"/>
  <c r="E209" i="60"/>
  <c r="D209" i="60"/>
  <c r="C209" i="60"/>
  <c r="B209" i="60"/>
  <c r="M208" i="60"/>
  <c r="L208" i="60"/>
  <c r="K208" i="60"/>
  <c r="J208" i="60"/>
  <c r="I208" i="60"/>
  <c r="H208" i="60"/>
  <c r="G208" i="60"/>
  <c r="F208" i="60"/>
  <c r="E208" i="60"/>
  <c r="D208" i="60"/>
  <c r="C208" i="60"/>
  <c r="B208" i="60"/>
  <c r="M207" i="60"/>
  <c r="L207" i="60"/>
  <c r="K207" i="60"/>
  <c r="J207" i="60"/>
  <c r="I207" i="60"/>
  <c r="H207" i="60"/>
  <c r="G207" i="60"/>
  <c r="F207" i="60"/>
  <c r="E207" i="60"/>
  <c r="D207" i="60"/>
  <c r="C207" i="60"/>
  <c r="B207" i="60"/>
  <c r="M206" i="60"/>
  <c r="L206" i="60"/>
  <c r="K206" i="60"/>
  <c r="J206" i="60"/>
  <c r="I206" i="60"/>
  <c r="H206" i="60"/>
  <c r="G206" i="60"/>
  <c r="F206" i="60"/>
  <c r="E206" i="60"/>
  <c r="D206" i="60"/>
  <c r="C206" i="60"/>
  <c r="B206" i="60"/>
  <c r="M205" i="60"/>
  <c r="L205" i="60"/>
  <c r="K205" i="60"/>
  <c r="J205" i="60"/>
  <c r="I205" i="60"/>
  <c r="H205" i="60"/>
  <c r="G205" i="60"/>
  <c r="F205" i="60"/>
  <c r="E205" i="60"/>
  <c r="D205" i="60"/>
  <c r="C205" i="60"/>
  <c r="B205" i="60"/>
  <c r="M204" i="60"/>
  <c r="L204" i="60"/>
  <c r="K204" i="60"/>
  <c r="J204" i="60"/>
  <c r="I204" i="60"/>
  <c r="H204" i="60"/>
  <c r="G204" i="60"/>
  <c r="F204" i="60"/>
  <c r="E204" i="60"/>
  <c r="D204" i="60"/>
  <c r="C204" i="60"/>
  <c r="B204" i="60"/>
  <c r="M203" i="60"/>
  <c r="L203" i="60"/>
  <c r="K203" i="60"/>
  <c r="J203" i="60"/>
  <c r="I203" i="60"/>
  <c r="H203" i="60"/>
  <c r="G203" i="60"/>
  <c r="F203" i="60"/>
  <c r="E203" i="60"/>
  <c r="D203" i="60"/>
  <c r="C203" i="60"/>
  <c r="B203" i="60"/>
  <c r="M202" i="60"/>
  <c r="L202" i="60"/>
  <c r="K202" i="60"/>
  <c r="J202" i="60"/>
  <c r="I202" i="60"/>
  <c r="H202" i="60"/>
  <c r="G202" i="60"/>
  <c r="F202" i="60"/>
  <c r="E202" i="60"/>
  <c r="D202" i="60"/>
  <c r="C202" i="60"/>
  <c r="B202" i="60"/>
  <c r="M201" i="60"/>
  <c r="L201" i="60"/>
  <c r="K201" i="60"/>
  <c r="J201" i="60"/>
  <c r="I201" i="60"/>
  <c r="H201" i="60"/>
  <c r="G201" i="60"/>
  <c r="F201" i="60"/>
  <c r="E201" i="60"/>
  <c r="D201" i="60"/>
  <c r="C201" i="60"/>
  <c r="B201" i="60"/>
  <c r="M200" i="60"/>
  <c r="L200" i="60"/>
  <c r="K200" i="60"/>
  <c r="J200" i="60"/>
  <c r="I200" i="60"/>
  <c r="H200" i="60"/>
  <c r="G200" i="60"/>
  <c r="F200" i="60"/>
  <c r="E200" i="60"/>
  <c r="D200" i="60"/>
  <c r="C200" i="60"/>
  <c r="B200" i="60"/>
  <c r="M199" i="60"/>
  <c r="L199" i="60"/>
  <c r="K199" i="60"/>
  <c r="J199" i="60"/>
  <c r="I199" i="60"/>
  <c r="H199" i="60"/>
  <c r="G199" i="60"/>
  <c r="F199" i="60"/>
  <c r="E199" i="60"/>
  <c r="D199" i="60"/>
  <c r="C199" i="60"/>
  <c r="B199" i="60"/>
  <c r="M198" i="60"/>
  <c r="L198" i="60"/>
  <c r="K198" i="60"/>
  <c r="J198" i="60"/>
  <c r="I198" i="60"/>
  <c r="H198" i="60"/>
  <c r="G198" i="60"/>
  <c r="F198" i="60"/>
  <c r="E198" i="60"/>
  <c r="D198" i="60"/>
  <c r="C198" i="60"/>
  <c r="B198" i="60"/>
  <c r="M197" i="60"/>
  <c r="L197" i="60"/>
  <c r="K197" i="60"/>
  <c r="J197" i="60"/>
  <c r="I197" i="60"/>
  <c r="H197" i="60"/>
  <c r="G197" i="60"/>
  <c r="F197" i="60"/>
  <c r="E197" i="60"/>
  <c r="D197" i="60"/>
  <c r="C197" i="60"/>
  <c r="B197" i="60"/>
  <c r="M196" i="60"/>
  <c r="L196" i="60"/>
  <c r="K196" i="60"/>
  <c r="J196" i="60"/>
  <c r="I196" i="60"/>
  <c r="H196" i="60"/>
  <c r="G196" i="60"/>
  <c r="F196" i="60"/>
  <c r="E196" i="60"/>
  <c r="D196" i="60"/>
  <c r="C196" i="60"/>
  <c r="B196" i="60"/>
  <c r="M195" i="60"/>
  <c r="L195" i="60"/>
  <c r="K195" i="60"/>
  <c r="J195" i="60"/>
  <c r="I195" i="60"/>
  <c r="H195" i="60"/>
  <c r="G195" i="60"/>
  <c r="F195" i="60"/>
  <c r="E195" i="60"/>
  <c r="D195" i="60"/>
  <c r="C195" i="60"/>
  <c r="B195" i="60"/>
  <c r="M194" i="60"/>
  <c r="L194" i="60"/>
  <c r="K194" i="60"/>
  <c r="J194" i="60"/>
  <c r="I194" i="60"/>
  <c r="H194" i="60"/>
  <c r="G194" i="60"/>
  <c r="F194" i="60"/>
  <c r="E194" i="60"/>
  <c r="D194" i="60"/>
  <c r="C194" i="60"/>
  <c r="B194" i="60"/>
  <c r="M193" i="60"/>
  <c r="L193" i="60"/>
  <c r="K193" i="60"/>
  <c r="J193" i="60"/>
  <c r="I193" i="60"/>
  <c r="H193" i="60"/>
  <c r="G193" i="60"/>
  <c r="F193" i="60"/>
  <c r="E193" i="60"/>
  <c r="D193" i="60"/>
  <c r="C193" i="60"/>
  <c r="B193" i="60"/>
  <c r="M192" i="60"/>
  <c r="L192" i="60"/>
  <c r="K192" i="60"/>
  <c r="J192" i="60"/>
  <c r="I192" i="60"/>
  <c r="H192" i="60"/>
  <c r="G192" i="60"/>
  <c r="F192" i="60"/>
  <c r="E192" i="60"/>
  <c r="D192" i="60"/>
  <c r="C192" i="60"/>
  <c r="B192" i="60"/>
  <c r="M191" i="60"/>
  <c r="L191" i="60"/>
  <c r="K191" i="60"/>
  <c r="J191" i="60"/>
  <c r="I191" i="60"/>
  <c r="H191" i="60"/>
  <c r="G191" i="60"/>
  <c r="F191" i="60"/>
  <c r="E191" i="60"/>
  <c r="D191" i="60"/>
  <c r="C191" i="60"/>
  <c r="B191" i="60"/>
  <c r="M190" i="60"/>
  <c r="L190" i="60"/>
  <c r="K190" i="60"/>
  <c r="J190" i="60"/>
  <c r="I190" i="60"/>
  <c r="H190" i="60"/>
  <c r="G190" i="60"/>
  <c r="F190" i="60"/>
  <c r="E190" i="60"/>
  <c r="D190" i="60"/>
  <c r="C190" i="60"/>
  <c r="B190" i="60"/>
  <c r="M189" i="60"/>
  <c r="L189" i="60"/>
  <c r="K189" i="60"/>
  <c r="J189" i="60"/>
  <c r="I189" i="60"/>
  <c r="H189" i="60"/>
  <c r="G189" i="60"/>
  <c r="F189" i="60"/>
  <c r="E189" i="60"/>
  <c r="D189" i="60"/>
  <c r="C189" i="60"/>
  <c r="B189" i="60"/>
  <c r="M188" i="60"/>
  <c r="L188" i="60"/>
  <c r="K188" i="60"/>
  <c r="J188" i="60"/>
  <c r="I188" i="60"/>
  <c r="H188" i="60"/>
  <c r="G188" i="60"/>
  <c r="F188" i="60"/>
  <c r="E188" i="60"/>
  <c r="D188" i="60"/>
  <c r="C188" i="60"/>
  <c r="B188" i="60"/>
  <c r="M187" i="60"/>
  <c r="L187" i="60"/>
  <c r="K187" i="60"/>
  <c r="J187" i="60"/>
  <c r="I187" i="60"/>
  <c r="H187" i="60"/>
  <c r="G187" i="60"/>
  <c r="F187" i="60"/>
  <c r="E187" i="60"/>
  <c r="D187" i="60"/>
  <c r="C187" i="60"/>
  <c r="B187" i="60"/>
  <c r="M186" i="60"/>
  <c r="L186" i="60"/>
  <c r="K186" i="60"/>
  <c r="J186" i="60"/>
  <c r="I186" i="60"/>
  <c r="H186" i="60"/>
  <c r="G186" i="60"/>
  <c r="F186" i="60"/>
  <c r="E186" i="60"/>
  <c r="D186" i="60"/>
  <c r="C186" i="60"/>
  <c r="B186" i="60"/>
  <c r="M185" i="60"/>
  <c r="L185" i="60"/>
  <c r="K185" i="60"/>
  <c r="J185" i="60"/>
  <c r="I185" i="60"/>
  <c r="H185" i="60"/>
  <c r="G185" i="60"/>
  <c r="F185" i="60"/>
  <c r="E185" i="60"/>
  <c r="D185" i="60"/>
  <c r="C185" i="60"/>
  <c r="B185" i="60"/>
  <c r="M184" i="60"/>
  <c r="L184" i="60"/>
  <c r="K184" i="60"/>
  <c r="J184" i="60"/>
  <c r="I184" i="60"/>
  <c r="H184" i="60"/>
  <c r="G184" i="60"/>
  <c r="F184" i="60"/>
  <c r="E184" i="60"/>
  <c r="D184" i="60"/>
  <c r="C184" i="60"/>
  <c r="B184" i="60"/>
  <c r="M183" i="60"/>
  <c r="L183" i="60"/>
  <c r="K183" i="60"/>
  <c r="J183" i="60"/>
  <c r="I183" i="60"/>
  <c r="H183" i="60"/>
  <c r="G183" i="60"/>
  <c r="F183" i="60"/>
  <c r="E183" i="60"/>
  <c r="D183" i="60"/>
  <c r="C183" i="60"/>
  <c r="B183" i="60"/>
  <c r="M182" i="60"/>
  <c r="L182" i="60"/>
  <c r="K182" i="60"/>
  <c r="J182" i="60"/>
  <c r="I182" i="60"/>
  <c r="H182" i="60"/>
  <c r="G182" i="60"/>
  <c r="F182" i="60"/>
  <c r="E182" i="60"/>
  <c r="D182" i="60"/>
  <c r="C182" i="60"/>
  <c r="B182" i="60"/>
  <c r="M181" i="60"/>
  <c r="L181" i="60"/>
  <c r="K181" i="60"/>
  <c r="J181" i="60"/>
  <c r="I181" i="60"/>
  <c r="H181" i="60"/>
  <c r="G181" i="60"/>
  <c r="F181" i="60"/>
  <c r="E181" i="60"/>
  <c r="D181" i="60"/>
  <c r="C181" i="60"/>
  <c r="B181" i="60"/>
  <c r="M180" i="60"/>
  <c r="L180" i="60"/>
  <c r="K180" i="60"/>
  <c r="J180" i="60"/>
  <c r="I180" i="60"/>
  <c r="H180" i="60"/>
  <c r="G180" i="60"/>
  <c r="F180" i="60"/>
  <c r="E180" i="60"/>
  <c r="D180" i="60"/>
  <c r="C180" i="60"/>
  <c r="B180" i="60"/>
  <c r="M179" i="60"/>
  <c r="L179" i="60"/>
  <c r="K179" i="60"/>
  <c r="J179" i="60"/>
  <c r="I179" i="60"/>
  <c r="H179" i="60"/>
  <c r="G179" i="60"/>
  <c r="F179" i="60"/>
  <c r="E179" i="60"/>
  <c r="D179" i="60"/>
  <c r="C179" i="60"/>
  <c r="B179" i="60"/>
  <c r="M178" i="60"/>
  <c r="L178" i="60"/>
  <c r="K178" i="60"/>
  <c r="J178" i="60"/>
  <c r="I178" i="60"/>
  <c r="H178" i="60"/>
  <c r="G178" i="60"/>
  <c r="F178" i="60"/>
  <c r="E178" i="60"/>
  <c r="D178" i="60"/>
  <c r="C178" i="60"/>
  <c r="B178" i="60"/>
  <c r="M177" i="60"/>
  <c r="L177" i="60"/>
  <c r="K177" i="60"/>
  <c r="J177" i="60"/>
  <c r="I177" i="60"/>
  <c r="H177" i="60"/>
  <c r="G177" i="60"/>
  <c r="F177" i="60"/>
  <c r="E177" i="60"/>
  <c r="D177" i="60"/>
  <c r="C177" i="60"/>
  <c r="B177" i="60"/>
  <c r="M176" i="60"/>
  <c r="L176" i="60"/>
  <c r="K176" i="60"/>
  <c r="J176" i="60"/>
  <c r="I176" i="60"/>
  <c r="H176" i="60"/>
  <c r="G176" i="60"/>
  <c r="F176" i="60"/>
  <c r="E176" i="60"/>
  <c r="D176" i="60"/>
  <c r="C176" i="60"/>
  <c r="B176" i="60"/>
  <c r="M175" i="60"/>
  <c r="L175" i="60"/>
  <c r="K175" i="60"/>
  <c r="J175" i="60"/>
  <c r="I175" i="60"/>
  <c r="H175" i="60"/>
  <c r="G175" i="60"/>
  <c r="F175" i="60"/>
  <c r="E175" i="60"/>
  <c r="D175" i="60"/>
  <c r="C175" i="60"/>
  <c r="B175" i="60"/>
  <c r="M174" i="60"/>
  <c r="L174" i="60"/>
  <c r="K174" i="60"/>
  <c r="J174" i="60"/>
  <c r="I174" i="60"/>
  <c r="H174" i="60"/>
  <c r="G174" i="60"/>
  <c r="F174" i="60"/>
  <c r="E174" i="60"/>
  <c r="D174" i="60"/>
  <c r="C174" i="60"/>
  <c r="B174" i="60"/>
  <c r="M173" i="60"/>
  <c r="L173" i="60"/>
  <c r="K173" i="60"/>
  <c r="J173" i="60"/>
  <c r="I173" i="60"/>
  <c r="H173" i="60"/>
  <c r="G173" i="60"/>
  <c r="F173" i="60"/>
  <c r="E173" i="60"/>
  <c r="D173" i="60"/>
  <c r="C173" i="60"/>
  <c r="B173" i="60"/>
  <c r="M172" i="60"/>
  <c r="L172" i="60"/>
  <c r="K172" i="60"/>
  <c r="J172" i="60"/>
  <c r="I172" i="60"/>
  <c r="H172" i="60"/>
  <c r="G172" i="60"/>
  <c r="F172" i="60"/>
  <c r="E172" i="60"/>
  <c r="D172" i="60"/>
  <c r="C172" i="60"/>
  <c r="B172" i="60"/>
  <c r="M171" i="60"/>
  <c r="L171" i="60"/>
  <c r="K171" i="60"/>
  <c r="J171" i="60"/>
  <c r="I171" i="60"/>
  <c r="H171" i="60"/>
  <c r="G171" i="60"/>
  <c r="F171" i="60"/>
  <c r="E171" i="60"/>
  <c r="D171" i="60"/>
  <c r="C171" i="60"/>
  <c r="B171" i="60"/>
  <c r="M170" i="60"/>
  <c r="L170" i="60"/>
  <c r="K170" i="60"/>
  <c r="J170" i="60"/>
  <c r="I170" i="60"/>
  <c r="H170" i="60"/>
  <c r="G170" i="60"/>
  <c r="F170" i="60"/>
  <c r="E170" i="60"/>
  <c r="D170" i="60"/>
  <c r="C170" i="60"/>
  <c r="B170" i="60"/>
  <c r="M169" i="60"/>
  <c r="L169" i="60"/>
  <c r="K169" i="60"/>
  <c r="J169" i="60"/>
  <c r="I169" i="60"/>
  <c r="H169" i="60"/>
  <c r="G169" i="60"/>
  <c r="F169" i="60"/>
  <c r="E169" i="60"/>
  <c r="D169" i="60"/>
  <c r="C169" i="60"/>
  <c r="B169" i="60"/>
  <c r="M168" i="60"/>
  <c r="L168" i="60"/>
  <c r="K168" i="60"/>
  <c r="J168" i="60"/>
  <c r="I168" i="60"/>
  <c r="H168" i="60"/>
  <c r="G168" i="60"/>
  <c r="F168" i="60"/>
  <c r="E168" i="60"/>
  <c r="D168" i="60"/>
  <c r="C168" i="60"/>
  <c r="B168" i="60"/>
  <c r="M167" i="60"/>
  <c r="L167" i="60"/>
  <c r="K167" i="60"/>
  <c r="J167" i="60"/>
  <c r="I167" i="60"/>
  <c r="H167" i="60"/>
  <c r="G167" i="60"/>
  <c r="F167" i="60"/>
  <c r="E167" i="60"/>
  <c r="D167" i="60"/>
  <c r="C167" i="60"/>
  <c r="B167" i="60"/>
  <c r="M166" i="60"/>
  <c r="L166" i="60"/>
  <c r="K166" i="60"/>
  <c r="J166" i="60"/>
  <c r="I166" i="60"/>
  <c r="H166" i="60"/>
  <c r="G166" i="60"/>
  <c r="F166" i="60"/>
  <c r="E166" i="60"/>
  <c r="D166" i="60"/>
  <c r="C166" i="60"/>
  <c r="B166" i="60"/>
  <c r="M165" i="60"/>
  <c r="L165" i="60"/>
  <c r="K165" i="60"/>
  <c r="J165" i="60"/>
  <c r="I165" i="60"/>
  <c r="H165" i="60"/>
  <c r="G165" i="60"/>
  <c r="F165" i="60"/>
  <c r="E165" i="60"/>
  <c r="D165" i="60"/>
  <c r="C165" i="60"/>
  <c r="B165" i="60"/>
  <c r="M164" i="60"/>
  <c r="L164" i="60"/>
  <c r="K164" i="60"/>
  <c r="J164" i="60"/>
  <c r="I164" i="60"/>
  <c r="H164" i="60"/>
  <c r="G164" i="60"/>
  <c r="F164" i="60"/>
  <c r="E164" i="60"/>
  <c r="D164" i="60"/>
  <c r="C164" i="60"/>
  <c r="B164" i="60"/>
  <c r="M163" i="60"/>
  <c r="L163" i="60"/>
  <c r="K163" i="60"/>
  <c r="J163" i="60"/>
  <c r="I163" i="60"/>
  <c r="H163" i="60"/>
  <c r="G163" i="60"/>
  <c r="F163" i="60"/>
  <c r="E163" i="60"/>
  <c r="D163" i="60"/>
  <c r="C163" i="60"/>
  <c r="B163" i="60"/>
  <c r="M162" i="60"/>
  <c r="L162" i="60"/>
  <c r="K162" i="60"/>
  <c r="J162" i="60"/>
  <c r="I162" i="60"/>
  <c r="H162" i="60"/>
  <c r="G162" i="60"/>
  <c r="F162" i="60"/>
  <c r="E162" i="60"/>
  <c r="D162" i="60"/>
  <c r="C162" i="60"/>
  <c r="B162" i="60"/>
  <c r="M161" i="60"/>
  <c r="L161" i="60"/>
  <c r="K161" i="60"/>
  <c r="J161" i="60"/>
  <c r="I161" i="60"/>
  <c r="H161" i="60"/>
  <c r="G161" i="60"/>
  <c r="F161" i="60"/>
  <c r="E161" i="60"/>
  <c r="D161" i="60"/>
  <c r="C161" i="60"/>
  <c r="B161" i="60"/>
  <c r="M160" i="60"/>
  <c r="L160" i="60"/>
  <c r="K160" i="60"/>
  <c r="J160" i="60"/>
  <c r="I160" i="60"/>
  <c r="H160" i="60"/>
  <c r="G160" i="60"/>
  <c r="F160" i="60"/>
  <c r="E160" i="60"/>
  <c r="D160" i="60"/>
  <c r="C160" i="60"/>
  <c r="B160" i="60"/>
  <c r="M159" i="60"/>
  <c r="L159" i="60"/>
  <c r="K159" i="60"/>
  <c r="J159" i="60"/>
  <c r="I159" i="60"/>
  <c r="H159" i="60"/>
  <c r="G159" i="60"/>
  <c r="F159" i="60"/>
  <c r="E159" i="60"/>
  <c r="D159" i="60"/>
  <c r="C159" i="60"/>
  <c r="B159" i="60"/>
  <c r="M158" i="60"/>
  <c r="L158" i="60"/>
  <c r="K158" i="60"/>
  <c r="J158" i="60"/>
  <c r="I158" i="60"/>
  <c r="H158" i="60"/>
  <c r="G158" i="60"/>
  <c r="F158" i="60"/>
  <c r="E158" i="60"/>
  <c r="D158" i="60"/>
  <c r="C158" i="60"/>
  <c r="B158" i="60"/>
  <c r="M157" i="60"/>
  <c r="L157" i="60"/>
  <c r="K157" i="60"/>
  <c r="J157" i="60"/>
  <c r="I157" i="60"/>
  <c r="H157" i="60"/>
  <c r="G157" i="60"/>
  <c r="F157" i="60"/>
  <c r="E157" i="60"/>
  <c r="D157" i="60"/>
  <c r="C157" i="60"/>
  <c r="B157" i="60"/>
  <c r="M156" i="60"/>
  <c r="L156" i="60"/>
  <c r="K156" i="60"/>
  <c r="J156" i="60"/>
  <c r="I156" i="60"/>
  <c r="H156" i="60"/>
  <c r="G156" i="60"/>
  <c r="F156" i="60"/>
  <c r="E156" i="60"/>
  <c r="D156" i="60"/>
  <c r="C156" i="60"/>
  <c r="B156" i="60"/>
  <c r="M155" i="60"/>
  <c r="L155" i="60"/>
  <c r="K155" i="60"/>
  <c r="J155" i="60"/>
  <c r="I155" i="60"/>
  <c r="H155" i="60"/>
  <c r="G155" i="60"/>
  <c r="F155" i="60"/>
  <c r="E155" i="60"/>
  <c r="D155" i="60"/>
  <c r="C155" i="60"/>
  <c r="B155" i="60"/>
  <c r="M154" i="60"/>
  <c r="L154" i="60"/>
  <c r="K154" i="60"/>
  <c r="J154" i="60"/>
  <c r="I154" i="60"/>
  <c r="H154" i="60"/>
  <c r="G154" i="60"/>
  <c r="F154" i="60"/>
  <c r="E154" i="60"/>
  <c r="D154" i="60"/>
  <c r="C154" i="60"/>
  <c r="B154" i="60"/>
  <c r="M153" i="60"/>
  <c r="L153" i="60"/>
  <c r="K153" i="60"/>
  <c r="J153" i="60"/>
  <c r="I153" i="60"/>
  <c r="H153" i="60"/>
  <c r="G153" i="60"/>
  <c r="F153" i="60"/>
  <c r="E153" i="60"/>
  <c r="D153" i="60"/>
  <c r="C153" i="60"/>
  <c r="B153" i="60"/>
  <c r="M152" i="60"/>
  <c r="L152" i="60"/>
  <c r="K152" i="60"/>
  <c r="J152" i="60"/>
  <c r="I152" i="60"/>
  <c r="H152" i="60"/>
  <c r="G152" i="60"/>
  <c r="F152" i="60"/>
  <c r="E152" i="60"/>
  <c r="D152" i="60"/>
  <c r="C152" i="60"/>
  <c r="B152" i="60"/>
  <c r="M151" i="60"/>
  <c r="L151" i="60"/>
  <c r="K151" i="60"/>
  <c r="J151" i="60"/>
  <c r="I151" i="60"/>
  <c r="H151" i="60"/>
  <c r="G151" i="60"/>
  <c r="F151" i="60"/>
  <c r="E151" i="60"/>
  <c r="D151" i="60"/>
  <c r="C151" i="60"/>
  <c r="B151" i="60"/>
  <c r="M150" i="60"/>
  <c r="L150" i="60"/>
  <c r="K150" i="60"/>
  <c r="J150" i="60"/>
  <c r="I150" i="60"/>
  <c r="H150" i="60"/>
  <c r="G150" i="60"/>
  <c r="F150" i="60"/>
  <c r="E150" i="60"/>
  <c r="D150" i="60"/>
  <c r="C150" i="60"/>
  <c r="B150" i="60"/>
  <c r="M149" i="60"/>
  <c r="L149" i="60"/>
  <c r="K149" i="60"/>
  <c r="J149" i="60"/>
  <c r="I149" i="60"/>
  <c r="H149" i="60"/>
  <c r="G149" i="60"/>
  <c r="F149" i="60"/>
  <c r="E149" i="60"/>
  <c r="D149" i="60"/>
  <c r="C149" i="60"/>
  <c r="B149" i="60"/>
  <c r="M148" i="60"/>
  <c r="L148" i="60"/>
  <c r="K148" i="60"/>
  <c r="J148" i="60"/>
  <c r="I148" i="60"/>
  <c r="H148" i="60"/>
  <c r="G148" i="60"/>
  <c r="F148" i="60"/>
  <c r="E148" i="60"/>
  <c r="D148" i="60"/>
  <c r="C148" i="60"/>
  <c r="B148" i="60"/>
  <c r="M147" i="60"/>
  <c r="L147" i="60"/>
  <c r="K147" i="60"/>
  <c r="J147" i="60"/>
  <c r="I147" i="60"/>
  <c r="H147" i="60"/>
  <c r="G147" i="60"/>
  <c r="F147" i="60"/>
  <c r="E147" i="60"/>
  <c r="D147" i="60"/>
  <c r="C147" i="60"/>
  <c r="B147" i="60"/>
  <c r="M146" i="60"/>
  <c r="L146" i="60"/>
  <c r="K146" i="60"/>
  <c r="J146" i="60"/>
  <c r="I146" i="60"/>
  <c r="H146" i="60"/>
  <c r="G146" i="60"/>
  <c r="F146" i="60"/>
  <c r="E146" i="60"/>
  <c r="D146" i="60"/>
  <c r="C146" i="60"/>
  <c r="B146" i="60"/>
  <c r="M145" i="60"/>
  <c r="L145" i="60"/>
  <c r="K145" i="60"/>
  <c r="J145" i="60"/>
  <c r="I145" i="60"/>
  <c r="H145" i="60"/>
  <c r="G145" i="60"/>
  <c r="F145" i="60"/>
  <c r="E145" i="60"/>
  <c r="D145" i="60"/>
  <c r="C145" i="60"/>
  <c r="B145" i="60"/>
  <c r="M144" i="60"/>
  <c r="L144" i="60"/>
  <c r="K144" i="60"/>
  <c r="J144" i="60"/>
  <c r="I144" i="60"/>
  <c r="H144" i="60"/>
  <c r="G144" i="60"/>
  <c r="F144" i="60"/>
  <c r="E144" i="60"/>
  <c r="D144" i="60"/>
  <c r="C144" i="60"/>
  <c r="B144" i="60"/>
  <c r="M143" i="60"/>
  <c r="L143" i="60"/>
  <c r="K143" i="60"/>
  <c r="J143" i="60"/>
  <c r="I143" i="60"/>
  <c r="H143" i="60"/>
  <c r="G143" i="60"/>
  <c r="F143" i="60"/>
  <c r="E143" i="60"/>
  <c r="D143" i="60"/>
  <c r="C143" i="60"/>
  <c r="B143" i="60"/>
  <c r="M142" i="60"/>
  <c r="L142" i="60"/>
  <c r="K142" i="60"/>
  <c r="J142" i="60"/>
  <c r="I142" i="60"/>
  <c r="H142" i="60"/>
  <c r="G142" i="60"/>
  <c r="F142" i="60"/>
  <c r="E142" i="60"/>
  <c r="D142" i="60"/>
  <c r="C142" i="60"/>
  <c r="B142" i="60"/>
  <c r="M141" i="60"/>
  <c r="L141" i="60"/>
  <c r="K141" i="60"/>
  <c r="J141" i="60"/>
  <c r="I141" i="60"/>
  <c r="H141" i="60"/>
  <c r="G141" i="60"/>
  <c r="F141" i="60"/>
  <c r="E141" i="60"/>
  <c r="D141" i="60"/>
  <c r="C141" i="60"/>
  <c r="B141" i="60"/>
  <c r="M140" i="60"/>
  <c r="L140" i="60"/>
  <c r="K140" i="60"/>
  <c r="J140" i="60"/>
  <c r="I140" i="60"/>
  <c r="H140" i="60"/>
  <c r="G140" i="60"/>
  <c r="F140" i="60"/>
  <c r="E140" i="60"/>
  <c r="D140" i="60"/>
  <c r="C140" i="60"/>
  <c r="B140" i="60"/>
  <c r="M139" i="60"/>
  <c r="L139" i="60"/>
  <c r="K139" i="60"/>
  <c r="J139" i="60"/>
  <c r="I139" i="60"/>
  <c r="H139" i="60"/>
  <c r="G139" i="60"/>
  <c r="F139" i="60"/>
  <c r="E139" i="60"/>
  <c r="D139" i="60"/>
  <c r="C139" i="60"/>
  <c r="B139" i="60"/>
  <c r="M138" i="60"/>
  <c r="L138" i="60"/>
  <c r="K138" i="60"/>
  <c r="J138" i="60"/>
  <c r="I138" i="60"/>
  <c r="H138" i="60"/>
  <c r="G138" i="60"/>
  <c r="F138" i="60"/>
  <c r="E138" i="60"/>
  <c r="D138" i="60"/>
  <c r="C138" i="60"/>
  <c r="B138" i="60"/>
  <c r="M137" i="60"/>
  <c r="L137" i="60"/>
  <c r="K137" i="60"/>
  <c r="J137" i="60"/>
  <c r="I137" i="60"/>
  <c r="H137" i="60"/>
  <c r="G137" i="60"/>
  <c r="F137" i="60"/>
  <c r="E137" i="60"/>
  <c r="D137" i="60"/>
  <c r="C137" i="60"/>
  <c r="B137" i="60"/>
  <c r="M136" i="60"/>
  <c r="L136" i="60"/>
  <c r="K136" i="60"/>
  <c r="J136" i="60"/>
  <c r="I136" i="60"/>
  <c r="H136" i="60"/>
  <c r="G136" i="60"/>
  <c r="F136" i="60"/>
  <c r="E136" i="60"/>
  <c r="D136" i="60"/>
  <c r="C136" i="60"/>
  <c r="B136" i="60"/>
  <c r="M135" i="60"/>
  <c r="L135" i="60"/>
  <c r="K135" i="60"/>
  <c r="J135" i="60"/>
  <c r="I135" i="60"/>
  <c r="H135" i="60"/>
  <c r="G135" i="60"/>
  <c r="F135" i="60"/>
  <c r="E135" i="60"/>
  <c r="D135" i="60"/>
  <c r="C135" i="60"/>
  <c r="B135" i="60"/>
  <c r="M134" i="60"/>
  <c r="L134" i="60"/>
  <c r="K134" i="60"/>
  <c r="J134" i="60"/>
  <c r="I134" i="60"/>
  <c r="H134" i="60"/>
  <c r="G134" i="60"/>
  <c r="F134" i="60"/>
  <c r="E134" i="60"/>
  <c r="D134" i="60"/>
  <c r="C134" i="60"/>
  <c r="B134" i="60"/>
  <c r="M133" i="60"/>
  <c r="L133" i="60"/>
  <c r="K133" i="60"/>
  <c r="J133" i="60"/>
  <c r="I133" i="60"/>
  <c r="H133" i="60"/>
  <c r="G133" i="60"/>
  <c r="F133" i="60"/>
  <c r="E133" i="60"/>
  <c r="D133" i="60"/>
  <c r="C133" i="60"/>
  <c r="B133" i="60"/>
  <c r="M132" i="60"/>
  <c r="L132" i="60"/>
  <c r="K132" i="60"/>
  <c r="J132" i="60"/>
  <c r="I132" i="60"/>
  <c r="H132" i="60"/>
  <c r="G132" i="60"/>
  <c r="F132" i="60"/>
  <c r="E132" i="60"/>
  <c r="D132" i="60"/>
  <c r="C132" i="60"/>
  <c r="B132" i="60"/>
  <c r="M131" i="60"/>
  <c r="L131" i="60"/>
  <c r="K131" i="60"/>
  <c r="J131" i="60"/>
  <c r="I131" i="60"/>
  <c r="H131" i="60"/>
  <c r="G131" i="60"/>
  <c r="F131" i="60"/>
  <c r="E131" i="60"/>
  <c r="D131" i="60"/>
  <c r="C131" i="60"/>
  <c r="B131" i="60"/>
  <c r="M130" i="60"/>
  <c r="L130" i="60"/>
  <c r="K130" i="60"/>
  <c r="J130" i="60"/>
  <c r="I130" i="60"/>
  <c r="H130" i="60"/>
  <c r="G130" i="60"/>
  <c r="F130" i="60"/>
  <c r="E130" i="60"/>
  <c r="D130" i="60"/>
  <c r="C130" i="60"/>
  <c r="B130" i="60"/>
  <c r="M129" i="60"/>
  <c r="L129" i="60"/>
  <c r="K129" i="60"/>
  <c r="J129" i="60"/>
  <c r="I129" i="60"/>
  <c r="H129" i="60"/>
  <c r="G129" i="60"/>
  <c r="F129" i="60"/>
  <c r="E129" i="60"/>
  <c r="D129" i="60"/>
  <c r="C129" i="60"/>
  <c r="B129" i="60"/>
  <c r="M128" i="60"/>
  <c r="L128" i="60"/>
  <c r="K128" i="60"/>
  <c r="J128" i="60"/>
  <c r="I128" i="60"/>
  <c r="H128" i="60"/>
  <c r="G128" i="60"/>
  <c r="F128" i="60"/>
  <c r="E128" i="60"/>
  <c r="D128" i="60"/>
  <c r="C128" i="60"/>
  <c r="B128" i="60"/>
  <c r="M127" i="60"/>
  <c r="L127" i="60"/>
  <c r="K127" i="60"/>
  <c r="J127" i="60"/>
  <c r="I127" i="60"/>
  <c r="H127" i="60"/>
  <c r="G127" i="60"/>
  <c r="F127" i="60"/>
  <c r="E127" i="60"/>
  <c r="D127" i="60"/>
  <c r="C127" i="60"/>
  <c r="B127" i="60"/>
  <c r="M126" i="60"/>
  <c r="L126" i="60"/>
  <c r="K126" i="60"/>
  <c r="J126" i="60"/>
  <c r="I126" i="60"/>
  <c r="H126" i="60"/>
  <c r="G126" i="60"/>
  <c r="F126" i="60"/>
  <c r="E126" i="60"/>
  <c r="D126" i="60"/>
  <c r="C126" i="60"/>
  <c r="B126" i="60"/>
  <c r="M125" i="60"/>
  <c r="L125" i="60"/>
  <c r="K125" i="60"/>
  <c r="J125" i="60"/>
  <c r="I125" i="60"/>
  <c r="H125" i="60"/>
  <c r="G125" i="60"/>
  <c r="F125" i="60"/>
  <c r="E125" i="60"/>
  <c r="D125" i="60"/>
  <c r="C125" i="60"/>
  <c r="B125" i="60"/>
  <c r="M124" i="60"/>
  <c r="L124" i="60"/>
  <c r="K124" i="60"/>
  <c r="J124" i="60"/>
  <c r="I124" i="60"/>
  <c r="H124" i="60"/>
  <c r="G124" i="60"/>
  <c r="F124" i="60"/>
  <c r="E124" i="60"/>
  <c r="D124" i="60"/>
  <c r="C124" i="60"/>
  <c r="B124" i="60"/>
  <c r="M123" i="60"/>
  <c r="L123" i="60"/>
  <c r="K123" i="60"/>
  <c r="J123" i="60"/>
  <c r="I123" i="60"/>
  <c r="H123" i="60"/>
  <c r="G123" i="60"/>
  <c r="F123" i="60"/>
  <c r="E123" i="60"/>
  <c r="D123" i="60"/>
  <c r="C123" i="60"/>
  <c r="B123" i="60"/>
  <c r="M122" i="60"/>
  <c r="L122" i="60"/>
  <c r="K122" i="60"/>
  <c r="J122" i="60"/>
  <c r="I122" i="60"/>
  <c r="H122" i="60"/>
  <c r="G122" i="60"/>
  <c r="F122" i="60"/>
  <c r="E122" i="60"/>
  <c r="D122" i="60"/>
  <c r="C122" i="60"/>
  <c r="B122" i="60"/>
  <c r="M121" i="60"/>
  <c r="L121" i="60"/>
  <c r="K121" i="60"/>
  <c r="J121" i="60"/>
  <c r="I121" i="60"/>
  <c r="H121" i="60"/>
  <c r="G121" i="60"/>
  <c r="F121" i="60"/>
  <c r="E121" i="60"/>
  <c r="D121" i="60"/>
  <c r="C121" i="60"/>
  <c r="B121" i="60"/>
  <c r="M120" i="60"/>
  <c r="L120" i="60"/>
  <c r="K120" i="60"/>
  <c r="J120" i="60"/>
  <c r="I120" i="60"/>
  <c r="H120" i="60"/>
  <c r="G120" i="60"/>
  <c r="F120" i="60"/>
  <c r="E120" i="60"/>
  <c r="D120" i="60"/>
  <c r="C120" i="60"/>
  <c r="B120" i="60"/>
  <c r="M119" i="60"/>
  <c r="L119" i="60"/>
  <c r="K119" i="60"/>
  <c r="J119" i="60"/>
  <c r="I119" i="60"/>
  <c r="H119" i="60"/>
  <c r="G119" i="60"/>
  <c r="F119" i="60"/>
  <c r="E119" i="60"/>
  <c r="D119" i="60"/>
  <c r="C119" i="60"/>
  <c r="B119" i="60"/>
  <c r="M118" i="60"/>
  <c r="L118" i="60"/>
  <c r="K118" i="60"/>
  <c r="J118" i="60"/>
  <c r="I118" i="60"/>
  <c r="H118" i="60"/>
  <c r="G118" i="60"/>
  <c r="F118" i="60"/>
  <c r="E118" i="60"/>
  <c r="D118" i="60"/>
  <c r="C118" i="60"/>
  <c r="B118" i="60"/>
  <c r="M117" i="60"/>
  <c r="L117" i="60"/>
  <c r="K117" i="60"/>
  <c r="J117" i="60"/>
  <c r="I117" i="60"/>
  <c r="H117" i="60"/>
  <c r="G117" i="60"/>
  <c r="F117" i="60"/>
  <c r="E117" i="60"/>
  <c r="D117" i="60"/>
  <c r="C117" i="60"/>
  <c r="B117" i="60"/>
  <c r="M116" i="60"/>
  <c r="L116" i="60"/>
  <c r="K116" i="60"/>
  <c r="J116" i="60"/>
  <c r="I116" i="60"/>
  <c r="H116" i="60"/>
  <c r="G116" i="60"/>
  <c r="F116" i="60"/>
  <c r="E116" i="60"/>
  <c r="D116" i="60"/>
  <c r="C116" i="60"/>
  <c r="B116" i="60"/>
  <c r="M115" i="60"/>
  <c r="L115" i="60"/>
  <c r="K115" i="60"/>
  <c r="J115" i="60"/>
  <c r="I115" i="60"/>
  <c r="H115" i="60"/>
  <c r="G115" i="60"/>
  <c r="F115" i="60"/>
  <c r="E115" i="60"/>
  <c r="D115" i="60"/>
  <c r="C115" i="60"/>
  <c r="B115" i="60"/>
  <c r="M114" i="60"/>
  <c r="L114" i="60"/>
  <c r="K114" i="60"/>
  <c r="J114" i="60"/>
  <c r="I114" i="60"/>
  <c r="H114" i="60"/>
  <c r="G114" i="60"/>
  <c r="F114" i="60"/>
  <c r="E114" i="60"/>
  <c r="D114" i="60"/>
  <c r="C114" i="60"/>
  <c r="B114" i="60"/>
  <c r="M113" i="60"/>
  <c r="L113" i="60"/>
  <c r="K113" i="60"/>
  <c r="J113" i="60"/>
  <c r="I113" i="60"/>
  <c r="H113" i="60"/>
  <c r="G113" i="60"/>
  <c r="F113" i="60"/>
  <c r="E113" i="60"/>
  <c r="D113" i="60"/>
  <c r="C113" i="60"/>
  <c r="B113" i="60"/>
  <c r="M112" i="60"/>
  <c r="L112" i="60"/>
  <c r="K112" i="60"/>
  <c r="J112" i="60"/>
  <c r="I112" i="60"/>
  <c r="H112" i="60"/>
  <c r="G112" i="60"/>
  <c r="F112" i="60"/>
  <c r="E112" i="60"/>
  <c r="D112" i="60"/>
  <c r="C112" i="60"/>
  <c r="B112" i="60"/>
  <c r="M111" i="60"/>
  <c r="L111" i="60"/>
  <c r="K111" i="60"/>
  <c r="J111" i="60"/>
  <c r="I111" i="60"/>
  <c r="H111" i="60"/>
  <c r="G111" i="60"/>
  <c r="F111" i="60"/>
  <c r="E111" i="60"/>
  <c r="D111" i="60"/>
  <c r="C111" i="60"/>
  <c r="B111" i="60"/>
  <c r="M110" i="60"/>
  <c r="L110" i="60"/>
  <c r="K110" i="60"/>
  <c r="J110" i="60"/>
  <c r="I110" i="60"/>
  <c r="H110" i="60"/>
  <c r="G110" i="60"/>
  <c r="F110" i="60"/>
  <c r="E110" i="60"/>
  <c r="D110" i="60"/>
  <c r="C110" i="60"/>
  <c r="B110" i="60"/>
  <c r="M109" i="60"/>
  <c r="L109" i="60"/>
  <c r="K109" i="60"/>
  <c r="J109" i="60"/>
  <c r="I109" i="60"/>
  <c r="H109" i="60"/>
  <c r="G109" i="60"/>
  <c r="F109" i="60"/>
  <c r="E109" i="60"/>
  <c r="D109" i="60"/>
  <c r="C109" i="60"/>
  <c r="B109" i="60"/>
  <c r="M108" i="60"/>
  <c r="L108" i="60"/>
  <c r="K108" i="60"/>
  <c r="J108" i="60"/>
  <c r="I108" i="60"/>
  <c r="H108" i="60"/>
  <c r="G108" i="60"/>
  <c r="F108" i="60"/>
  <c r="E108" i="60"/>
  <c r="D108" i="60"/>
  <c r="C108" i="60"/>
  <c r="B108" i="60"/>
  <c r="M107" i="60"/>
  <c r="L107" i="60"/>
  <c r="K107" i="60"/>
  <c r="J107" i="60"/>
  <c r="I107" i="60"/>
  <c r="H107" i="60"/>
  <c r="G107" i="60"/>
  <c r="F107" i="60"/>
  <c r="E107" i="60"/>
  <c r="D107" i="60"/>
  <c r="C107" i="60"/>
  <c r="B107" i="60"/>
  <c r="M106" i="60"/>
  <c r="L106" i="60"/>
  <c r="K106" i="60"/>
  <c r="J106" i="60"/>
  <c r="I106" i="60"/>
  <c r="H106" i="60"/>
  <c r="G106" i="60"/>
  <c r="F106" i="60"/>
  <c r="E106" i="60"/>
  <c r="D106" i="60"/>
  <c r="C106" i="60"/>
  <c r="B106" i="60"/>
  <c r="M105" i="60"/>
  <c r="L105" i="60"/>
  <c r="K105" i="60"/>
  <c r="J105" i="60"/>
  <c r="I105" i="60"/>
  <c r="H105" i="60"/>
  <c r="G105" i="60"/>
  <c r="F105" i="60"/>
  <c r="E105" i="60"/>
  <c r="D105" i="60"/>
  <c r="C105" i="60"/>
  <c r="B105" i="60"/>
  <c r="M104" i="60"/>
  <c r="L104" i="60"/>
  <c r="K104" i="60"/>
  <c r="J104" i="60"/>
  <c r="I104" i="60"/>
  <c r="H104" i="60"/>
  <c r="G104" i="60"/>
  <c r="F104" i="60"/>
  <c r="E104" i="60"/>
  <c r="D104" i="60"/>
  <c r="C104" i="60"/>
  <c r="B104" i="60"/>
  <c r="M103" i="60"/>
  <c r="L103" i="60"/>
  <c r="K103" i="60"/>
  <c r="J103" i="60"/>
  <c r="I103" i="60"/>
  <c r="H103" i="60"/>
  <c r="G103" i="60"/>
  <c r="F103" i="60"/>
  <c r="E103" i="60"/>
  <c r="D103" i="60"/>
  <c r="C103" i="60"/>
  <c r="B103" i="60"/>
  <c r="M102" i="60"/>
  <c r="L102" i="60"/>
  <c r="K102" i="60"/>
  <c r="J102" i="60"/>
  <c r="I102" i="60"/>
  <c r="H102" i="60"/>
  <c r="G102" i="60"/>
  <c r="F102" i="60"/>
  <c r="E102" i="60"/>
  <c r="D102" i="60"/>
  <c r="C102" i="60"/>
  <c r="B102" i="60"/>
  <c r="M101" i="60"/>
  <c r="L101" i="60"/>
  <c r="K101" i="60"/>
  <c r="J101" i="60"/>
  <c r="I101" i="60"/>
  <c r="H101" i="60"/>
  <c r="G101" i="60"/>
  <c r="F101" i="60"/>
  <c r="E101" i="60"/>
  <c r="D101" i="60"/>
  <c r="C101" i="60"/>
  <c r="B101" i="60"/>
  <c r="M100" i="60"/>
  <c r="L100" i="60"/>
  <c r="K100" i="60"/>
  <c r="J100" i="60"/>
  <c r="I100" i="60"/>
  <c r="H100" i="60"/>
  <c r="G100" i="60"/>
  <c r="F100" i="60"/>
  <c r="E100" i="60"/>
  <c r="D100" i="60"/>
  <c r="C100" i="60"/>
  <c r="B100" i="60"/>
  <c r="M99" i="60"/>
  <c r="L99" i="60"/>
  <c r="K99" i="60"/>
  <c r="J99" i="60"/>
  <c r="I99" i="60"/>
  <c r="H99" i="60"/>
  <c r="G99" i="60"/>
  <c r="F99" i="60"/>
  <c r="E99" i="60"/>
  <c r="D99" i="60"/>
  <c r="C99" i="60"/>
  <c r="B99" i="60"/>
  <c r="M98" i="60"/>
  <c r="L98" i="60"/>
  <c r="K98" i="60"/>
  <c r="J98" i="60"/>
  <c r="I98" i="60"/>
  <c r="H98" i="60"/>
  <c r="G98" i="60"/>
  <c r="F98" i="60"/>
  <c r="E98" i="60"/>
  <c r="D98" i="60"/>
  <c r="C98" i="60"/>
  <c r="B98" i="60"/>
  <c r="M97" i="60"/>
  <c r="L97" i="60"/>
  <c r="K97" i="60"/>
  <c r="J97" i="60"/>
  <c r="I97" i="60"/>
  <c r="H97" i="60"/>
  <c r="G97" i="60"/>
  <c r="F97" i="60"/>
  <c r="E97" i="60"/>
  <c r="D97" i="60"/>
  <c r="C97" i="60"/>
  <c r="B97" i="60"/>
  <c r="M96" i="60"/>
  <c r="L96" i="60"/>
  <c r="K96" i="60"/>
  <c r="J96" i="60"/>
  <c r="I96" i="60"/>
  <c r="H96" i="60"/>
  <c r="G96" i="60"/>
  <c r="F96" i="60"/>
  <c r="E96" i="60"/>
  <c r="D96" i="60"/>
  <c r="C96" i="60"/>
  <c r="B96" i="60"/>
  <c r="M95" i="60"/>
  <c r="L95" i="60"/>
  <c r="K95" i="60"/>
  <c r="J95" i="60"/>
  <c r="I95" i="60"/>
  <c r="H95" i="60"/>
  <c r="G95" i="60"/>
  <c r="F95" i="60"/>
  <c r="E95" i="60"/>
  <c r="D95" i="60"/>
  <c r="C95" i="60"/>
  <c r="B95" i="60"/>
  <c r="M94" i="60"/>
  <c r="L94" i="60"/>
  <c r="K94" i="60"/>
  <c r="J94" i="60"/>
  <c r="I94" i="60"/>
  <c r="H94" i="60"/>
  <c r="G94" i="60"/>
  <c r="F94" i="60"/>
  <c r="E94" i="60"/>
  <c r="D94" i="60"/>
  <c r="C94" i="60"/>
  <c r="B94" i="60"/>
  <c r="M93" i="60"/>
  <c r="L93" i="60"/>
  <c r="K93" i="60"/>
  <c r="J93" i="60"/>
  <c r="I93" i="60"/>
  <c r="H93" i="60"/>
  <c r="G93" i="60"/>
  <c r="F93" i="60"/>
  <c r="E93" i="60"/>
  <c r="D93" i="60"/>
  <c r="C93" i="60"/>
  <c r="B93" i="60"/>
  <c r="M92" i="60"/>
  <c r="L92" i="60"/>
  <c r="K92" i="60"/>
  <c r="J92" i="60"/>
  <c r="I92" i="60"/>
  <c r="H92" i="60"/>
  <c r="G92" i="60"/>
  <c r="F92" i="60"/>
  <c r="E92" i="60"/>
  <c r="D92" i="60"/>
  <c r="C92" i="60"/>
  <c r="B92" i="60"/>
  <c r="M91" i="60"/>
  <c r="L91" i="60"/>
  <c r="K91" i="60"/>
  <c r="J91" i="60"/>
  <c r="I91" i="60"/>
  <c r="H91" i="60"/>
  <c r="G91" i="60"/>
  <c r="F91" i="60"/>
  <c r="E91" i="60"/>
  <c r="D91" i="60"/>
  <c r="C91" i="60"/>
  <c r="B91" i="60"/>
  <c r="M90" i="60"/>
  <c r="L90" i="60"/>
  <c r="K90" i="60"/>
  <c r="J90" i="60"/>
  <c r="I90" i="60"/>
  <c r="H90" i="60"/>
  <c r="G90" i="60"/>
  <c r="F90" i="60"/>
  <c r="E90" i="60"/>
  <c r="D90" i="60"/>
  <c r="C90" i="60"/>
  <c r="B90" i="60"/>
  <c r="M89" i="60"/>
  <c r="L89" i="60"/>
  <c r="K89" i="60"/>
  <c r="J89" i="60"/>
  <c r="I89" i="60"/>
  <c r="H89" i="60"/>
  <c r="G89" i="60"/>
  <c r="F89" i="60"/>
  <c r="E89" i="60"/>
  <c r="D89" i="60"/>
  <c r="C89" i="60"/>
  <c r="B89" i="60"/>
  <c r="M88" i="60"/>
  <c r="L88" i="60"/>
  <c r="K88" i="60"/>
  <c r="J88" i="60"/>
  <c r="I88" i="60"/>
  <c r="H88" i="60"/>
  <c r="G88" i="60"/>
  <c r="F88" i="60"/>
  <c r="E88" i="60"/>
  <c r="D88" i="60"/>
  <c r="C88" i="60"/>
  <c r="B88" i="60"/>
  <c r="M87" i="60"/>
  <c r="L87" i="60"/>
  <c r="K87" i="60"/>
  <c r="J87" i="60"/>
  <c r="I87" i="60"/>
  <c r="H87" i="60"/>
  <c r="G87" i="60"/>
  <c r="F87" i="60"/>
  <c r="E87" i="60"/>
  <c r="D87" i="60"/>
  <c r="C87" i="60"/>
  <c r="B87" i="60"/>
  <c r="M86" i="60"/>
  <c r="L86" i="60"/>
  <c r="K86" i="60"/>
  <c r="J86" i="60"/>
  <c r="I86" i="60"/>
  <c r="H86" i="60"/>
  <c r="G86" i="60"/>
  <c r="F86" i="60"/>
  <c r="E86" i="60"/>
  <c r="D86" i="60"/>
  <c r="C86" i="60"/>
  <c r="B86" i="60"/>
  <c r="M85" i="60"/>
  <c r="L85" i="60"/>
  <c r="K85" i="60"/>
  <c r="J85" i="60"/>
  <c r="I85" i="60"/>
  <c r="H85" i="60"/>
  <c r="G85" i="60"/>
  <c r="F85" i="60"/>
  <c r="E85" i="60"/>
  <c r="D85" i="60"/>
  <c r="C85" i="60"/>
  <c r="B85" i="60"/>
  <c r="M84" i="60"/>
  <c r="L84" i="60"/>
  <c r="K84" i="60"/>
  <c r="J84" i="60"/>
  <c r="I84" i="60"/>
  <c r="H84" i="60"/>
  <c r="G84" i="60"/>
  <c r="F84" i="60"/>
  <c r="E84" i="60"/>
  <c r="D84" i="60"/>
  <c r="C84" i="60"/>
  <c r="B84" i="60"/>
  <c r="M83" i="60"/>
  <c r="L83" i="60"/>
  <c r="K83" i="60"/>
  <c r="J83" i="60"/>
  <c r="I83" i="60"/>
  <c r="H83" i="60"/>
  <c r="G83" i="60"/>
  <c r="F83" i="60"/>
  <c r="E83" i="60"/>
  <c r="D83" i="60"/>
  <c r="C83" i="60"/>
  <c r="B83" i="60"/>
  <c r="M82" i="60"/>
  <c r="L82" i="60"/>
  <c r="K82" i="60"/>
  <c r="J82" i="60"/>
  <c r="I82" i="60"/>
  <c r="H82" i="60"/>
  <c r="G82" i="60"/>
  <c r="F82" i="60"/>
  <c r="E82" i="60"/>
  <c r="D82" i="60"/>
  <c r="C82" i="60"/>
  <c r="B82" i="60"/>
  <c r="M81" i="60"/>
  <c r="L81" i="60"/>
  <c r="K81" i="60"/>
  <c r="J81" i="60"/>
  <c r="I81" i="60"/>
  <c r="H81" i="60"/>
  <c r="G81" i="60"/>
  <c r="F81" i="60"/>
  <c r="E81" i="60"/>
  <c r="D81" i="60"/>
  <c r="C81" i="60"/>
  <c r="B81" i="60"/>
  <c r="M80" i="60"/>
  <c r="L80" i="60"/>
  <c r="K80" i="60"/>
  <c r="J80" i="60"/>
  <c r="I80" i="60"/>
  <c r="H80" i="60"/>
  <c r="G80" i="60"/>
  <c r="F80" i="60"/>
  <c r="E80" i="60"/>
  <c r="D80" i="60"/>
  <c r="C80" i="60"/>
  <c r="B80" i="60"/>
  <c r="M79" i="60"/>
  <c r="L79" i="60"/>
  <c r="K79" i="60"/>
  <c r="J79" i="60"/>
  <c r="I79" i="60"/>
  <c r="H79" i="60"/>
  <c r="G79" i="60"/>
  <c r="F79" i="60"/>
  <c r="E79" i="60"/>
  <c r="D79" i="60"/>
  <c r="C79" i="60"/>
  <c r="B79" i="60"/>
  <c r="M78" i="60"/>
  <c r="L78" i="60"/>
  <c r="K78" i="60"/>
  <c r="J78" i="60"/>
  <c r="I78" i="60"/>
  <c r="H78" i="60"/>
  <c r="G78" i="60"/>
  <c r="F78" i="60"/>
  <c r="E78" i="60"/>
  <c r="D78" i="60"/>
  <c r="C78" i="60"/>
  <c r="B78" i="60"/>
  <c r="M77" i="60"/>
  <c r="L77" i="60"/>
  <c r="K77" i="60"/>
  <c r="J77" i="60"/>
  <c r="I77" i="60"/>
  <c r="H77" i="60"/>
  <c r="G77" i="60"/>
  <c r="F77" i="60"/>
  <c r="E77" i="60"/>
  <c r="D77" i="60"/>
  <c r="C77" i="60"/>
  <c r="B77" i="60"/>
  <c r="M76" i="60"/>
  <c r="L76" i="60"/>
  <c r="K76" i="60"/>
  <c r="J76" i="60"/>
  <c r="I76" i="60"/>
  <c r="H76" i="60"/>
  <c r="G76" i="60"/>
  <c r="F76" i="60"/>
  <c r="E76" i="60"/>
  <c r="D76" i="60"/>
  <c r="C76" i="60"/>
  <c r="B76" i="60"/>
  <c r="M75" i="60"/>
  <c r="L75" i="60"/>
  <c r="K75" i="60"/>
  <c r="J75" i="60"/>
  <c r="I75" i="60"/>
  <c r="H75" i="60"/>
  <c r="G75" i="60"/>
  <c r="F75" i="60"/>
  <c r="E75" i="60"/>
  <c r="D75" i="60"/>
  <c r="C75" i="60"/>
  <c r="B75" i="60"/>
  <c r="M74" i="60"/>
  <c r="L74" i="60"/>
  <c r="K74" i="60"/>
  <c r="J74" i="60"/>
  <c r="I74" i="60"/>
  <c r="H74" i="60"/>
  <c r="G74" i="60"/>
  <c r="F74" i="60"/>
  <c r="E74" i="60"/>
  <c r="D74" i="60"/>
  <c r="C74" i="60"/>
  <c r="B74" i="60"/>
  <c r="M73" i="60"/>
  <c r="L73" i="60"/>
  <c r="K73" i="60"/>
  <c r="J73" i="60"/>
  <c r="I73" i="60"/>
  <c r="H73" i="60"/>
  <c r="G73" i="60"/>
  <c r="F73" i="60"/>
  <c r="E73" i="60"/>
  <c r="D73" i="60"/>
  <c r="C73" i="60"/>
  <c r="B73" i="60"/>
  <c r="M72" i="60"/>
  <c r="L72" i="60"/>
  <c r="K72" i="60"/>
  <c r="J72" i="60"/>
  <c r="I72" i="60"/>
  <c r="H72" i="60"/>
  <c r="G72" i="60"/>
  <c r="F72" i="60"/>
  <c r="E72" i="60"/>
  <c r="D72" i="60"/>
  <c r="C72" i="60"/>
  <c r="B72" i="60"/>
  <c r="M71" i="60"/>
  <c r="L71" i="60"/>
  <c r="K71" i="60"/>
  <c r="J71" i="60"/>
  <c r="I71" i="60"/>
  <c r="H71" i="60"/>
  <c r="G71" i="60"/>
  <c r="F71" i="60"/>
  <c r="E71" i="60"/>
  <c r="D71" i="60"/>
  <c r="C71" i="60"/>
  <c r="B71" i="60"/>
  <c r="M70" i="60"/>
  <c r="L70" i="60"/>
  <c r="K70" i="60"/>
  <c r="J70" i="60"/>
  <c r="I70" i="60"/>
  <c r="H70" i="60"/>
  <c r="G70" i="60"/>
  <c r="F70" i="60"/>
  <c r="E70" i="60"/>
  <c r="D70" i="60"/>
  <c r="C70" i="60"/>
  <c r="B70" i="60"/>
  <c r="M69" i="60"/>
  <c r="L69" i="60"/>
  <c r="K69" i="60"/>
  <c r="J69" i="60"/>
  <c r="I69" i="60"/>
  <c r="H69" i="60"/>
  <c r="G69" i="60"/>
  <c r="F69" i="60"/>
  <c r="E69" i="60"/>
  <c r="D69" i="60"/>
  <c r="C69" i="60"/>
  <c r="B69" i="60"/>
  <c r="M68" i="60"/>
  <c r="L68" i="60"/>
  <c r="K68" i="60"/>
  <c r="J68" i="60"/>
  <c r="I68" i="60"/>
  <c r="H68" i="60"/>
  <c r="G68" i="60"/>
  <c r="F68" i="60"/>
  <c r="E68" i="60"/>
  <c r="D68" i="60"/>
  <c r="C68" i="60"/>
  <c r="B68" i="60"/>
  <c r="M67" i="60"/>
  <c r="L67" i="60"/>
  <c r="K67" i="60"/>
  <c r="J67" i="60"/>
  <c r="I67" i="60"/>
  <c r="H67" i="60"/>
  <c r="G67" i="60"/>
  <c r="F67" i="60"/>
  <c r="E67" i="60"/>
  <c r="D67" i="60"/>
  <c r="C67" i="60"/>
  <c r="B67" i="60"/>
  <c r="M66" i="60"/>
  <c r="L66" i="60"/>
  <c r="K66" i="60"/>
  <c r="J66" i="60"/>
  <c r="I66" i="60"/>
  <c r="H66" i="60"/>
  <c r="G66" i="60"/>
  <c r="F66" i="60"/>
  <c r="E66" i="60"/>
  <c r="D66" i="60"/>
  <c r="C66" i="60"/>
  <c r="B66" i="60"/>
  <c r="M65" i="60"/>
  <c r="L65" i="60"/>
  <c r="K65" i="60"/>
  <c r="J65" i="60"/>
  <c r="I65" i="60"/>
  <c r="H65" i="60"/>
  <c r="G65" i="60"/>
  <c r="F65" i="60"/>
  <c r="E65" i="60"/>
  <c r="D65" i="60"/>
  <c r="C65" i="60"/>
  <c r="B65" i="60"/>
  <c r="M64" i="60"/>
  <c r="L64" i="60"/>
  <c r="K64" i="60"/>
  <c r="J64" i="60"/>
  <c r="I64" i="60"/>
  <c r="H64" i="60"/>
  <c r="G64" i="60"/>
  <c r="F64" i="60"/>
  <c r="E64" i="60"/>
  <c r="D64" i="60"/>
  <c r="C64" i="60"/>
  <c r="B64" i="60"/>
  <c r="M63" i="60"/>
  <c r="L63" i="60"/>
  <c r="K63" i="60"/>
  <c r="J63" i="60"/>
  <c r="I63" i="60"/>
  <c r="H63" i="60"/>
  <c r="G63" i="60"/>
  <c r="F63" i="60"/>
  <c r="E63" i="60"/>
  <c r="D63" i="60"/>
  <c r="C63" i="60"/>
  <c r="B63" i="60"/>
  <c r="M62" i="60"/>
  <c r="L62" i="60"/>
  <c r="K62" i="60"/>
  <c r="J62" i="60"/>
  <c r="I62" i="60"/>
  <c r="H62" i="60"/>
  <c r="G62" i="60"/>
  <c r="F62" i="60"/>
  <c r="E62" i="60"/>
  <c r="D62" i="60"/>
  <c r="C62" i="60"/>
  <c r="B62" i="60"/>
  <c r="M61" i="60"/>
  <c r="L61" i="60"/>
  <c r="K61" i="60"/>
  <c r="J61" i="60"/>
  <c r="I61" i="60"/>
  <c r="H61" i="60"/>
  <c r="G61" i="60"/>
  <c r="F61" i="60"/>
  <c r="E61" i="60"/>
  <c r="D61" i="60"/>
  <c r="C61" i="60"/>
  <c r="B61" i="60"/>
  <c r="M60" i="60"/>
  <c r="L60" i="60"/>
  <c r="K60" i="60"/>
  <c r="J60" i="60"/>
  <c r="I60" i="60"/>
  <c r="H60" i="60"/>
  <c r="G60" i="60"/>
  <c r="F60" i="60"/>
  <c r="E60" i="60"/>
  <c r="D60" i="60"/>
  <c r="C60" i="60"/>
  <c r="B60" i="60"/>
  <c r="M59" i="60"/>
  <c r="L59" i="60"/>
  <c r="K59" i="60"/>
  <c r="J59" i="60"/>
  <c r="I59" i="60"/>
  <c r="H59" i="60"/>
  <c r="G59" i="60"/>
  <c r="F59" i="60"/>
  <c r="E59" i="60"/>
  <c r="D59" i="60"/>
  <c r="C59" i="60"/>
  <c r="B59" i="60"/>
  <c r="M58" i="60"/>
  <c r="L58" i="60"/>
  <c r="K58" i="60"/>
  <c r="J58" i="60"/>
  <c r="I58" i="60"/>
  <c r="H58" i="60"/>
  <c r="G58" i="60"/>
  <c r="F58" i="60"/>
  <c r="E58" i="60"/>
  <c r="D58" i="60"/>
  <c r="C58" i="60"/>
  <c r="B58" i="60"/>
  <c r="M57" i="60"/>
  <c r="L57" i="60"/>
  <c r="K57" i="60"/>
  <c r="J57" i="60"/>
  <c r="I57" i="60"/>
  <c r="H57" i="60"/>
  <c r="G57" i="60"/>
  <c r="F57" i="60"/>
  <c r="E57" i="60"/>
  <c r="D57" i="60"/>
  <c r="C57" i="60"/>
  <c r="B57" i="60"/>
  <c r="M56" i="60"/>
  <c r="L56" i="60"/>
  <c r="K56" i="60"/>
  <c r="J56" i="60"/>
  <c r="I56" i="60"/>
  <c r="H56" i="60"/>
  <c r="G56" i="60"/>
  <c r="F56" i="60"/>
  <c r="E56" i="60"/>
  <c r="D56" i="60"/>
  <c r="C56" i="60"/>
  <c r="B56" i="60"/>
  <c r="M55" i="60"/>
  <c r="L55" i="60"/>
  <c r="K55" i="60"/>
  <c r="J55" i="60"/>
  <c r="I55" i="60"/>
  <c r="H55" i="60"/>
  <c r="G55" i="60"/>
  <c r="F55" i="60"/>
  <c r="E55" i="60"/>
  <c r="D55" i="60"/>
  <c r="C55" i="60"/>
  <c r="B55" i="60"/>
  <c r="M54" i="60"/>
  <c r="L54" i="60"/>
  <c r="K54" i="60"/>
  <c r="J54" i="60"/>
  <c r="I54" i="60"/>
  <c r="H54" i="60"/>
  <c r="G54" i="60"/>
  <c r="F54" i="60"/>
  <c r="E54" i="60"/>
  <c r="D54" i="60"/>
  <c r="C54" i="60"/>
  <c r="B54" i="60"/>
  <c r="M53" i="60"/>
  <c r="L53" i="60"/>
  <c r="K53" i="60"/>
  <c r="J53" i="60"/>
  <c r="I53" i="60"/>
  <c r="H53" i="60"/>
  <c r="G53" i="60"/>
  <c r="F53" i="60"/>
  <c r="E53" i="60"/>
  <c r="D53" i="60"/>
  <c r="C53" i="60"/>
  <c r="B53" i="60"/>
  <c r="M52" i="60"/>
  <c r="L52" i="60"/>
  <c r="K52" i="60"/>
  <c r="J52" i="60"/>
  <c r="I52" i="60"/>
  <c r="H52" i="60"/>
  <c r="G52" i="60"/>
  <c r="F52" i="60"/>
  <c r="E52" i="60"/>
  <c r="D52" i="60"/>
  <c r="C52" i="60"/>
  <c r="B52" i="60"/>
  <c r="M51" i="60"/>
  <c r="L51" i="60"/>
  <c r="K51" i="60"/>
  <c r="J51" i="60"/>
  <c r="I51" i="60"/>
  <c r="H51" i="60"/>
  <c r="G51" i="60"/>
  <c r="F51" i="60"/>
  <c r="E51" i="60"/>
  <c r="D51" i="60"/>
  <c r="C51" i="60"/>
  <c r="B51" i="60"/>
  <c r="M50" i="60"/>
  <c r="L50" i="60"/>
  <c r="K50" i="60"/>
  <c r="J50" i="60"/>
  <c r="I50" i="60"/>
  <c r="H50" i="60"/>
  <c r="G50" i="60"/>
  <c r="F50" i="60"/>
  <c r="E50" i="60"/>
  <c r="D50" i="60"/>
  <c r="C50" i="60"/>
  <c r="B50" i="60"/>
  <c r="M49" i="60"/>
  <c r="L49" i="60"/>
  <c r="K49" i="60"/>
  <c r="J49" i="60"/>
  <c r="I49" i="60"/>
  <c r="H49" i="60"/>
  <c r="G49" i="60"/>
  <c r="F49" i="60"/>
  <c r="E49" i="60"/>
  <c r="D49" i="60"/>
  <c r="C49" i="60"/>
  <c r="B49" i="60"/>
  <c r="M48" i="60"/>
  <c r="L48" i="60"/>
  <c r="K48" i="60"/>
  <c r="J48" i="60"/>
  <c r="I48" i="60"/>
  <c r="H48" i="60"/>
  <c r="G48" i="60"/>
  <c r="F48" i="60"/>
  <c r="E48" i="60"/>
  <c r="D48" i="60"/>
  <c r="C48" i="60"/>
  <c r="B48" i="60"/>
  <c r="M47" i="60"/>
  <c r="L47" i="60"/>
  <c r="K47" i="60"/>
  <c r="J47" i="60"/>
  <c r="I47" i="60"/>
  <c r="H47" i="60"/>
  <c r="G47" i="60"/>
  <c r="F47" i="60"/>
  <c r="E47" i="60"/>
  <c r="D47" i="60"/>
  <c r="C47" i="60"/>
  <c r="B47" i="60"/>
  <c r="M46" i="60"/>
  <c r="L46" i="60"/>
  <c r="K46" i="60"/>
  <c r="J46" i="60"/>
  <c r="I46" i="60"/>
  <c r="H46" i="60"/>
  <c r="G46" i="60"/>
  <c r="F46" i="60"/>
  <c r="E46" i="60"/>
  <c r="D46" i="60"/>
  <c r="C46" i="60"/>
  <c r="B46" i="60"/>
  <c r="M45" i="60"/>
  <c r="L45" i="60"/>
  <c r="K45" i="60"/>
  <c r="J45" i="60"/>
  <c r="I45" i="60"/>
  <c r="H45" i="60"/>
  <c r="G45" i="60"/>
  <c r="F45" i="60"/>
  <c r="E45" i="60"/>
  <c r="D45" i="60"/>
  <c r="C45" i="60"/>
  <c r="B45" i="60"/>
  <c r="M44" i="60"/>
  <c r="L44" i="60"/>
  <c r="K44" i="60"/>
  <c r="J44" i="60"/>
  <c r="I44" i="60"/>
  <c r="H44" i="60"/>
  <c r="G44" i="60"/>
  <c r="F44" i="60"/>
  <c r="E44" i="60"/>
  <c r="D44" i="60"/>
  <c r="C44" i="60"/>
  <c r="B44" i="60"/>
  <c r="M43" i="60"/>
  <c r="L43" i="60"/>
  <c r="K43" i="60"/>
  <c r="J43" i="60"/>
  <c r="I43" i="60"/>
  <c r="H43" i="60"/>
  <c r="G43" i="60"/>
  <c r="F43" i="60"/>
  <c r="E43" i="60"/>
  <c r="D43" i="60"/>
  <c r="C43" i="60"/>
  <c r="B43" i="60"/>
  <c r="M42" i="60"/>
  <c r="L42" i="60"/>
  <c r="K42" i="60"/>
  <c r="J42" i="60"/>
  <c r="I42" i="60"/>
  <c r="H42" i="60"/>
  <c r="G42" i="60"/>
  <c r="F42" i="60"/>
  <c r="E42" i="60"/>
  <c r="D42" i="60"/>
  <c r="C42" i="60"/>
  <c r="B42" i="60"/>
  <c r="M41" i="60"/>
  <c r="L41" i="60"/>
  <c r="K41" i="60"/>
  <c r="J41" i="60"/>
  <c r="I41" i="60"/>
  <c r="H41" i="60"/>
  <c r="G41" i="60"/>
  <c r="F41" i="60"/>
  <c r="E41" i="60"/>
  <c r="D41" i="60"/>
  <c r="C41" i="60"/>
  <c r="B41" i="60"/>
  <c r="M40" i="60"/>
  <c r="L40" i="60"/>
  <c r="K40" i="60"/>
  <c r="J40" i="60"/>
  <c r="I40" i="60"/>
  <c r="H40" i="60"/>
  <c r="G40" i="60"/>
  <c r="F40" i="60"/>
  <c r="E40" i="60"/>
  <c r="D40" i="60"/>
  <c r="C40" i="60"/>
  <c r="B40" i="60"/>
  <c r="M39" i="60"/>
  <c r="L39" i="60"/>
  <c r="K39" i="60"/>
  <c r="J39" i="60"/>
  <c r="I39" i="60"/>
  <c r="H39" i="60"/>
  <c r="G39" i="60"/>
  <c r="F39" i="60"/>
  <c r="E39" i="60"/>
  <c r="D39" i="60"/>
  <c r="C39" i="60"/>
  <c r="B39" i="60"/>
  <c r="M38" i="60"/>
  <c r="L38" i="60"/>
  <c r="K38" i="60"/>
  <c r="J38" i="60"/>
  <c r="I38" i="60"/>
  <c r="H38" i="60"/>
  <c r="G38" i="60"/>
  <c r="F38" i="60"/>
  <c r="E38" i="60"/>
  <c r="D38" i="60"/>
  <c r="C38" i="60"/>
  <c r="B38" i="60"/>
  <c r="M37" i="60"/>
  <c r="L37" i="60"/>
  <c r="K37" i="60"/>
  <c r="J37" i="60"/>
  <c r="I37" i="60"/>
  <c r="H37" i="60"/>
  <c r="G37" i="60"/>
  <c r="F37" i="60"/>
  <c r="E37" i="60"/>
  <c r="D37" i="60"/>
  <c r="C37" i="60"/>
  <c r="B37" i="60"/>
  <c r="M36" i="60"/>
  <c r="L36" i="60"/>
  <c r="K36" i="60"/>
  <c r="J36" i="60"/>
  <c r="I36" i="60"/>
  <c r="H36" i="60"/>
  <c r="G36" i="60"/>
  <c r="F36" i="60"/>
  <c r="E36" i="60"/>
  <c r="D36" i="60"/>
  <c r="C36" i="60"/>
  <c r="B36" i="60"/>
  <c r="M35" i="60"/>
  <c r="L35" i="60"/>
  <c r="K35" i="60"/>
  <c r="J35" i="60"/>
  <c r="I35" i="60"/>
  <c r="H35" i="60"/>
  <c r="G35" i="60"/>
  <c r="F35" i="60"/>
  <c r="E35" i="60"/>
  <c r="D35" i="60"/>
  <c r="C35" i="60"/>
  <c r="B35" i="60"/>
  <c r="M34" i="60"/>
  <c r="L34" i="60"/>
  <c r="K34" i="60"/>
  <c r="J34" i="60"/>
  <c r="I34" i="60"/>
  <c r="H34" i="60"/>
  <c r="G34" i="60"/>
  <c r="F34" i="60"/>
  <c r="E34" i="60"/>
  <c r="D34" i="60"/>
  <c r="C34" i="60"/>
  <c r="B34" i="60"/>
  <c r="M33" i="60"/>
  <c r="L33" i="60"/>
  <c r="K33" i="60"/>
  <c r="J33" i="60"/>
  <c r="I33" i="60"/>
  <c r="H33" i="60"/>
  <c r="G33" i="60"/>
  <c r="F33" i="60"/>
  <c r="E33" i="60"/>
  <c r="D33" i="60"/>
  <c r="C33" i="60"/>
  <c r="B33" i="60"/>
  <c r="M32" i="60"/>
  <c r="L32" i="60"/>
  <c r="K32" i="60"/>
  <c r="J32" i="60"/>
  <c r="I32" i="60"/>
  <c r="H32" i="60"/>
  <c r="G32" i="60"/>
  <c r="F32" i="60"/>
  <c r="E32" i="60"/>
  <c r="D32" i="60"/>
  <c r="C32" i="60"/>
  <c r="B32" i="60"/>
  <c r="M31" i="60"/>
  <c r="L31" i="60"/>
  <c r="K31" i="60"/>
  <c r="J31" i="60"/>
  <c r="I31" i="60"/>
  <c r="H31" i="60"/>
  <c r="G31" i="60"/>
  <c r="F31" i="60"/>
  <c r="E31" i="60"/>
  <c r="D31" i="60"/>
  <c r="C31" i="60"/>
  <c r="B31" i="60"/>
  <c r="M30" i="60"/>
  <c r="L30" i="60"/>
  <c r="K30" i="60"/>
  <c r="J30" i="60"/>
  <c r="I30" i="60"/>
  <c r="H30" i="60"/>
  <c r="G30" i="60"/>
  <c r="F30" i="60"/>
  <c r="E30" i="60"/>
  <c r="D30" i="60"/>
  <c r="C30" i="60"/>
  <c r="B30" i="60"/>
  <c r="M29" i="60"/>
  <c r="L29" i="60"/>
  <c r="K29" i="60"/>
  <c r="J29" i="60"/>
  <c r="I29" i="60"/>
  <c r="H29" i="60"/>
  <c r="G29" i="60"/>
  <c r="F29" i="60"/>
  <c r="E29" i="60"/>
  <c r="D29" i="60"/>
  <c r="C29" i="60"/>
  <c r="B29" i="60"/>
  <c r="M28" i="60"/>
  <c r="L28" i="60"/>
  <c r="K28" i="60"/>
  <c r="J28" i="60"/>
  <c r="I28" i="60"/>
  <c r="H28" i="60"/>
  <c r="G28" i="60"/>
  <c r="F28" i="60"/>
  <c r="E28" i="60"/>
  <c r="D28" i="60"/>
  <c r="C28" i="60"/>
  <c r="B28" i="60"/>
  <c r="M27" i="60"/>
  <c r="L27" i="60"/>
  <c r="K27" i="60"/>
  <c r="J27" i="60"/>
  <c r="I27" i="60"/>
  <c r="H27" i="60"/>
  <c r="G27" i="60"/>
  <c r="F27" i="60"/>
  <c r="E27" i="60"/>
  <c r="D27" i="60"/>
  <c r="C27" i="60"/>
  <c r="B27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M16" i="60"/>
  <c r="L16" i="60"/>
  <c r="K16" i="60"/>
  <c r="J16" i="60"/>
  <c r="I16" i="60"/>
  <c r="H16" i="60"/>
  <c r="G16" i="60"/>
  <c r="F16" i="60"/>
  <c r="E16" i="60"/>
  <c r="D16" i="60"/>
  <c r="C16" i="60"/>
  <c r="B16" i="60"/>
  <c r="M15" i="60"/>
  <c r="L15" i="60"/>
  <c r="K15" i="60"/>
  <c r="J15" i="60"/>
  <c r="I15" i="60"/>
  <c r="H15" i="60"/>
  <c r="G15" i="60"/>
  <c r="F15" i="60"/>
  <c r="E15" i="60"/>
  <c r="D15" i="60"/>
  <c r="C15" i="60"/>
  <c r="B15" i="60"/>
  <c r="M14" i="60"/>
  <c r="L14" i="60"/>
  <c r="K14" i="60"/>
  <c r="J14" i="60"/>
  <c r="I14" i="60"/>
  <c r="H14" i="60"/>
  <c r="G14" i="60"/>
  <c r="F14" i="60"/>
  <c r="E14" i="60"/>
  <c r="D14" i="60"/>
  <c r="C14" i="60"/>
  <c r="B14" i="60"/>
  <c r="M13" i="60"/>
  <c r="L13" i="60"/>
  <c r="K13" i="60"/>
  <c r="J13" i="60"/>
  <c r="I13" i="60"/>
  <c r="H13" i="60"/>
  <c r="G13" i="60"/>
  <c r="F13" i="60"/>
  <c r="E13" i="60"/>
  <c r="D13" i="60"/>
  <c r="C13" i="60"/>
  <c r="B13" i="60"/>
  <c r="M12" i="60"/>
  <c r="L12" i="60"/>
  <c r="K12" i="60"/>
  <c r="J12" i="60"/>
  <c r="I12" i="60"/>
  <c r="H12" i="60"/>
  <c r="G12" i="60"/>
  <c r="F12" i="60"/>
  <c r="E12" i="60"/>
  <c r="D12" i="60"/>
  <c r="C12" i="60"/>
  <c r="B12" i="60"/>
  <c r="M11" i="60"/>
  <c r="L11" i="60"/>
  <c r="K11" i="60"/>
  <c r="J11" i="60"/>
  <c r="I11" i="60"/>
  <c r="H11" i="60"/>
  <c r="G11" i="60"/>
  <c r="F11" i="60"/>
  <c r="E11" i="60"/>
  <c r="D11" i="60"/>
  <c r="C11" i="60"/>
  <c r="B11" i="60"/>
  <c r="M10" i="60"/>
  <c r="L10" i="60"/>
  <c r="K10" i="60"/>
  <c r="J10" i="60"/>
  <c r="I10" i="60"/>
  <c r="H10" i="60"/>
  <c r="G10" i="60"/>
  <c r="F10" i="60"/>
  <c r="E10" i="60"/>
  <c r="D10" i="60"/>
  <c r="C10" i="60"/>
  <c r="B10" i="60"/>
  <c r="M9" i="60"/>
  <c r="L9" i="60"/>
  <c r="K9" i="60"/>
  <c r="J9" i="60"/>
  <c r="I9" i="60"/>
  <c r="H9" i="60"/>
  <c r="G9" i="60"/>
  <c r="F9" i="60"/>
  <c r="E9" i="60"/>
  <c r="D9" i="60"/>
  <c r="C9" i="60"/>
  <c r="B9" i="60"/>
  <c r="M8" i="60"/>
  <c r="L8" i="60"/>
  <c r="K8" i="60"/>
  <c r="J8" i="60"/>
  <c r="I8" i="60"/>
  <c r="H8" i="60"/>
  <c r="G8" i="60"/>
  <c r="F8" i="60"/>
  <c r="E8" i="60"/>
  <c r="D8" i="60"/>
  <c r="C8" i="60"/>
  <c r="B8" i="60"/>
  <c r="M7" i="60"/>
  <c r="L7" i="60"/>
  <c r="K7" i="60"/>
  <c r="J7" i="60"/>
  <c r="I7" i="60"/>
  <c r="H7" i="60"/>
  <c r="G7" i="60"/>
  <c r="F7" i="60"/>
  <c r="E7" i="60"/>
  <c r="D7" i="60"/>
  <c r="C7" i="60"/>
  <c r="B7" i="60"/>
  <c r="M6" i="60"/>
  <c r="L6" i="60"/>
  <c r="K6" i="60"/>
  <c r="J6" i="60"/>
  <c r="I6" i="60"/>
  <c r="H6" i="60"/>
  <c r="G6" i="60"/>
  <c r="F6" i="60"/>
  <c r="E6" i="60"/>
  <c r="D6" i="60"/>
  <c r="C6" i="60"/>
  <c r="B6" i="60"/>
  <c r="M5" i="60"/>
  <c r="L5" i="60"/>
  <c r="K5" i="60"/>
  <c r="J5" i="60"/>
  <c r="I5" i="60"/>
  <c r="H5" i="60"/>
  <c r="G5" i="60"/>
  <c r="F5" i="60"/>
  <c r="E5" i="60"/>
  <c r="D5" i="60"/>
  <c r="C5" i="60"/>
  <c r="B5" i="60"/>
  <c r="M4" i="60"/>
  <c r="L4" i="60"/>
  <c r="K4" i="60"/>
  <c r="J4" i="60"/>
  <c r="I4" i="60"/>
  <c r="H4" i="60"/>
  <c r="G4" i="60"/>
  <c r="F4" i="60"/>
  <c r="E4" i="60"/>
  <c r="D4" i="60"/>
  <c r="C4" i="60"/>
  <c r="B4" i="60"/>
  <c r="M3" i="60"/>
  <c r="L3" i="60"/>
  <c r="K3" i="60"/>
  <c r="J3" i="60"/>
  <c r="I3" i="60"/>
  <c r="H3" i="60"/>
  <c r="G3" i="60"/>
  <c r="F3" i="60"/>
  <c r="E3" i="60"/>
  <c r="D3" i="60"/>
  <c r="C3" i="60"/>
  <c r="B3" i="60"/>
  <c r="M223" i="49"/>
  <c r="L223" i="49"/>
  <c r="K223" i="49"/>
  <c r="J223" i="49"/>
  <c r="I223" i="49"/>
  <c r="H223" i="49"/>
  <c r="G223" i="49"/>
  <c r="F223" i="49"/>
  <c r="E223" i="49"/>
  <c r="D223" i="49"/>
  <c r="C223" i="49"/>
  <c r="B223" i="49"/>
  <c r="M222" i="49"/>
  <c r="L222" i="49"/>
  <c r="K222" i="49"/>
  <c r="J222" i="49"/>
  <c r="I222" i="49"/>
  <c r="H222" i="49"/>
  <c r="G222" i="49"/>
  <c r="F222" i="49"/>
  <c r="E222" i="49"/>
  <c r="D222" i="49"/>
  <c r="C222" i="49"/>
  <c r="B222" i="49"/>
  <c r="M221" i="49"/>
  <c r="L221" i="49"/>
  <c r="K221" i="49"/>
  <c r="J221" i="49"/>
  <c r="I221" i="49"/>
  <c r="H221" i="49"/>
  <c r="G221" i="49"/>
  <c r="F221" i="49"/>
  <c r="E221" i="49"/>
  <c r="D221" i="49"/>
  <c r="C221" i="49"/>
  <c r="B221" i="49"/>
  <c r="M220" i="49"/>
  <c r="L220" i="49"/>
  <c r="K220" i="49"/>
  <c r="J220" i="49"/>
  <c r="I220" i="49"/>
  <c r="H220" i="49"/>
  <c r="G220" i="49"/>
  <c r="F220" i="49"/>
  <c r="E220" i="49"/>
  <c r="D220" i="49"/>
  <c r="C220" i="49"/>
  <c r="B220" i="49"/>
  <c r="M219" i="49"/>
  <c r="L219" i="49"/>
  <c r="K219" i="49"/>
  <c r="J219" i="49"/>
  <c r="I219" i="49"/>
  <c r="H219" i="49"/>
  <c r="G219" i="49"/>
  <c r="F219" i="49"/>
  <c r="E219" i="49"/>
  <c r="D219" i="49"/>
  <c r="C219" i="49"/>
  <c r="B219" i="49"/>
  <c r="M218" i="49"/>
  <c r="L218" i="49"/>
  <c r="K218" i="49"/>
  <c r="J218" i="49"/>
  <c r="I218" i="49"/>
  <c r="H218" i="49"/>
  <c r="G218" i="49"/>
  <c r="F218" i="49"/>
  <c r="E218" i="49"/>
  <c r="D218" i="49"/>
  <c r="C218" i="49"/>
  <c r="B218" i="49"/>
  <c r="M217" i="49"/>
  <c r="L217" i="49"/>
  <c r="K217" i="49"/>
  <c r="J217" i="49"/>
  <c r="I217" i="49"/>
  <c r="H217" i="49"/>
  <c r="G217" i="49"/>
  <c r="F217" i="49"/>
  <c r="E217" i="49"/>
  <c r="D217" i="49"/>
  <c r="C217" i="49"/>
  <c r="B217" i="49"/>
  <c r="M216" i="49"/>
  <c r="L216" i="49"/>
  <c r="K216" i="49"/>
  <c r="J216" i="49"/>
  <c r="I216" i="49"/>
  <c r="H216" i="49"/>
  <c r="G216" i="49"/>
  <c r="F216" i="49"/>
  <c r="E216" i="49"/>
  <c r="D216" i="49"/>
  <c r="C216" i="49"/>
  <c r="B216" i="49"/>
  <c r="M215" i="49"/>
  <c r="L215" i="49"/>
  <c r="K215" i="49"/>
  <c r="J215" i="49"/>
  <c r="I215" i="49"/>
  <c r="H215" i="49"/>
  <c r="G215" i="49"/>
  <c r="F215" i="49"/>
  <c r="E215" i="49"/>
  <c r="D215" i="49"/>
  <c r="C215" i="49"/>
  <c r="B215" i="49"/>
  <c r="M214" i="49"/>
  <c r="L214" i="49"/>
  <c r="K214" i="49"/>
  <c r="J214" i="49"/>
  <c r="I214" i="49"/>
  <c r="H214" i="49"/>
  <c r="G214" i="49"/>
  <c r="F214" i="49"/>
  <c r="E214" i="49"/>
  <c r="D214" i="49"/>
  <c r="C214" i="49"/>
  <c r="B214" i="49"/>
  <c r="M213" i="49"/>
  <c r="L213" i="49"/>
  <c r="K213" i="49"/>
  <c r="J213" i="49"/>
  <c r="I213" i="49"/>
  <c r="H213" i="49"/>
  <c r="G213" i="49"/>
  <c r="F213" i="49"/>
  <c r="E213" i="49"/>
  <c r="D213" i="49"/>
  <c r="C213" i="49"/>
  <c r="B213" i="49"/>
  <c r="M212" i="49"/>
  <c r="L212" i="49"/>
  <c r="K212" i="49"/>
  <c r="J212" i="49"/>
  <c r="I212" i="49"/>
  <c r="H212" i="49"/>
  <c r="G212" i="49"/>
  <c r="F212" i="49"/>
  <c r="E212" i="49"/>
  <c r="D212" i="49"/>
  <c r="C212" i="49"/>
  <c r="B212" i="49"/>
  <c r="M211" i="49"/>
  <c r="L211" i="49"/>
  <c r="K211" i="49"/>
  <c r="J211" i="49"/>
  <c r="I211" i="49"/>
  <c r="H211" i="49"/>
  <c r="G211" i="49"/>
  <c r="F211" i="49"/>
  <c r="E211" i="49"/>
  <c r="D211" i="49"/>
  <c r="C211" i="49"/>
  <c r="B211" i="49"/>
  <c r="M210" i="49"/>
  <c r="L210" i="49"/>
  <c r="K210" i="49"/>
  <c r="J210" i="49"/>
  <c r="I210" i="49"/>
  <c r="H210" i="49"/>
  <c r="G210" i="49"/>
  <c r="F210" i="49"/>
  <c r="E210" i="49"/>
  <c r="D210" i="49"/>
  <c r="C210" i="49"/>
  <c r="B210" i="49"/>
  <c r="M209" i="49"/>
  <c r="L209" i="49"/>
  <c r="K209" i="49"/>
  <c r="J209" i="49"/>
  <c r="I209" i="49"/>
  <c r="H209" i="49"/>
  <c r="G209" i="49"/>
  <c r="F209" i="49"/>
  <c r="E209" i="49"/>
  <c r="D209" i="49"/>
  <c r="C209" i="49"/>
  <c r="B209" i="49"/>
  <c r="M208" i="49"/>
  <c r="L208" i="49"/>
  <c r="K208" i="49"/>
  <c r="J208" i="49"/>
  <c r="I208" i="49"/>
  <c r="H208" i="49"/>
  <c r="G208" i="49"/>
  <c r="F208" i="49"/>
  <c r="E208" i="49"/>
  <c r="D208" i="49"/>
  <c r="C208" i="49"/>
  <c r="B208" i="49"/>
  <c r="M207" i="49"/>
  <c r="L207" i="49"/>
  <c r="K207" i="49"/>
  <c r="J207" i="49"/>
  <c r="I207" i="49"/>
  <c r="H207" i="49"/>
  <c r="G207" i="49"/>
  <c r="F207" i="49"/>
  <c r="E207" i="49"/>
  <c r="D207" i="49"/>
  <c r="C207" i="49"/>
  <c r="B207" i="49"/>
  <c r="M206" i="49"/>
  <c r="L206" i="49"/>
  <c r="K206" i="49"/>
  <c r="J206" i="49"/>
  <c r="I206" i="49"/>
  <c r="H206" i="49"/>
  <c r="G206" i="49"/>
  <c r="F206" i="49"/>
  <c r="E206" i="49"/>
  <c r="D206" i="49"/>
  <c r="C206" i="49"/>
  <c r="B206" i="49"/>
  <c r="M205" i="49"/>
  <c r="L205" i="49"/>
  <c r="K205" i="49"/>
  <c r="J205" i="49"/>
  <c r="I205" i="49"/>
  <c r="H205" i="49"/>
  <c r="G205" i="49"/>
  <c r="F205" i="49"/>
  <c r="E205" i="49"/>
  <c r="D205" i="49"/>
  <c r="C205" i="49"/>
  <c r="B205" i="49"/>
  <c r="M204" i="49"/>
  <c r="L204" i="49"/>
  <c r="K204" i="49"/>
  <c r="J204" i="49"/>
  <c r="I204" i="49"/>
  <c r="H204" i="49"/>
  <c r="G204" i="49"/>
  <c r="F204" i="49"/>
  <c r="E204" i="49"/>
  <c r="D204" i="49"/>
  <c r="C204" i="49"/>
  <c r="B204" i="49"/>
  <c r="M203" i="49"/>
  <c r="L203" i="49"/>
  <c r="K203" i="49"/>
  <c r="J203" i="49"/>
  <c r="I203" i="49"/>
  <c r="H203" i="49"/>
  <c r="G203" i="49"/>
  <c r="F203" i="49"/>
  <c r="E203" i="49"/>
  <c r="D203" i="49"/>
  <c r="C203" i="49"/>
  <c r="B203" i="49"/>
  <c r="M202" i="49"/>
  <c r="L202" i="49"/>
  <c r="K202" i="49"/>
  <c r="J202" i="49"/>
  <c r="I202" i="49"/>
  <c r="H202" i="49"/>
  <c r="G202" i="49"/>
  <c r="F202" i="49"/>
  <c r="E202" i="49"/>
  <c r="D202" i="49"/>
  <c r="C202" i="49"/>
  <c r="B202" i="49"/>
  <c r="M201" i="49"/>
  <c r="L201" i="49"/>
  <c r="K201" i="49"/>
  <c r="J201" i="49"/>
  <c r="I201" i="49"/>
  <c r="H201" i="49"/>
  <c r="G201" i="49"/>
  <c r="F201" i="49"/>
  <c r="E201" i="49"/>
  <c r="D201" i="49"/>
  <c r="C201" i="49"/>
  <c r="B201" i="49"/>
  <c r="M200" i="49"/>
  <c r="L200" i="49"/>
  <c r="K200" i="49"/>
  <c r="J200" i="49"/>
  <c r="I200" i="49"/>
  <c r="H200" i="49"/>
  <c r="G200" i="49"/>
  <c r="F200" i="49"/>
  <c r="E200" i="49"/>
  <c r="D200" i="49"/>
  <c r="C200" i="49"/>
  <c r="B200" i="49"/>
  <c r="M199" i="49"/>
  <c r="L199" i="49"/>
  <c r="K199" i="49"/>
  <c r="J199" i="49"/>
  <c r="I199" i="49"/>
  <c r="H199" i="49"/>
  <c r="G199" i="49"/>
  <c r="F199" i="49"/>
  <c r="E199" i="49"/>
  <c r="D199" i="49"/>
  <c r="C199" i="49"/>
  <c r="B199" i="49"/>
  <c r="M198" i="49"/>
  <c r="L198" i="49"/>
  <c r="K198" i="49"/>
  <c r="J198" i="49"/>
  <c r="I198" i="49"/>
  <c r="H198" i="49"/>
  <c r="G198" i="49"/>
  <c r="F198" i="49"/>
  <c r="E198" i="49"/>
  <c r="D198" i="49"/>
  <c r="C198" i="49"/>
  <c r="B198" i="49"/>
  <c r="M197" i="49"/>
  <c r="L197" i="49"/>
  <c r="K197" i="49"/>
  <c r="J197" i="49"/>
  <c r="I197" i="49"/>
  <c r="H197" i="49"/>
  <c r="G197" i="49"/>
  <c r="F197" i="49"/>
  <c r="E197" i="49"/>
  <c r="D197" i="49"/>
  <c r="C197" i="49"/>
  <c r="B197" i="49"/>
  <c r="M196" i="49"/>
  <c r="L196" i="49"/>
  <c r="K196" i="49"/>
  <c r="J196" i="49"/>
  <c r="I196" i="49"/>
  <c r="H196" i="49"/>
  <c r="G196" i="49"/>
  <c r="F196" i="49"/>
  <c r="E196" i="49"/>
  <c r="D196" i="49"/>
  <c r="C196" i="49"/>
  <c r="B196" i="49"/>
  <c r="M195" i="49"/>
  <c r="L195" i="49"/>
  <c r="K195" i="49"/>
  <c r="J195" i="49"/>
  <c r="I195" i="49"/>
  <c r="H195" i="49"/>
  <c r="G195" i="49"/>
  <c r="F195" i="49"/>
  <c r="E195" i="49"/>
  <c r="D195" i="49"/>
  <c r="C195" i="49"/>
  <c r="B195" i="49"/>
  <c r="M194" i="49"/>
  <c r="L194" i="49"/>
  <c r="K194" i="49"/>
  <c r="J194" i="49"/>
  <c r="I194" i="49"/>
  <c r="H194" i="49"/>
  <c r="G194" i="49"/>
  <c r="F194" i="49"/>
  <c r="E194" i="49"/>
  <c r="D194" i="49"/>
  <c r="C194" i="49"/>
  <c r="B194" i="49"/>
  <c r="M193" i="49"/>
  <c r="L193" i="49"/>
  <c r="K193" i="49"/>
  <c r="J193" i="49"/>
  <c r="I193" i="49"/>
  <c r="H193" i="49"/>
  <c r="G193" i="49"/>
  <c r="F193" i="49"/>
  <c r="E193" i="49"/>
  <c r="D193" i="49"/>
  <c r="C193" i="49"/>
  <c r="B193" i="49"/>
  <c r="M192" i="49"/>
  <c r="L192" i="49"/>
  <c r="K192" i="49"/>
  <c r="J192" i="49"/>
  <c r="I192" i="49"/>
  <c r="H192" i="49"/>
  <c r="G192" i="49"/>
  <c r="F192" i="49"/>
  <c r="E192" i="49"/>
  <c r="D192" i="49"/>
  <c r="C192" i="49"/>
  <c r="B192" i="49"/>
  <c r="M191" i="49"/>
  <c r="L191" i="49"/>
  <c r="K191" i="49"/>
  <c r="J191" i="49"/>
  <c r="I191" i="49"/>
  <c r="H191" i="49"/>
  <c r="G191" i="49"/>
  <c r="F191" i="49"/>
  <c r="E191" i="49"/>
  <c r="D191" i="49"/>
  <c r="C191" i="49"/>
  <c r="B191" i="49"/>
  <c r="M190" i="49"/>
  <c r="L190" i="49"/>
  <c r="K190" i="49"/>
  <c r="J190" i="49"/>
  <c r="I190" i="49"/>
  <c r="H190" i="49"/>
  <c r="G190" i="49"/>
  <c r="F190" i="49"/>
  <c r="E190" i="49"/>
  <c r="D190" i="49"/>
  <c r="C190" i="49"/>
  <c r="B190" i="49"/>
  <c r="M189" i="49"/>
  <c r="L189" i="49"/>
  <c r="K189" i="49"/>
  <c r="J189" i="49"/>
  <c r="I189" i="49"/>
  <c r="H189" i="49"/>
  <c r="G189" i="49"/>
  <c r="F189" i="49"/>
  <c r="E189" i="49"/>
  <c r="D189" i="49"/>
  <c r="C189" i="49"/>
  <c r="B189" i="49"/>
  <c r="M188" i="49"/>
  <c r="L188" i="49"/>
  <c r="K188" i="49"/>
  <c r="J188" i="49"/>
  <c r="I188" i="49"/>
  <c r="H188" i="49"/>
  <c r="G188" i="49"/>
  <c r="F188" i="49"/>
  <c r="E188" i="49"/>
  <c r="D188" i="49"/>
  <c r="C188" i="49"/>
  <c r="B188" i="49"/>
  <c r="M187" i="49"/>
  <c r="L187" i="49"/>
  <c r="K187" i="49"/>
  <c r="J187" i="49"/>
  <c r="I187" i="49"/>
  <c r="H187" i="49"/>
  <c r="G187" i="49"/>
  <c r="F187" i="49"/>
  <c r="E187" i="49"/>
  <c r="D187" i="49"/>
  <c r="C187" i="49"/>
  <c r="B187" i="49"/>
  <c r="M186" i="49"/>
  <c r="L186" i="49"/>
  <c r="K186" i="49"/>
  <c r="J186" i="49"/>
  <c r="I186" i="49"/>
  <c r="H186" i="49"/>
  <c r="G186" i="49"/>
  <c r="F186" i="49"/>
  <c r="E186" i="49"/>
  <c r="D186" i="49"/>
  <c r="C186" i="49"/>
  <c r="B186" i="49"/>
  <c r="M185" i="49"/>
  <c r="L185" i="49"/>
  <c r="K185" i="49"/>
  <c r="J185" i="49"/>
  <c r="I185" i="49"/>
  <c r="H185" i="49"/>
  <c r="G185" i="49"/>
  <c r="F185" i="49"/>
  <c r="E185" i="49"/>
  <c r="D185" i="49"/>
  <c r="C185" i="49"/>
  <c r="B185" i="49"/>
  <c r="M184" i="49"/>
  <c r="L184" i="49"/>
  <c r="K184" i="49"/>
  <c r="J184" i="49"/>
  <c r="I184" i="49"/>
  <c r="H184" i="49"/>
  <c r="G184" i="49"/>
  <c r="F184" i="49"/>
  <c r="E184" i="49"/>
  <c r="D184" i="49"/>
  <c r="C184" i="49"/>
  <c r="B184" i="49"/>
  <c r="M183" i="49"/>
  <c r="L183" i="49"/>
  <c r="K183" i="49"/>
  <c r="J183" i="49"/>
  <c r="I183" i="49"/>
  <c r="H183" i="49"/>
  <c r="G183" i="49"/>
  <c r="F183" i="49"/>
  <c r="E183" i="49"/>
  <c r="D183" i="49"/>
  <c r="C183" i="49"/>
  <c r="B183" i="49"/>
  <c r="M182" i="49"/>
  <c r="L182" i="49"/>
  <c r="K182" i="49"/>
  <c r="J182" i="49"/>
  <c r="I182" i="49"/>
  <c r="H182" i="49"/>
  <c r="G182" i="49"/>
  <c r="F182" i="49"/>
  <c r="E182" i="49"/>
  <c r="D182" i="49"/>
  <c r="C182" i="49"/>
  <c r="B182" i="49"/>
  <c r="M181" i="49"/>
  <c r="L181" i="49"/>
  <c r="K181" i="49"/>
  <c r="J181" i="49"/>
  <c r="I181" i="49"/>
  <c r="H181" i="49"/>
  <c r="G181" i="49"/>
  <c r="F181" i="49"/>
  <c r="E181" i="49"/>
  <c r="D181" i="49"/>
  <c r="C181" i="49"/>
  <c r="B181" i="49"/>
  <c r="M180" i="49"/>
  <c r="L180" i="49"/>
  <c r="K180" i="49"/>
  <c r="J180" i="49"/>
  <c r="I180" i="49"/>
  <c r="H180" i="49"/>
  <c r="G180" i="49"/>
  <c r="F180" i="49"/>
  <c r="E180" i="49"/>
  <c r="D180" i="49"/>
  <c r="C180" i="49"/>
  <c r="B180" i="49"/>
  <c r="M179" i="49"/>
  <c r="L179" i="49"/>
  <c r="K179" i="49"/>
  <c r="J179" i="49"/>
  <c r="I179" i="49"/>
  <c r="H179" i="49"/>
  <c r="G179" i="49"/>
  <c r="F179" i="49"/>
  <c r="E179" i="49"/>
  <c r="D179" i="49"/>
  <c r="C179" i="49"/>
  <c r="B179" i="49"/>
  <c r="M178" i="49"/>
  <c r="L178" i="49"/>
  <c r="K178" i="49"/>
  <c r="J178" i="49"/>
  <c r="I178" i="49"/>
  <c r="H178" i="49"/>
  <c r="G178" i="49"/>
  <c r="F178" i="49"/>
  <c r="E178" i="49"/>
  <c r="D178" i="49"/>
  <c r="C178" i="49"/>
  <c r="B178" i="49"/>
  <c r="M177" i="49"/>
  <c r="L177" i="49"/>
  <c r="K177" i="49"/>
  <c r="J177" i="49"/>
  <c r="I177" i="49"/>
  <c r="H177" i="49"/>
  <c r="G177" i="49"/>
  <c r="F177" i="49"/>
  <c r="E177" i="49"/>
  <c r="D177" i="49"/>
  <c r="C177" i="49"/>
  <c r="B177" i="49"/>
  <c r="M176" i="49"/>
  <c r="L176" i="49"/>
  <c r="K176" i="49"/>
  <c r="J176" i="49"/>
  <c r="I176" i="49"/>
  <c r="H176" i="49"/>
  <c r="G176" i="49"/>
  <c r="F176" i="49"/>
  <c r="E176" i="49"/>
  <c r="D176" i="49"/>
  <c r="C176" i="49"/>
  <c r="B176" i="49"/>
  <c r="M175" i="49"/>
  <c r="L175" i="49"/>
  <c r="K175" i="49"/>
  <c r="J175" i="49"/>
  <c r="I175" i="49"/>
  <c r="H175" i="49"/>
  <c r="G175" i="49"/>
  <c r="F175" i="49"/>
  <c r="E175" i="49"/>
  <c r="D175" i="49"/>
  <c r="C175" i="49"/>
  <c r="B175" i="49"/>
  <c r="M174" i="49"/>
  <c r="L174" i="49"/>
  <c r="K174" i="49"/>
  <c r="J174" i="49"/>
  <c r="I174" i="49"/>
  <c r="H174" i="49"/>
  <c r="G174" i="49"/>
  <c r="F174" i="49"/>
  <c r="E174" i="49"/>
  <c r="D174" i="49"/>
  <c r="C174" i="49"/>
  <c r="B174" i="49"/>
  <c r="M173" i="49"/>
  <c r="L173" i="49"/>
  <c r="K173" i="49"/>
  <c r="J173" i="49"/>
  <c r="I173" i="49"/>
  <c r="H173" i="49"/>
  <c r="G173" i="49"/>
  <c r="F173" i="49"/>
  <c r="E173" i="49"/>
  <c r="D173" i="49"/>
  <c r="C173" i="49"/>
  <c r="B173" i="49"/>
  <c r="M172" i="49"/>
  <c r="L172" i="49"/>
  <c r="K172" i="49"/>
  <c r="J172" i="49"/>
  <c r="I172" i="49"/>
  <c r="H172" i="49"/>
  <c r="G172" i="49"/>
  <c r="F172" i="49"/>
  <c r="E172" i="49"/>
  <c r="D172" i="49"/>
  <c r="C172" i="49"/>
  <c r="B172" i="49"/>
  <c r="M171" i="49"/>
  <c r="L171" i="49"/>
  <c r="K171" i="49"/>
  <c r="J171" i="49"/>
  <c r="I171" i="49"/>
  <c r="H171" i="49"/>
  <c r="G171" i="49"/>
  <c r="F171" i="49"/>
  <c r="E171" i="49"/>
  <c r="D171" i="49"/>
  <c r="C171" i="49"/>
  <c r="B171" i="49"/>
  <c r="M170" i="49"/>
  <c r="L170" i="49"/>
  <c r="K170" i="49"/>
  <c r="J170" i="49"/>
  <c r="I170" i="49"/>
  <c r="H170" i="49"/>
  <c r="G170" i="49"/>
  <c r="F170" i="49"/>
  <c r="E170" i="49"/>
  <c r="D170" i="49"/>
  <c r="C170" i="49"/>
  <c r="B170" i="49"/>
  <c r="M169" i="49"/>
  <c r="L169" i="49"/>
  <c r="K169" i="49"/>
  <c r="J169" i="49"/>
  <c r="I169" i="49"/>
  <c r="H169" i="49"/>
  <c r="G169" i="49"/>
  <c r="F169" i="49"/>
  <c r="E169" i="49"/>
  <c r="D169" i="49"/>
  <c r="C169" i="49"/>
  <c r="B169" i="49"/>
  <c r="M168" i="49"/>
  <c r="L168" i="49"/>
  <c r="K168" i="49"/>
  <c r="J168" i="49"/>
  <c r="I168" i="49"/>
  <c r="H168" i="49"/>
  <c r="G168" i="49"/>
  <c r="F168" i="49"/>
  <c r="E168" i="49"/>
  <c r="D168" i="49"/>
  <c r="C168" i="49"/>
  <c r="B168" i="49"/>
  <c r="M167" i="49"/>
  <c r="L167" i="49"/>
  <c r="K167" i="49"/>
  <c r="J167" i="49"/>
  <c r="I167" i="49"/>
  <c r="H167" i="49"/>
  <c r="G167" i="49"/>
  <c r="F167" i="49"/>
  <c r="E167" i="49"/>
  <c r="D167" i="49"/>
  <c r="C167" i="49"/>
  <c r="B167" i="49"/>
  <c r="M166" i="49"/>
  <c r="L166" i="49"/>
  <c r="K166" i="49"/>
  <c r="J166" i="49"/>
  <c r="I166" i="49"/>
  <c r="H166" i="49"/>
  <c r="G166" i="49"/>
  <c r="F166" i="49"/>
  <c r="E166" i="49"/>
  <c r="D166" i="49"/>
  <c r="C166" i="49"/>
  <c r="B166" i="49"/>
  <c r="M165" i="49"/>
  <c r="L165" i="49"/>
  <c r="K165" i="49"/>
  <c r="J165" i="49"/>
  <c r="I165" i="49"/>
  <c r="H165" i="49"/>
  <c r="G165" i="49"/>
  <c r="F165" i="49"/>
  <c r="E165" i="49"/>
  <c r="D165" i="49"/>
  <c r="C165" i="49"/>
  <c r="B165" i="49"/>
  <c r="M164" i="49"/>
  <c r="L164" i="49"/>
  <c r="K164" i="49"/>
  <c r="J164" i="49"/>
  <c r="I164" i="49"/>
  <c r="H164" i="49"/>
  <c r="G164" i="49"/>
  <c r="F164" i="49"/>
  <c r="E164" i="49"/>
  <c r="D164" i="49"/>
  <c r="C164" i="49"/>
  <c r="B164" i="49"/>
  <c r="M163" i="49"/>
  <c r="L163" i="49"/>
  <c r="K163" i="49"/>
  <c r="J163" i="49"/>
  <c r="I163" i="49"/>
  <c r="H163" i="49"/>
  <c r="G163" i="49"/>
  <c r="F163" i="49"/>
  <c r="E163" i="49"/>
  <c r="D163" i="49"/>
  <c r="C163" i="49"/>
  <c r="B163" i="49"/>
  <c r="M162" i="49"/>
  <c r="L162" i="49"/>
  <c r="K162" i="49"/>
  <c r="J162" i="49"/>
  <c r="I162" i="49"/>
  <c r="H162" i="49"/>
  <c r="G162" i="49"/>
  <c r="F162" i="49"/>
  <c r="E162" i="49"/>
  <c r="D162" i="49"/>
  <c r="C162" i="49"/>
  <c r="B162" i="49"/>
  <c r="M161" i="49"/>
  <c r="L161" i="49"/>
  <c r="K161" i="49"/>
  <c r="J161" i="49"/>
  <c r="I161" i="49"/>
  <c r="H161" i="49"/>
  <c r="G161" i="49"/>
  <c r="F161" i="49"/>
  <c r="E161" i="49"/>
  <c r="D161" i="49"/>
  <c r="C161" i="49"/>
  <c r="B161" i="49"/>
  <c r="M160" i="49"/>
  <c r="L160" i="49"/>
  <c r="K160" i="49"/>
  <c r="J160" i="49"/>
  <c r="I160" i="49"/>
  <c r="H160" i="49"/>
  <c r="G160" i="49"/>
  <c r="F160" i="49"/>
  <c r="E160" i="49"/>
  <c r="D160" i="49"/>
  <c r="C160" i="49"/>
  <c r="B160" i="49"/>
  <c r="M159" i="49"/>
  <c r="L159" i="49"/>
  <c r="K159" i="49"/>
  <c r="J159" i="49"/>
  <c r="I159" i="49"/>
  <c r="H159" i="49"/>
  <c r="G159" i="49"/>
  <c r="F159" i="49"/>
  <c r="E159" i="49"/>
  <c r="D159" i="49"/>
  <c r="C159" i="49"/>
  <c r="B159" i="49"/>
  <c r="M158" i="49"/>
  <c r="L158" i="49"/>
  <c r="K158" i="49"/>
  <c r="J158" i="49"/>
  <c r="I158" i="49"/>
  <c r="H158" i="49"/>
  <c r="G158" i="49"/>
  <c r="F158" i="49"/>
  <c r="E158" i="49"/>
  <c r="D158" i="49"/>
  <c r="C158" i="49"/>
  <c r="B158" i="49"/>
  <c r="M157" i="49"/>
  <c r="L157" i="49"/>
  <c r="K157" i="49"/>
  <c r="J157" i="49"/>
  <c r="I157" i="49"/>
  <c r="H157" i="49"/>
  <c r="G157" i="49"/>
  <c r="F157" i="49"/>
  <c r="E157" i="49"/>
  <c r="D157" i="49"/>
  <c r="C157" i="49"/>
  <c r="B157" i="49"/>
  <c r="M156" i="49"/>
  <c r="L156" i="49"/>
  <c r="K156" i="49"/>
  <c r="J156" i="49"/>
  <c r="I156" i="49"/>
  <c r="H156" i="49"/>
  <c r="G156" i="49"/>
  <c r="F156" i="49"/>
  <c r="E156" i="49"/>
  <c r="D156" i="49"/>
  <c r="C156" i="49"/>
  <c r="B156" i="49"/>
  <c r="M155" i="49"/>
  <c r="L155" i="49"/>
  <c r="K155" i="49"/>
  <c r="J155" i="49"/>
  <c r="I155" i="49"/>
  <c r="H155" i="49"/>
  <c r="G155" i="49"/>
  <c r="F155" i="49"/>
  <c r="E155" i="49"/>
  <c r="D155" i="49"/>
  <c r="C155" i="49"/>
  <c r="B155" i="49"/>
  <c r="M154" i="49"/>
  <c r="L154" i="49"/>
  <c r="K154" i="49"/>
  <c r="J154" i="49"/>
  <c r="I154" i="49"/>
  <c r="H154" i="49"/>
  <c r="G154" i="49"/>
  <c r="F154" i="49"/>
  <c r="E154" i="49"/>
  <c r="D154" i="49"/>
  <c r="C154" i="49"/>
  <c r="B154" i="49"/>
  <c r="M153" i="49"/>
  <c r="L153" i="49"/>
  <c r="K153" i="49"/>
  <c r="J153" i="49"/>
  <c r="I153" i="49"/>
  <c r="H153" i="49"/>
  <c r="G153" i="49"/>
  <c r="F153" i="49"/>
  <c r="E153" i="49"/>
  <c r="D153" i="49"/>
  <c r="C153" i="49"/>
  <c r="B153" i="49"/>
  <c r="M152" i="49"/>
  <c r="L152" i="49"/>
  <c r="K152" i="49"/>
  <c r="J152" i="49"/>
  <c r="I152" i="49"/>
  <c r="H152" i="49"/>
  <c r="G152" i="49"/>
  <c r="F152" i="49"/>
  <c r="E152" i="49"/>
  <c r="D152" i="49"/>
  <c r="C152" i="49"/>
  <c r="B152" i="49"/>
  <c r="M151" i="49"/>
  <c r="L151" i="49"/>
  <c r="K151" i="49"/>
  <c r="J151" i="49"/>
  <c r="I151" i="49"/>
  <c r="H151" i="49"/>
  <c r="G151" i="49"/>
  <c r="F151" i="49"/>
  <c r="E151" i="49"/>
  <c r="D151" i="49"/>
  <c r="C151" i="49"/>
  <c r="B151" i="49"/>
  <c r="M150" i="49"/>
  <c r="L150" i="49"/>
  <c r="K150" i="49"/>
  <c r="J150" i="49"/>
  <c r="I150" i="49"/>
  <c r="H150" i="49"/>
  <c r="G150" i="49"/>
  <c r="F150" i="49"/>
  <c r="E150" i="49"/>
  <c r="D150" i="49"/>
  <c r="C150" i="49"/>
  <c r="B150" i="49"/>
  <c r="M149" i="49"/>
  <c r="L149" i="49"/>
  <c r="K149" i="49"/>
  <c r="J149" i="49"/>
  <c r="I149" i="49"/>
  <c r="H149" i="49"/>
  <c r="G149" i="49"/>
  <c r="F149" i="49"/>
  <c r="E149" i="49"/>
  <c r="D149" i="49"/>
  <c r="C149" i="49"/>
  <c r="B149" i="49"/>
  <c r="M148" i="49"/>
  <c r="L148" i="49"/>
  <c r="K148" i="49"/>
  <c r="J148" i="49"/>
  <c r="I148" i="49"/>
  <c r="H148" i="49"/>
  <c r="G148" i="49"/>
  <c r="F148" i="49"/>
  <c r="E148" i="49"/>
  <c r="D148" i="49"/>
  <c r="C148" i="49"/>
  <c r="B148" i="49"/>
  <c r="M147" i="49"/>
  <c r="L147" i="49"/>
  <c r="K147" i="49"/>
  <c r="J147" i="49"/>
  <c r="I147" i="49"/>
  <c r="H147" i="49"/>
  <c r="G147" i="49"/>
  <c r="F147" i="49"/>
  <c r="E147" i="49"/>
  <c r="D147" i="49"/>
  <c r="C147" i="49"/>
  <c r="B147" i="49"/>
  <c r="M146" i="49"/>
  <c r="L146" i="49"/>
  <c r="K146" i="49"/>
  <c r="J146" i="49"/>
  <c r="I146" i="49"/>
  <c r="H146" i="49"/>
  <c r="G146" i="49"/>
  <c r="F146" i="49"/>
  <c r="E146" i="49"/>
  <c r="D146" i="49"/>
  <c r="C146" i="49"/>
  <c r="B146" i="49"/>
  <c r="M145" i="49"/>
  <c r="L145" i="49"/>
  <c r="K145" i="49"/>
  <c r="J145" i="49"/>
  <c r="I145" i="49"/>
  <c r="H145" i="49"/>
  <c r="G145" i="49"/>
  <c r="F145" i="49"/>
  <c r="E145" i="49"/>
  <c r="D145" i="49"/>
  <c r="C145" i="49"/>
  <c r="B145" i="49"/>
  <c r="M144" i="49"/>
  <c r="L144" i="49"/>
  <c r="K144" i="49"/>
  <c r="J144" i="49"/>
  <c r="I144" i="49"/>
  <c r="H144" i="49"/>
  <c r="G144" i="49"/>
  <c r="F144" i="49"/>
  <c r="E144" i="49"/>
  <c r="D144" i="49"/>
  <c r="C144" i="49"/>
  <c r="B144" i="49"/>
  <c r="M143" i="49"/>
  <c r="L143" i="49"/>
  <c r="K143" i="49"/>
  <c r="J143" i="49"/>
  <c r="I143" i="49"/>
  <c r="H143" i="49"/>
  <c r="G143" i="49"/>
  <c r="F143" i="49"/>
  <c r="E143" i="49"/>
  <c r="D143" i="49"/>
  <c r="C143" i="49"/>
  <c r="B143" i="49"/>
  <c r="M142" i="49"/>
  <c r="L142" i="49"/>
  <c r="K142" i="49"/>
  <c r="J142" i="49"/>
  <c r="I142" i="49"/>
  <c r="H142" i="49"/>
  <c r="G142" i="49"/>
  <c r="F142" i="49"/>
  <c r="E142" i="49"/>
  <c r="D142" i="49"/>
  <c r="C142" i="49"/>
  <c r="B142" i="49"/>
  <c r="M141" i="49"/>
  <c r="L141" i="49"/>
  <c r="K141" i="49"/>
  <c r="J141" i="49"/>
  <c r="I141" i="49"/>
  <c r="H141" i="49"/>
  <c r="G141" i="49"/>
  <c r="F141" i="49"/>
  <c r="E141" i="49"/>
  <c r="D141" i="49"/>
  <c r="C141" i="49"/>
  <c r="B141" i="49"/>
  <c r="M140" i="49"/>
  <c r="L140" i="49"/>
  <c r="K140" i="49"/>
  <c r="J140" i="49"/>
  <c r="I140" i="49"/>
  <c r="H140" i="49"/>
  <c r="G140" i="49"/>
  <c r="F140" i="49"/>
  <c r="E140" i="49"/>
  <c r="D140" i="49"/>
  <c r="C140" i="49"/>
  <c r="B140" i="49"/>
  <c r="M139" i="49"/>
  <c r="L139" i="49"/>
  <c r="K139" i="49"/>
  <c r="J139" i="49"/>
  <c r="I139" i="49"/>
  <c r="H139" i="49"/>
  <c r="G139" i="49"/>
  <c r="F139" i="49"/>
  <c r="E139" i="49"/>
  <c r="D139" i="49"/>
  <c r="C139" i="49"/>
  <c r="B139" i="49"/>
  <c r="M138" i="49"/>
  <c r="L138" i="49"/>
  <c r="K138" i="49"/>
  <c r="J138" i="49"/>
  <c r="I138" i="49"/>
  <c r="H138" i="49"/>
  <c r="G138" i="49"/>
  <c r="F138" i="49"/>
  <c r="E138" i="49"/>
  <c r="D138" i="49"/>
  <c r="C138" i="49"/>
  <c r="B138" i="49"/>
  <c r="M137" i="49"/>
  <c r="L137" i="49"/>
  <c r="K137" i="49"/>
  <c r="J137" i="49"/>
  <c r="I137" i="49"/>
  <c r="H137" i="49"/>
  <c r="G137" i="49"/>
  <c r="F137" i="49"/>
  <c r="E137" i="49"/>
  <c r="D137" i="49"/>
  <c r="C137" i="49"/>
  <c r="B137" i="49"/>
  <c r="M136" i="49"/>
  <c r="L136" i="49"/>
  <c r="K136" i="49"/>
  <c r="J136" i="49"/>
  <c r="I136" i="49"/>
  <c r="H136" i="49"/>
  <c r="G136" i="49"/>
  <c r="F136" i="49"/>
  <c r="E136" i="49"/>
  <c r="D136" i="49"/>
  <c r="C136" i="49"/>
  <c r="B136" i="49"/>
  <c r="M135" i="49"/>
  <c r="L135" i="49"/>
  <c r="K135" i="49"/>
  <c r="J135" i="49"/>
  <c r="I135" i="49"/>
  <c r="H135" i="49"/>
  <c r="G135" i="49"/>
  <c r="F135" i="49"/>
  <c r="E135" i="49"/>
  <c r="D135" i="49"/>
  <c r="C135" i="49"/>
  <c r="B135" i="49"/>
  <c r="M134" i="49"/>
  <c r="L134" i="49"/>
  <c r="K134" i="49"/>
  <c r="J134" i="49"/>
  <c r="I134" i="49"/>
  <c r="H134" i="49"/>
  <c r="G134" i="49"/>
  <c r="F134" i="49"/>
  <c r="E134" i="49"/>
  <c r="D134" i="49"/>
  <c r="C134" i="49"/>
  <c r="B134" i="49"/>
  <c r="M133" i="49"/>
  <c r="L133" i="49"/>
  <c r="K133" i="49"/>
  <c r="J133" i="49"/>
  <c r="I133" i="49"/>
  <c r="H133" i="49"/>
  <c r="G133" i="49"/>
  <c r="F133" i="49"/>
  <c r="E133" i="49"/>
  <c r="D133" i="49"/>
  <c r="C133" i="49"/>
  <c r="B133" i="49"/>
  <c r="M132" i="49"/>
  <c r="L132" i="49"/>
  <c r="K132" i="49"/>
  <c r="J132" i="49"/>
  <c r="I132" i="49"/>
  <c r="H132" i="49"/>
  <c r="G132" i="49"/>
  <c r="F132" i="49"/>
  <c r="E132" i="49"/>
  <c r="D132" i="49"/>
  <c r="C132" i="49"/>
  <c r="B132" i="49"/>
  <c r="M131" i="49"/>
  <c r="L131" i="49"/>
  <c r="K131" i="49"/>
  <c r="J131" i="49"/>
  <c r="I131" i="49"/>
  <c r="H131" i="49"/>
  <c r="G131" i="49"/>
  <c r="F131" i="49"/>
  <c r="E131" i="49"/>
  <c r="D131" i="49"/>
  <c r="C131" i="49"/>
  <c r="B131" i="49"/>
  <c r="M130" i="49"/>
  <c r="L130" i="49"/>
  <c r="K130" i="49"/>
  <c r="J130" i="49"/>
  <c r="I130" i="49"/>
  <c r="H130" i="49"/>
  <c r="G130" i="49"/>
  <c r="F130" i="49"/>
  <c r="E130" i="49"/>
  <c r="D130" i="49"/>
  <c r="C130" i="49"/>
  <c r="B130" i="49"/>
  <c r="M129" i="49"/>
  <c r="L129" i="49"/>
  <c r="K129" i="49"/>
  <c r="J129" i="49"/>
  <c r="I129" i="49"/>
  <c r="H129" i="49"/>
  <c r="G129" i="49"/>
  <c r="F129" i="49"/>
  <c r="E129" i="49"/>
  <c r="D129" i="49"/>
  <c r="C129" i="49"/>
  <c r="B129" i="49"/>
  <c r="M128" i="49"/>
  <c r="L128" i="49"/>
  <c r="K128" i="49"/>
  <c r="J128" i="49"/>
  <c r="I128" i="49"/>
  <c r="H128" i="49"/>
  <c r="G128" i="49"/>
  <c r="F128" i="49"/>
  <c r="E128" i="49"/>
  <c r="D128" i="49"/>
  <c r="C128" i="49"/>
  <c r="B128" i="49"/>
  <c r="M127" i="49"/>
  <c r="L127" i="49"/>
  <c r="K127" i="49"/>
  <c r="J127" i="49"/>
  <c r="I127" i="49"/>
  <c r="H127" i="49"/>
  <c r="G127" i="49"/>
  <c r="F127" i="49"/>
  <c r="E127" i="49"/>
  <c r="D127" i="49"/>
  <c r="C127" i="49"/>
  <c r="B127" i="49"/>
  <c r="M126" i="49"/>
  <c r="L126" i="49"/>
  <c r="K126" i="49"/>
  <c r="J126" i="49"/>
  <c r="I126" i="49"/>
  <c r="H126" i="49"/>
  <c r="G126" i="49"/>
  <c r="F126" i="49"/>
  <c r="E126" i="49"/>
  <c r="D126" i="49"/>
  <c r="C126" i="49"/>
  <c r="B126" i="49"/>
  <c r="M125" i="49"/>
  <c r="L125" i="49"/>
  <c r="K125" i="49"/>
  <c r="J125" i="49"/>
  <c r="I125" i="49"/>
  <c r="H125" i="49"/>
  <c r="G125" i="49"/>
  <c r="F125" i="49"/>
  <c r="E125" i="49"/>
  <c r="D125" i="49"/>
  <c r="C125" i="49"/>
  <c r="B125" i="49"/>
  <c r="M124" i="49"/>
  <c r="L124" i="49"/>
  <c r="K124" i="49"/>
  <c r="J124" i="49"/>
  <c r="I124" i="49"/>
  <c r="H124" i="49"/>
  <c r="G124" i="49"/>
  <c r="F124" i="49"/>
  <c r="E124" i="49"/>
  <c r="D124" i="49"/>
  <c r="C124" i="49"/>
  <c r="B124" i="49"/>
  <c r="M123" i="49"/>
  <c r="L123" i="49"/>
  <c r="K123" i="49"/>
  <c r="J123" i="49"/>
  <c r="I123" i="49"/>
  <c r="H123" i="49"/>
  <c r="G123" i="49"/>
  <c r="F123" i="49"/>
  <c r="E123" i="49"/>
  <c r="D123" i="49"/>
  <c r="C123" i="49"/>
  <c r="B123" i="49"/>
  <c r="M122" i="49"/>
  <c r="L122" i="49"/>
  <c r="K122" i="49"/>
  <c r="J122" i="49"/>
  <c r="I122" i="49"/>
  <c r="H122" i="49"/>
  <c r="G122" i="49"/>
  <c r="F122" i="49"/>
  <c r="E122" i="49"/>
  <c r="D122" i="49"/>
  <c r="C122" i="49"/>
  <c r="B122" i="49"/>
  <c r="M121" i="49"/>
  <c r="L121" i="49"/>
  <c r="K121" i="49"/>
  <c r="J121" i="49"/>
  <c r="I121" i="49"/>
  <c r="H121" i="49"/>
  <c r="G121" i="49"/>
  <c r="F121" i="49"/>
  <c r="E121" i="49"/>
  <c r="D121" i="49"/>
  <c r="C121" i="49"/>
  <c r="B121" i="49"/>
  <c r="M120" i="49"/>
  <c r="L120" i="49"/>
  <c r="K120" i="49"/>
  <c r="J120" i="49"/>
  <c r="I120" i="49"/>
  <c r="H120" i="49"/>
  <c r="G120" i="49"/>
  <c r="F120" i="49"/>
  <c r="E120" i="49"/>
  <c r="D120" i="49"/>
  <c r="C120" i="49"/>
  <c r="B120" i="49"/>
  <c r="M119" i="49"/>
  <c r="L119" i="49"/>
  <c r="K119" i="49"/>
  <c r="J119" i="49"/>
  <c r="I119" i="49"/>
  <c r="H119" i="49"/>
  <c r="G119" i="49"/>
  <c r="F119" i="49"/>
  <c r="E119" i="49"/>
  <c r="D119" i="49"/>
  <c r="C119" i="49"/>
  <c r="B119" i="49"/>
  <c r="M118" i="49"/>
  <c r="L118" i="49"/>
  <c r="K118" i="49"/>
  <c r="J118" i="49"/>
  <c r="I118" i="49"/>
  <c r="H118" i="49"/>
  <c r="G118" i="49"/>
  <c r="F118" i="49"/>
  <c r="E118" i="49"/>
  <c r="D118" i="49"/>
  <c r="C118" i="49"/>
  <c r="B118" i="49"/>
  <c r="M117" i="49"/>
  <c r="L117" i="49"/>
  <c r="K117" i="49"/>
  <c r="J117" i="49"/>
  <c r="I117" i="49"/>
  <c r="H117" i="49"/>
  <c r="G117" i="49"/>
  <c r="F117" i="49"/>
  <c r="E117" i="49"/>
  <c r="D117" i="49"/>
  <c r="C117" i="49"/>
  <c r="B117" i="49"/>
  <c r="M116" i="49"/>
  <c r="L116" i="49"/>
  <c r="K116" i="49"/>
  <c r="J116" i="49"/>
  <c r="I116" i="49"/>
  <c r="H116" i="49"/>
  <c r="G116" i="49"/>
  <c r="F116" i="49"/>
  <c r="E116" i="49"/>
  <c r="D116" i="49"/>
  <c r="C116" i="49"/>
  <c r="B116" i="49"/>
  <c r="M115" i="49"/>
  <c r="L115" i="49"/>
  <c r="K115" i="49"/>
  <c r="J115" i="49"/>
  <c r="I115" i="49"/>
  <c r="H115" i="49"/>
  <c r="G115" i="49"/>
  <c r="F115" i="49"/>
  <c r="E115" i="49"/>
  <c r="D115" i="49"/>
  <c r="C115" i="49"/>
  <c r="B115" i="49"/>
  <c r="M114" i="49"/>
  <c r="L114" i="49"/>
  <c r="K114" i="49"/>
  <c r="J114" i="49"/>
  <c r="I114" i="49"/>
  <c r="H114" i="49"/>
  <c r="G114" i="49"/>
  <c r="F114" i="49"/>
  <c r="E114" i="49"/>
  <c r="D114" i="49"/>
  <c r="C114" i="49"/>
  <c r="B114" i="49"/>
  <c r="M113" i="49"/>
  <c r="L113" i="49"/>
  <c r="K113" i="49"/>
  <c r="J113" i="49"/>
  <c r="I113" i="49"/>
  <c r="H113" i="49"/>
  <c r="G113" i="49"/>
  <c r="F113" i="49"/>
  <c r="E113" i="49"/>
  <c r="D113" i="49"/>
  <c r="C113" i="49"/>
  <c r="B113" i="49"/>
  <c r="M112" i="49"/>
  <c r="L112" i="49"/>
  <c r="K112" i="49"/>
  <c r="J112" i="49"/>
  <c r="I112" i="49"/>
  <c r="H112" i="49"/>
  <c r="G112" i="49"/>
  <c r="F112" i="49"/>
  <c r="E112" i="49"/>
  <c r="D112" i="49"/>
  <c r="C112" i="49"/>
  <c r="B112" i="49"/>
  <c r="M111" i="49"/>
  <c r="L111" i="49"/>
  <c r="K111" i="49"/>
  <c r="J111" i="49"/>
  <c r="I111" i="49"/>
  <c r="H111" i="49"/>
  <c r="G111" i="49"/>
  <c r="F111" i="49"/>
  <c r="E111" i="49"/>
  <c r="D111" i="49"/>
  <c r="C111" i="49"/>
  <c r="B111" i="49"/>
  <c r="M110" i="49"/>
  <c r="L110" i="49"/>
  <c r="K110" i="49"/>
  <c r="J110" i="49"/>
  <c r="I110" i="49"/>
  <c r="H110" i="49"/>
  <c r="G110" i="49"/>
  <c r="F110" i="49"/>
  <c r="E110" i="49"/>
  <c r="D110" i="49"/>
  <c r="C110" i="49"/>
  <c r="B110" i="49"/>
  <c r="M109" i="49"/>
  <c r="L109" i="49"/>
  <c r="K109" i="49"/>
  <c r="J109" i="49"/>
  <c r="I109" i="49"/>
  <c r="H109" i="49"/>
  <c r="G109" i="49"/>
  <c r="F109" i="49"/>
  <c r="E109" i="49"/>
  <c r="D109" i="49"/>
  <c r="C109" i="49"/>
  <c r="B109" i="49"/>
  <c r="M108" i="49"/>
  <c r="L108" i="49"/>
  <c r="K108" i="49"/>
  <c r="J108" i="49"/>
  <c r="I108" i="49"/>
  <c r="H108" i="49"/>
  <c r="G108" i="49"/>
  <c r="F108" i="49"/>
  <c r="E108" i="49"/>
  <c r="D108" i="49"/>
  <c r="C108" i="49"/>
  <c r="B108" i="49"/>
  <c r="M107" i="49"/>
  <c r="L107" i="49"/>
  <c r="K107" i="49"/>
  <c r="J107" i="49"/>
  <c r="I107" i="49"/>
  <c r="H107" i="49"/>
  <c r="G107" i="49"/>
  <c r="F107" i="49"/>
  <c r="E107" i="49"/>
  <c r="D107" i="49"/>
  <c r="C107" i="49"/>
  <c r="B107" i="49"/>
  <c r="M106" i="49"/>
  <c r="L106" i="49"/>
  <c r="K106" i="49"/>
  <c r="J106" i="49"/>
  <c r="I106" i="49"/>
  <c r="H106" i="49"/>
  <c r="G106" i="49"/>
  <c r="F106" i="49"/>
  <c r="E106" i="49"/>
  <c r="D106" i="49"/>
  <c r="C106" i="49"/>
  <c r="B106" i="49"/>
  <c r="M105" i="49"/>
  <c r="L105" i="49"/>
  <c r="K105" i="49"/>
  <c r="J105" i="49"/>
  <c r="I105" i="49"/>
  <c r="H105" i="49"/>
  <c r="G105" i="49"/>
  <c r="F105" i="49"/>
  <c r="E105" i="49"/>
  <c r="D105" i="49"/>
  <c r="C105" i="49"/>
  <c r="B105" i="49"/>
  <c r="M104" i="49"/>
  <c r="L104" i="49"/>
  <c r="K104" i="49"/>
  <c r="J104" i="49"/>
  <c r="I104" i="49"/>
  <c r="H104" i="49"/>
  <c r="G104" i="49"/>
  <c r="F104" i="49"/>
  <c r="E104" i="49"/>
  <c r="D104" i="49"/>
  <c r="C104" i="49"/>
  <c r="B104" i="49"/>
  <c r="M103" i="49"/>
  <c r="L103" i="49"/>
  <c r="K103" i="49"/>
  <c r="J103" i="49"/>
  <c r="I103" i="49"/>
  <c r="H103" i="49"/>
  <c r="G103" i="49"/>
  <c r="F103" i="49"/>
  <c r="E103" i="49"/>
  <c r="D103" i="49"/>
  <c r="C103" i="49"/>
  <c r="B103" i="49"/>
  <c r="M102" i="49"/>
  <c r="L102" i="49"/>
  <c r="K102" i="49"/>
  <c r="J102" i="49"/>
  <c r="I102" i="49"/>
  <c r="H102" i="49"/>
  <c r="G102" i="49"/>
  <c r="F102" i="49"/>
  <c r="E102" i="49"/>
  <c r="D102" i="49"/>
  <c r="C102" i="49"/>
  <c r="B102" i="49"/>
  <c r="M101" i="49"/>
  <c r="L101" i="49"/>
  <c r="K101" i="49"/>
  <c r="J101" i="49"/>
  <c r="I101" i="49"/>
  <c r="H101" i="49"/>
  <c r="G101" i="49"/>
  <c r="F101" i="49"/>
  <c r="E101" i="49"/>
  <c r="D101" i="49"/>
  <c r="C101" i="49"/>
  <c r="B101" i="49"/>
  <c r="M100" i="49"/>
  <c r="L100" i="49"/>
  <c r="K100" i="49"/>
  <c r="J100" i="49"/>
  <c r="I100" i="49"/>
  <c r="H100" i="49"/>
  <c r="G100" i="49"/>
  <c r="F100" i="49"/>
  <c r="E100" i="49"/>
  <c r="D100" i="49"/>
  <c r="C100" i="49"/>
  <c r="B100" i="49"/>
  <c r="M99" i="49"/>
  <c r="L99" i="49"/>
  <c r="K99" i="49"/>
  <c r="J99" i="49"/>
  <c r="I99" i="49"/>
  <c r="H99" i="49"/>
  <c r="G99" i="49"/>
  <c r="F99" i="49"/>
  <c r="E99" i="49"/>
  <c r="D99" i="49"/>
  <c r="C99" i="49"/>
  <c r="B99" i="49"/>
  <c r="M98" i="49"/>
  <c r="L98" i="49"/>
  <c r="K98" i="49"/>
  <c r="J98" i="49"/>
  <c r="I98" i="49"/>
  <c r="H98" i="49"/>
  <c r="G98" i="49"/>
  <c r="F98" i="49"/>
  <c r="E98" i="49"/>
  <c r="D98" i="49"/>
  <c r="C98" i="49"/>
  <c r="B98" i="49"/>
  <c r="M97" i="49"/>
  <c r="L97" i="49"/>
  <c r="K97" i="49"/>
  <c r="J97" i="49"/>
  <c r="I97" i="49"/>
  <c r="H97" i="49"/>
  <c r="G97" i="49"/>
  <c r="F97" i="49"/>
  <c r="E97" i="49"/>
  <c r="D97" i="49"/>
  <c r="C97" i="49"/>
  <c r="B97" i="49"/>
  <c r="M96" i="49"/>
  <c r="L96" i="49"/>
  <c r="K96" i="49"/>
  <c r="J96" i="49"/>
  <c r="I96" i="49"/>
  <c r="H96" i="49"/>
  <c r="G96" i="49"/>
  <c r="F96" i="49"/>
  <c r="E96" i="49"/>
  <c r="D96" i="49"/>
  <c r="C96" i="49"/>
  <c r="B96" i="49"/>
  <c r="M95" i="49"/>
  <c r="L95" i="49"/>
  <c r="K95" i="49"/>
  <c r="J95" i="49"/>
  <c r="I95" i="49"/>
  <c r="H95" i="49"/>
  <c r="G95" i="49"/>
  <c r="F95" i="49"/>
  <c r="E95" i="49"/>
  <c r="D95" i="49"/>
  <c r="C95" i="49"/>
  <c r="B95" i="49"/>
  <c r="M94" i="49"/>
  <c r="L94" i="49"/>
  <c r="K94" i="49"/>
  <c r="J94" i="49"/>
  <c r="I94" i="49"/>
  <c r="H94" i="49"/>
  <c r="G94" i="49"/>
  <c r="F94" i="49"/>
  <c r="E94" i="49"/>
  <c r="D94" i="49"/>
  <c r="C94" i="49"/>
  <c r="B94" i="49"/>
  <c r="M93" i="49"/>
  <c r="L93" i="49"/>
  <c r="K93" i="49"/>
  <c r="J93" i="49"/>
  <c r="I93" i="49"/>
  <c r="H93" i="49"/>
  <c r="G93" i="49"/>
  <c r="F93" i="49"/>
  <c r="E93" i="49"/>
  <c r="D93" i="49"/>
  <c r="C93" i="49"/>
  <c r="B93" i="49"/>
  <c r="M92" i="49"/>
  <c r="L92" i="49"/>
  <c r="K92" i="49"/>
  <c r="J92" i="49"/>
  <c r="I92" i="49"/>
  <c r="H92" i="49"/>
  <c r="G92" i="49"/>
  <c r="F92" i="49"/>
  <c r="E92" i="49"/>
  <c r="D92" i="49"/>
  <c r="C92" i="49"/>
  <c r="B92" i="49"/>
  <c r="M91" i="49"/>
  <c r="L91" i="49"/>
  <c r="K91" i="49"/>
  <c r="J91" i="49"/>
  <c r="I91" i="49"/>
  <c r="H91" i="49"/>
  <c r="G91" i="49"/>
  <c r="F91" i="49"/>
  <c r="E91" i="49"/>
  <c r="D91" i="49"/>
  <c r="C91" i="49"/>
  <c r="B91" i="49"/>
  <c r="M90" i="49"/>
  <c r="L90" i="49"/>
  <c r="K90" i="49"/>
  <c r="J90" i="49"/>
  <c r="I90" i="49"/>
  <c r="H90" i="49"/>
  <c r="G90" i="49"/>
  <c r="F90" i="49"/>
  <c r="E90" i="49"/>
  <c r="D90" i="49"/>
  <c r="C90" i="49"/>
  <c r="B90" i="49"/>
  <c r="M89" i="49"/>
  <c r="L89" i="49"/>
  <c r="K89" i="49"/>
  <c r="J89" i="49"/>
  <c r="I89" i="49"/>
  <c r="H89" i="49"/>
  <c r="G89" i="49"/>
  <c r="F89" i="49"/>
  <c r="E89" i="49"/>
  <c r="D89" i="49"/>
  <c r="C89" i="49"/>
  <c r="B89" i="49"/>
  <c r="M88" i="49"/>
  <c r="L88" i="49"/>
  <c r="K88" i="49"/>
  <c r="J88" i="49"/>
  <c r="I88" i="49"/>
  <c r="H88" i="49"/>
  <c r="G88" i="49"/>
  <c r="F88" i="49"/>
  <c r="E88" i="49"/>
  <c r="D88" i="49"/>
  <c r="C88" i="49"/>
  <c r="B88" i="49"/>
  <c r="M87" i="49"/>
  <c r="L87" i="49"/>
  <c r="K87" i="49"/>
  <c r="J87" i="49"/>
  <c r="I87" i="49"/>
  <c r="H87" i="49"/>
  <c r="G87" i="49"/>
  <c r="F87" i="49"/>
  <c r="E87" i="49"/>
  <c r="D87" i="49"/>
  <c r="C87" i="49"/>
  <c r="B87" i="49"/>
  <c r="M86" i="49"/>
  <c r="L86" i="49"/>
  <c r="K86" i="49"/>
  <c r="J86" i="49"/>
  <c r="I86" i="49"/>
  <c r="H86" i="49"/>
  <c r="G86" i="49"/>
  <c r="F86" i="49"/>
  <c r="E86" i="49"/>
  <c r="D86" i="49"/>
  <c r="C86" i="49"/>
  <c r="B86" i="49"/>
  <c r="M85" i="49"/>
  <c r="L85" i="49"/>
  <c r="K85" i="49"/>
  <c r="J85" i="49"/>
  <c r="I85" i="49"/>
  <c r="H85" i="49"/>
  <c r="G85" i="49"/>
  <c r="F85" i="49"/>
  <c r="E85" i="49"/>
  <c r="D85" i="49"/>
  <c r="C85" i="49"/>
  <c r="B85" i="49"/>
  <c r="M84" i="49"/>
  <c r="L84" i="49"/>
  <c r="K84" i="49"/>
  <c r="J84" i="49"/>
  <c r="I84" i="49"/>
  <c r="H84" i="49"/>
  <c r="G84" i="49"/>
  <c r="F84" i="49"/>
  <c r="E84" i="49"/>
  <c r="D84" i="49"/>
  <c r="C84" i="49"/>
  <c r="B84" i="49"/>
  <c r="M83" i="49"/>
  <c r="L83" i="49"/>
  <c r="K83" i="49"/>
  <c r="J83" i="49"/>
  <c r="I83" i="49"/>
  <c r="H83" i="49"/>
  <c r="G83" i="49"/>
  <c r="F83" i="49"/>
  <c r="E83" i="49"/>
  <c r="D83" i="49"/>
  <c r="C83" i="49"/>
  <c r="B83" i="49"/>
  <c r="M82" i="49"/>
  <c r="L82" i="49"/>
  <c r="K82" i="49"/>
  <c r="J82" i="49"/>
  <c r="I82" i="49"/>
  <c r="H82" i="49"/>
  <c r="G82" i="49"/>
  <c r="F82" i="49"/>
  <c r="E82" i="49"/>
  <c r="D82" i="49"/>
  <c r="C82" i="49"/>
  <c r="B82" i="49"/>
  <c r="M81" i="49"/>
  <c r="L81" i="49"/>
  <c r="K81" i="49"/>
  <c r="J81" i="49"/>
  <c r="I81" i="49"/>
  <c r="H81" i="49"/>
  <c r="G81" i="49"/>
  <c r="F81" i="49"/>
  <c r="E81" i="49"/>
  <c r="D81" i="49"/>
  <c r="C81" i="49"/>
  <c r="B81" i="49"/>
  <c r="M80" i="49"/>
  <c r="L80" i="49"/>
  <c r="K80" i="49"/>
  <c r="J80" i="49"/>
  <c r="I80" i="49"/>
  <c r="H80" i="49"/>
  <c r="G80" i="49"/>
  <c r="F80" i="49"/>
  <c r="E80" i="49"/>
  <c r="D80" i="49"/>
  <c r="C80" i="49"/>
  <c r="B80" i="49"/>
  <c r="M79" i="49"/>
  <c r="L79" i="49"/>
  <c r="K79" i="49"/>
  <c r="J79" i="49"/>
  <c r="I79" i="49"/>
  <c r="H79" i="49"/>
  <c r="G79" i="49"/>
  <c r="F79" i="49"/>
  <c r="E79" i="49"/>
  <c r="D79" i="49"/>
  <c r="C79" i="49"/>
  <c r="B79" i="49"/>
  <c r="M78" i="49"/>
  <c r="L78" i="49"/>
  <c r="K78" i="49"/>
  <c r="J78" i="49"/>
  <c r="I78" i="49"/>
  <c r="H78" i="49"/>
  <c r="G78" i="49"/>
  <c r="F78" i="49"/>
  <c r="E78" i="49"/>
  <c r="D78" i="49"/>
  <c r="C78" i="49"/>
  <c r="B78" i="49"/>
  <c r="M77" i="49"/>
  <c r="L77" i="49"/>
  <c r="K77" i="49"/>
  <c r="J77" i="49"/>
  <c r="I77" i="49"/>
  <c r="H77" i="49"/>
  <c r="G77" i="49"/>
  <c r="F77" i="49"/>
  <c r="E77" i="49"/>
  <c r="D77" i="49"/>
  <c r="C77" i="49"/>
  <c r="B77" i="49"/>
  <c r="M76" i="49"/>
  <c r="L76" i="49"/>
  <c r="K76" i="49"/>
  <c r="J76" i="49"/>
  <c r="I76" i="49"/>
  <c r="H76" i="49"/>
  <c r="G76" i="49"/>
  <c r="F76" i="49"/>
  <c r="E76" i="49"/>
  <c r="D76" i="49"/>
  <c r="C76" i="49"/>
  <c r="B76" i="49"/>
  <c r="M75" i="49"/>
  <c r="L75" i="49"/>
  <c r="K75" i="49"/>
  <c r="J75" i="49"/>
  <c r="I75" i="49"/>
  <c r="H75" i="49"/>
  <c r="G75" i="49"/>
  <c r="F75" i="49"/>
  <c r="E75" i="49"/>
  <c r="D75" i="49"/>
  <c r="C75" i="49"/>
  <c r="B75" i="49"/>
  <c r="M74" i="49"/>
  <c r="L74" i="49"/>
  <c r="K74" i="49"/>
  <c r="J74" i="49"/>
  <c r="I74" i="49"/>
  <c r="H74" i="49"/>
  <c r="G74" i="49"/>
  <c r="F74" i="49"/>
  <c r="E74" i="49"/>
  <c r="D74" i="49"/>
  <c r="C74" i="49"/>
  <c r="B74" i="49"/>
  <c r="M73" i="49"/>
  <c r="L73" i="49"/>
  <c r="K73" i="49"/>
  <c r="J73" i="49"/>
  <c r="I73" i="49"/>
  <c r="H73" i="49"/>
  <c r="G73" i="49"/>
  <c r="F73" i="49"/>
  <c r="E73" i="49"/>
  <c r="D73" i="49"/>
  <c r="C73" i="49"/>
  <c r="B73" i="49"/>
  <c r="M72" i="49"/>
  <c r="L72" i="49"/>
  <c r="K72" i="49"/>
  <c r="J72" i="49"/>
  <c r="I72" i="49"/>
  <c r="H72" i="49"/>
  <c r="G72" i="49"/>
  <c r="F72" i="49"/>
  <c r="E72" i="49"/>
  <c r="D72" i="49"/>
  <c r="C72" i="49"/>
  <c r="B72" i="49"/>
  <c r="M71" i="49"/>
  <c r="L71" i="49"/>
  <c r="K71" i="49"/>
  <c r="J71" i="49"/>
  <c r="I71" i="49"/>
  <c r="H71" i="49"/>
  <c r="G71" i="49"/>
  <c r="F71" i="49"/>
  <c r="E71" i="49"/>
  <c r="D71" i="49"/>
  <c r="C71" i="49"/>
  <c r="B71" i="49"/>
  <c r="M70" i="49"/>
  <c r="L70" i="49"/>
  <c r="K70" i="49"/>
  <c r="J70" i="49"/>
  <c r="I70" i="49"/>
  <c r="H70" i="49"/>
  <c r="G70" i="49"/>
  <c r="F70" i="49"/>
  <c r="E70" i="49"/>
  <c r="D70" i="49"/>
  <c r="C70" i="49"/>
  <c r="B70" i="49"/>
  <c r="M69" i="49"/>
  <c r="L69" i="49"/>
  <c r="K69" i="49"/>
  <c r="J69" i="49"/>
  <c r="I69" i="49"/>
  <c r="H69" i="49"/>
  <c r="G69" i="49"/>
  <c r="F69" i="49"/>
  <c r="E69" i="49"/>
  <c r="D69" i="49"/>
  <c r="C69" i="49"/>
  <c r="B69" i="49"/>
  <c r="M68" i="49"/>
  <c r="L68" i="49"/>
  <c r="K68" i="49"/>
  <c r="J68" i="49"/>
  <c r="I68" i="49"/>
  <c r="H68" i="49"/>
  <c r="G68" i="49"/>
  <c r="F68" i="49"/>
  <c r="E68" i="49"/>
  <c r="D68" i="49"/>
  <c r="C68" i="49"/>
  <c r="B68" i="49"/>
  <c r="M67" i="49"/>
  <c r="L67" i="49"/>
  <c r="K67" i="49"/>
  <c r="J67" i="49"/>
  <c r="I67" i="49"/>
  <c r="H67" i="49"/>
  <c r="G67" i="49"/>
  <c r="F67" i="49"/>
  <c r="E67" i="49"/>
  <c r="D67" i="49"/>
  <c r="C67" i="49"/>
  <c r="B67" i="49"/>
  <c r="M66" i="49"/>
  <c r="L66" i="49"/>
  <c r="K66" i="49"/>
  <c r="J66" i="49"/>
  <c r="I66" i="49"/>
  <c r="H66" i="49"/>
  <c r="G66" i="49"/>
  <c r="F66" i="49"/>
  <c r="E66" i="49"/>
  <c r="D66" i="49"/>
  <c r="C66" i="49"/>
  <c r="B66" i="49"/>
  <c r="M65" i="49"/>
  <c r="L65" i="49"/>
  <c r="K65" i="49"/>
  <c r="J65" i="49"/>
  <c r="I65" i="49"/>
  <c r="H65" i="49"/>
  <c r="G65" i="49"/>
  <c r="F65" i="49"/>
  <c r="E65" i="49"/>
  <c r="D65" i="49"/>
  <c r="C65" i="49"/>
  <c r="B65" i="49"/>
  <c r="M64" i="49"/>
  <c r="L64" i="49"/>
  <c r="K64" i="49"/>
  <c r="J64" i="49"/>
  <c r="I64" i="49"/>
  <c r="H64" i="49"/>
  <c r="G64" i="49"/>
  <c r="F64" i="49"/>
  <c r="E64" i="49"/>
  <c r="D64" i="49"/>
  <c r="C64" i="49"/>
  <c r="B64" i="49"/>
  <c r="M63" i="49"/>
  <c r="L63" i="49"/>
  <c r="K63" i="49"/>
  <c r="J63" i="49"/>
  <c r="I63" i="49"/>
  <c r="H63" i="49"/>
  <c r="G63" i="49"/>
  <c r="F63" i="49"/>
  <c r="E63" i="49"/>
  <c r="D63" i="49"/>
  <c r="C63" i="49"/>
  <c r="B63" i="49"/>
  <c r="M62" i="49"/>
  <c r="L62" i="49"/>
  <c r="K62" i="49"/>
  <c r="J62" i="49"/>
  <c r="I62" i="49"/>
  <c r="H62" i="49"/>
  <c r="G62" i="49"/>
  <c r="F62" i="49"/>
  <c r="E62" i="49"/>
  <c r="D62" i="49"/>
  <c r="C62" i="49"/>
  <c r="B62" i="49"/>
  <c r="M61" i="49"/>
  <c r="L61" i="49"/>
  <c r="K61" i="49"/>
  <c r="J61" i="49"/>
  <c r="I61" i="49"/>
  <c r="H61" i="49"/>
  <c r="G61" i="49"/>
  <c r="F61" i="49"/>
  <c r="E61" i="49"/>
  <c r="D61" i="49"/>
  <c r="C61" i="49"/>
  <c r="B61" i="49"/>
  <c r="M60" i="49"/>
  <c r="L60" i="49"/>
  <c r="K60" i="49"/>
  <c r="J60" i="49"/>
  <c r="I60" i="49"/>
  <c r="H60" i="49"/>
  <c r="G60" i="49"/>
  <c r="F60" i="49"/>
  <c r="E60" i="49"/>
  <c r="D60" i="49"/>
  <c r="C60" i="49"/>
  <c r="B60" i="49"/>
  <c r="M59" i="49"/>
  <c r="L59" i="49"/>
  <c r="K59" i="49"/>
  <c r="J59" i="49"/>
  <c r="I59" i="49"/>
  <c r="H59" i="49"/>
  <c r="G59" i="49"/>
  <c r="F59" i="49"/>
  <c r="E59" i="49"/>
  <c r="D59" i="49"/>
  <c r="C59" i="49"/>
  <c r="B59" i="49"/>
  <c r="M58" i="49"/>
  <c r="L58" i="49"/>
  <c r="K58" i="49"/>
  <c r="J58" i="49"/>
  <c r="I58" i="49"/>
  <c r="H58" i="49"/>
  <c r="G58" i="49"/>
  <c r="F58" i="49"/>
  <c r="E58" i="49"/>
  <c r="D58" i="49"/>
  <c r="C58" i="49"/>
  <c r="B58" i="49"/>
  <c r="M57" i="49"/>
  <c r="L57" i="49"/>
  <c r="K57" i="49"/>
  <c r="J57" i="49"/>
  <c r="I57" i="49"/>
  <c r="H57" i="49"/>
  <c r="G57" i="49"/>
  <c r="F57" i="49"/>
  <c r="E57" i="49"/>
  <c r="D57" i="49"/>
  <c r="C57" i="49"/>
  <c r="B57" i="49"/>
  <c r="M56" i="49"/>
  <c r="L56" i="49"/>
  <c r="K56" i="49"/>
  <c r="J56" i="49"/>
  <c r="I56" i="49"/>
  <c r="H56" i="49"/>
  <c r="G56" i="49"/>
  <c r="F56" i="49"/>
  <c r="E56" i="49"/>
  <c r="D56" i="49"/>
  <c r="C56" i="49"/>
  <c r="B56" i="49"/>
  <c r="M55" i="49"/>
  <c r="L55" i="49"/>
  <c r="K55" i="49"/>
  <c r="J55" i="49"/>
  <c r="I55" i="49"/>
  <c r="H55" i="49"/>
  <c r="G55" i="49"/>
  <c r="F55" i="49"/>
  <c r="E55" i="49"/>
  <c r="D55" i="49"/>
  <c r="C55" i="49"/>
  <c r="B55" i="49"/>
  <c r="M54" i="49"/>
  <c r="L54" i="49"/>
  <c r="K54" i="49"/>
  <c r="J54" i="49"/>
  <c r="I54" i="49"/>
  <c r="H54" i="49"/>
  <c r="G54" i="49"/>
  <c r="F54" i="49"/>
  <c r="E54" i="49"/>
  <c r="D54" i="49"/>
  <c r="C54" i="49"/>
  <c r="B54" i="49"/>
  <c r="M53" i="49"/>
  <c r="L53" i="49"/>
  <c r="K53" i="49"/>
  <c r="J53" i="49"/>
  <c r="I53" i="49"/>
  <c r="H53" i="49"/>
  <c r="G53" i="49"/>
  <c r="F53" i="49"/>
  <c r="E53" i="49"/>
  <c r="D53" i="49"/>
  <c r="C53" i="49"/>
  <c r="B53" i="49"/>
  <c r="M52" i="49"/>
  <c r="L52" i="49"/>
  <c r="K52" i="49"/>
  <c r="J52" i="49"/>
  <c r="I52" i="49"/>
  <c r="H52" i="49"/>
  <c r="G52" i="49"/>
  <c r="F52" i="49"/>
  <c r="E52" i="49"/>
  <c r="D52" i="49"/>
  <c r="C52" i="49"/>
  <c r="B52" i="49"/>
  <c r="M51" i="49"/>
  <c r="L51" i="49"/>
  <c r="K51" i="49"/>
  <c r="J51" i="49"/>
  <c r="I51" i="49"/>
  <c r="H51" i="49"/>
  <c r="G51" i="49"/>
  <c r="F51" i="49"/>
  <c r="E51" i="49"/>
  <c r="D51" i="49"/>
  <c r="C51" i="49"/>
  <c r="B51" i="49"/>
  <c r="M50" i="49"/>
  <c r="L50" i="49"/>
  <c r="K50" i="49"/>
  <c r="J50" i="49"/>
  <c r="I50" i="49"/>
  <c r="H50" i="49"/>
  <c r="G50" i="49"/>
  <c r="F50" i="49"/>
  <c r="E50" i="49"/>
  <c r="D50" i="49"/>
  <c r="C50" i="49"/>
  <c r="B50" i="49"/>
  <c r="M49" i="49"/>
  <c r="L49" i="49"/>
  <c r="K49" i="49"/>
  <c r="J49" i="49"/>
  <c r="I49" i="49"/>
  <c r="H49" i="49"/>
  <c r="G49" i="49"/>
  <c r="F49" i="49"/>
  <c r="E49" i="49"/>
  <c r="D49" i="49"/>
  <c r="C49" i="49"/>
  <c r="B49" i="49"/>
  <c r="M48" i="49"/>
  <c r="L48" i="49"/>
  <c r="K48" i="49"/>
  <c r="J48" i="49"/>
  <c r="I48" i="49"/>
  <c r="H48" i="49"/>
  <c r="G48" i="49"/>
  <c r="F48" i="49"/>
  <c r="E48" i="49"/>
  <c r="D48" i="49"/>
  <c r="C48" i="49"/>
  <c r="B48" i="49"/>
  <c r="M47" i="49"/>
  <c r="L47" i="49"/>
  <c r="K47" i="49"/>
  <c r="J47" i="49"/>
  <c r="I47" i="49"/>
  <c r="H47" i="49"/>
  <c r="G47" i="49"/>
  <c r="F47" i="49"/>
  <c r="E47" i="49"/>
  <c r="D47" i="49"/>
  <c r="C47" i="49"/>
  <c r="B47" i="49"/>
  <c r="M46" i="49"/>
  <c r="L46" i="49"/>
  <c r="K46" i="49"/>
  <c r="J46" i="49"/>
  <c r="I46" i="49"/>
  <c r="H46" i="49"/>
  <c r="G46" i="49"/>
  <c r="F46" i="49"/>
  <c r="E46" i="49"/>
  <c r="D46" i="49"/>
  <c r="C46" i="49"/>
  <c r="B46" i="49"/>
  <c r="M45" i="49"/>
  <c r="L45" i="49"/>
  <c r="K45" i="49"/>
  <c r="J45" i="49"/>
  <c r="I45" i="49"/>
  <c r="H45" i="49"/>
  <c r="G45" i="49"/>
  <c r="F45" i="49"/>
  <c r="E45" i="49"/>
  <c r="D45" i="49"/>
  <c r="C45" i="49"/>
  <c r="B45" i="49"/>
  <c r="M44" i="49"/>
  <c r="L44" i="49"/>
  <c r="K44" i="49"/>
  <c r="J44" i="49"/>
  <c r="I44" i="49"/>
  <c r="H44" i="49"/>
  <c r="G44" i="49"/>
  <c r="F44" i="49"/>
  <c r="E44" i="49"/>
  <c r="D44" i="49"/>
  <c r="C44" i="49"/>
  <c r="B44" i="49"/>
  <c r="M43" i="49"/>
  <c r="L43" i="49"/>
  <c r="K43" i="49"/>
  <c r="J43" i="49"/>
  <c r="I43" i="49"/>
  <c r="H43" i="49"/>
  <c r="G43" i="49"/>
  <c r="F43" i="49"/>
  <c r="E43" i="49"/>
  <c r="D43" i="49"/>
  <c r="C43" i="49"/>
  <c r="B43" i="49"/>
  <c r="M42" i="49"/>
  <c r="L42" i="49"/>
  <c r="K42" i="49"/>
  <c r="J42" i="49"/>
  <c r="I42" i="49"/>
  <c r="H42" i="49"/>
  <c r="G42" i="49"/>
  <c r="F42" i="49"/>
  <c r="E42" i="49"/>
  <c r="D42" i="49"/>
  <c r="C42" i="49"/>
  <c r="B42" i="49"/>
  <c r="M41" i="49"/>
  <c r="L41" i="49"/>
  <c r="K41" i="49"/>
  <c r="J41" i="49"/>
  <c r="I41" i="49"/>
  <c r="H41" i="49"/>
  <c r="G41" i="49"/>
  <c r="F41" i="49"/>
  <c r="E41" i="49"/>
  <c r="D41" i="49"/>
  <c r="C41" i="49"/>
  <c r="B41" i="49"/>
  <c r="M40" i="49"/>
  <c r="L40" i="49"/>
  <c r="K40" i="49"/>
  <c r="J40" i="49"/>
  <c r="I40" i="49"/>
  <c r="H40" i="49"/>
  <c r="G40" i="49"/>
  <c r="F40" i="49"/>
  <c r="E40" i="49"/>
  <c r="D40" i="49"/>
  <c r="C40" i="49"/>
  <c r="B40" i="49"/>
  <c r="M39" i="49"/>
  <c r="L39" i="49"/>
  <c r="K39" i="49"/>
  <c r="J39" i="49"/>
  <c r="I39" i="49"/>
  <c r="H39" i="49"/>
  <c r="G39" i="49"/>
  <c r="F39" i="49"/>
  <c r="E39" i="49"/>
  <c r="D39" i="49"/>
  <c r="C39" i="49"/>
  <c r="B39" i="49"/>
  <c r="M38" i="49"/>
  <c r="L38" i="49"/>
  <c r="K38" i="49"/>
  <c r="J38" i="49"/>
  <c r="I38" i="49"/>
  <c r="H38" i="49"/>
  <c r="G38" i="49"/>
  <c r="F38" i="49"/>
  <c r="E38" i="49"/>
  <c r="D38" i="49"/>
  <c r="C38" i="49"/>
  <c r="B38" i="49"/>
  <c r="M37" i="49"/>
  <c r="L37" i="49"/>
  <c r="K37" i="49"/>
  <c r="J37" i="49"/>
  <c r="I37" i="49"/>
  <c r="H37" i="49"/>
  <c r="G37" i="49"/>
  <c r="F37" i="49"/>
  <c r="E37" i="49"/>
  <c r="D37" i="49"/>
  <c r="C37" i="49"/>
  <c r="B37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6" i="49"/>
  <c r="L16" i="49"/>
  <c r="K16" i="49"/>
  <c r="J16" i="49"/>
  <c r="I16" i="49"/>
  <c r="H16" i="49"/>
  <c r="G16" i="49"/>
  <c r="F16" i="49"/>
  <c r="E16" i="49"/>
  <c r="D16" i="49"/>
  <c r="C16" i="49"/>
  <c r="B16" i="49"/>
  <c r="M15" i="49"/>
  <c r="L15" i="49"/>
  <c r="K15" i="49"/>
  <c r="J15" i="49"/>
  <c r="I15" i="49"/>
  <c r="H15" i="49"/>
  <c r="G15" i="49"/>
  <c r="F15" i="49"/>
  <c r="E15" i="49"/>
  <c r="D15" i="49"/>
  <c r="C15" i="49"/>
  <c r="B15" i="49"/>
  <c r="M14" i="49"/>
  <c r="L14" i="49"/>
  <c r="K14" i="49"/>
  <c r="J14" i="49"/>
  <c r="I14" i="49"/>
  <c r="H14" i="49"/>
  <c r="G14" i="49"/>
  <c r="F14" i="49"/>
  <c r="E14" i="49"/>
  <c r="D14" i="49"/>
  <c r="C14" i="49"/>
  <c r="B14" i="49"/>
  <c r="M13" i="49"/>
  <c r="L13" i="49"/>
  <c r="K13" i="49"/>
  <c r="J13" i="49"/>
  <c r="I13" i="49"/>
  <c r="H13" i="49"/>
  <c r="G13" i="49"/>
  <c r="F13" i="49"/>
  <c r="E13" i="49"/>
  <c r="D13" i="49"/>
  <c r="C13" i="49"/>
  <c r="B13" i="49"/>
  <c r="M12" i="49"/>
  <c r="L12" i="49"/>
  <c r="K12" i="49"/>
  <c r="J12" i="49"/>
  <c r="I12" i="49"/>
  <c r="H12" i="49"/>
  <c r="G12" i="49"/>
  <c r="F12" i="49"/>
  <c r="E12" i="49"/>
  <c r="D12" i="49"/>
  <c r="C12" i="49"/>
  <c r="B12" i="49"/>
  <c r="M11" i="49"/>
  <c r="L11" i="49"/>
  <c r="K11" i="49"/>
  <c r="J11" i="49"/>
  <c r="I11" i="49"/>
  <c r="H11" i="49"/>
  <c r="G11" i="49"/>
  <c r="F11" i="49"/>
  <c r="E11" i="49"/>
  <c r="D11" i="49"/>
  <c r="C11" i="49"/>
  <c r="B11" i="49"/>
  <c r="M10" i="49"/>
  <c r="L10" i="49"/>
  <c r="K10" i="49"/>
  <c r="J10" i="49"/>
  <c r="I10" i="49"/>
  <c r="H10" i="49"/>
  <c r="G10" i="49"/>
  <c r="F10" i="49"/>
  <c r="E10" i="49"/>
  <c r="D10" i="49"/>
  <c r="C10" i="49"/>
  <c r="B10" i="49"/>
  <c r="M9" i="49"/>
  <c r="L9" i="49"/>
  <c r="K9" i="49"/>
  <c r="J9" i="49"/>
  <c r="I9" i="49"/>
  <c r="H9" i="49"/>
  <c r="G9" i="49"/>
  <c r="F9" i="49"/>
  <c r="E9" i="49"/>
  <c r="D9" i="49"/>
  <c r="C9" i="49"/>
  <c r="B9" i="49"/>
  <c r="M8" i="49"/>
  <c r="L8" i="49"/>
  <c r="K8" i="49"/>
  <c r="J8" i="49"/>
  <c r="I8" i="49"/>
  <c r="H8" i="49"/>
  <c r="G8" i="49"/>
  <c r="F8" i="49"/>
  <c r="E8" i="49"/>
  <c r="D8" i="49"/>
  <c r="C8" i="49"/>
  <c r="B8" i="49"/>
  <c r="M7" i="49"/>
  <c r="L7" i="49"/>
  <c r="K7" i="49"/>
  <c r="J7" i="49"/>
  <c r="I7" i="49"/>
  <c r="H7" i="49"/>
  <c r="G7" i="49"/>
  <c r="F7" i="49"/>
  <c r="E7" i="49"/>
  <c r="D7" i="49"/>
  <c r="C7" i="49"/>
  <c r="B7" i="49"/>
  <c r="M6" i="49"/>
  <c r="L6" i="49"/>
  <c r="K6" i="49"/>
  <c r="J6" i="49"/>
  <c r="I6" i="49"/>
  <c r="H6" i="49"/>
  <c r="G6" i="49"/>
  <c r="F6" i="49"/>
  <c r="E6" i="49"/>
  <c r="D6" i="49"/>
  <c r="C6" i="49"/>
  <c r="B6" i="49"/>
  <c r="M5" i="49"/>
  <c r="L5" i="49"/>
  <c r="K5" i="49"/>
  <c r="J5" i="49"/>
  <c r="I5" i="49"/>
  <c r="H5" i="49"/>
  <c r="G5" i="49"/>
  <c r="F5" i="49"/>
  <c r="E5" i="49"/>
  <c r="D5" i="49"/>
  <c r="C5" i="49"/>
  <c r="B5" i="49"/>
  <c r="M4" i="49"/>
  <c r="L4" i="49"/>
  <c r="K4" i="49"/>
  <c r="J4" i="49"/>
  <c r="I4" i="49"/>
  <c r="H4" i="49"/>
  <c r="G4" i="49"/>
  <c r="F4" i="49"/>
  <c r="E4" i="49"/>
  <c r="D4" i="49"/>
  <c r="C4" i="49"/>
  <c r="B4" i="49"/>
  <c r="M3" i="49"/>
  <c r="L3" i="49"/>
  <c r="K3" i="49"/>
  <c r="J3" i="49"/>
  <c r="I3" i="49"/>
  <c r="H3" i="49"/>
  <c r="G3" i="49"/>
  <c r="F3" i="49"/>
  <c r="E3" i="49"/>
  <c r="D3" i="49"/>
  <c r="C3" i="49"/>
  <c r="B3" i="49"/>
  <c r="M223" i="12"/>
  <c r="L223" i="12"/>
  <c r="K223" i="12"/>
  <c r="J223" i="12"/>
  <c r="I223" i="12"/>
  <c r="H223" i="12"/>
  <c r="G223" i="12"/>
  <c r="F223" i="12"/>
  <c r="E223" i="12"/>
  <c r="D223" i="12"/>
  <c r="C223" i="12"/>
  <c r="B223" i="12"/>
  <c r="M222" i="12"/>
  <c r="L222" i="12"/>
  <c r="K222" i="12"/>
  <c r="J222" i="12"/>
  <c r="I222" i="12"/>
  <c r="H222" i="12"/>
  <c r="G222" i="12"/>
  <c r="F222" i="12"/>
  <c r="E222" i="12"/>
  <c r="D222" i="12"/>
  <c r="C222" i="12"/>
  <c r="B222" i="12"/>
  <c r="M221" i="12"/>
  <c r="L221" i="12"/>
  <c r="K221" i="12"/>
  <c r="J221" i="12"/>
  <c r="I221" i="12"/>
  <c r="H221" i="12"/>
  <c r="G221" i="12"/>
  <c r="F221" i="12"/>
  <c r="E221" i="12"/>
  <c r="D221" i="12"/>
  <c r="C221" i="12"/>
  <c r="B221" i="12"/>
  <c r="M220" i="12"/>
  <c r="L220" i="12"/>
  <c r="K220" i="12"/>
  <c r="J220" i="12"/>
  <c r="I220" i="12"/>
  <c r="H220" i="12"/>
  <c r="G220" i="12"/>
  <c r="F220" i="12"/>
  <c r="E220" i="12"/>
  <c r="D220" i="12"/>
  <c r="C220" i="12"/>
  <c r="B220" i="12"/>
  <c r="M219" i="12"/>
  <c r="L219" i="12"/>
  <c r="K219" i="12"/>
  <c r="J219" i="12"/>
  <c r="I219" i="12"/>
  <c r="H219" i="12"/>
  <c r="G219" i="12"/>
  <c r="F219" i="12"/>
  <c r="E219" i="12"/>
  <c r="D219" i="12"/>
  <c r="C219" i="12"/>
  <c r="B219" i="12"/>
  <c r="M218" i="12"/>
  <c r="L218" i="12"/>
  <c r="K218" i="12"/>
  <c r="J218" i="12"/>
  <c r="I218" i="12"/>
  <c r="H218" i="12"/>
  <c r="G218" i="12"/>
  <c r="F218" i="12"/>
  <c r="E218" i="12"/>
  <c r="D218" i="12"/>
  <c r="C218" i="12"/>
  <c r="B218" i="12"/>
  <c r="M217" i="12"/>
  <c r="L217" i="12"/>
  <c r="K217" i="12"/>
  <c r="J217" i="12"/>
  <c r="I217" i="12"/>
  <c r="H217" i="12"/>
  <c r="G217" i="12"/>
  <c r="F217" i="12"/>
  <c r="E217" i="12"/>
  <c r="D217" i="12"/>
  <c r="C217" i="12"/>
  <c r="B217" i="12"/>
  <c r="M216" i="12"/>
  <c r="L216" i="12"/>
  <c r="K216" i="12"/>
  <c r="J216" i="12"/>
  <c r="I216" i="12"/>
  <c r="H216" i="12"/>
  <c r="G216" i="12"/>
  <c r="F216" i="12"/>
  <c r="E216" i="12"/>
  <c r="D216" i="12"/>
  <c r="C216" i="12"/>
  <c r="B216" i="12"/>
  <c r="M215" i="12"/>
  <c r="L215" i="12"/>
  <c r="K215" i="12"/>
  <c r="J215" i="12"/>
  <c r="I215" i="12"/>
  <c r="H215" i="12"/>
  <c r="G215" i="12"/>
  <c r="F215" i="12"/>
  <c r="E215" i="12"/>
  <c r="D215" i="12"/>
  <c r="C215" i="12"/>
  <c r="B215" i="12"/>
  <c r="M214" i="12"/>
  <c r="L214" i="12"/>
  <c r="K214" i="12"/>
  <c r="J214" i="12"/>
  <c r="I214" i="12"/>
  <c r="H214" i="12"/>
  <c r="G214" i="12"/>
  <c r="F214" i="12"/>
  <c r="E214" i="12"/>
  <c r="D214" i="12"/>
  <c r="C214" i="12"/>
  <c r="B214" i="12"/>
  <c r="M213" i="12"/>
  <c r="L213" i="12"/>
  <c r="K213" i="12"/>
  <c r="J213" i="12"/>
  <c r="I213" i="12"/>
  <c r="H213" i="12"/>
  <c r="G213" i="12"/>
  <c r="F213" i="12"/>
  <c r="E213" i="12"/>
  <c r="D213" i="12"/>
  <c r="C213" i="12"/>
  <c r="B213" i="12"/>
  <c r="M212" i="12"/>
  <c r="L212" i="12"/>
  <c r="K212" i="12"/>
  <c r="J212" i="12"/>
  <c r="I212" i="12"/>
  <c r="H212" i="12"/>
  <c r="G212" i="12"/>
  <c r="F212" i="12"/>
  <c r="E212" i="12"/>
  <c r="D212" i="12"/>
  <c r="C212" i="12"/>
  <c r="B212" i="12"/>
  <c r="M211" i="12"/>
  <c r="L211" i="12"/>
  <c r="K211" i="12"/>
  <c r="J211" i="12"/>
  <c r="I211" i="12"/>
  <c r="H211" i="12"/>
  <c r="G211" i="12"/>
  <c r="F211" i="12"/>
  <c r="E211" i="12"/>
  <c r="D211" i="12"/>
  <c r="C211" i="12"/>
  <c r="B211" i="12"/>
  <c r="M210" i="12"/>
  <c r="L210" i="12"/>
  <c r="K210" i="12"/>
  <c r="J210" i="12"/>
  <c r="I210" i="12"/>
  <c r="H210" i="12"/>
  <c r="G210" i="12"/>
  <c r="F210" i="12"/>
  <c r="E210" i="12"/>
  <c r="D210" i="12"/>
  <c r="C210" i="12"/>
  <c r="B210" i="12"/>
  <c r="M209" i="12"/>
  <c r="L209" i="12"/>
  <c r="K209" i="12"/>
  <c r="J209" i="12"/>
  <c r="I209" i="12"/>
  <c r="H209" i="12"/>
  <c r="G209" i="12"/>
  <c r="F209" i="12"/>
  <c r="E209" i="12"/>
  <c r="D209" i="12"/>
  <c r="C209" i="12"/>
  <c r="B209" i="12"/>
  <c r="M208" i="12"/>
  <c r="L208" i="12"/>
  <c r="K208" i="12"/>
  <c r="J208" i="12"/>
  <c r="I208" i="12"/>
  <c r="H208" i="12"/>
  <c r="G208" i="12"/>
  <c r="F208" i="12"/>
  <c r="E208" i="12"/>
  <c r="D208" i="12"/>
  <c r="C208" i="12"/>
  <c r="B208" i="12"/>
  <c r="M207" i="12"/>
  <c r="L207" i="12"/>
  <c r="K207" i="12"/>
  <c r="J207" i="12"/>
  <c r="I207" i="12"/>
  <c r="H207" i="12"/>
  <c r="G207" i="12"/>
  <c r="F207" i="12"/>
  <c r="E207" i="12"/>
  <c r="D207" i="12"/>
  <c r="C207" i="12"/>
  <c r="B207" i="12"/>
  <c r="M206" i="12"/>
  <c r="L206" i="12"/>
  <c r="K206" i="12"/>
  <c r="J206" i="12"/>
  <c r="I206" i="12"/>
  <c r="H206" i="12"/>
  <c r="G206" i="12"/>
  <c r="F206" i="12"/>
  <c r="E206" i="12"/>
  <c r="D206" i="12"/>
  <c r="C206" i="12"/>
  <c r="B206" i="12"/>
  <c r="M205" i="12"/>
  <c r="L205" i="12"/>
  <c r="K205" i="12"/>
  <c r="J205" i="12"/>
  <c r="I205" i="12"/>
  <c r="H205" i="12"/>
  <c r="G205" i="12"/>
  <c r="F205" i="12"/>
  <c r="E205" i="12"/>
  <c r="D205" i="12"/>
  <c r="C205" i="12"/>
  <c r="B205" i="12"/>
  <c r="M204" i="12"/>
  <c r="L204" i="12"/>
  <c r="K204" i="12"/>
  <c r="J204" i="12"/>
  <c r="I204" i="12"/>
  <c r="H204" i="12"/>
  <c r="G204" i="12"/>
  <c r="F204" i="12"/>
  <c r="E204" i="12"/>
  <c r="D204" i="12"/>
  <c r="C204" i="12"/>
  <c r="B204" i="12"/>
  <c r="M203" i="12"/>
  <c r="L203" i="12"/>
  <c r="K203" i="12"/>
  <c r="J203" i="12"/>
  <c r="I203" i="12"/>
  <c r="H203" i="12"/>
  <c r="G203" i="12"/>
  <c r="F203" i="12"/>
  <c r="E203" i="12"/>
  <c r="D203" i="12"/>
  <c r="C203" i="12"/>
  <c r="B203" i="12"/>
  <c r="M202" i="12"/>
  <c r="L202" i="12"/>
  <c r="K202" i="12"/>
  <c r="J202" i="12"/>
  <c r="I202" i="12"/>
  <c r="H202" i="12"/>
  <c r="G202" i="12"/>
  <c r="F202" i="12"/>
  <c r="E202" i="12"/>
  <c r="D202" i="12"/>
  <c r="C202" i="12"/>
  <c r="B202" i="12"/>
  <c r="M201" i="12"/>
  <c r="L201" i="12"/>
  <c r="K201" i="12"/>
  <c r="J201" i="12"/>
  <c r="I201" i="12"/>
  <c r="H201" i="12"/>
  <c r="G201" i="12"/>
  <c r="F201" i="12"/>
  <c r="E201" i="12"/>
  <c r="D201" i="12"/>
  <c r="C201" i="12"/>
  <c r="B201" i="12"/>
  <c r="M200" i="12"/>
  <c r="L200" i="12"/>
  <c r="K200" i="12"/>
  <c r="J200" i="12"/>
  <c r="I200" i="12"/>
  <c r="H200" i="12"/>
  <c r="G200" i="12"/>
  <c r="F200" i="12"/>
  <c r="E200" i="12"/>
  <c r="D200" i="12"/>
  <c r="C200" i="12"/>
  <c r="B200" i="12"/>
  <c r="M199" i="12"/>
  <c r="L199" i="12"/>
  <c r="K199" i="12"/>
  <c r="J199" i="12"/>
  <c r="I199" i="12"/>
  <c r="H199" i="12"/>
  <c r="G199" i="12"/>
  <c r="F199" i="12"/>
  <c r="E199" i="12"/>
  <c r="D199" i="12"/>
  <c r="C199" i="12"/>
  <c r="B199" i="12"/>
  <c r="M198" i="12"/>
  <c r="L198" i="12"/>
  <c r="K198" i="12"/>
  <c r="J198" i="12"/>
  <c r="I198" i="12"/>
  <c r="H198" i="12"/>
  <c r="G198" i="12"/>
  <c r="F198" i="12"/>
  <c r="E198" i="12"/>
  <c r="D198" i="12"/>
  <c r="C198" i="12"/>
  <c r="B198" i="12"/>
  <c r="M197" i="12"/>
  <c r="L197" i="12"/>
  <c r="K197" i="12"/>
  <c r="J197" i="12"/>
  <c r="I197" i="12"/>
  <c r="H197" i="12"/>
  <c r="G197" i="12"/>
  <c r="F197" i="12"/>
  <c r="E197" i="12"/>
  <c r="D197" i="12"/>
  <c r="C197" i="12"/>
  <c r="B197" i="12"/>
  <c r="M196" i="12"/>
  <c r="L196" i="12"/>
  <c r="K196" i="12"/>
  <c r="J196" i="12"/>
  <c r="I196" i="12"/>
  <c r="H196" i="12"/>
  <c r="G196" i="12"/>
  <c r="F196" i="12"/>
  <c r="E196" i="12"/>
  <c r="D196" i="12"/>
  <c r="C196" i="12"/>
  <c r="B196" i="12"/>
  <c r="M195" i="12"/>
  <c r="L195" i="12"/>
  <c r="K195" i="12"/>
  <c r="J195" i="12"/>
  <c r="I195" i="12"/>
  <c r="H195" i="12"/>
  <c r="G195" i="12"/>
  <c r="F195" i="12"/>
  <c r="E195" i="12"/>
  <c r="D195" i="12"/>
  <c r="C195" i="12"/>
  <c r="B195" i="12"/>
  <c r="M194" i="12"/>
  <c r="L194" i="12"/>
  <c r="K194" i="12"/>
  <c r="J194" i="12"/>
  <c r="I194" i="12"/>
  <c r="H194" i="12"/>
  <c r="G194" i="12"/>
  <c r="F194" i="12"/>
  <c r="E194" i="12"/>
  <c r="D194" i="12"/>
  <c r="C194" i="12"/>
  <c r="B194" i="12"/>
  <c r="M193" i="12"/>
  <c r="L193" i="12"/>
  <c r="K193" i="12"/>
  <c r="J193" i="12"/>
  <c r="I193" i="12"/>
  <c r="H193" i="12"/>
  <c r="G193" i="12"/>
  <c r="F193" i="12"/>
  <c r="E193" i="12"/>
  <c r="D193" i="12"/>
  <c r="C193" i="12"/>
  <c r="B193" i="12"/>
  <c r="M192" i="12"/>
  <c r="L192" i="12"/>
  <c r="K192" i="12"/>
  <c r="J192" i="12"/>
  <c r="I192" i="12"/>
  <c r="H192" i="12"/>
  <c r="G192" i="12"/>
  <c r="F192" i="12"/>
  <c r="E192" i="12"/>
  <c r="D192" i="12"/>
  <c r="C192" i="12"/>
  <c r="B192" i="12"/>
  <c r="M191" i="12"/>
  <c r="L191" i="12"/>
  <c r="K191" i="12"/>
  <c r="J191" i="12"/>
  <c r="I191" i="12"/>
  <c r="H191" i="12"/>
  <c r="G191" i="12"/>
  <c r="F191" i="12"/>
  <c r="E191" i="12"/>
  <c r="D191" i="12"/>
  <c r="C191" i="12"/>
  <c r="B191" i="12"/>
  <c r="M190" i="12"/>
  <c r="L190" i="12"/>
  <c r="K190" i="12"/>
  <c r="J190" i="12"/>
  <c r="I190" i="12"/>
  <c r="H190" i="12"/>
  <c r="G190" i="12"/>
  <c r="F190" i="12"/>
  <c r="E190" i="12"/>
  <c r="D190" i="12"/>
  <c r="C190" i="12"/>
  <c r="B190" i="12"/>
  <c r="M189" i="12"/>
  <c r="L189" i="12"/>
  <c r="K189" i="12"/>
  <c r="J189" i="12"/>
  <c r="I189" i="12"/>
  <c r="H189" i="12"/>
  <c r="G189" i="12"/>
  <c r="F189" i="12"/>
  <c r="E189" i="12"/>
  <c r="D189" i="12"/>
  <c r="C189" i="12"/>
  <c r="B189" i="12"/>
  <c r="M188" i="12"/>
  <c r="L188" i="12"/>
  <c r="K188" i="12"/>
  <c r="J188" i="12"/>
  <c r="I188" i="12"/>
  <c r="H188" i="12"/>
  <c r="G188" i="12"/>
  <c r="F188" i="12"/>
  <c r="E188" i="12"/>
  <c r="D188" i="12"/>
  <c r="C188" i="12"/>
  <c r="B188" i="12"/>
  <c r="M187" i="12"/>
  <c r="L187" i="12"/>
  <c r="K187" i="12"/>
  <c r="J187" i="12"/>
  <c r="I187" i="12"/>
  <c r="H187" i="12"/>
  <c r="G187" i="12"/>
  <c r="F187" i="12"/>
  <c r="E187" i="12"/>
  <c r="D187" i="12"/>
  <c r="C187" i="12"/>
  <c r="B187" i="12"/>
  <c r="M186" i="12"/>
  <c r="L186" i="12"/>
  <c r="K186" i="12"/>
  <c r="J186" i="12"/>
  <c r="I186" i="12"/>
  <c r="H186" i="12"/>
  <c r="G186" i="12"/>
  <c r="F186" i="12"/>
  <c r="E186" i="12"/>
  <c r="D186" i="12"/>
  <c r="C186" i="12"/>
  <c r="B186" i="12"/>
  <c r="M185" i="12"/>
  <c r="L185" i="12"/>
  <c r="K185" i="12"/>
  <c r="J185" i="12"/>
  <c r="I185" i="12"/>
  <c r="H185" i="12"/>
  <c r="G185" i="12"/>
  <c r="F185" i="12"/>
  <c r="E185" i="12"/>
  <c r="D185" i="12"/>
  <c r="C185" i="12"/>
  <c r="B185" i="12"/>
  <c r="M184" i="12"/>
  <c r="L184" i="12"/>
  <c r="K184" i="12"/>
  <c r="J184" i="12"/>
  <c r="I184" i="12"/>
  <c r="H184" i="12"/>
  <c r="G184" i="12"/>
  <c r="F184" i="12"/>
  <c r="E184" i="12"/>
  <c r="D184" i="12"/>
  <c r="C184" i="12"/>
  <c r="B184" i="12"/>
  <c r="M183" i="12"/>
  <c r="L183" i="12"/>
  <c r="K183" i="12"/>
  <c r="J183" i="12"/>
  <c r="I183" i="12"/>
  <c r="H183" i="12"/>
  <c r="G183" i="12"/>
  <c r="F183" i="12"/>
  <c r="E183" i="12"/>
  <c r="D183" i="12"/>
  <c r="C183" i="12"/>
  <c r="B183" i="12"/>
  <c r="M182" i="12"/>
  <c r="L182" i="12"/>
  <c r="K182" i="12"/>
  <c r="J182" i="12"/>
  <c r="I182" i="12"/>
  <c r="H182" i="12"/>
  <c r="G182" i="12"/>
  <c r="F182" i="12"/>
  <c r="E182" i="12"/>
  <c r="D182" i="12"/>
  <c r="C182" i="12"/>
  <c r="B182" i="12"/>
  <c r="M181" i="12"/>
  <c r="L181" i="12"/>
  <c r="K181" i="12"/>
  <c r="J181" i="12"/>
  <c r="I181" i="12"/>
  <c r="H181" i="12"/>
  <c r="G181" i="12"/>
  <c r="F181" i="12"/>
  <c r="E181" i="12"/>
  <c r="D181" i="12"/>
  <c r="C181" i="12"/>
  <c r="B181" i="12"/>
  <c r="M180" i="12"/>
  <c r="L180" i="12"/>
  <c r="K180" i="12"/>
  <c r="J180" i="12"/>
  <c r="I180" i="12"/>
  <c r="H180" i="12"/>
  <c r="G180" i="12"/>
  <c r="F180" i="12"/>
  <c r="E180" i="12"/>
  <c r="D180" i="12"/>
  <c r="C180" i="12"/>
  <c r="B180" i="12"/>
  <c r="M179" i="12"/>
  <c r="L179" i="12"/>
  <c r="K179" i="12"/>
  <c r="J179" i="12"/>
  <c r="I179" i="12"/>
  <c r="H179" i="12"/>
  <c r="G179" i="12"/>
  <c r="F179" i="12"/>
  <c r="E179" i="12"/>
  <c r="D179" i="12"/>
  <c r="C179" i="12"/>
  <c r="B179" i="12"/>
  <c r="M178" i="12"/>
  <c r="L178" i="12"/>
  <c r="K178" i="12"/>
  <c r="J178" i="12"/>
  <c r="I178" i="12"/>
  <c r="H178" i="12"/>
  <c r="G178" i="12"/>
  <c r="F178" i="12"/>
  <c r="E178" i="12"/>
  <c r="D178" i="12"/>
  <c r="C178" i="12"/>
  <c r="B178" i="12"/>
  <c r="M177" i="12"/>
  <c r="L177" i="12"/>
  <c r="K177" i="12"/>
  <c r="J177" i="12"/>
  <c r="I177" i="12"/>
  <c r="H177" i="12"/>
  <c r="G177" i="12"/>
  <c r="F177" i="12"/>
  <c r="E177" i="12"/>
  <c r="D177" i="12"/>
  <c r="C177" i="12"/>
  <c r="B177" i="12"/>
  <c r="M176" i="12"/>
  <c r="L176" i="12"/>
  <c r="K176" i="12"/>
  <c r="J176" i="12"/>
  <c r="I176" i="12"/>
  <c r="H176" i="12"/>
  <c r="G176" i="12"/>
  <c r="F176" i="12"/>
  <c r="E176" i="12"/>
  <c r="D176" i="12"/>
  <c r="C176" i="12"/>
  <c r="B176" i="12"/>
  <c r="M175" i="12"/>
  <c r="L175" i="12"/>
  <c r="K175" i="12"/>
  <c r="J175" i="12"/>
  <c r="I175" i="12"/>
  <c r="H175" i="12"/>
  <c r="G175" i="12"/>
  <c r="F175" i="12"/>
  <c r="E175" i="12"/>
  <c r="D175" i="12"/>
  <c r="C175" i="12"/>
  <c r="B175" i="12"/>
  <c r="M174" i="12"/>
  <c r="L174" i="12"/>
  <c r="K174" i="12"/>
  <c r="J174" i="12"/>
  <c r="I174" i="12"/>
  <c r="H174" i="12"/>
  <c r="G174" i="12"/>
  <c r="F174" i="12"/>
  <c r="E174" i="12"/>
  <c r="D174" i="12"/>
  <c r="C174" i="12"/>
  <c r="B174" i="12"/>
  <c r="M173" i="12"/>
  <c r="L173" i="12"/>
  <c r="K173" i="12"/>
  <c r="J173" i="12"/>
  <c r="I173" i="12"/>
  <c r="H173" i="12"/>
  <c r="G173" i="12"/>
  <c r="F173" i="12"/>
  <c r="E173" i="12"/>
  <c r="D173" i="12"/>
  <c r="C173" i="12"/>
  <c r="B173" i="12"/>
  <c r="M172" i="12"/>
  <c r="L172" i="12"/>
  <c r="K172" i="12"/>
  <c r="J172" i="12"/>
  <c r="I172" i="12"/>
  <c r="H172" i="12"/>
  <c r="G172" i="12"/>
  <c r="F172" i="12"/>
  <c r="E172" i="12"/>
  <c r="D172" i="12"/>
  <c r="C172" i="12"/>
  <c r="B172" i="12"/>
  <c r="M171" i="12"/>
  <c r="L171" i="12"/>
  <c r="K171" i="12"/>
  <c r="J171" i="12"/>
  <c r="I171" i="12"/>
  <c r="H171" i="12"/>
  <c r="G171" i="12"/>
  <c r="F171" i="12"/>
  <c r="E171" i="12"/>
  <c r="D171" i="12"/>
  <c r="C171" i="12"/>
  <c r="B171" i="12"/>
  <c r="M170" i="12"/>
  <c r="L170" i="12"/>
  <c r="K170" i="12"/>
  <c r="J170" i="12"/>
  <c r="I170" i="12"/>
  <c r="H170" i="12"/>
  <c r="G170" i="12"/>
  <c r="F170" i="12"/>
  <c r="E170" i="12"/>
  <c r="D170" i="12"/>
  <c r="C170" i="12"/>
  <c r="B170" i="12"/>
  <c r="M169" i="12"/>
  <c r="L169" i="12"/>
  <c r="K169" i="12"/>
  <c r="J169" i="12"/>
  <c r="I169" i="12"/>
  <c r="H169" i="12"/>
  <c r="G169" i="12"/>
  <c r="F169" i="12"/>
  <c r="E169" i="12"/>
  <c r="D169" i="12"/>
  <c r="C169" i="12"/>
  <c r="B169" i="12"/>
  <c r="M168" i="12"/>
  <c r="L168" i="12"/>
  <c r="K168" i="12"/>
  <c r="J168" i="12"/>
  <c r="I168" i="12"/>
  <c r="H168" i="12"/>
  <c r="G168" i="12"/>
  <c r="F168" i="12"/>
  <c r="E168" i="12"/>
  <c r="D168" i="12"/>
  <c r="C168" i="12"/>
  <c r="B168" i="12"/>
  <c r="M167" i="12"/>
  <c r="L167" i="12"/>
  <c r="K167" i="12"/>
  <c r="J167" i="12"/>
  <c r="I167" i="12"/>
  <c r="H167" i="12"/>
  <c r="G167" i="12"/>
  <c r="F167" i="12"/>
  <c r="E167" i="12"/>
  <c r="D167" i="12"/>
  <c r="C167" i="12"/>
  <c r="B167" i="12"/>
  <c r="M166" i="12"/>
  <c r="L166" i="12"/>
  <c r="K166" i="12"/>
  <c r="J166" i="12"/>
  <c r="I166" i="12"/>
  <c r="H166" i="12"/>
  <c r="G166" i="12"/>
  <c r="F166" i="12"/>
  <c r="E166" i="12"/>
  <c r="D166" i="12"/>
  <c r="C166" i="12"/>
  <c r="B166" i="12"/>
  <c r="M165" i="12"/>
  <c r="L165" i="12"/>
  <c r="K165" i="12"/>
  <c r="J165" i="12"/>
  <c r="I165" i="12"/>
  <c r="H165" i="12"/>
  <c r="G165" i="12"/>
  <c r="F165" i="12"/>
  <c r="E165" i="12"/>
  <c r="D165" i="12"/>
  <c r="C165" i="12"/>
  <c r="B165" i="12"/>
  <c r="M164" i="12"/>
  <c r="L164" i="12"/>
  <c r="K164" i="12"/>
  <c r="J164" i="12"/>
  <c r="I164" i="12"/>
  <c r="H164" i="12"/>
  <c r="G164" i="12"/>
  <c r="F164" i="12"/>
  <c r="E164" i="12"/>
  <c r="D164" i="12"/>
  <c r="C164" i="12"/>
  <c r="B164" i="12"/>
  <c r="M163" i="12"/>
  <c r="L163" i="12"/>
  <c r="K163" i="12"/>
  <c r="J163" i="12"/>
  <c r="I163" i="12"/>
  <c r="H163" i="12"/>
  <c r="G163" i="12"/>
  <c r="F163" i="12"/>
  <c r="E163" i="12"/>
  <c r="D163" i="12"/>
  <c r="C163" i="12"/>
  <c r="B163" i="12"/>
  <c r="M162" i="12"/>
  <c r="L162" i="12"/>
  <c r="K162" i="12"/>
  <c r="J162" i="12"/>
  <c r="I162" i="12"/>
  <c r="H162" i="12"/>
  <c r="G162" i="12"/>
  <c r="F162" i="12"/>
  <c r="E162" i="12"/>
  <c r="D162" i="12"/>
  <c r="C162" i="12"/>
  <c r="B162" i="12"/>
  <c r="M161" i="12"/>
  <c r="L161" i="12"/>
  <c r="K161" i="12"/>
  <c r="J161" i="12"/>
  <c r="I161" i="12"/>
  <c r="H161" i="12"/>
  <c r="G161" i="12"/>
  <c r="F161" i="12"/>
  <c r="E161" i="12"/>
  <c r="D161" i="12"/>
  <c r="C161" i="12"/>
  <c r="B161" i="12"/>
  <c r="M160" i="12"/>
  <c r="L160" i="12"/>
  <c r="K160" i="12"/>
  <c r="J160" i="12"/>
  <c r="I160" i="12"/>
  <c r="H160" i="12"/>
  <c r="G160" i="12"/>
  <c r="F160" i="12"/>
  <c r="E160" i="12"/>
  <c r="D160" i="12"/>
  <c r="C160" i="12"/>
  <c r="B160" i="12"/>
  <c r="M159" i="12"/>
  <c r="L159" i="12"/>
  <c r="K159" i="12"/>
  <c r="J159" i="12"/>
  <c r="I159" i="12"/>
  <c r="H159" i="12"/>
  <c r="G159" i="12"/>
  <c r="F159" i="12"/>
  <c r="E159" i="12"/>
  <c r="D159" i="12"/>
  <c r="C159" i="12"/>
  <c r="B159" i="12"/>
  <c r="M158" i="12"/>
  <c r="L158" i="12"/>
  <c r="K158" i="12"/>
  <c r="J158" i="12"/>
  <c r="I158" i="12"/>
  <c r="H158" i="12"/>
  <c r="G158" i="12"/>
  <c r="F158" i="12"/>
  <c r="E158" i="12"/>
  <c r="D158" i="12"/>
  <c r="C158" i="12"/>
  <c r="B158" i="12"/>
  <c r="M157" i="12"/>
  <c r="L157" i="12"/>
  <c r="K157" i="12"/>
  <c r="J157" i="12"/>
  <c r="I157" i="12"/>
  <c r="H157" i="12"/>
  <c r="G157" i="12"/>
  <c r="F157" i="12"/>
  <c r="E157" i="12"/>
  <c r="D157" i="12"/>
  <c r="C157" i="12"/>
  <c r="B157" i="12"/>
  <c r="M156" i="12"/>
  <c r="L156" i="12"/>
  <c r="K156" i="12"/>
  <c r="J156" i="12"/>
  <c r="I156" i="12"/>
  <c r="H156" i="12"/>
  <c r="G156" i="12"/>
  <c r="F156" i="12"/>
  <c r="E156" i="12"/>
  <c r="D156" i="12"/>
  <c r="C156" i="12"/>
  <c r="B156" i="12"/>
  <c r="M155" i="12"/>
  <c r="L155" i="12"/>
  <c r="K155" i="12"/>
  <c r="J155" i="12"/>
  <c r="I155" i="12"/>
  <c r="H155" i="12"/>
  <c r="G155" i="12"/>
  <c r="F155" i="12"/>
  <c r="E155" i="12"/>
  <c r="D155" i="12"/>
  <c r="C155" i="12"/>
  <c r="B155" i="12"/>
  <c r="M154" i="12"/>
  <c r="L154" i="12"/>
  <c r="K154" i="12"/>
  <c r="J154" i="12"/>
  <c r="I154" i="12"/>
  <c r="H154" i="12"/>
  <c r="G154" i="12"/>
  <c r="F154" i="12"/>
  <c r="E154" i="12"/>
  <c r="D154" i="12"/>
  <c r="C154" i="12"/>
  <c r="B154" i="12"/>
  <c r="M153" i="12"/>
  <c r="L153" i="12"/>
  <c r="K153" i="12"/>
  <c r="J153" i="12"/>
  <c r="I153" i="12"/>
  <c r="H153" i="12"/>
  <c r="G153" i="12"/>
  <c r="F153" i="12"/>
  <c r="E153" i="12"/>
  <c r="D153" i="12"/>
  <c r="C153" i="12"/>
  <c r="B153" i="12"/>
  <c r="M152" i="12"/>
  <c r="L152" i="12"/>
  <c r="K152" i="12"/>
  <c r="J152" i="12"/>
  <c r="I152" i="12"/>
  <c r="H152" i="12"/>
  <c r="G152" i="12"/>
  <c r="F152" i="12"/>
  <c r="E152" i="12"/>
  <c r="D152" i="12"/>
  <c r="C152" i="12"/>
  <c r="B152" i="12"/>
  <c r="M151" i="12"/>
  <c r="L151" i="12"/>
  <c r="K151" i="12"/>
  <c r="J151" i="12"/>
  <c r="I151" i="12"/>
  <c r="H151" i="12"/>
  <c r="G151" i="12"/>
  <c r="F151" i="12"/>
  <c r="E151" i="12"/>
  <c r="D151" i="12"/>
  <c r="C151" i="12"/>
  <c r="B151" i="12"/>
  <c r="M150" i="12"/>
  <c r="L150" i="12"/>
  <c r="K150" i="12"/>
  <c r="J150" i="12"/>
  <c r="I150" i="12"/>
  <c r="H150" i="12"/>
  <c r="G150" i="12"/>
  <c r="F150" i="12"/>
  <c r="E150" i="12"/>
  <c r="D150" i="12"/>
  <c r="C150" i="12"/>
  <c r="B150" i="12"/>
  <c r="M149" i="12"/>
  <c r="L149" i="12"/>
  <c r="K149" i="12"/>
  <c r="J149" i="12"/>
  <c r="I149" i="12"/>
  <c r="H149" i="12"/>
  <c r="G149" i="12"/>
  <c r="F149" i="12"/>
  <c r="E149" i="12"/>
  <c r="D149" i="12"/>
  <c r="C149" i="12"/>
  <c r="B149" i="12"/>
  <c r="M148" i="12"/>
  <c r="L148" i="12"/>
  <c r="K148" i="12"/>
  <c r="J148" i="12"/>
  <c r="I148" i="12"/>
  <c r="H148" i="12"/>
  <c r="G148" i="12"/>
  <c r="F148" i="12"/>
  <c r="E148" i="12"/>
  <c r="D148" i="12"/>
  <c r="C148" i="12"/>
  <c r="B148" i="12"/>
  <c r="M147" i="12"/>
  <c r="L147" i="12"/>
  <c r="K147" i="12"/>
  <c r="J147" i="12"/>
  <c r="I147" i="12"/>
  <c r="H147" i="12"/>
  <c r="G147" i="12"/>
  <c r="F147" i="12"/>
  <c r="E147" i="12"/>
  <c r="D147" i="12"/>
  <c r="C147" i="12"/>
  <c r="B147" i="12"/>
  <c r="M146" i="12"/>
  <c r="L146" i="12"/>
  <c r="K146" i="12"/>
  <c r="J146" i="12"/>
  <c r="I146" i="12"/>
  <c r="H146" i="12"/>
  <c r="G146" i="12"/>
  <c r="F146" i="12"/>
  <c r="E146" i="12"/>
  <c r="D146" i="12"/>
  <c r="C146" i="12"/>
  <c r="B146" i="12"/>
  <c r="M145" i="12"/>
  <c r="L145" i="12"/>
  <c r="K145" i="12"/>
  <c r="J145" i="12"/>
  <c r="I145" i="12"/>
  <c r="H145" i="12"/>
  <c r="G145" i="12"/>
  <c r="F145" i="12"/>
  <c r="E145" i="12"/>
  <c r="D145" i="12"/>
  <c r="C145" i="12"/>
  <c r="B145" i="12"/>
  <c r="M144" i="12"/>
  <c r="L144" i="12"/>
  <c r="K144" i="12"/>
  <c r="J144" i="12"/>
  <c r="I144" i="12"/>
  <c r="H144" i="12"/>
  <c r="G144" i="12"/>
  <c r="F144" i="12"/>
  <c r="E144" i="12"/>
  <c r="D144" i="12"/>
  <c r="C144" i="12"/>
  <c r="B144" i="12"/>
  <c r="M143" i="12"/>
  <c r="L143" i="12"/>
  <c r="K143" i="12"/>
  <c r="J143" i="12"/>
  <c r="I143" i="12"/>
  <c r="H143" i="12"/>
  <c r="G143" i="12"/>
  <c r="F143" i="12"/>
  <c r="E143" i="12"/>
  <c r="D143" i="12"/>
  <c r="C143" i="12"/>
  <c r="B143" i="12"/>
  <c r="M142" i="12"/>
  <c r="L142" i="12"/>
  <c r="K142" i="12"/>
  <c r="J142" i="12"/>
  <c r="I142" i="12"/>
  <c r="H142" i="12"/>
  <c r="G142" i="12"/>
  <c r="F142" i="12"/>
  <c r="E142" i="12"/>
  <c r="D142" i="12"/>
  <c r="C142" i="12"/>
  <c r="B142" i="12"/>
  <c r="M141" i="12"/>
  <c r="L141" i="12"/>
  <c r="K141" i="12"/>
  <c r="J141" i="12"/>
  <c r="I141" i="12"/>
  <c r="H141" i="12"/>
  <c r="G141" i="12"/>
  <c r="F141" i="12"/>
  <c r="E141" i="12"/>
  <c r="D141" i="12"/>
  <c r="C141" i="12"/>
  <c r="B141" i="12"/>
  <c r="M140" i="12"/>
  <c r="L140" i="12"/>
  <c r="K140" i="12"/>
  <c r="J140" i="12"/>
  <c r="I140" i="12"/>
  <c r="H140" i="12"/>
  <c r="G140" i="12"/>
  <c r="F140" i="12"/>
  <c r="E140" i="12"/>
  <c r="D140" i="12"/>
  <c r="C140" i="12"/>
  <c r="B140" i="12"/>
  <c r="M139" i="12"/>
  <c r="L139" i="12"/>
  <c r="K139" i="12"/>
  <c r="J139" i="12"/>
  <c r="I139" i="12"/>
  <c r="H139" i="12"/>
  <c r="G139" i="12"/>
  <c r="F139" i="12"/>
  <c r="E139" i="12"/>
  <c r="D139" i="12"/>
  <c r="C139" i="12"/>
  <c r="B139" i="12"/>
  <c r="M138" i="12"/>
  <c r="L138" i="12"/>
  <c r="K138" i="12"/>
  <c r="J138" i="12"/>
  <c r="I138" i="12"/>
  <c r="H138" i="12"/>
  <c r="G138" i="12"/>
  <c r="F138" i="12"/>
  <c r="E138" i="12"/>
  <c r="D138" i="12"/>
  <c r="C138" i="12"/>
  <c r="B138" i="12"/>
  <c r="M137" i="12"/>
  <c r="L137" i="12"/>
  <c r="K137" i="12"/>
  <c r="J137" i="12"/>
  <c r="I137" i="12"/>
  <c r="H137" i="12"/>
  <c r="G137" i="12"/>
  <c r="F137" i="12"/>
  <c r="E137" i="12"/>
  <c r="D137" i="12"/>
  <c r="C137" i="12"/>
  <c r="B137" i="12"/>
  <c r="M136" i="12"/>
  <c r="L136" i="12"/>
  <c r="K136" i="12"/>
  <c r="J136" i="12"/>
  <c r="I136" i="12"/>
  <c r="H136" i="12"/>
  <c r="G136" i="12"/>
  <c r="F136" i="12"/>
  <c r="E136" i="12"/>
  <c r="D136" i="12"/>
  <c r="C136" i="12"/>
  <c r="B136" i="12"/>
  <c r="M135" i="12"/>
  <c r="L135" i="12"/>
  <c r="K135" i="12"/>
  <c r="J135" i="12"/>
  <c r="I135" i="12"/>
  <c r="H135" i="12"/>
  <c r="G135" i="12"/>
  <c r="F135" i="12"/>
  <c r="E135" i="12"/>
  <c r="D135" i="12"/>
  <c r="C135" i="12"/>
  <c r="B135" i="12"/>
  <c r="M134" i="12"/>
  <c r="L134" i="12"/>
  <c r="K134" i="12"/>
  <c r="J134" i="12"/>
  <c r="I134" i="12"/>
  <c r="H134" i="12"/>
  <c r="G134" i="12"/>
  <c r="F134" i="12"/>
  <c r="E134" i="12"/>
  <c r="D134" i="12"/>
  <c r="C134" i="12"/>
  <c r="B134" i="12"/>
  <c r="M133" i="12"/>
  <c r="L133" i="12"/>
  <c r="K133" i="12"/>
  <c r="J133" i="12"/>
  <c r="I133" i="12"/>
  <c r="H133" i="12"/>
  <c r="G133" i="12"/>
  <c r="F133" i="12"/>
  <c r="E133" i="12"/>
  <c r="D133" i="12"/>
  <c r="C133" i="12"/>
  <c r="B133" i="12"/>
  <c r="M132" i="12"/>
  <c r="L132" i="12"/>
  <c r="K132" i="12"/>
  <c r="J132" i="12"/>
  <c r="I132" i="12"/>
  <c r="H132" i="12"/>
  <c r="G132" i="12"/>
  <c r="F132" i="12"/>
  <c r="E132" i="12"/>
  <c r="D132" i="12"/>
  <c r="C132" i="12"/>
  <c r="B132" i="12"/>
  <c r="M131" i="12"/>
  <c r="L131" i="12"/>
  <c r="K131" i="12"/>
  <c r="J131" i="12"/>
  <c r="I131" i="12"/>
  <c r="H131" i="12"/>
  <c r="G131" i="12"/>
  <c r="F131" i="12"/>
  <c r="E131" i="12"/>
  <c r="D131" i="12"/>
  <c r="C131" i="12"/>
  <c r="B131" i="12"/>
  <c r="M130" i="12"/>
  <c r="L130" i="12"/>
  <c r="K130" i="12"/>
  <c r="J130" i="12"/>
  <c r="I130" i="12"/>
  <c r="H130" i="12"/>
  <c r="G130" i="12"/>
  <c r="F130" i="12"/>
  <c r="E130" i="12"/>
  <c r="D130" i="12"/>
  <c r="C130" i="12"/>
  <c r="B130" i="12"/>
  <c r="M129" i="12"/>
  <c r="L129" i="12"/>
  <c r="K129" i="12"/>
  <c r="J129" i="12"/>
  <c r="I129" i="12"/>
  <c r="H129" i="12"/>
  <c r="G129" i="12"/>
  <c r="F129" i="12"/>
  <c r="E129" i="12"/>
  <c r="D129" i="12"/>
  <c r="C129" i="12"/>
  <c r="B129" i="12"/>
  <c r="M128" i="12"/>
  <c r="L128" i="12"/>
  <c r="K128" i="12"/>
  <c r="J128" i="12"/>
  <c r="I128" i="12"/>
  <c r="H128" i="12"/>
  <c r="G128" i="12"/>
  <c r="F128" i="12"/>
  <c r="E128" i="12"/>
  <c r="D128" i="12"/>
  <c r="C128" i="12"/>
  <c r="B128" i="12"/>
  <c r="M127" i="12"/>
  <c r="L127" i="12"/>
  <c r="K127" i="12"/>
  <c r="J127" i="12"/>
  <c r="I127" i="12"/>
  <c r="H127" i="12"/>
  <c r="G127" i="12"/>
  <c r="F127" i="12"/>
  <c r="E127" i="12"/>
  <c r="D127" i="12"/>
  <c r="C127" i="12"/>
  <c r="B127" i="12"/>
  <c r="M126" i="12"/>
  <c r="L126" i="12"/>
  <c r="K126" i="12"/>
  <c r="J126" i="12"/>
  <c r="I126" i="12"/>
  <c r="H126" i="12"/>
  <c r="G126" i="12"/>
  <c r="F126" i="12"/>
  <c r="E126" i="12"/>
  <c r="D126" i="12"/>
  <c r="C126" i="12"/>
  <c r="B126" i="12"/>
  <c r="M125" i="12"/>
  <c r="L125" i="12"/>
  <c r="K125" i="12"/>
  <c r="J125" i="12"/>
  <c r="I125" i="12"/>
  <c r="H125" i="12"/>
  <c r="G125" i="12"/>
  <c r="F125" i="12"/>
  <c r="E125" i="12"/>
  <c r="D125" i="12"/>
  <c r="C125" i="12"/>
  <c r="B125" i="12"/>
  <c r="M124" i="12"/>
  <c r="L124" i="12"/>
  <c r="K124" i="12"/>
  <c r="J124" i="12"/>
  <c r="I124" i="12"/>
  <c r="H124" i="12"/>
  <c r="G124" i="12"/>
  <c r="F124" i="12"/>
  <c r="E124" i="12"/>
  <c r="D124" i="12"/>
  <c r="C124" i="12"/>
  <c r="B124" i="12"/>
  <c r="M123" i="12"/>
  <c r="L123" i="12"/>
  <c r="K123" i="12"/>
  <c r="J123" i="12"/>
  <c r="I123" i="12"/>
  <c r="H123" i="12"/>
  <c r="G123" i="12"/>
  <c r="F123" i="12"/>
  <c r="E123" i="12"/>
  <c r="D123" i="12"/>
  <c r="C123" i="12"/>
  <c r="B123" i="12"/>
  <c r="M122" i="12"/>
  <c r="L122" i="12"/>
  <c r="K122" i="12"/>
  <c r="J122" i="12"/>
  <c r="I122" i="12"/>
  <c r="H122" i="12"/>
  <c r="G122" i="12"/>
  <c r="F122" i="12"/>
  <c r="E122" i="12"/>
  <c r="D122" i="12"/>
  <c r="C122" i="12"/>
  <c r="B122" i="12"/>
  <c r="M121" i="12"/>
  <c r="L121" i="12"/>
  <c r="K121" i="12"/>
  <c r="J121" i="12"/>
  <c r="I121" i="12"/>
  <c r="H121" i="12"/>
  <c r="G121" i="12"/>
  <c r="F121" i="12"/>
  <c r="E121" i="12"/>
  <c r="D121" i="12"/>
  <c r="C121" i="12"/>
  <c r="B121" i="12"/>
  <c r="M120" i="12"/>
  <c r="L120" i="12"/>
  <c r="K120" i="12"/>
  <c r="J120" i="12"/>
  <c r="I120" i="12"/>
  <c r="H120" i="12"/>
  <c r="G120" i="12"/>
  <c r="F120" i="12"/>
  <c r="E120" i="12"/>
  <c r="D120" i="12"/>
  <c r="C120" i="12"/>
  <c r="B120" i="12"/>
  <c r="M119" i="12"/>
  <c r="L119" i="12"/>
  <c r="K119" i="12"/>
  <c r="J119" i="12"/>
  <c r="I119" i="12"/>
  <c r="H119" i="12"/>
  <c r="G119" i="12"/>
  <c r="F119" i="12"/>
  <c r="E119" i="12"/>
  <c r="D119" i="12"/>
  <c r="C119" i="12"/>
  <c r="B119" i="12"/>
  <c r="M118" i="12"/>
  <c r="L118" i="12"/>
  <c r="K118" i="12"/>
  <c r="J118" i="12"/>
  <c r="I118" i="12"/>
  <c r="H118" i="12"/>
  <c r="G118" i="12"/>
  <c r="F118" i="12"/>
  <c r="E118" i="12"/>
  <c r="D118" i="12"/>
  <c r="C118" i="12"/>
  <c r="B118" i="12"/>
  <c r="M117" i="12"/>
  <c r="L117" i="12"/>
  <c r="K117" i="12"/>
  <c r="J117" i="12"/>
  <c r="I117" i="12"/>
  <c r="H117" i="12"/>
  <c r="G117" i="12"/>
  <c r="F117" i="12"/>
  <c r="E117" i="12"/>
  <c r="D117" i="12"/>
  <c r="C117" i="12"/>
  <c r="B117" i="12"/>
  <c r="M116" i="12"/>
  <c r="L116" i="12"/>
  <c r="K116" i="12"/>
  <c r="J116" i="12"/>
  <c r="I116" i="12"/>
  <c r="H116" i="12"/>
  <c r="G116" i="12"/>
  <c r="F116" i="12"/>
  <c r="E116" i="12"/>
  <c r="D116" i="12"/>
  <c r="C116" i="12"/>
  <c r="B116" i="12"/>
  <c r="M115" i="12"/>
  <c r="L115" i="12"/>
  <c r="K115" i="12"/>
  <c r="J115" i="12"/>
  <c r="I115" i="12"/>
  <c r="H115" i="12"/>
  <c r="G115" i="12"/>
  <c r="F115" i="12"/>
  <c r="E115" i="12"/>
  <c r="D115" i="12"/>
  <c r="C115" i="12"/>
  <c r="B115" i="12"/>
  <c r="M114" i="12"/>
  <c r="L114" i="12"/>
  <c r="K114" i="12"/>
  <c r="J114" i="12"/>
  <c r="I114" i="12"/>
  <c r="H114" i="12"/>
  <c r="G114" i="12"/>
  <c r="F114" i="12"/>
  <c r="E114" i="12"/>
  <c r="D114" i="12"/>
  <c r="C114" i="12"/>
  <c r="B114" i="12"/>
  <c r="M113" i="12"/>
  <c r="L113" i="12"/>
  <c r="K113" i="12"/>
  <c r="J113" i="12"/>
  <c r="I113" i="12"/>
  <c r="H113" i="12"/>
  <c r="G113" i="12"/>
  <c r="F113" i="12"/>
  <c r="E113" i="12"/>
  <c r="D113" i="12"/>
  <c r="C113" i="12"/>
  <c r="B113" i="12"/>
  <c r="M112" i="12"/>
  <c r="L112" i="12"/>
  <c r="K112" i="12"/>
  <c r="J112" i="12"/>
  <c r="I112" i="12"/>
  <c r="H112" i="12"/>
  <c r="G112" i="12"/>
  <c r="F112" i="12"/>
  <c r="E112" i="12"/>
  <c r="D112" i="12"/>
  <c r="C112" i="12"/>
  <c r="B112" i="12"/>
  <c r="M111" i="12"/>
  <c r="L111" i="12"/>
  <c r="K111" i="12"/>
  <c r="J111" i="12"/>
  <c r="I111" i="12"/>
  <c r="H111" i="12"/>
  <c r="G111" i="12"/>
  <c r="F111" i="12"/>
  <c r="E111" i="12"/>
  <c r="D111" i="12"/>
  <c r="C111" i="12"/>
  <c r="B111" i="12"/>
  <c r="M110" i="12"/>
  <c r="L110" i="12"/>
  <c r="K110" i="12"/>
  <c r="J110" i="12"/>
  <c r="I110" i="12"/>
  <c r="H110" i="12"/>
  <c r="G110" i="12"/>
  <c r="F110" i="12"/>
  <c r="E110" i="12"/>
  <c r="D110" i="12"/>
  <c r="C110" i="12"/>
  <c r="B110" i="12"/>
  <c r="M109" i="12"/>
  <c r="L109" i="12"/>
  <c r="K109" i="12"/>
  <c r="J109" i="12"/>
  <c r="I109" i="12"/>
  <c r="H109" i="12"/>
  <c r="G109" i="12"/>
  <c r="F109" i="12"/>
  <c r="E109" i="12"/>
  <c r="D109" i="12"/>
  <c r="C109" i="12"/>
  <c r="B109" i="12"/>
  <c r="M108" i="12"/>
  <c r="L108" i="12"/>
  <c r="K108" i="12"/>
  <c r="J108" i="12"/>
  <c r="I108" i="12"/>
  <c r="H108" i="12"/>
  <c r="G108" i="12"/>
  <c r="F108" i="12"/>
  <c r="E108" i="12"/>
  <c r="D108" i="12"/>
  <c r="C108" i="12"/>
  <c r="B108" i="12"/>
  <c r="M107" i="12"/>
  <c r="L107" i="12"/>
  <c r="K107" i="12"/>
  <c r="J107" i="12"/>
  <c r="I107" i="12"/>
  <c r="H107" i="12"/>
  <c r="G107" i="12"/>
  <c r="F107" i="12"/>
  <c r="E107" i="12"/>
  <c r="D107" i="12"/>
  <c r="C107" i="12"/>
  <c r="B107" i="12"/>
  <c r="M106" i="12"/>
  <c r="L106" i="12"/>
  <c r="K106" i="12"/>
  <c r="J106" i="12"/>
  <c r="I106" i="12"/>
  <c r="H106" i="12"/>
  <c r="G106" i="12"/>
  <c r="F106" i="12"/>
  <c r="E106" i="12"/>
  <c r="D106" i="12"/>
  <c r="C106" i="12"/>
  <c r="B106" i="12"/>
  <c r="M105" i="12"/>
  <c r="L105" i="12"/>
  <c r="K105" i="12"/>
  <c r="J105" i="12"/>
  <c r="I105" i="12"/>
  <c r="H105" i="12"/>
  <c r="G105" i="12"/>
  <c r="F105" i="12"/>
  <c r="E105" i="12"/>
  <c r="D105" i="12"/>
  <c r="C105" i="12"/>
  <c r="B105" i="12"/>
  <c r="M104" i="12"/>
  <c r="L104" i="12"/>
  <c r="K104" i="12"/>
  <c r="J104" i="12"/>
  <c r="I104" i="12"/>
  <c r="H104" i="12"/>
  <c r="G104" i="12"/>
  <c r="F104" i="12"/>
  <c r="E104" i="12"/>
  <c r="D104" i="12"/>
  <c r="C104" i="12"/>
  <c r="B104" i="12"/>
  <c r="M103" i="12"/>
  <c r="L103" i="12"/>
  <c r="K103" i="12"/>
  <c r="J103" i="12"/>
  <c r="I103" i="12"/>
  <c r="H103" i="12"/>
  <c r="G103" i="12"/>
  <c r="F103" i="12"/>
  <c r="E103" i="12"/>
  <c r="D103" i="12"/>
  <c r="C103" i="12"/>
  <c r="B103" i="12"/>
  <c r="M102" i="12"/>
  <c r="L102" i="12"/>
  <c r="K102" i="12"/>
  <c r="J102" i="12"/>
  <c r="I102" i="12"/>
  <c r="H102" i="12"/>
  <c r="G102" i="12"/>
  <c r="F102" i="12"/>
  <c r="E102" i="12"/>
  <c r="D102" i="12"/>
  <c r="C102" i="12"/>
  <c r="B102" i="12"/>
  <c r="M101" i="12"/>
  <c r="L101" i="12"/>
  <c r="K101" i="12"/>
  <c r="J101" i="12"/>
  <c r="I101" i="12"/>
  <c r="H101" i="12"/>
  <c r="G101" i="12"/>
  <c r="F101" i="12"/>
  <c r="E101" i="12"/>
  <c r="D101" i="12"/>
  <c r="C101" i="12"/>
  <c r="B101" i="12"/>
  <c r="M100" i="12"/>
  <c r="L100" i="12"/>
  <c r="K100" i="12"/>
  <c r="J100" i="12"/>
  <c r="I100" i="12"/>
  <c r="H100" i="12"/>
  <c r="G100" i="12"/>
  <c r="F100" i="12"/>
  <c r="E100" i="12"/>
  <c r="D100" i="12"/>
  <c r="C100" i="12"/>
  <c r="B100" i="12"/>
  <c r="M99" i="12"/>
  <c r="L99" i="12"/>
  <c r="K99" i="12"/>
  <c r="J99" i="12"/>
  <c r="I99" i="12"/>
  <c r="H99" i="12"/>
  <c r="G99" i="12"/>
  <c r="F99" i="12"/>
  <c r="E99" i="12"/>
  <c r="D99" i="12"/>
  <c r="C99" i="12"/>
  <c r="B99" i="12"/>
  <c r="M98" i="12"/>
  <c r="L98" i="12"/>
  <c r="K98" i="12"/>
  <c r="J98" i="12"/>
  <c r="I98" i="12"/>
  <c r="H98" i="12"/>
  <c r="G98" i="12"/>
  <c r="F98" i="12"/>
  <c r="E98" i="12"/>
  <c r="D98" i="12"/>
  <c r="C98" i="12"/>
  <c r="B98" i="12"/>
  <c r="M97" i="12"/>
  <c r="L97" i="12"/>
  <c r="K97" i="12"/>
  <c r="J97" i="12"/>
  <c r="I97" i="12"/>
  <c r="H97" i="12"/>
  <c r="G97" i="12"/>
  <c r="F97" i="12"/>
  <c r="E97" i="12"/>
  <c r="D97" i="12"/>
  <c r="C97" i="12"/>
  <c r="B97" i="12"/>
  <c r="M96" i="12"/>
  <c r="L96" i="12"/>
  <c r="K96" i="12"/>
  <c r="J96" i="12"/>
  <c r="I96" i="12"/>
  <c r="H96" i="12"/>
  <c r="G96" i="12"/>
  <c r="F96" i="12"/>
  <c r="E96" i="12"/>
  <c r="D96" i="12"/>
  <c r="C96" i="12"/>
  <c r="B96" i="12"/>
  <c r="M95" i="12"/>
  <c r="L95" i="12"/>
  <c r="K95" i="12"/>
  <c r="J95" i="12"/>
  <c r="I95" i="12"/>
  <c r="H95" i="12"/>
  <c r="G95" i="12"/>
  <c r="F95" i="12"/>
  <c r="E95" i="12"/>
  <c r="D95" i="12"/>
  <c r="C95" i="12"/>
  <c r="B95" i="12"/>
  <c r="M94" i="12"/>
  <c r="L94" i="12"/>
  <c r="K94" i="12"/>
  <c r="J94" i="12"/>
  <c r="I94" i="12"/>
  <c r="H94" i="12"/>
  <c r="G94" i="12"/>
  <c r="F94" i="12"/>
  <c r="E94" i="12"/>
  <c r="D94" i="12"/>
  <c r="C94" i="12"/>
  <c r="B94" i="12"/>
  <c r="M93" i="12"/>
  <c r="L93" i="12"/>
  <c r="K93" i="12"/>
  <c r="J93" i="12"/>
  <c r="I93" i="12"/>
  <c r="H93" i="12"/>
  <c r="G93" i="12"/>
  <c r="F93" i="12"/>
  <c r="E93" i="12"/>
  <c r="D93" i="12"/>
  <c r="C93" i="12"/>
  <c r="B93" i="12"/>
  <c r="M92" i="12"/>
  <c r="L92" i="12"/>
  <c r="K92" i="12"/>
  <c r="J92" i="12"/>
  <c r="I92" i="12"/>
  <c r="H92" i="12"/>
  <c r="G92" i="12"/>
  <c r="F92" i="12"/>
  <c r="E92" i="12"/>
  <c r="D92" i="12"/>
  <c r="C92" i="12"/>
  <c r="B92" i="12"/>
  <c r="M91" i="12"/>
  <c r="L91" i="12"/>
  <c r="K91" i="12"/>
  <c r="J91" i="12"/>
  <c r="I91" i="12"/>
  <c r="H91" i="12"/>
  <c r="G91" i="12"/>
  <c r="F91" i="12"/>
  <c r="E91" i="12"/>
  <c r="D91" i="12"/>
  <c r="C91" i="12"/>
  <c r="B91" i="12"/>
  <c r="M90" i="12"/>
  <c r="L90" i="12"/>
  <c r="K90" i="12"/>
  <c r="J90" i="12"/>
  <c r="I90" i="12"/>
  <c r="H90" i="12"/>
  <c r="G90" i="12"/>
  <c r="F90" i="12"/>
  <c r="E90" i="12"/>
  <c r="D90" i="12"/>
  <c r="C90" i="12"/>
  <c r="B90" i="12"/>
  <c r="M89" i="12"/>
  <c r="L89" i="12"/>
  <c r="K89" i="12"/>
  <c r="J89" i="12"/>
  <c r="I89" i="12"/>
  <c r="H89" i="12"/>
  <c r="G89" i="12"/>
  <c r="F89" i="12"/>
  <c r="E89" i="12"/>
  <c r="D89" i="12"/>
  <c r="C89" i="12"/>
  <c r="B89" i="12"/>
  <c r="M88" i="12"/>
  <c r="L88" i="12"/>
  <c r="K88" i="12"/>
  <c r="J88" i="12"/>
  <c r="I88" i="12"/>
  <c r="H88" i="12"/>
  <c r="G88" i="12"/>
  <c r="F88" i="12"/>
  <c r="E88" i="12"/>
  <c r="D88" i="12"/>
  <c r="C88" i="12"/>
  <c r="B88" i="12"/>
  <c r="M87" i="12"/>
  <c r="L87" i="12"/>
  <c r="K87" i="12"/>
  <c r="J87" i="12"/>
  <c r="I87" i="12"/>
  <c r="H87" i="12"/>
  <c r="G87" i="12"/>
  <c r="F87" i="12"/>
  <c r="E87" i="12"/>
  <c r="D87" i="12"/>
  <c r="C87" i="12"/>
  <c r="B87" i="12"/>
  <c r="M86" i="12"/>
  <c r="L86" i="12"/>
  <c r="K86" i="12"/>
  <c r="J86" i="12"/>
  <c r="I86" i="12"/>
  <c r="H86" i="12"/>
  <c r="G86" i="12"/>
  <c r="F86" i="12"/>
  <c r="E86" i="12"/>
  <c r="D86" i="12"/>
  <c r="C86" i="12"/>
  <c r="B86" i="12"/>
  <c r="M85" i="12"/>
  <c r="L85" i="12"/>
  <c r="K85" i="12"/>
  <c r="J85" i="12"/>
  <c r="I85" i="12"/>
  <c r="H85" i="12"/>
  <c r="G85" i="12"/>
  <c r="F85" i="12"/>
  <c r="E85" i="12"/>
  <c r="D85" i="12"/>
  <c r="C85" i="12"/>
  <c r="B85" i="12"/>
  <c r="M84" i="12"/>
  <c r="L84" i="12"/>
  <c r="K84" i="12"/>
  <c r="J84" i="12"/>
  <c r="I84" i="12"/>
  <c r="H84" i="12"/>
  <c r="G84" i="12"/>
  <c r="F84" i="12"/>
  <c r="E84" i="12"/>
  <c r="D84" i="12"/>
  <c r="C84" i="12"/>
  <c r="B84" i="12"/>
  <c r="M83" i="12"/>
  <c r="L83" i="12"/>
  <c r="K83" i="12"/>
  <c r="J83" i="12"/>
  <c r="I83" i="12"/>
  <c r="H83" i="12"/>
  <c r="G83" i="12"/>
  <c r="F83" i="12"/>
  <c r="E83" i="12"/>
  <c r="D83" i="12"/>
  <c r="C83" i="12"/>
  <c r="B83" i="12"/>
  <c r="M82" i="12"/>
  <c r="L82" i="12"/>
  <c r="K82" i="12"/>
  <c r="J82" i="12"/>
  <c r="I82" i="12"/>
  <c r="H82" i="12"/>
  <c r="G82" i="12"/>
  <c r="F82" i="12"/>
  <c r="E82" i="12"/>
  <c r="D82" i="12"/>
  <c r="C82" i="12"/>
  <c r="B82" i="12"/>
  <c r="M81" i="12"/>
  <c r="L81" i="12"/>
  <c r="K81" i="12"/>
  <c r="J81" i="12"/>
  <c r="I81" i="12"/>
  <c r="H81" i="12"/>
  <c r="G81" i="12"/>
  <c r="F81" i="12"/>
  <c r="E81" i="12"/>
  <c r="D81" i="12"/>
  <c r="C81" i="12"/>
  <c r="B81" i="12"/>
  <c r="M80" i="12"/>
  <c r="L80" i="12"/>
  <c r="K80" i="12"/>
  <c r="J80" i="12"/>
  <c r="I80" i="12"/>
  <c r="H80" i="12"/>
  <c r="G80" i="12"/>
  <c r="F80" i="12"/>
  <c r="E80" i="12"/>
  <c r="D80" i="12"/>
  <c r="C80" i="12"/>
  <c r="B80" i="12"/>
  <c r="M79" i="12"/>
  <c r="L79" i="12"/>
  <c r="K79" i="12"/>
  <c r="J79" i="12"/>
  <c r="I79" i="12"/>
  <c r="H79" i="12"/>
  <c r="G79" i="12"/>
  <c r="F79" i="12"/>
  <c r="E79" i="12"/>
  <c r="D79" i="12"/>
  <c r="C79" i="12"/>
  <c r="B79" i="12"/>
  <c r="M78" i="12"/>
  <c r="L78" i="12"/>
  <c r="K78" i="12"/>
  <c r="J78" i="12"/>
  <c r="I78" i="12"/>
  <c r="H78" i="12"/>
  <c r="G78" i="12"/>
  <c r="F78" i="12"/>
  <c r="E78" i="12"/>
  <c r="D78" i="12"/>
  <c r="C78" i="12"/>
  <c r="B78" i="12"/>
  <c r="M77" i="12"/>
  <c r="L77" i="12"/>
  <c r="K77" i="12"/>
  <c r="J77" i="12"/>
  <c r="I77" i="12"/>
  <c r="H77" i="12"/>
  <c r="G77" i="12"/>
  <c r="F77" i="12"/>
  <c r="E77" i="12"/>
  <c r="D77" i="12"/>
  <c r="C77" i="12"/>
  <c r="B77" i="12"/>
  <c r="M76" i="12"/>
  <c r="L76" i="12"/>
  <c r="K76" i="12"/>
  <c r="J76" i="12"/>
  <c r="I76" i="12"/>
  <c r="H76" i="12"/>
  <c r="G76" i="12"/>
  <c r="F76" i="12"/>
  <c r="E76" i="12"/>
  <c r="D76" i="12"/>
  <c r="C76" i="12"/>
  <c r="B76" i="12"/>
  <c r="M75" i="12"/>
  <c r="L75" i="12"/>
  <c r="K75" i="12"/>
  <c r="J75" i="12"/>
  <c r="I75" i="12"/>
  <c r="H75" i="12"/>
  <c r="G75" i="12"/>
  <c r="F75" i="12"/>
  <c r="E75" i="12"/>
  <c r="D75" i="12"/>
  <c r="C75" i="12"/>
  <c r="B75" i="12"/>
  <c r="M74" i="12"/>
  <c r="L74" i="12"/>
  <c r="K74" i="12"/>
  <c r="J74" i="12"/>
  <c r="I74" i="12"/>
  <c r="H74" i="12"/>
  <c r="G74" i="12"/>
  <c r="F74" i="12"/>
  <c r="E74" i="12"/>
  <c r="D74" i="12"/>
  <c r="C74" i="12"/>
  <c r="B74" i="12"/>
  <c r="M73" i="12"/>
  <c r="L73" i="12"/>
  <c r="K73" i="12"/>
  <c r="J73" i="12"/>
  <c r="I73" i="12"/>
  <c r="H73" i="12"/>
  <c r="G73" i="12"/>
  <c r="F73" i="12"/>
  <c r="E73" i="12"/>
  <c r="D73" i="12"/>
  <c r="C73" i="12"/>
  <c r="B73" i="12"/>
  <c r="M72" i="12"/>
  <c r="L72" i="12"/>
  <c r="K72" i="12"/>
  <c r="J72" i="12"/>
  <c r="I72" i="12"/>
  <c r="H72" i="12"/>
  <c r="G72" i="12"/>
  <c r="F72" i="12"/>
  <c r="E72" i="12"/>
  <c r="D72" i="12"/>
  <c r="C72" i="12"/>
  <c r="B72" i="12"/>
  <c r="M71" i="12"/>
  <c r="L71" i="12"/>
  <c r="K71" i="12"/>
  <c r="J71" i="12"/>
  <c r="I71" i="12"/>
  <c r="H71" i="12"/>
  <c r="G71" i="12"/>
  <c r="F71" i="12"/>
  <c r="E71" i="12"/>
  <c r="D71" i="12"/>
  <c r="C71" i="12"/>
  <c r="B71" i="12"/>
  <c r="M70" i="12"/>
  <c r="L70" i="12"/>
  <c r="K70" i="12"/>
  <c r="J70" i="12"/>
  <c r="I70" i="12"/>
  <c r="H70" i="12"/>
  <c r="G70" i="12"/>
  <c r="F70" i="12"/>
  <c r="E70" i="12"/>
  <c r="D70" i="12"/>
  <c r="C70" i="12"/>
  <c r="B70" i="12"/>
  <c r="M69" i="12"/>
  <c r="L69" i="12"/>
  <c r="K69" i="12"/>
  <c r="J69" i="12"/>
  <c r="I69" i="12"/>
  <c r="H69" i="12"/>
  <c r="G69" i="12"/>
  <c r="F69" i="12"/>
  <c r="E69" i="12"/>
  <c r="D69" i="12"/>
  <c r="C69" i="12"/>
  <c r="B69" i="12"/>
  <c r="M68" i="12"/>
  <c r="L68" i="12"/>
  <c r="K68" i="12"/>
  <c r="J68" i="12"/>
  <c r="I68" i="12"/>
  <c r="H68" i="12"/>
  <c r="G68" i="12"/>
  <c r="F68" i="12"/>
  <c r="E68" i="12"/>
  <c r="D68" i="12"/>
  <c r="C68" i="12"/>
  <c r="B68" i="12"/>
  <c r="M67" i="12"/>
  <c r="L67" i="12"/>
  <c r="K67" i="12"/>
  <c r="J67" i="12"/>
  <c r="I67" i="12"/>
  <c r="H67" i="12"/>
  <c r="G67" i="12"/>
  <c r="F67" i="12"/>
  <c r="E67" i="12"/>
  <c r="D67" i="12"/>
  <c r="C67" i="12"/>
  <c r="B67" i="12"/>
  <c r="M66" i="12"/>
  <c r="L66" i="12"/>
  <c r="K66" i="12"/>
  <c r="J66" i="12"/>
  <c r="I66" i="12"/>
  <c r="H66" i="12"/>
  <c r="G66" i="12"/>
  <c r="F66" i="12"/>
  <c r="E66" i="12"/>
  <c r="D66" i="12"/>
  <c r="C66" i="12"/>
  <c r="B66" i="12"/>
  <c r="M65" i="12"/>
  <c r="L65" i="12"/>
  <c r="K65" i="12"/>
  <c r="J65" i="12"/>
  <c r="I65" i="12"/>
  <c r="H65" i="12"/>
  <c r="G65" i="12"/>
  <c r="F65" i="12"/>
  <c r="E65" i="12"/>
  <c r="D65" i="12"/>
  <c r="C65" i="12"/>
  <c r="B65" i="12"/>
  <c r="M64" i="12"/>
  <c r="L64" i="12"/>
  <c r="K64" i="12"/>
  <c r="J64" i="12"/>
  <c r="I64" i="12"/>
  <c r="H64" i="12"/>
  <c r="G64" i="12"/>
  <c r="F64" i="12"/>
  <c r="E64" i="12"/>
  <c r="D64" i="12"/>
  <c r="C64" i="12"/>
  <c r="B64" i="12"/>
  <c r="M63" i="12"/>
  <c r="L63" i="12"/>
  <c r="K63" i="12"/>
  <c r="J63" i="12"/>
  <c r="I63" i="12"/>
  <c r="H63" i="12"/>
  <c r="G63" i="12"/>
  <c r="F63" i="12"/>
  <c r="E63" i="12"/>
  <c r="D63" i="12"/>
  <c r="C63" i="12"/>
  <c r="B63" i="12"/>
  <c r="M62" i="12"/>
  <c r="L62" i="12"/>
  <c r="K62" i="12"/>
  <c r="J62" i="12"/>
  <c r="I62" i="12"/>
  <c r="H62" i="12"/>
  <c r="G62" i="12"/>
  <c r="F62" i="12"/>
  <c r="E62" i="12"/>
  <c r="D62" i="12"/>
  <c r="C62" i="12"/>
  <c r="B62" i="12"/>
  <c r="M61" i="12"/>
  <c r="L61" i="12"/>
  <c r="K61" i="12"/>
  <c r="J61" i="12"/>
  <c r="I61" i="12"/>
  <c r="H61" i="12"/>
  <c r="G61" i="12"/>
  <c r="F61" i="12"/>
  <c r="E61" i="12"/>
  <c r="D61" i="12"/>
  <c r="C61" i="12"/>
  <c r="B61" i="12"/>
  <c r="M60" i="12"/>
  <c r="L60" i="12"/>
  <c r="K60" i="12"/>
  <c r="J60" i="12"/>
  <c r="I60" i="12"/>
  <c r="H60" i="12"/>
  <c r="G60" i="12"/>
  <c r="F60" i="12"/>
  <c r="E60" i="12"/>
  <c r="D60" i="12"/>
  <c r="C60" i="12"/>
  <c r="B60" i="12"/>
  <c r="M59" i="12"/>
  <c r="L59" i="12"/>
  <c r="K59" i="12"/>
  <c r="J59" i="12"/>
  <c r="I59" i="12"/>
  <c r="H59" i="12"/>
  <c r="G59" i="12"/>
  <c r="F59" i="12"/>
  <c r="E59" i="12"/>
  <c r="D59" i="12"/>
  <c r="C59" i="12"/>
  <c r="B59" i="12"/>
  <c r="M58" i="12"/>
  <c r="L58" i="12"/>
  <c r="K58" i="12"/>
  <c r="J58" i="12"/>
  <c r="I58" i="12"/>
  <c r="H58" i="12"/>
  <c r="G58" i="12"/>
  <c r="F58" i="12"/>
  <c r="E58" i="12"/>
  <c r="D58" i="12"/>
  <c r="C58" i="12"/>
  <c r="B58" i="12"/>
  <c r="M57" i="12"/>
  <c r="L57" i="12"/>
  <c r="K57" i="12"/>
  <c r="J57" i="12"/>
  <c r="I57" i="12"/>
  <c r="H57" i="12"/>
  <c r="G57" i="12"/>
  <c r="F57" i="12"/>
  <c r="E57" i="12"/>
  <c r="D57" i="12"/>
  <c r="C57" i="12"/>
  <c r="B57" i="12"/>
  <c r="M56" i="12"/>
  <c r="L56" i="12"/>
  <c r="K56" i="12"/>
  <c r="J56" i="12"/>
  <c r="I56" i="12"/>
  <c r="H56" i="12"/>
  <c r="G56" i="12"/>
  <c r="F56" i="12"/>
  <c r="E56" i="12"/>
  <c r="D56" i="12"/>
  <c r="C56" i="12"/>
  <c r="B56" i="12"/>
  <c r="M55" i="12"/>
  <c r="L55" i="12"/>
  <c r="K55" i="12"/>
  <c r="J55" i="12"/>
  <c r="I55" i="12"/>
  <c r="H55" i="12"/>
  <c r="G55" i="12"/>
  <c r="F55" i="12"/>
  <c r="E55" i="12"/>
  <c r="D55" i="12"/>
  <c r="C55" i="12"/>
  <c r="B55" i="12"/>
  <c r="M54" i="12"/>
  <c r="L54" i="12"/>
  <c r="K54" i="12"/>
  <c r="J54" i="12"/>
  <c r="I54" i="12"/>
  <c r="H54" i="12"/>
  <c r="G54" i="12"/>
  <c r="F54" i="12"/>
  <c r="E54" i="12"/>
  <c r="D54" i="12"/>
  <c r="C54" i="12"/>
  <c r="B54" i="12"/>
  <c r="M53" i="12"/>
  <c r="L53" i="12"/>
  <c r="K53" i="12"/>
  <c r="J53" i="12"/>
  <c r="I53" i="12"/>
  <c r="H53" i="12"/>
  <c r="G53" i="12"/>
  <c r="F53" i="12"/>
  <c r="E53" i="12"/>
  <c r="D53" i="12"/>
  <c r="C53" i="12"/>
  <c r="B53" i="12"/>
  <c r="M52" i="12"/>
  <c r="L52" i="12"/>
  <c r="K52" i="12"/>
  <c r="J52" i="12"/>
  <c r="I52" i="12"/>
  <c r="H52" i="12"/>
  <c r="G52" i="12"/>
  <c r="F52" i="12"/>
  <c r="E52" i="12"/>
  <c r="D52" i="12"/>
  <c r="C52" i="12"/>
  <c r="B52" i="12"/>
  <c r="M51" i="12"/>
  <c r="L51" i="12"/>
  <c r="K51" i="12"/>
  <c r="J51" i="12"/>
  <c r="I51" i="12"/>
  <c r="H51" i="12"/>
  <c r="G51" i="12"/>
  <c r="F51" i="12"/>
  <c r="E51" i="12"/>
  <c r="D51" i="12"/>
  <c r="C51" i="12"/>
  <c r="B51" i="12"/>
  <c r="M50" i="12"/>
  <c r="L50" i="12"/>
  <c r="K50" i="12"/>
  <c r="J50" i="12"/>
  <c r="I50" i="12"/>
  <c r="H50" i="12"/>
  <c r="G50" i="12"/>
  <c r="F50" i="12"/>
  <c r="E50" i="12"/>
  <c r="D50" i="12"/>
  <c r="C50" i="12"/>
  <c r="B50" i="12"/>
  <c r="M49" i="12"/>
  <c r="L49" i="12"/>
  <c r="K49" i="12"/>
  <c r="J49" i="12"/>
  <c r="I49" i="12"/>
  <c r="H49" i="12"/>
  <c r="G49" i="12"/>
  <c r="F49" i="12"/>
  <c r="E49" i="12"/>
  <c r="D49" i="12"/>
  <c r="C49" i="12"/>
  <c r="B49" i="12"/>
  <c r="M48" i="12"/>
  <c r="L48" i="12"/>
  <c r="K48" i="12"/>
  <c r="J48" i="12"/>
  <c r="I48" i="12"/>
  <c r="H48" i="12"/>
  <c r="G48" i="12"/>
  <c r="F48" i="12"/>
  <c r="E48" i="12"/>
  <c r="D48" i="12"/>
  <c r="C48" i="12"/>
  <c r="B48" i="12"/>
  <c r="M47" i="12"/>
  <c r="L47" i="12"/>
  <c r="K47" i="12"/>
  <c r="J47" i="12"/>
  <c r="I47" i="12"/>
  <c r="H47" i="12"/>
  <c r="G47" i="12"/>
  <c r="F47" i="12"/>
  <c r="E47" i="12"/>
  <c r="D47" i="12"/>
  <c r="C47" i="12"/>
  <c r="B47" i="12"/>
  <c r="M46" i="12"/>
  <c r="L46" i="12"/>
  <c r="K46" i="12"/>
  <c r="J46" i="12"/>
  <c r="I46" i="12"/>
  <c r="H46" i="12"/>
  <c r="G46" i="12"/>
  <c r="F46" i="12"/>
  <c r="E46" i="12"/>
  <c r="D46" i="12"/>
  <c r="C46" i="12"/>
  <c r="B46" i="12"/>
  <c r="M45" i="12"/>
  <c r="L45" i="12"/>
  <c r="K45" i="12"/>
  <c r="J45" i="12"/>
  <c r="I45" i="12"/>
  <c r="H45" i="12"/>
  <c r="G45" i="12"/>
  <c r="F45" i="12"/>
  <c r="E45" i="12"/>
  <c r="D45" i="12"/>
  <c r="C45" i="12"/>
  <c r="B45" i="12"/>
  <c r="M44" i="12"/>
  <c r="L44" i="12"/>
  <c r="K44" i="12"/>
  <c r="J44" i="12"/>
  <c r="I44" i="12"/>
  <c r="H44" i="12"/>
  <c r="G44" i="12"/>
  <c r="F44" i="12"/>
  <c r="E44" i="12"/>
  <c r="D44" i="12"/>
  <c r="C44" i="12"/>
  <c r="B44" i="12"/>
  <c r="M43" i="12"/>
  <c r="L43" i="12"/>
  <c r="K43" i="12"/>
  <c r="J43" i="12"/>
  <c r="I43" i="12"/>
  <c r="H43" i="12"/>
  <c r="G43" i="12"/>
  <c r="F43" i="12"/>
  <c r="E43" i="12"/>
  <c r="D43" i="12"/>
  <c r="C43" i="12"/>
  <c r="B43" i="12"/>
  <c r="M42" i="12"/>
  <c r="L42" i="12"/>
  <c r="K42" i="12"/>
  <c r="J42" i="12"/>
  <c r="I42" i="12"/>
  <c r="H42" i="12"/>
  <c r="G42" i="12"/>
  <c r="F42" i="12"/>
  <c r="E42" i="12"/>
  <c r="D42" i="12"/>
  <c r="C42" i="12"/>
  <c r="B42" i="12"/>
  <c r="M41" i="12"/>
  <c r="L41" i="12"/>
  <c r="K41" i="12"/>
  <c r="J41" i="12"/>
  <c r="I41" i="12"/>
  <c r="H41" i="12"/>
  <c r="G41" i="12"/>
  <c r="F41" i="12"/>
  <c r="E41" i="12"/>
  <c r="D41" i="12"/>
  <c r="C41" i="12"/>
  <c r="B41" i="12"/>
  <c r="M40" i="12"/>
  <c r="L40" i="12"/>
  <c r="K40" i="12"/>
  <c r="J40" i="12"/>
  <c r="I40" i="12"/>
  <c r="H40" i="12"/>
  <c r="G40" i="12"/>
  <c r="F40" i="12"/>
  <c r="E40" i="12"/>
  <c r="D40" i="12"/>
  <c r="C40" i="12"/>
  <c r="B40" i="12"/>
  <c r="M39" i="12"/>
  <c r="L39" i="12"/>
  <c r="K39" i="12"/>
  <c r="J39" i="12"/>
  <c r="I39" i="12"/>
  <c r="H39" i="12"/>
  <c r="G39" i="12"/>
  <c r="F39" i="12"/>
  <c r="E39" i="12"/>
  <c r="D39" i="12"/>
  <c r="C39" i="12"/>
  <c r="B39" i="12"/>
  <c r="M38" i="12"/>
  <c r="L38" i="12"/>
  <c r="K38" i="12"/>
  <c r="J38" i="12"/>
  <c r="I38" i="12"/>
  <c r="H38" i="12"/>
  <c r="G38" i="12"/>
  <c r="F38" i="12"/>
  <c r="E38" i="12"/>
  <c r="D38" i="12"/>
  <c r="C38" i="12"/>
  <c r="B38" i="12"/>
  <c r="M37" i="12"/>
  <c r="L37" i="12"/>
  <c r="K37" i="12"/>
  <c r="J37" i="12"/>
  <c r="I37" i="12"/>
  <c r="H37" i="12"/>
  <c r="G37" i="12"/>
  <c r="F37" i="12"/>
  <c r="E37" i="12"/>
  <c r="D37" i="12"/>
  <c r="C37" i="12"/>
  <c r="B37" i="12"/>
  <c r="M36" i="12"/>
  <c r="L36" i="12"/>
  <c r="K36" i="12"/>
  <c r="J36" i="12"/>
  <c r="I36" i="12"/>
  <c r="H36" i="12"/>
  <c r="G36" i="12"/>
  <c r="F36" i="12"/>
  <c r="E36" i="12"/>
  <c r="D36" i="12"/>
  <c r="C36" i="12"/>
  <c r="B36" i="12"/>
  <c r="M35" i="12"/>
  <c r="L35" i="12"/>
  <c r="K35" i="12"/>
  <c r="J35" i="12"/>
  <c r="I35" i="12"/>
  <c r="H35" i="12"/>
  <c r="G35" i="12"/>
  <c r="F35" i="12"/>
  <c r="E35" i="12"/>
  <c r="D35" i="12"/>
  <c r="C35" i="12"/>
  <c r="B35" i="12"/>
  <c r="M34" i="12"/>
  <c r="L34" i="12"/>
  <c r="K34" i="12"/>
  <c r="J34" i="12"/>
  <c r="I34" i="12"/>
  <c r="H34" i="12"/>
  <c r="G34" i="12"/>
  <c r="F34" i="12"/>
  <c r="E34" i="12"/>
  <c r="D34" i="12"/>
  <c r="C34" i="12"/>
  <c r="B34" i="12"/>
  <c r="M33" i="12"/>
  <c r="L33" i="12"/>
  <c r="K33" i="12"/>
  <c r="J33" i="12"/>
  <c r="I33" i="12"/>
  <c r="H33" i="12"/>
  <c r="G33" i="12"/>
  <c r="F33" i="12"/>
  <c r="E33" i="12"/>
  <c r="D33" i="12"/>
  <c r="C33" i="12"/>
  <c r="B33" i="12"/>
  <c r="M32" i="12"/>
  <c r="L32" i="12"/>
  <c r="K32" i="12"/>
  <c r="J32" i="12"/>
  <c r="I32" i="12"/>
  <c r="H32" i="12"/>
  <c r="G32" i="12"/>
  <c r="F32" i="12"/>
  <c r="E32" i="12"/>
  <c r="D32" i="12"/>
  <c r="C32" i="12"/>
  <c r="B32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M28" i="12"/>
  <c r="L28" i="12"/>
  <c r="K28" i="12"/>
  <c r="J28" i="12"/>
  <c r="I28" i="12"/>
  <c r="H28" i="12"/>
  <c r="G28" i="12"/>
  <c r="F28" i="12"/>
  <c r="E28" i="12"/>
  <c r="D28" i="12"/>
  <c r="C28" i="12"/>
  <c r="B28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M19" i="12"/>
  <c r="L19" i="12"/>
  <c r="K19" i="12"/>
  <c r="J19" i="12"/>
  <c r="I19" i="12"/>
  <c r="H19" i="12"/>
  <c r="G19" i="12"/>
  <c r="F19" i="12"/>
  <c r="E19" i="12"/>
  <c r="D19" i="12"/>
  <c r="C19" i="12"/>
  <c r="B19" i="12"/>
  <c r="M18" i="12"/>
  <c r="L18" i="12"/>
  <c r="K18" i="12"/>
  <c r="J18" i="12"/>
  <c r="I18" i="12"/>
  <c r="H18" i="12"/>
  <c r="G18" i="12"/>
  <c r="F18" i="12"/>
  <c r="E18" i="12"/>
  <c r="D18" i="12"/>
  <c r="C18" i="12"/>
  <c r="B18" i="12"/>
  <c r="M17" i="12"/>
  <c r="L17" i="12"/>
  <c r="K17" i="12"/>
  <c r="J17" i="12"/>
  <c r="I17" i="12"/>
  <c r="H17" i="12"/>
  <c r="G17" i="12"/>
  <c r="F17" i="12"/>
  <c r="E17" i="12"/>
  <c r="D17" i="12"/>
  <c r="C17" i="12"/>
  <c r="B17" i="12"/>
  <c r="M16" i="12"/>
  <c r="L16" i="12"/>
  <c r="K16" i="12"/>
  <c r="J16" i="12"/>
  <c r="I16" i="12"/>
  <c r="H16" i="12"/>
  <c r="G16" i="12"/>
  <c r="F16" i="12"/>
  <c r="E16" i="12"/>
  <c r="D16" i="12"/>
  <c r="C16" i="12"/>
  <c r="B16" i="12"/>
  <c r="M15" i="12"/>
  <c r="L15" i="12"/>
  <c r="K15" i="12"/>
  <c r="J15" i="12"/>
  <c r="I15" i="12"/>
  <c r="H15" i="12"/>
  <c r="G15" i="12"/>
  <c r="F15" i="12"/>
  <c r="E15" i="12"/>
  <c r="D15" i="12"/>
  <c r="C15" i="12"/>
  <c r="B15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M13" i="12"/>
  <c r="L13" i="12"/>
  <c r="K13" i="12"/>
  <c r="J13" i="12"/>
  <c r="I13" i="12"/>
  <c r="H13" i="12"/>
  <c r="G13" i="12"/>
  <c r="F13" i="12"/>
  <c r="E13" i="12"/>
  <c r="D13" i="12"/>
  <c r="C13" i="12"/>
  <c r="B13" i="12"/>
  <c r="M12" i="12"/>
  <c r="L12" i="12"/>
  <c r="K12" i="12"/>
  <c r="J12" i="12"/>
  <c r="I12" i="12"/>
  <c r="H12" i="12"/>
  <c r="G12" i="12"/>
  <c r="F12" i="12"/>
  <c r="E12" i="12"/>
  <c r="D12" i="12"/>
  <c r="C12" i="12"/>
  <c r="B12" i="12"/>
  <c r="M11" i="12"/>
  <c r="L11" i="12"/>
  <c r="K11" i="12"/>
  <c r="J11" i="12"/>
  <c r="I11" i="12"/>
  <c r="H11" i="12"/>
  <c r="G11" i="12"/>
  <c r="F11" i="12"/>
  <c r="E11" i="12"/>
  <c r="D11" i="12"/>
  <c r="C11" i="12"/>
  <c r="B11" i="12"/>
  <c r="M10" i="12"/>
  <c r="L10" i="12"/>
  <c r="K10" i="12"/>
  <c r="J10" i="12"/>
  <c r="I10" i="12"/>
  <c r="H10" i="12"/>
  <c r="G10" i="12"/>
  <c r="F10" i="12"/>
  <c r="E10" i="12"/>
  <c r="D10" i="12"/>
  <c r="C10" i="12"/>
  <c r="B10" i="12"/>
  <c r="M9" i="12"/>
  <c r="L9" i="12"/>
  <c r="K9" i="12"/>
  <c r="J9" i="12"/>
  <c r="I9" i="12"/>
  <c r="H9" i="12"/>
  <c r="G9" i="12"/>
  <c r="F9" i="12"/>
  <c r="E9" i="12"/>
  <c r="D9" i="12"/>
  <c r="C9" i="12"/>
  <c r="B9" i="12"/>
  <c r="M8" i="12"/>
  <c r="L8" i="12"/>
  <c r="K8" i="12"/>
  <c r="J8" i="12"/>
  <c r="I8" i="12"/>
  <c r="H8" i="12"/>
  <c r="G8" i="12"/>
  <c r="F8" i="12"/>
  <c r="E8" i="12"/>
  <c r="D8" i="12"/>
  <c r="C8" i="12"/>
  <c r="B8" i="12"/>
  <c r="M7" i="12"/>
  <c r="L7" i="12"/>
  <c r="K7" i="12"/>
  <c r="J7" i="12"/>
  <c r="I7" i="12"/>
  <c r="H7" i="12"/>
  <c r="G7" i="12"/>
  <c r="F7" i="12"/>
  <c r="E7" i="12"/>
  <c r="D7" i="12"/>
  <c r="C7" i="12"/>
  <c r="B7" i="12"/>
  <c r="M6" i="12"/>
  <c r="L6" i="12"/>
  <c r="K6" i="12"/>
  <c r="J6" i="12"/>
  <c r="I6" i="12"/>
  <c r="H6" i="12"/>
  <c r="G6" i="12"/>
  <c r="F6" i="12"/>
  <c r="E6" i="12"/>
  <c r="D6" i="12"/>
  <c r="C6" i="12"/>
  <c r="B6" i="12"/>
  <c r="M5" i="12"/>
  <c r="L5" i="12"/>
  <c r="K5" i="12"/>
  <c r="J5" i="12"/>
  <c r="I5" i="12"/>
  <c r="H5" i="12"/>
  <c r="G5" i="12"/>
  <c r="F5" i="12"/>
  <c r="E5" i="12"/>
  <c r="D5" i="12"/>
  <c r="C5" i="12"/>
  <c r="B5" i="12"/>
  <c r="M4" i="12"/>
  <c r="L4" i="12"/>
  <c r="K4" i="12"/>
  <c r="J4" i="12"/>
  <c r="I4" i="12"/>
  <c r="H4" i="12"/>
  <c r="G4" i="12"/>
  <c r="F4" i="12"/>
  <c r="E4" i="12"/>
  <c r="D4" i="12"/>
  <c r="C4" i="12"/>
  <c r="B4" i="12"/>
  <c r="M3" i="12"/>
  <c r="L3" i="12"/>
  <c r="K3" i="12"/>
  <c r="J3" i="12"/>
  <c r="I3" i="12"/>
  <c r="H3" i="12"/>
  <c r="G3" i="12"/>
  <c r="F3" i="12"/>
  <c r="E3" i="12"/>
  <c r="D3" i="12"/>
  <c r="C3" i="12"/>
  <c r="B3" i="12"/>
  <c r="M223" i="14"/>
  <c r="L223" i="14"/>
  <c r="K223" i="14"/>
  <c r="J223" i="14"/>
  <c r="I223" i="14"/>
  <c r="H223" i="14"/>
  <c r="G223" i="14"/>
  <c r="F223" i="14"/>
  <c r="E223" i="14"/>
  <c r="D223" i="14"/>
  <c r="C223" i="14"/>
  <c r="B223" i="14"/>
  <c r="M222" i="14"/>
  <c r="L222" i="14"/>
  <c r="K222" i="14"/>
  <c r="J222" i="14"/>
  <c r="I222" i="14"/>
  <c r="H222" i="14"/>
  <c r="G222" i="14"/>
  <c r="F222" i="14"/>
  <c r="E222" i="14"/>
  <c r="D222" i="14"/>
  <c r="C222" i="14"/>
  <c r="B222" i="14"/>
  <c r="M221" i="14"/>
  <c r="L221" i="14"/>
  <c r="K221" i="14"/>
  <c r="J221" i="14"/>
  <c r="I221" i="14"/>
  <c r="H221" i="14"/>
  <c r="G221" i="14"/>
  <c r="F221" i="14"/>
  <c r="E221" i="14"/>
  <c r="D221" i="14"/>
  <c r="C221" i="14"/>
  <c r="B221" i="14"/>
  <c r="M220" i="14"/>
  <c r="L220" i="14"/>
  <c r="K220" i="14"/>
  <c r="J220" i="14"/>
  <c r="I220" i="14"/>
  <c r="H220" i="14"/>
  <c r="G220" i="14"/>
  <c r="F220" i="14"/>
  <c r="E220" i="14"/>
  <c r="D220" i="14"/>
  <c r="C220" i="14"/>
  <c r="B220" i="14"/>
  <c r="M219" i="14"/>
  <c r="L219" i="14"/>
  <c r="K219" i="14"/>
  <c r="J219" i="14"/>
  <c r="I219" i="14"/>
  <c r="H219" i="14"/>
  <c r="G219" i="14"/>
  <c r="F219" i="14"/>
  <c r="E219" i="14"/>
  <c r="D219" i="14"/>
  <c r="C219" i="14"/>
  <c r="B219" i="14"/>
  <c r="M218" i="14"/>
  <c r="L218" i="14"/>
  <c r="K218" i="14"/>
  <c r="J218" i="14"/>
  <c r="I218" i="14"/>
  <c r="H218" i="14"/>
  <c r="G218" i="14"/>
  <c r="F218" i="14"/>
  <c r="E218" i="14"/>
  <c r="D218" i="14"/>
  <c r="C218" i="14"/>
  <c r="B218" i="14"/>
  <c r="M217" i="14"/>
  <c r="L217" i="14"/>
  <c r="K217" i="14"/>
  <c r="J217" i="14"/>
  <c r="I217" i="14"/>
  <c r="H217" i="14"/>
  <c r="G217" i="14"/>
  <c r="F217" i="14"/>
  <c r="E217" i="14"/>
  <c r="D217" i="14"/>
  <c r="C217" i="14"/>
  <c r="B217" i="14"/>
  <c r="M216" i="14"/>
  <c r="L216" i="14"/>
  <c r="K216" i="14"/>
  <c r="J216" i="14"/>
  <c r="I216" i="14"/>
  <c r="H216" i="14"/>
  <c r="G216" i="14"/>
  <c r="F216" i="14"/>
  <c r="E216" i="14"/>
  <c r="D216" i="14"/>
  <c r="C216" i="14"/>
  <c r="B216" i="14"/>
  <c r="M215" i="14"/>
  <c r="L215" i="14"/>
  <c r="K215" i="14"/>
  <c r="J215" i="14"/>
  <c r="I215" i="14"/>
  <c r="H215" i="14"/>
  <c r="G215" i="14"/>
  <c r="F215" i="14"/>
  <c r="E215" i="14"/>
  <c r="D215" i="14"/>
  <c r="C215" i="14"/>
  <c r="B215" i="14"/>
  <c r="M214" i="14"/>
  <c r="L214" i="14"/>
  <c r="K214" i="14"/>
  <c r="J214" i="14"/>
  <c r="I214" i="14"/>
  <c r="H214" i="14"/>
  <c r="G214" i="14"/>
  <c r="F214" i="14"/>
  <c r="E214" i="14"/>
  <c r="D214" i="14"/>
  <c r="C214" i="14"/>
  <c r="B214" i="14"/>
  <c r="M213" i="14"/>
  <c r="L213" i="14"/>
  <c r="K213" i="14"/>
  <c r="J213" i="14"/>
  <c r="I213" i="14"/>
  <c r="H213" i="14"/>
  <c r="G213" i="14"/>
  <c r="F213" i="14"/>
  <c r="E213" i="14"/>
  <c r="D213" i="14"/>
  <c r="C213" i="14"/>
  <c r="B213" i="14"/>
  <c r="M212" i="14"/>
  <c r="L212" i="14"/>
  <c r="K212" i="14"/>
  <c r="J212" i="14"/>
  <c r="I212" i="14"/>
  <c r="H212" i="14"/>
  <c r="G212" i="14"/>
  <c r="F212" i="14"/>
  <c r="E212" i="14"/>
  <c r="D212" i="14"/>
  <c r="C212" i="14"/>
  <c r="B212" i="14"/>
  <c r="M211" i="14"/>
  <c r="L211" i="14"/>
  <c r="K211" i="14"/>
  <c r="J211" i="14"/>
  <c r="I211" i="14"/>
  <c r="H211" i="14"/>
  <c r="G211" i="14"/>
  <c r="F211" i="14"/>
  <c r="E211" i="14"/>
  <c r="D211" i="14"/>
  <c r="C211" i="14"/>
  <c r="B211" i="14"/>
  <c r="M210" i="14"/>
  <c r="L210" i="14"/>
  <c r="K210" i="14"/>
  <c r="J210" i="14"/>
  <c r="I210" i="14"/>
  <c r="H210" i="14"/>
  <c r="G210" i="14"/>
  <c r="F210" i="14"/>
  <c r="E210" i="14"/>
  <c r="D210" i="14"/>
  <c r="C210" i="14"/>
  <c r="B210" i="14"/>
  <c r="M209" i="14"/>
  <c r="L209" i="14"/>
  <c r="K209" i="14"/>
  <c r="J209" i="14"/>
  <c r="I209" i="14"/>
  <c r="H209" i="14"/>
  <c r="G209" i="14"/>
  <c r="F209" i="14"/>
  <c r="E209" i="14"/>
  <c r="D209" i="14"/>
  <c r="C209" i="14"/>
  <c r="B209" i="14"/>
  <c r="M208" i="14"/>
  <c r="L208" i="14"/>
  <c r="K208" i="14"/>
  <c r="J208" i="14"/>
  <c r="I208" i="14"/>
  <c r="H208" i="14"/>
  <c r="G208" i="14"/>
  <c r="F208" i="14"/>
  <c r="E208" i="14"/>
  <c r="D208" i="14"/>
  <c r="C208" i="14"/>
  <c r="B208" i="14"/>
  <c r="M207" i="14"/>
  <c r="L207" i="14"/>
  <c r="K207" i="14"/>
  <c r="J207" i="14"/>
  <c r="I207" i="14"/>
  <c r="H207" i="14"/>
  <c r="G207" i="14"/>
  <c r="F207" i="14"/>
  <c r="E207" i="14"/>
  <c r="D207" i="14"/>
  <c r="C207" i="14"/>
  <c r="B207" i="14"/>
  <c r="M206" i="14"/>
  <c r="L206" i="14"/>
  <c r="K206" i="14"/>
  <c r="J206" i="14"/>
  <c r="I206" i="14"/>
  <c r="H206" i="14"/>
  <c r="G206" i="14"/>
  <c r="F206" i="14"/>
  <c r="E206" i="14"/>
  <c r="D206" i="14"/>
  <c r="C206" i="14"/>
  <c r="B206" i="14"/>
  <c r="M205" i="14"/>
  <c r="L205" i="14"/>
  <c r="K205" i="14"/>
  <c r="J205" i="14"/>
  <c r="I205" i="14"/>
  <c r="H205" i="14"/>
  <c r="G205" i="14"/>
  <c r="F205" i="14"/>
  <c r="E205" i="14"/>
  <c r="D205" i="14"/>
  <c r="C205" i="14"/>
  <c r="B205" i="14"/>
  <c r="M204" i="14"/>
  <c r="L204" i="14"/>
  <c r="K204" i="14"/>
  <c r="J204" i="14"/>
  <c r="I204" i="14"/>
  <c r="H204" i="14"/>
  <c r="G204" i="14"/>
  <c r="F204" i="14"/>
  <c r="E204" i="14"/>
  <c r="D204" i="14"/>
  <c r="C204" i="14"/>
  <c r="B204" i="14"/>
  <c r="M203" i="14"/>
  <c r="L203" i="14"/>
  <c r="K203" i="14"/>
  <c r="J203" i="14"/>
  <c r="I203" i="14"/>
  <c r="H203" i="14"/>
  <c r="G203" i="14"/>
  <c r="F203" i="14"/>
  <c r="E203" i="14"/>
  <c r="D203" i="14"/>
  <c r="C203" i="14"/>
  <c r="B203" i="14"/>
  <c r="M202" i="14"/>
  <c r="L202" i="14"/>
  <c r="K202" i="14"/>
  <c r="J202" i="14"/>
  <c r="I202" i="14"/>
  <c r="H202" i="14"/>
  <c r="G202" i="14"/>
  <c r="F202" i="14"/>
  <c r="E202" i="14"/>
  <c r="D202" i="14"/>
  <c r="C202" i="14"/>
  <c r="B202" i="14"/>
  <c r="M201" i="14"/>
  <c r="L201" i="14"/>
  <c r="K201" i="14"/>
  <c r="J201" i="14"/>
  <c r="I201" i="14"/>
  <c r="H201" i="14"/>
  <c r="G201" i="14"/>
  <c r="F201" i="14"/>
  <c r="E201" i="14"/>
  <c r="D201" i="14"/>
  <c r="C201" i="14"/>
  <c r="B201" i="14"/>
  <c r="M200" i="14"/>
  <c r="L200" i="14"/>
  <c r="K200" i="14"/>
  <c r="J200" i="14"/>
  <c r="I200" i="14"/>
  <c r="H200" i="14"/>
  <c r="G200" i="14"/>
  <c r="F200" i="14"/>
  <c r="E200" i="14"/>
  <c r="D200" i="14"/>
  <c r="C200" i="14"/>
  <c r="B200" i="14"/>
  <c r="M199" i="14"/>
  <c r="L199" i="14"/>
  <c r="K199" i="14"/>
  <c r="J199" i="14"/>
  <c r="I199" i="14"/>
  <c r="H199" i="14"/>
  <c r="G199" i="14"/>
  <c r="F199" i="14"/>
  <c r="E199" i="14"/>
  <c r="D199" i="14"/>
  <c r="C199" i="14"/>
  <c r="B199" i="14"/>
  <c r="M198" i="14"/>
  <c r="L198" i="14"/>
  <c r="K198" i="14"/>
  <c r="J198" i="14"/>
  <c r="I198" i="14"/>
  <c r="H198" i="14"/>
  <c r="G198" i="14"/>
  <c r="F198" i="14"/>
  <c r="E198" i="14"/>
  <c r="D198" i="14"/>
  <c r="C198" i="14"/>
  <c r="B198" i="14"/>
  <c r="M197" i="14"/>
  <c r="L197" i="14"/>
  <c r="K197" i="14"/>
  <c r="J197" i="14"/>
  <c r="I197" i="14"/>
  <c r="H197" i="14"/>
  <c r="G197" i="14"/>
  <c r="F197" i="14"/>
  <c r="E197" i="14"/>
  <c r="D197" i="14"/>
  <c r="C197" i="14"/>
  <c r="B197" i="14"/>
  <c r="M196" i="14"/>
  <c r="L196" i="14"/>
  <c r="K196" i="14"/>
  <c r="J196" i="14"/>
  <c r="I196" i="14"/>
  <c r="H196" i="14"/>
  <c r="G196" i="14"/>
  <c r="F196" i="14"/>
  <c r="E196" i="14"/>
  <c r="D196" i="14"/>
  <c r="C196" i="14"/>
  <c r="B196" i="14"/>
  <c r="M195" i="14"/>
  <c r="L195" i="14"/>
  <c r="K195" i="14"/>
  <c r="J195" i="14"/>
  <c r="I195" i="14"/>
  <c r="H195" i="14"/>
  <c r="G195" i="14"/>
  <c r="F195" i="14"/>
  <c r="E195" i="14"/>
  <c r="D195" i="14"/>
  <c r="C195" i="14"/>
  <c r="B195" i="14"/>
  <c r="M194" i="14"/>
  <c r="L194" i="14"/>
  <c r="K194" i="14"/>
  <c r="J194" i="14"/>
  <c r="I194" i="14"/>
  <c r="H194" i="14"/>
  <c r="G194" i="14"/>
  <c r="F194" i="14"/>
  <c r="E194" i="14"/>
  <c r="D194" i="14"/>
  <c r="C194" i="14"/>
  <c r="B194" i="14"/>
  <c r="M193" i="14"/>
  <c r="L193" i="14"/>
  <c r="K193" i="14"/>
  <c r="J193" i="14"/>
  <c r="I193" i="14"/>
  <c r="H193" i="14"/>
  <c r="G193" i="14"/>
  <c r="F193" i="14"/>
  <c r="E193" i="14"/>
  <c r="D193" i="14"/>
  <c r="C193" i="14"/>
  <c r="B193" i="14"/>
  <c r="M192" i="14"/>
  <c r="L192" i="14"/>
  <c r="K192" i="14"/>
  <c r="J192" i="14"/>
  <c r="I192" i="14"/>
  <c r="H192" i="14"/>
  <c r="G192" i="14"/>
  <c r="F192" i="14"/>
  <c r="E192" i="14"/>
  <c r="D192" i="14"/>
  <c r="C192" i="14"/>
  <c r="B192" i="14"/>
  <c r="M191" i="14"/>
  <c r="L191" i="14"/>
  <c r="K191" i="14"/>
  <c r="J191" i="14"/>
  <c r="I191" i="14"/>
  <c r="H191" i="14"/>
  <c r="G191" i="14"/>
  <c r="F191" i="14"/>
  <c r="E191" i="14"/>
  <c r="D191" i="14"/>
  <c r="C191" i="14"/>
  <c r="B191" i="14"/>
  <c r="M190" i="14"/>
  <c r="L190" i="14"/>
  <c r="K190" i="14"/>
  <c r="J190" i="14"/>
  <c r="I190" i="14"/>
  <c r="H190" i="14"/>
  <c r="G190" i="14"/>
  <c r="F190" i="14"/>
  <c r="E190" i="14"/>
  <c r="D190" i="14"/>
  <c r="C190" i="14"/>
  <c r="B190" i="14"/>
  <c r="M189" i="14"/>
  <c r="L189" i="14"/>
  <c r="K189" i="14"/>
  <c r="J189" i="14"/>
  <c r="I189" i="14"/>
  <c r="H189" i="14"/>
  <c r="G189" i="14"/>
  <c r="F189" i="14"/>
  <c r="E189" i="14"/>
  <c r="D189" i="14"/>
  <c r="C189" i="14"/>
  <c r="B189" i="14"/>
  <c r="M188" i="14"/>
  <c r="L188" i="14"/>
  <c r="K188" i="14"/>
  <c r="J188" i="14"/>
  <c r="I188" i="14"/>
  <c r="H188" i="14"/>
  <c r="G188" i="14"/>
  <c r="F188" i="14"/>
  <c r="E188" i="14"/>
  <c r="D188" i="14"/>
  <c r="C188" i="14"/>
  <c r="B188" i="14"/>
  <c r="M187" i="14"/>
  <c r="L187" i="14"/>
  <c r="K187" i="14"/>
  <c r="J187" i="14"/>
  <c r="I187" i="14"/>
  <c r="H187" i="14"/>
  <c r="G187" i="14"/>
  <c r="F187" i="14"/>
  <c r="E187" i="14"/>
  <c r="D187" i="14"/>
  <c r="C187" i="14"/>
  <c r="B187" i="14"/>
  <c r="M186" i="14"/>
  <c r="L186" i="14"/>
  <c r="K186" i="14"/>
  <c r="J186" i="14"/>
  <c r="I186" i="14"/>
  <c r="H186" i="14"/>
  <c r="G186" i="14"/>
  <c r="F186" i="14"/>
  <c r="E186" i="14"/>
  <c r="D186" i="14"/>
  <c r="C186" i="14"/>
  <c r="B186" i="14"/>
  <c r="M185" i="14"/>
  <c r="L185" i="14"/>
  <c r="K185" i="14"/>
  <c r="J185" i="14"/>
  <c r="I185" i="14"/>
  <c r="H185" i="14"/>
  <c r="G185" i="14"/>
  <c r="F185" i="14"/>
  <c r="E185" i="14"/>
  <c r="D185" i="14"/>
  <c r="C185" i="14"/>
  <c r="B185" i="14"/>
  <c r="M184" i="14"/>
  <c r="L184" i="14"/>
  <c r="K184" i="14"/>
  <c r="J184" i="14"/>
  <c r="I184" i="14"/>
  <c r="H184" i="14"/>
  <c r="G184" i="14"/>
  <c r="F184" i="14"/>
  <c r="E184" i="14"/>
  <c r="D184" i="14"/>
  <c r="C184" i="14"/>
  <c r="B184" i="14"/>
  <c r="M183" i="14"/>
  <c r="L183" i="14"/>
  <c r="K183" i="14"/>
  <c r="J183" i="14"/>
  <c r="I183" i="14"/>
  <c r="H183" i="14"/>
  <c r="G183" i="14"/>
  <c r="F183" i="14"/>
  <c r="E183" i="14"/>
  <c r="D183" i="14"/>
  <c r="C183" i="14"/>
  <c r="B183" i="14"/>
  <c r="M182" i="14"/>
  <c r="L182" i="14"/>
  <c r="K182" i="14"/>
  <c r="J182" i="14"/>
  <c r="I182" i="14"/>
  <c r="H182" i="14"/>
  <c r="G182" i="14"/>
  <c r="F182" i="14"/>
  <c r="E182" i="14"/>
  <c r="D182" i="14"/>
  <c r="C182" i="14"/>
  <c r="B182" i="14"/>
  <c r="M181" i="14"/>
  <c r="L181" i="14"/>
  <c r="K181" i="14"/>
  <c r="J181" i="14"/>
  <c r="I181" i="14"/>
  <c r="H181" i="14"/>
  <c r="G181" i="14"/>
  <c r="F181" i="14"/>
  <c r="E181" i="14"/>
  <c r="D181" i="14"/>
  <c r="C181" i="14"/>
  <c r="B181" i="14"/>
  <c r="M180" i="14"/>
  <c r="L180" i="14"/>
  <c r="K180" i="14"/>
  <c r="J180" i="14"/>
  <c r="I180" i="14"/>
  <c r="H180" i="14"/>
  <c r="G180" i="14"/>
  <c r="F180" i="14"/>
  <c r="E180" i="14"/>
  <c r="D180" i="14"/>
  <c r="C180" i="14"/>
  <c r="B180" i="14"/>
  <c r="M179" i="14"/>
  <c r="L179" i="14"/>
  <c r="K179" i="14"/>
  <c r="J179" i="14"/>
  <c r="I179" i="14"/>
  <c r="H179" i="14"/>
  <c r="G179" i="14"/>
  <c r="F179" i="14"/>
  <c r="E179" i="14"/>
  <c r="D179" i="14"/>
  <c r="C179" i="14"/>
  <c r="B179" i="14"/>
  <c r="M178" i="14"/>
  <c r="L178" i="14"/>
  <c r="K178" i="14"/>
  <c r="J178" i="14"/>
  <c r="I178" i="14"/>
  <c r="H178" i="14"/>
  <c r="G178" i="14"/>
  <c r="F178" i="14"/>
  <c r="E178" i="14"/>
  <c r="D178" i="14"/>
  <c r="C178" i="14"/>
  <c r="B178" i="14"/>
  <c r="M177" i="14"/>
  <c r="L177" i="14"/>
  <c r="K177" i="14"/>
  <c r="J177" i="14"/>
  <c r="I177" i="14"/>
  <c r="H177" i="14"/>
  <c r="G177" i="14"/>
  <c r="F177" i="14"/>
  <c r="E177" i="14"/>
  <c r="D177" i="14"/>
  <c r="C177" i="14"/>
  <c r="B177" i="14"/>
  <c r="M176" i="14"/>
  <c r="L176" i="14"/>
  <c r="K176" i="14"/>
  <c r="J176" i="14"/>
  <c r="I176" i="14"/>
  <c r="H176" i="14"/>
  <c r="G176" i="14"/>
  <c r="F176" i="14"/>
  <c r="E176" i="14"/>
  <c r="D176" i="14"/>
  <c r="C176" i="14"/>
  <c r="B176" i="14"/>
  <c r="M175" i="14"/>
  <c r="L175" i="14"/>
  <c r="K175" i="14"/>
  <c r="J175" i="14"/>
  <c r="I175" i="14"/>
  <c r="H175" i="14"/>
  <c r="G175" i="14"/>
  <c r="F175" i="14"/>
  <c r="E175" i="14"/>
  <c r="D175" i="14"/>
  <c r="C175" i="14"/>
  <c r="B175" i="14"/>
  <c r="M174" i="14"/>
  <c r="L174" i="14"/>
  <c r="K174" i="14"/>
  <c r="J174" i="14"/>
  <c r="I174" i="14"/>
  <c r="H174" i="14"/>
  <c r="G174" i="14"/>
  <c r="F174" i="14"/>
  <c r="E174" i="14"/>
  <c r="D174" i="14"/>
  <c r="C174" i="14"/>
  <c r="B174" i="14"/>
  <c r="M173" i="14"/>
  <c r="L173" i="14"/>
  <c r="K173" i="14"/>
  <c r="J173" i="14"/>
  <c r="I173" i="14"/>
  <c r="H173" i="14"/>
  <c r="G173" i="14"/>
  <c r="F173" i="14"/>
  <c r="E173" i="14"/>
  <c r="D173" i="14"/>
  <c r="C173" i="14"/>
  <c r="B173" i="14"/>
  <c r="M172" i="14"/>
  <c r="L172" i="14"/>
  <c r="K172" i="14"/>
  <c r="J172" i="14"/>
  <c r="I172" i="14"/>
  <c r="H172" i="14"/>
  <c r="G172" i="14"/>
  <c r="F172" i="14"/>
  <c r="E172" i="14"/>
  <c r="D172" i="14"/>
  <c r="C172" i="14"/>
  <c r="B172" i="14"/>
  <c r="M171" i="14"/>
  <c r="L171" i="14"/>
  <c r="K171" i="14"/>
  <c r="J171" i="14"/>
  <c r="I171" i="14"/>
  <c r="H171" i="14"/>
  <c r="G171" i="14"/>
  <c r="F171" i="14"/>
  <c r="E171" i="14"/>
  <c r="D171" i="14"/>
  <c r="C171" i="14"/>
  <c r="B171" i="14"/>
  <c r="M170" i="14"/>
  <c r="L170" i="14"/>
  <c r="K170" i="14"/>
  <c r="J170" i="14"/>
  <c r="I170" i="14"/>
  <c r="H170" i="14"/>
  <c r="G170" i="14"/>
  <c r="F170" i="14"/>
  <c r="E170" i="14"/>
  <c r="D170" i="14"/>
  <c r="C170" i="14"/>
  <c r="B170" i="14"/>
  <c r="M169" i="14"/>
  <c r="L169" i="14"/>
  <c r="K169" i="14"/>
  <c r="J169" i="14"/>
  <c r="I169" i="14"/>
  <c r="H169" i="14"/>
  <c r="G169" i="14"/>
  <c r="F169" i="14"/>
  <c r="E169" i="14"/>
  <c r="D169" i="14"/>
  <c r="C169" i="14"/>
  <c r="B169" i="14"/>
  <c r="M168" i="14"/>
  <c r="L168" i="14"/>
  <c r="K168" i="14"/>
  <c r="J168" i="14"/>
  <c r="I168" i="14"/>
  <c r="H168" i="14"/>
  <c r="G168" i="14"/>
  <c r="F168" i="14"/>
  <c r="E168" i="14"/>
  <c r="D168" i="14"/>
  <c r="C168" i="14"/>
  <c r="B168" i="14"/>
  <c r="M167" i="14"/>
  <c r="L167" i="14"/>
  <c r="K167" i="14"/>
  <c r="J167" i="14"/>
  <c r="I167" i="14"/>
  <c r="H167" i="14"/>
  <c r="G167" i="14"/>
  <c r="F167" i="14"/>
  <c r="E167" i="14"/>
  <c r="D167" i="14"/>
  <c r="C167" i="14"/>
  <c r="B167" i="14"/>
  <c r="M166" i="14"/>
  <c r="L166" i="14"/>
  <c r="K166" i="14"/>
  <c r="J166" i="14"/>
  <c r="I166" i="14"/>
  <c r="H166" i="14"/>
  <c r="G166" i="14"/>
  <c r="F166" i="14"/>
  <c r="E166" i="14"/>
  <c r="D166" i="14"/>
  <c r="C166" i="14"/>
  <c r="B166" i="14"/>
  <c r="M165" i="14"/>
  <c r="L165" i="14"/>
  <c r="K165" i="14"/>
  <c r="J165" i="14"/>
  <c r="I165" i="14"/>
  <c r="H165" i="14"/>
  <c r="G165" i="14"/>
  <c r="F165" i="14"/>
  <c r="E165" i="14"/>
  <c r="D165" i="14"/>
  <c r="C165" i="14"/>
  <c r="B165" i="14"/>
  <c r="M164" i="14"/>
  <c r="L164" i="14"/>
  <c r="K164" i="14"/>
  <c r="J164" i="14"/>
  <c r="I164" i="14"/>
  <c r="H164" i="14"/>
  <c r="G164" i="14"/>
  <c r="F164" i="14"/>
  <c r="E164" i="14"/>
  <c r="D164" i="14"/>
  <c r="C164" i="14"/>
  <c r="B164" i="14"/>
  <c r="M163" i="14"/>
  <c r="L163" i="14"/>
  <c r="K163" i="14"/>
  <c r="J163" i="14"/>
  <c r="I163" i="14"/>
  <c r="H163" i="14"/>
  <c r="G163" i="14"/>
  <c r="F163" i="14"/>
  <c r="E163" i="14"/>
  <c r="D163" i="14"/>
  <c r="C163" i="14"/>
  <c r="B163" i="14"/>
  <c r="M162" i="14"/>
  <c r="L162" i="14"/>
  <c r="K162" i="14"/>
  <c r="J162" i="14"/>
  <c r="I162" i="14"/>
  <c r="H162" i="14"/>
  <c r="G162" i="14"/>
  <c r="F162" i="14"/>
  <c r="E162" i="14"/>
  <c r="D162" i="14"/>
  <c r="C162" i="14"/>
  <c r="B162" i="14"/>
  <c r="M161" i="14"/>
  <c r="L161" i="14"/>
  <c r="K161" i="14"/>
  <c r="J161" i="14"/>
  <c r="I161" i="14"/>
  <c r="H161" i="14"/>
  <c r="G161" i="14"/>
  <c r="F161" i="14"/>
  <c r="E161" i="14"/>
  <c r="D161" i="14"/>
  <c r="C161" i="14"/>
  <c r="B161" i="14"/>
  <c r="M160" i="14"/>
  <c r="L160" i="14"/>
  <c r="K160" i="14"/>
  <c r="J160" i="14"/>
  <c r="I160" i="14"/>
  <c r="H160" i="14"/>
  <c r="G160" i="14"/>
  <c r="F160" i="14"/>
  <c r="E160" i="14"/>
  <c r="D160" i="14"/>
  <c r="C160" i="14"/>
  <c r="B160" i="14"/>
  <c r="M159" i="14"/>
  <c r="L159" i="14"/>
  <c r="K159" i="14"/>
  <c r="J159" i="14"/>
  <c r="I159" i="14"/>
  <c r="H159" i="14"/>
  <c r="G159" i="14"/>
  <c r="F159" i="14"/>
  <c r="E159" i="14"/>
  <c r="D159" i="14"/>
  <c r="C159" i="14"/>
  <c r="B159" i="14"/>
  <c r="M158" i="14"/>
  <c r="L158" i="14"/>
  <c r="K158" i="14"/>
  <c r="J158" i="14"/>
  <c r="I158" i="14"/>
  <c r="H158" i="14"/>
  <c r="G158" i="14"/>
  <c r="F158" i="14"/>
  <c r="E158" i="14"/>
  <c r="D158" i="14"/>
  <c r="C158" i="14"/>
  <c r="B158" i="14"/>
  <c r="M157" i="14"/>
  <c r="L157" i="14"/>
  <c r="K157" i="14"/>
  <c r="J157" i="14"/>
  <c r="I157" i="14"/>
  <c r="H157" i="14"/>
  <c r="G157" i="14"/>
  <c r="F157" i="14"/>
  <c r="E157" i="14"/>
  <c r="D157" i="14"/>
  <c r="C157" i="14"/>
  <c r="B157" i="14"/>
  <c r="M156" i="14"/>
  <c r="L156" i="14"/>
  <c r="K156" i="14"/>
  <c r="J156" i="14"/>
  <c r="I156" i="14"/>
  <c r="H156" i="14"/>
  <c r="G156" i="14"/>
  <c r="F156" i="14"/>
  <c r="E156" i="14"/>
  <c r="D156" i="14"/>
  <c r="C156" i="14"/>
  <c r="B156" i="14"/>
  <c r="M155" i="14"/>
  <c r="L155" i="14"/>
  <c r="K155" i="14"/>
  <c r="J155" i="14"/>
  <c r="I155" i="14"/>
  <c r="H155" i="14"/>
  <c r="G155" i="14"/>
  <c r="F155" i="14"/>
  <c r="E155" i="14"/>
  <c r="D155" i="14"/>
  <c r="C155" i="14"/>
  <c r="B155" i="14"/>
  <c r="M154" i="14"/>
  <c r="L154" i="14"/>
  <c r="K154" i="14"/>
  <c r="J154" i="14"/>
  <c r="I154" i="14"/>
  <c r="H154" i="14"/>
  <c r="G154" i="14"/>
  <c r="F154" i="14"/>
  <c r="E154" i="14"/>
  <c r="D154" i="14"/>
  <c r="C154" i="14"/>
  <c r="B154" i="14"/>
  <c r="M153" i="14"/>
  <c r="L153" i="14"/>
  <c r="K153" i="14"/>
  <c r="J153" i="14"/>
  <c r="I153" i="14"/>
  <c r="H153" i="14"/>
  <c r="G153" i="14"/>
  <c r="F153" i="14"/>
  <c r="E153" i="14"/>
  <c r="D153" i="14"/>
  <c r="C153" i="14"/>
  <c r="B153" i="14"/>
  <c r="M152" i="14"/>
  <c r="L152" i="14"/>
  <c r="K152" i="14"/>
  <c r="J152" i="14"/>
  <c r="I152" i="14"/>
  <c r="H152" i="14"/>
  <c r="G152" i="14"/>
  <c r="F152" i="14"/>
  <c r="E152" i="14"/>
  <c r="D152" i="14"/>
  <c r="C152" i="14"/>
  <c r="B152" i="14"/>
  <c r="M151" i="14"/>
  <c r="L151" i="14"/>
  <c r="K151" i="14"/>
  <c r="J151" i="14"/>
  <c r="I151" i="14"/>
  <c r="H151" i="14"/>
  <c r="G151" i="14"/>
  <c r="F151" i="14"/>
  <c r="E151" i="14"/>
  <c r="D151" i="14"/>
  <c r="C151" i="14"/>
  <c r="B151" i="14"/>
  <c r="M150" i="14"/>
  <c r="L150" i="14"/>
  <c r="K150" i="14"/>
  <c r="J150" i="14"/>
  <c r="I150" i="14"/>
  <c r="H150" i="14"/>
  <c r="G150" i="14"/>
  <c r="F150" i="14"/>
  <c r="E150" i="14"/>
  <c r="D150" i="14"/>
  <c r="C150" i="14"/>
  <c r="B150" i="14"/>
  <c r="M149" i="14"/>
  <c r="L149" i="14"/>
  <c r="K149" i="14"/>
  <c r="J149" i="14"/>
  <c r="I149" i="14"/>
  <c r="H149" i="14"/>
  <c r="G149" i="14"/>
  <c r="F149" i="14"/>
  <c r="E149" i="14"/>
  <c r="D149" i="14"/>
  <c r="C149" i="14"/>
  <c r="B149" i="14"/>
  <c r="M148" i="14"/>
  <c r="L148" i="14"/>
  <c r="K148" i="14"/>
  <c r="J148" i="14"/>
  <c r="I148" i="14"/>
  <c r="H148" i="14"/>
  <c r="G148" i="14"/>
  <c r="F148" i="14"/>
  <c r="E148" i="14"/>
  <c r="D148" i="14"/>
  <c r="C148" i="14"/>
  <c r="B148" i="14"/>
  <c r="M147" i="14"/>
  <c r="L147" i="14"/>
  <c r="K147" i="14"/>
  <c r="J147" i="14"/>
  <c r="I147" i="14"/>
  <c r="H147" i="14"/>
  <c r="G147" i="14"/>
  <c r="F147" i="14"/>
  <c r="E147" i="14"/>
  <c r="D147" i="14"/>
  <c r="C147" i="14"/>
  <c r="B147" i="14"/>
  <c r="M146" i="14"/>
  <c r="L146" i="14"/>
  <c r="K146" i="14"/>
  <c r="J146" i="14"/>
  <c r="I146" i="14"/>
  <c r="H146" i="14"/>
  <c r="G146" i="14"/>
  <c r="F146" i="14"/>
  <c r="E146" i="14"/>
  <c r="D146" i="14"/>
  <c r="C146" i="14"/>
  <c r="B146" i="14"/>
  <c r="M145" i="14"/>
  <c r="L145" i="14"/>
  <c r="K145" i="14"/>
  <c r="J145" i="14"/>
  <c r="I145" i="14"/>
  <c r="H145" i="14"/>
  <c r="G145" i="14"/>
  <c r="F145" i="14"/>
  <c r="E145" i="14"/>
  <c r="D145" i="14"/>
  <c r="C145" i="14"/>
  <c r="B145" i="14"/>
  <c r="M144" i="14"/>
  <c r="L144" i="14"/>
  <c r="K144" i="14"/>
  <c r="J144" i="14"/>
  <c r="I144" i="14"/>
  <c r="H144" i="14"/>
  <c r="G144" i="14"/>
  <c r="F144" i="14"/>
  <c r="E144" i="14"/>
  <c r="D144" i="14"/>
  <c r="C144" i="14"/>
  <c r="B144" i="14"/>
  <c r="M143" i="14"/>
  <c r="L143" i="14"/>
  <c r="K143" i="14"/>
  <c r="J143" i="14"/>
  <c r="I143" i="14"/>
  <c r="H143" i="14"/>
  <c r="G143" i="14"/>
  <c r="F143" i="14"/>
  <c r="E143" i="14"/>
  <c r="D143" i="14"/>
  <c r="C143" i="14"/>
  <c r="B143" i="14"/>
  <c r="M142" i="14"/>
  <c r="L142" i="14"/>
  <c r="K142" i="14"/>
  <c r="J142" i="14"/>
  <c r="I142" i="14"/>
  <c r="H142" i="14"/>
  <c r="G142" i="14"/>
  <c r="F142" i="14"/>
  <c r="E142" i="14"/>
  <c r="D142" i="14"/>
  <c r="C142" i="14"/>
  <c r="B142" i="14"/>
  <c r="M141" i="14"/>
  <c r="L141" i="14"/>
  <c r="K141" i="14"/>
  <c r="J141" i="14"/>
  <c r="I141" i="14"/>
  <c r="H141" i="14"/>
  <c r="G141" i="14"/>
  <c r="F141" i="14"/>
  <c r="E141" i="14"/>
  <c r="D141" i="14"/>
  <c r="C141" i="14"/>
  <c r="B141" i="14"/>
  <c r="M140" i="14"/>
  <c r="L140" i="14"/>
  <c r="K140" i="14"/>
  <c r="J140" i="14"/>
  <c r="I140" i="14"/>
  <c r="H140" i="14"/>
  <c r="G140" i="14"/>
  <c r="F140" i="14"/>
  <c r="E140" i="14"/>
  <c r="D140" i="14"/>
  <c r="C140" i="14"/>
  <c r="B140" i="14"/>
  <c r="M139" i="14"/>
  <c r="L139" i="14"/>
  <c r="K139" i="14"/>
  <c r="J139" i="14"/>
  <c r="I139" i="14"/>
  <c r="H139" i="14"/>
  <c r="G139" i="14"/>
  <c r="F139" i="14"/>
  <c r="E139" i="14"/>
  <c r="D139" i="14"/>
  <c r="C139" i="14"/>
  <c r="B139" i="14"/>
  <c r="M138" i="14"/>
  <c r="L138" i="14"/>
  <c r="K138" i="14"/>
  <c r="J138" i="14"/>
  <c r="I138" i="14"/>
  <c r="H138" i="14"/>
  <c r="G138" i="14"/>
  <c r="F138" i="14"/>
  <c r="E138" i="14"/>
  <c r="D138" i="14"/>
  <c r="C138" i="14"/>
  <c r="B138" i="14"/>
  <c r="M137" i="14"/>
  <c r="L137" i="14"/>
  <c r="K137" i="14"/>
  <c r="J137" i="14"/>
  <c r="I137" i="14"/>
  <c r="H137" i="14"/>
  <c r="G137" i="14"/>
  <c r="F137" i="14"/>
  <c r="E137" i="14"/>
  <c r="D137" i="14"/>
  <c r="C137" i="14"/>
  <c r="B137" i="14"/>
  <c r="M136" i="14"/>
  <c r="L136" i="14"/>
  <c r="K136" i="14"/>
  <c r="J136" i="14"/>
  <c r="I136" i="14"/>
  <c r="H136" i="14"/>
  <c r="G136" i="14"/>
  <c r="F136" i="14"/>
  <c r="E136" i="14"/>
  <c r="D136" i="14"/>
  <c r="C136" i="14"/>
  <c r="B136" i="14"/>
  <c r="M135" i="14"/>
  <c r="L135" i="14"/>
  <c r="K135" i="14"/>
  <c r="J135" i="14"/>
  <c r="I135" i="14"/>
  <c r="H135" i="14"/>
  <c r="G135" i="14"/>
  <c r="F135" i="14"/>
  <c r="E135" i="14"/>
  <c r="D135" i="14"/>
  <c r="C135" i="14"/>
  <c r="B135" i="14"/>
  <c r="M134" i="14"/>
  <c r="L134" i="14"/>
  <c r="K134" i="14"/>
  <c r="J134" i="14"/>
  <c r="I134" i="14"/>
  <c r="H134" i="14"/>
  <c r="G134" i="14"/>
  <c r="F134" i="14"/>
  <c r="E134" i="14"/>
  <c r="D134" i="14"/>
  <c r="C134" i="14"/>
  <c r="B134" i="14"/>
  <c r="M133" i="14"/>
  <c r="L133" i="14"/>
  <c r="K133" i="14"/>
  <c r="J133" i="14"/>
  <c r="I133" i="14"/>
  <c r="H133" i="14"/>
  <c r="G133" i="14"/>
  <c r="F133" i="14"/>
  <c r="E133" i="14"/>
  <c r="D133" i="14"/>
  <c r="C133" i="14"/>
  <c r="B133" i="14"/>
  <c r="M132" i="14"/>
  <c r="L132" i="14"/>
  <c r="K132" i="14"/>
  <c r="J132" i="14"/>
  <c r="I132" i="14"/>
  <c r="H132" i="14"/>
  <c r="G132" i="14"/>
  <c r="F132" i="14"/>
  <c r="E132" i="14"/>
  <c r="D132" i="14"/>
  <c r="C132" i="14"/>
  <c r="B132" i="14"/>
  <c r="M131" i="14"/>
  <c r="L131" i="14"/>
  <c r="K131" i="14"/>
  <c r="J131" i="14"/>
  <c r="I131" i="14"/>
  <c r="H131" i="14"/>
  <c r="G131" i="14"/>
  <c r="F131" i="14"/>
  <c r="E131" i="14"/>
  <c r="D131" i="14"/>
  <c r="C131" i="14"/>
  <c r="B131" i="14"/>
  <c r="M130" i="14"/>
  <c r="L130" i="14"/>
  <c r="K130" i="14"/>
  <c r="J130" i="14"/>
  <c r="I130" i="14"/>
  <c r="H130" i="14"/>
  <c r="G130" i="14"/>
  <c r="F130" i="14"/>
  <c r="E130" i="14"/>
  <c r="D130" i="14"/>
  <c r="C130" i="14"/>
  <c r="B130" i="14"/>
  <c r="M129" i="14"/>
  <c r="L129" i="14"/>
  <c r="K129" i="14"/>
  <c r="J129" i="14"/>
  <c r="I129" i="14"/>
  <c r="H129" i="14"/>
  <c r="G129" i="14"/>
  <c r="F129" i="14"/>
  <c r="E129" i="14"/>
  <c r="D129" i="14"/>
  <c r="C129" i="14"/>
  <c r="B129" i="14"/>
  <c r="M128" i="14"/>
  <c r="L128" i="14"/>
  <c r="K128" i="14"/>
  <c r="J128" i="14"/>
  <c r="I128" i="14"/>
  <c r="H128" i="14"/>
  <c r="G128" i="14"/>
  <c r="F128" i="14"/>
  <c r="E128" i="14"/>
  <c r="D128" i="14"/>
  <c r="C128" i="14"/>
  <c r="B128" i="14"/>
  <c r="M127" i="14"/>
  <c r="L127" i="14"/>
  <c r="K127" i="14"/>
  <c r="J127" i="14"/>
  <c r="I127" i="14"/>
  <c r="H127" i="14"/>
  <c r="G127" i="14"/>
  <c r="F127" i="14"/>
  <c r="E127" i="14"/>
  <c r="D127" i="14"/>
  <c r="C127" i="14"/>
  <c r="B127" i="14"/>
  <c r="M126" i="14"/>
  <c r="L126" i="14"/>
  <c r="K126" i="14"/>
  <c r="J126" i="14"/>
  <c r="I126" i="14"/>
  <c r="H126" i="14"/>
  <c r="G126" i="14"/>
  <c r="F126" i="14"/>
  <c r="E126" i="14"/>
  <c r="D126" i="14"/>
  <c r="C126" i="14"/>
  <c r="B126" i="14"/>
  <c r="M125" i="14"/>
  <c r="L125" i="14"/>
  <c r="K125" i="14"/>
  <c r="J125" i="14"/>
  <c r="I125" i="14"/>
  <c r="H125" i="14"/>
  <c r="G125" i="14"/>
  <c r="F125" i="14"/>
  <c r="E125" i="14"/>
  <c r="D125" i="14"/>
  <c r="C125" i="14"/>
  <c r="B125" i="14"/>
  <c r="M124" i="14"/>
  <c r="L124" i="14"/>
  <c r="K124" i="14"/>
  <c r="J124" i="14"/>
  <c r="I124" i="14"/>
  <c r="H124" i="14"/>
  <c r="G124" i="14"/>
  <c r="F124" i="14"/>
  <c r="E124" i="14"/>
  <c r="D124" i="14"/>
  <c r="C124" i="14"/>
  <c r="B124" i="14"/>
  <c r="M123" i="14"/>
  <c r="L123" i="14"/>
  <c r="K123" i="14"/>
  <c r="J123" i="14"/>
  <c r="I123" i="14"/>
  <c r="H123" i="14"/>
  <c r="G123" i="14"/>
  <c r="F123" i="14"/>
  <c r="E123" i="14"/>
  <c r="D123" i="14"/>
  <c r="C123" i="14"/>
  <c r="B123" i="14"/>
  <c r="M122" i="14"/>
  <c r="L122" i="14"/>
  <c r="K122" i="14"/>
  <c r="J122" i="14"/>
  <c r="I122" i="14"/>
  <c r="H122" i="14"/>
  <c r="G122" i="14"/>
  <c r="F122" i="14"/>
  <c r="E122" i="14"/>
  <c r="D122" i="14"/>
  <c r="C122" i="14"/>
  <c r="B122" i="14"/>
  <c r="M121" i="14"/>
  <c r="L121" i="14"/>
  <c r="K121" i="14"/>
  <c r="J121" i="14"/>
  <c r="I121" i="14"/>
  <c r="H121" i="14"/>
  <c r="G121" i="14"/>
  <c r="F121" i="14"/>
  <c r="E121" i="14"/>
  <c r="D121" i="14"/>
  <c r="C121" i="14"/>
  <c r="B121" i="14"/>
  <c r="M120" i="14"/>
  <c r="L120" i="14"/>
  <c r="K120" i="14"/>
  <c r="J120" i="14"/>
  <c r="I120" i="14"/>
  <c r="H120" i="14"/>
  <c r="G120" i="14"/>
  <c r="F120" i="14"/>
  <c r="E120" i="14"/>
  <c r="D120" i="14"/>
  <c r="C120" i="14"/>
  <c r="B120" i="14"/>
  <c r="M119" i="14"/>
  <c r="L119" i="14"/>
  <c r="K119" i="14"/>
  <c r="J119" i="14"/>
  <c r="I119" i="14"/>
  <c r="H119" i="14"/>
  <c r="G119" i="14"/>
  <c r="F119" i="14"/>
  <c r="E119" i="14"/>
  <c r="D119" i="14"/>
  <c r="C119" i="14"/>
  <c r="B119" i="14"/>
  <c r="M118" i="14"/>
  <c r="L118" i="14"/>
  <c r="K118" i="14"/>
  <c r="J118" i="14"/>
  <c r="I118" i="14"/>
  <c r="H118" i="14"/>
  <c r="G118" i="14"/>
  <c r="F118" i="14"/>
  <c r="E118" i="14"/>
  <c r="D118" i="14"/>
  <c r="C118" i="14"/>
  <c r="B118" i="14"/>
  <c r="M117" i="14"/>
  <c r="L117" i="14"/>
  <c r="K117" i="14"/>
  <c r="J117" i="14"/>
  <c r="I117" i="14"/>
  <c r="H117" i="14"/>
  <c r="G117" i="14"/>
  <c r="F117" i="14"/>
  <c r="E117" i="14"/>
  <c r="D117" i="14"/>
  <c r="C117" i="14"/>
  <c r="B117" i="14"/>
  <c r="M116" i="14"/>
  <c r="L116" i="14"/>
  <c r="K116" i="14"/>
  <c r="J116" i="14"/>
  <c r="I116" i="14"/>
  <c r="H116" i="14"/>
  <c r="G116" i="14"/>
  <c r="F116" i="14"/>
  <c r="E116" i="14"/>
  <c r="D116" i="14"/>
  <c r="C116" i="14"/>
  <c r="B116" i="14"/>
  <c r="M115" i="14"/>
  <c r="L115" i="14"/>
  <c r="K115" i="14"/>
  <c r="J115" i="14"/>
  <c r="I115" i="14"/>
  <c r="H115" i="14"/>
  <c r="G115" i="14"/>
  <c r="F115" i="14"/>
  <c r="E115" i="14"/>
  <c r="D115" i="14"/>
  <c r="C115" i="14"/>
  <c r="B115" i="14"/>
  <c r="M114" i="14"/>
  <c r="L114" i="14"/>
  <c r="K114" i="14"/>
  <c r="J114" i="14"/>
  <c r="I114" i="14"/>
  <c r="H114" i="14"/>
  <c r="G114" i="14"/>
  <c r="F114" i="14"/>
  <c r="E114" i="14"/>
  <c r="D114" i="14"/>
  <c r="C114" i="14"/>
  <c r="B114" i="14"/>
  <c r="M113" i="14"/>
  <c r="L113" i="14"/>
  <c r="K113" i="14"/>
  <c r="J113" i="14"/>
  <c r="I113" i="14"/>
  <c r="H113" i="14"/>
  <c r="G113" i="14"/>
  <c r="F113" i="14"/>
  <c r="E113" i="14"/>
  <c r="D113" i="14"/>
  <c r="C113" i="14"/>
  <c r="B113" i="14"/>
  <c r="M112" i="14"/>
  <c r="L112" i="14"/>
  <c r="K112" i="14"/>
  <c r="J112" i="14"/>
  <c r="I112" i="14"/>
  <c r="H112" i="14"/>
  <c r="G112" i="14"/>
  <c r="F112" i="14"/>
  <c r="E112" i="14"/>
  <c r="D112" i="14"/>
  <c r="C112" i="14"/>
  <c r="B112" i="14"/>
  <c r="M111" i="14"/>
  <c r="L111" i="14"/>
  <c r="K111" i="14"/>
  <c r="J111" i="14"/>
  <c r="I111" i="14"/>
  <c r="H111" i="14"/>
  <c r="G111" i="14"/>
  <c r="F111" i="14"/>
  <c r="E111" i="14"/>
  <c r="D111" i="14"/>
  <c r="C111" i="14"/>
  <c r="B111" i="14"/>
  <c r="M110" i="14"/>
  <c r="L110" i="14"/>
  <c r="K110" i="14"/>
  <c r="J110" i="14"/>
  <c r="I110" i="14"/>
  <c r="H110" i="14"/>
  <c r="G110" i="14"/>
  <c r="F110" i="14"/>
  <c r="E110" i="14"/>
  <c r="D110" i="14"/>
  <c r="C110" i="14"/>
  <c r="B110" i="14"/>
  <c r="M109" i="14"/>
  <c r="L109" i="14"/>
  <c r="K109" i="14"/>
  <c r="J109" i="14"/>
  <c r="I109" i="14"/>
  <c r="H109" i="14"/>
  <c r="G109" i="14"/>
  <c r="F109" i="14"/>
  <c r="E109" i="14"/>
  <c r="D109" i="14"/>
  <c r="C109" i="14"/>
  <c r="B109" i="14"/>
  <c r="M108" i="14"/>
  <c r="L108" i="14"/>
  <c r="K108" i="14"/>
  <c r="J108" i="14"/>
  <c r="I108" i="14"/>
  <c r="H108" i="14"/>
  <c r="G108" i="14"/>
  <c r="F108" i="14"/>
  <c r="E108" i="14"/>
  <c r="D108" i="14"/>
  <c r="C108" i="14"/>
  <c r="B108" i="14"/>
  <c r="M107" i="14"/>
  <c r="L107" i="14"/>
  <c r="K107" i="14"/>
  <c r="J107" i="14"/>
  <c r="I107" i="14"/>
  <c r="H107" i="14"/>
  <c r="G107" i="14"/>
  <c r="F107" i="14"/>
  <c r="E107" i="14"/>
  <c r="D107" i="14"/>
  <c r="C107" i="14"/>
  <c r="B107" i="14"/>
  <c r="M106" i="14"/>
  <c r="L106" i="14"/>
  <c r="K106" i="14"/>
  <c r="J106" i="14"/>
  <c r="I106" i="14"/>
  <c r="H106" i="14"/>
  <c r="G106" i="14"/>
  <c r="F106" i="14"/>
  <c r="E106" i="14"/>
  <c r="D106" i="14"/>
  <c r="C106" i="14"/>
  <c r="B106" i="14"/>
  <c r="M105" i="14"/>
  <c r="L105" i="14"/>
  <c r="K105" i="14"/>
  <c r="J105" i="14"/>
  <c r="I105" i="14"/>
  <c r="H105" i="14"/>
  <c r="G105" i="14"/>
  <c r="F105" i="14"/>
  <c r="E105" i="14"/>
  <c r="D105" i="14"/>
  <c r="C105" i="14"/>
  <c r="B105" i="14"/>
  <c r="M104" i="14"/>
  <c r="L104" i="14"/>
  <c r="K104" i="14"/>
  <c r="J104" i="14"/>
  <c r="I104" i="14"/>
  <c r="H104" i="14"/>
  <c r="G104" i="14"/>
  <c r="F104" i="14"/>
  <c r="E104" i="14"/>
  <c r="D104" i="14"/>
  <c r="C104" i="14"/>
  <c r="B104" i="14"/>
  <c r="M103" i="14"/>
  <c r="L103" i="14"/>
  <c r="K103" i="14"/>
  <c r="J103" i="14"/>
  <c r="I103" i="14"/>
  <c r="H103" i="14"/>
  <c r="G103" i="14"/>
  <c r="F103" i="14"/>
  <c r="E103" i="14"/>
  <c r="D103" i="14"/>
  <c r="C103" i="14"/>
  <c r="B103" i="14"/>
  <c r="M102" i="14"/>
  <c r="L102" i="14"/>
  <c r="K102" i="14"/>
  <c r="J102" i="14"/>
  <c r="I102" i="14"/>
  <c r="H102" i="14"/>
  <c r="G102" i="14"/>
  <c r="F102" i="14"/>
  <c r="E102" i="14"/>
  <c r="D102" i="14"/>
  <c r="C102" i="14"/>
  <c r="B102" i="14"/>
  <c r="M101" i="14"/>
  <c r="L101" i="14"/>
  <c r="K101" i="14"/>
  <c r="J101" i="14"/>
  <c r="I101" i="14"/>
  <c r="H101" i="14"/>
  <c r="G101" i="14"/>
  <c r="F101" i="14"/>
  <c r="E101" i="14"/>
  <c r="D101" i="14"/>
  <c r="C101" i="14"/>
  <c r="B101" i="14"/>
  <c r="M100" i="14"/>
  <c r="L100" i="14"/>
  <c r="K100" i="14"/>
  <c r="J100" i="14"/>
  <c r="I100" i="14"/>
  <c r="H100" i="14"/>
  <c r="G100" i="14"/>
  <c r="F100" i="14"/>
  <c r="E100" i="14"/>
  <c r="D100" i="14"/>
  <c r="C100" i="14"/>
  <c r="B100" i="14"/>
  <c r="M99" i="14"/>
  <c r="L99" i="14"/>
  <c r="K99" i="14"/>
  <c r="J99" i="14"/>
  <c r="I99" i="14"/>
  <c r="H99" i="14"/>
  <c r="G99" i="14"/>
  <c r="F99" i="14"/>
  <c r="E99" i="14"/>
  <c r="D99" i="14"/>
  <c r="C99" i="14"/>
  <c r="B99" i="14"/>
  <c r="M98" i="14"/>
  <c r="L98" i="14"/>
  <c r="K98" i="14"/>
  <c r="J98" i="14"/>
  <c r="I98" i="14"/>
  <c r="H98" i="14"/>
  <c r="G98" i="14"/>
  <c r="F98" i="14"/>
  <c r="E98" i="14"/>
  <c r="D98" i="14"/>
  <c r="C98" i="14"/>
  <c r="B98" i="14"/>
  <c r="M97" i="14"/>
  <c r="L97" i="14"/>
  <c r="K97" i="14"/>
  <c r="J97" i="14"/>
  <c r="I97" i="14"/>
  <c r="H97" i="14"/>
  <c r="G97" i="14"/>
  <c r="F97" i="14"/>
  <c r="E97" i="14"/>
  <c r="D97" i="14"/>
  <c r="C97" i="14"/>
  <c r="B97" i="14"/>
  <c r="M96" i="14"/>
  <c r="L96" i="14"/>
  <c r="K96" i="14"/>
  <c r="J96" i="14"/>
  <c r="I96" i="14"/>
  <c r="H96" i="14"/>
  <c r="G96" i="14"/>
  <c r="F96" i="14"/>
  <c r="E96" i="14"/>
  <c r="D96" i="14"/>
  <c r="C96" i="14"/>
  <c r="B96" i="14"/>
  <c r="M95" i="14"/>
  <c r="L95" i="14"/>
  <c r="K95" i="14"/>
  <c r="J95" i="14"/>
  <c r="I95" i="14"/>
  <c r="H95" i="14"/>
  <c r="G95" i="14"/>
  <c r="F95" i="14"/>
  <c r="E95" i="14"/>
  <c r="D95" i="14"/>
  <c r="C95" i="14"/>
  <c r="B95" i="14"/>
  <c r="M94" i="14"/>
  <c r="L94" i="14"/>
  <c r="K94" i="14"/>
  <c r="J94" i="14"/>
  <c r="I94" i="14"/>
  <c r="H94" i="14"/>
  <c r="G94" i="14"/>
  <c r="F94" i="14"/>
  <c r="E94" i="14"/>
  <c r="D94" i="14"/>
  <c r="C94" i="14"/>
  <c r="B94" i="14"/>
  <c r="M93" i="14"/>
  <c r="L93" i="14"/>
  <c r="K93" i="14"/>
  <c r="J93" i="14"/>
  <c r="I93" i="14"/>
  <c r="H93" i="14"/>
  <c r="G93" i="14"/>
  <c r="F93" i="14"/>
  <c r="E93" i="14"/>
  <c r="D93" i="14"/>
  <c r="C93" i="14"/>
  <c r="B93" i="14"/>
  <c r="M92" i="14"/>
  <c r="L92" i="14"/>
  <c r="K92" i="14"/>
  <c r="J92" i="14"/>
  <c r="I92" i="14"/>
  <c r="H92" i="14"/>
  <c r="G92" i="14"/>
  <c r="F92" i="14"/>
  <c r="E92" i="14"/>
  <c r="D92" i="14"/>
  <c r="C92" i="14"/>
  <c r="B92" i="14"/>
  <c r="M91" i="14"/>
  <c r="L91" i="14"/>
  <c r="K91" i="14"/>
  <c r="J91" i="14"/>
  <c r="I91" i="14"/>
  <c r="H91" i="14"/>
  <c r="G91" i="14"/>
  <c r="F91" i="14"/>
  <c r="E91" i="14"/>
  <c r="D91" i="14"/>
  <c r="C91" i="14"/>
  <c r="B91" i="14"/>
  <c r="M90" i="14"/>
  <c r="L90" i="14"/>
  <c r="K90" i="14"/>
  <c r="J90" i="14"/>
  <c r="I90" i="14"/>
  <c r="H90" i="14"/>
  <c r="G90" i="14"/>
  <c r="F90" i="14"/>
  <c r="E90" i="14"/>
  <c r="D90" i="14"/>
  <c r="C90" i="14"/>
  <c r="B90" i="14"/>
  <c r="M89" i="14"/>
  <c r="L89" i="14"/>
  <c r="K89" i="14"/>
  <c r="J89" i="14"/>
  <c r="I89" i="14"/>
  <c r="H89" i="14"/>
  <c r="G89" i="14"/>
  <c r="F89" i="14"/>
  <c r="E89" i="14"/>
  <c r="D89" i="14"/>
  <c r="C89" i="14"/>
  <c r="B89" i="14"/>
  <c r="M88" i="14"/>
  <c r="L88" i="14"/>
  <c r="K88" i="14"/>
  <c r="J88" i="14"/>
  <c r="I88" i="14"/>
  <c r="H88" i="14"/>
  <c r="G88" i="14"/>
  <c r="F88" i="14"/>
  <c r="E88" i="14"/>
  <c r="D88" i="14"/>
  <c r="C88" i="14"/>
  <c r="B88" i="14"/>
  <c r="M87" i="14"/>
  <c r="L87" i="14"/>
  <c r="K87" i="14"/>
  <c r="J87" i="14"/>
  <c r="I87" i="14"/>
  <c r="H87" i="14"/>
  <c r="G87" i="14"/>
  <c r="F87" i="14"/>
  <c r="E87" i="14"/>
  <c r="D87" i="14"/>
  <c r="C87" i="14"/>
  <c r="B87" i="14"/>
  <c r="M86" i="14"/>
  <c r="L86" i="14"/>
  <c r="K86" i="14"/>
  <c r="J86" i="14"/>
  <c r="I86" i="14"/>
  <c r="H86" i="14"/>
  <c r="G86" i="14"/>
  <c r="F86" i="14"/>
  <c r="E86" i="14"/>
  <c r="D86" i="14"/>
  <c r="C86" i="14"/>
  <c r="B86" i="14"/>
  <c r="M85" i="14"/>
  <c r="L85" i="14"/>
  <c r="K85" i="14"/>
  <c r="J85" i="14"/>
  <c r="I85" i="14"/>
  <c r="H85" i="14"/>
  <c r="G85" i="14"/>
  <c r="F85" i="14"/>
  <c r="E85" i="14"/>
  <c r="D85" i="14"/>
  <c r="C85" i="14"/>
  <c r="B85" i="14"/>
  <c r="M84" i="14"/>
  <c r="L84" i="14"/>
  <c r="K84" i="14"/>
  <c r="J84" i="14"/>
  <c r="I84" i="14"/>
  <c r="H84" i="14"/>
  <c r="G84" i="14"/>
  <c r="F84" i="14"/>
  <c r="E84" i="14"/>
  <c r="D84" i="14"/>
  <c r="C84" i="14"/>
  <c r="B84" i="14"/>
  <c r="M83" i="14"/>
  <c r="L83" i="14"/>
  <c r="K83" i="14"/>
  <c r="J83" i="14"/>
  <c r="I83" i="14"/>
  <c r="H83" i="14"/>
  <c r="G83" i="14"/>
  <c r="F83" i="14"/>
  <c r="E83" i="14"/>
  <c r="D83" i="14"/>
  <c r="C83" i="14"/>
  <c r="B83" i="14"/>
  <c r="M82" i="14"/>
  <c r="L82" i="14"/>
  <c r="K82" i="14"/>
  <c r="J82" i="14"/>
  <c r="I82" i="14"/>
  <c r="H82" i="14"/>
  <c r="G82" i="14"/>
  <c r="F82" i="14"/>
  <c r="E82" i="14"/>
  <c r="D82" i="14"/>
  <c r="C82" i="14"/>
  <c r="B82" i="14"/>
  <c r="M81" i="14"/>
  <c r="L81" i="14"/>
  <c r="K81" i="14"/>
  <c r="J81" i="14"/>
  <c r="I81" i="14"/>
  <c r="H81" i="14"/>
  <c r="G81" i="14"/>
  <c r="F81" i="14"/>
  <c r="E81" i="14"/>
  <c r="D81" i="14"/>
  <c r="C81" i="14"/>
  <c r="B81" i="14"/>
  <c r="M80" i="14"/>
  <c r="L80" i="14"/>
  <c r="K80" i="14"/>
  <c r="J80" i="14"/>
  <c r="I80" i="14"/>
  <c r="H80" i="14"/>
  <c r="G80" i="14"/>
  <c r="F80" i="14"/>
  <c r="E80" i="14"/>
  <c r="D80" i="14"/>
  <c r="C80" i="14"/>
  <c r="B80" i="14"/>
  <c r="M79" i="14"/>
  <c r="L79" i="14"/>
  <c r="K79" i="14"/>
  <c r="J79" i="14"/>
  <c r="I79" i="14"/>
  <c r="H79" i="14"/>
  <c r="G79" i="14"/>
  <c r="F79" i="14"/>
  <c r="E79" i="14"/>
  <c r="D79" i="14"/>
  <c r="C79" i="14"/>
  <c r="B79" i="14"/>
  <c r="M78" i="14"/>
  <c r="L78" i="14"/>
  <c r="K78" i="14"/>
  <c r="J78" i="14"/>
  <c r="I78" i="14"/>
  <c r="H78" i="14"/>
  <c r="G78" i="14"/>
  <c r="F78" i="14"/>
  <c r="E78" i="14"/>
  <c r="D78" i="14"/>
  <c r="C78" i="14"/>
  <c r="B78" i="14"/>
  <c r="M77" i="14"/>
  <c r="L77" i="14"/>
  <c r="K77" i="14"/>
  <c r="J77" i="14"/>
  <c r="I77" i="14"/>
  <c r="H77" i="14"/>
  <c r="G77" i="14"/>
  <c r="F77" i="14"/>
  <c r="E77" i="14"/>
  <c r="D77" i="14"/>
  <c r="C77" i="14"/>
  <c r="B77" i="14"/>
  <c r="M76" i="14"/>
  <c r="L76" i="14"/>
  <c r="K76" i="14"/>
  <c r="J76" i="14"/>
  <c r="I76" i="14"/>
  <c r="H76" i="14"/>
  <c r="G76" i="14"/>
  <c r="F76" i="14"/>
  <c r="E76" i="14"/>
  <c r="D76" i="14"/>
  <c r="C76" i="14"/>
  <c r="B76" i="14"/>
  <c r="M75" i="14"/>
  <c r="L75" i="14"/>
  <c r="K75" i="14"/>
  <c r="J75" i="14"/>
  <c r="I75" i="14"/>
  <c r="H75" i="14"/>
  <c r="G75" i="14"/>
  <c r="F75" i="14"/>
  <c r="E75" i="14"/>
  <c r="D75" i="14"/>
  <c r="C75" i="14"/>
  <c r="B75" i="14"/>
  <c r="M74" i="14"/>
  <c r="L74" i="14"/>
  <c r="K74" i="14"/>
  <c r="J74" i="14"/>
  <c r="I74" i="14"/>
  <c r="H74" i="14"/>
  <c r="G74" i="14"/>
  <c r="F74" i="14"/>
  <c r="E74" i="14"/>
  <c r="D74" i="14"/>
  <c r="C74" i="14"/>
  <c r="B74" i="14"/>
  <c r="M73" i="14"/>
  <c r="L73" i="14"/>
  <c r="K73" i="14"/>
  <c r="J73" i="14"/>
  <c r="I73" i="14"/>
  <c r="H73" i="14"/>
  <c r="G73" i="14"/>
  <c r="F73" i="14"/>
  <c r="E73" i="14"/>
  <c r="D73" i="14"/>
  <c r="C73" i="14"/>
  <c r="B73" i="14"/>
  <c r="M72" i="14"/>
  <c r="L72" i="14"/>
  <c r="K72" i="14"/>
  <c r="J72" i="14"/>
  <c r="I72" i="14"/>
  <c r="H72" i="14"/>
  <c r="G72" i="14"/>
  <c r="F72" i="14"/>
  <c r="E72" i="14"/>
  <c r="D72" i="14"/>
  <c r="C72" i="14"/>
  <c r="B72" i="14"/>
  <c r="M71" i="14"/>
  <c r="L71" i="14"/>
  <c r="K71" i="14"/>
  <c r="J71" i="14"/>
  <c r="I71" i="14"/>
  <c r="H71" i="14"/>
  <c r="G71" i="14"/>
  <c r="F71" i="14"/>
  <c r="E71" i="14"/>
  <c r="D71" i="14"/>
  <c r="C71" i="14"/>
  <c r="B71" i="14"/>
  <c r="M70" i="14"/>
  <c r="L70" i="14"/>
  <c r="K70" i="14"/>
  <c r="J70" i="14"/>
  <c r="I70" i="14"/>
  <c r="H70" i="14"/>
  <c r="G70" i="14"/>
  <c r="F70" i="14"/>
  <c r="E70" i="14"/>
  <c r="D70" i="14"/>
  <c r="C70" i="14"/>
  <c r="B70" i="14"/>
  <c r="M69" i="14"/>
  <c r="L69" i="14"/>
  <c r="K69" i="14"/>
  <c r="J69" i="14"/>
  <c r="I69" i="14"/>
  <c r="H69" i="14"/>
  <c r="G69" i="14"/>
  <c r="F69" i="14"/>
  <c r="E69" i="14"/>
  <c r="D69" i="14"/>
  <c r="C69" i="14"/>
  <c r="B69" i="14"/>
  <c r="M68" i="14"/>
  <c r="L68" i="14"/>
  <c r="K68" i="14"/>
  <c r="J68" i="14"/>
  <c r="I68" i="14"/>
  <c r="H68" i="14"/>
  <c r="G68" i="14"/>
  <c r="F68" i="14"/>
  <c r="E68" i="14"/>
  <c r="D68" i="14"/>
  <c r="C68" i="14"/>
  <c r="B68" i="14"/>
  <c r="M67" i="14"/>
  <c r="L67" i="14"/>
  <c r="K67" i="14"/>
  <c r="J67" i="14"/>
  <c r="I67" i="14"/>
  <c r="H67" i="14"/>
  <c r="G67" i="14"/>
  <c r="F67" i="14"/>
  <c r="E67" i="14"/>
  <c r="D67" i="14"/>
  <c r="C67" i="14"/>
  <c r="B67" i="14"/>
  <c r="M66" i="14"/>
  <c r="L66" i="14"/>
  <c r="K66" i="14"/>
  <c r="J66" i="14"/>
  <c r="I66" i="14"/>
  <c r="H66" i="14"/>
  <c r="G66" i="14"/>
  <c r="F66" i="14"/>
  <c r="E66" i="14"/>
  <c r="D66" i="14"/>
  <c r="C66" i="14"/>
  <c r="B66" i="14"/>
  <c r="M65" i="14"/>
  <c r="L65" i="14"/>
  <c r="K65" i="14"/>
  <c r="J65" i="14"/>
  <c r="I65" i="14"/>
  <c r="H65" i="14"/>
  <c r="G65" i="14"/>
  <c r="F65" i="14"/>
  <c r="E65" i="14"/>
  <c r="D65" i="14"/>
  <c r="C65" i="14"/>
  <c r="B65" i="14"/>
  <c r="M64" i="14"/>
  <c r="L64" i="14"/>
  <c r="K64" i="14"/>
  <c r="J64" i="14"/>
  <c r="I64" i="14"/>
  <c r="H64" i="14"/>
  <c r="G64" i="14"/>
  <c r="F64" i="14"/>
  <c r="E64" i="14"/>
  <c r="D64" i="14"/>
  <c r="C64" i="14"/>
  <c r="B64" i="14"/>
  <c r="M63" i="14"/>
  <c r="L63" i="14"/>
  <c r="K63" i="14"/>
  <c r="J63" i="14"/>
  <c r="I63" i="14"/>
  <c r="H63" i="14"/>
  <c r="G63" i="14"/>
  <c r="F63" i="14"/>
  <c r="E63" i="14"/>
  <c r="D63" i="14"/>
  <c r="C63" i="14"/>
  <c r="B63" i="14"/>
  <c r="M62" i="14"/>
  <c r="L62" i="14"/>
  <c r="K62" i="14"/>
  <c r="J62" i="14"/>
  <c r="I62" i="14"/>
  <c r="H62" i="14"/>
  <c r="G62" i="14"/>
  <c r="F62" i="14"/>
  <c r="E62" i="14"/>
  <c r="D62" i="14"/>
  <c r="C62" i="14"/>
  <c r="B62" i="14"/>
  <c r="M61" i="14"/>
  <c r="L61" i="14"/>
  <c r="K61" i="14"/>
  <c r="J61" i="14"/>
  <c r="I61" i="14"/>
  <c r="H61" i="14"/>
  <c r="G61" i="14"/>
  <c r="F61" i="14"/>
  <c r="E61" i="14"/>
  <c r="D61" i="14"/>
  <c r="C61" i="14"/>
  <c r="B61" i="14"/>
  <c r="M60" i="14"/>
  <c r="L60" i="14"/>
  <c r="K60" i="14"/>
  <c r="J60" i="14"/>
  <c r="I60" i="14"/>
  <c r="H60" i="14"/>
  <c r="G60" i="14"/>
  <c r="F60" i="14"/>
  <c r="E60" i="14"/>
  <c r="D60" i="14"/>
  <c r="C60" i="14"/>
  <c r="B60" i="14"/>
  <c r="M59" i="14"/>
  <c r="L59" i="14"/>
  <c r="K59" i="14"/>
  <c r="J59" i="14"/>
  <c r="I59" i="14"/>
  <c r="H59" i="14"/>
  <c r="G59" i="14"/>
  <c r="F59" i="14"/>
  <c r="E59" i="14"/>
  <c r="D59" i="14"/>
  <c r="C59" i="14"/>
  <c r="B59" i="14"/>
  <c r="M58" i="14"/>
  <c r="L58" i="14"/>
  <c r="K58" i="14"/>
  <c r="J58" i="14"/>
  <c r="I58" i="14"/>
  <c r="H58" i="14"/>
  <c r="G58" i="14"/>
  <c r="F58" i="14"/>
  <c r="E58" i="14"/>
  <c r="D58" i="14"/>
  <c r="C58" i="14"/>
  <c r="B58" i="14"/>
  <c r="M57" i="14"/>
  <c r="L57" i="14"/>
  <c r="K57" i="14"/>
  <c r="J57" i="14"/>
  <c r="I57" i="14"/>
  <c r="H57" i="14"/>
  <c r="G57" i="14"/>
  <c r="F57" i="14"/>
  <c r="E57" i="14"/>
  <c r="D57" i="14"/>
  <c r="C57" i="14"/>
  <c r="B57" i="14"/>
  <c r="M56" i="14"/>
  <c r="L56" i="14"/>
  <c r="K56" i="14"/>
  <c r="J56" i="14"/>
  <c r="I56" i="14"/>
  <c r="H56" i="14"/>
  <c r="G56" i="14"/>
  <c r="F56" i="14"/>
  <c r="E56" i="14"/>
  <c r="D56" i="14"/>
  <c r="C56" i="14"/>
  <c r="B56" i="14"/>
  <c r="M55" i="14"/>
  <c r="L55" i="14"/>
  <c r="K55" i="14"/>
  <c r="J55" i="14"/>
  <c r="I55" i="14"/>
  <c r="H55" i="14"/>
  <c r="G55" i="14"/>
  <c r="F55" i="14"/>
  <c r="E55" i="14"/>
  <c r="D55" i="14"/>
  <c r="C55" i="14"/>
  <c r="B55" i="14"/>
  <c r="M54" i="14"/>
  <c r="L54" i="14"/>
  <c r="K54" i="14"/>
  <c r="J54" i="14"/>
  <c r="I54" i="14"/>
  <c r="H54" i="14"/>
  <c r="G54" i="14"/>
  <c r="F54" i="14"/>
  <c r="E54" i="14"/>
  <c r="D54" i="14"/>
  <c r="C54" i="14"/>
  <c r="B54" i="14"/>
  <c r="M53" i="14"/>
  <c r="L53" i="14"/>
  <c r="K53" i="14"/>
  <c r="J53" i="14"/>
  <c r="I53" i="14"/>
  <c r="H53" i="14"/>
  <c r="G53" i="14"/>
  <c r="F53" i="14"/>
  <c r="E53" i="14"/>
  <c r="D53" i="14"/>
  <c r="C53" i="14"/>
  <c r="B53" i="14"/>
  <c r="M52" i="14"/>
  <c r="L52" i="14"/>
  <c r="K52" i="14"/>
  <c r="J52" i="14"/>
  <c r="I52" i="14"/>
  <c r="H52" i="14"/>
  <c r="G52" i="14"/>
  <c r="F52" i="14"/>
  <c r="E52" i="14"/>
  <c r="D52" i="14"/>
  <c r="C52" i="14"/>
  <c r="B52" i="14"/>
  <c r="M51" i="14"/>
  <c r="L51" i="14"/>
  <c r="K51" i="14"/>
  <c r="J51" i="14"/>
  <c r="I51" i="14"/>
  <c r="H51" i="14"/>
  <c r="G51" i="14"/>
  <c r="F51" i="14"/>
  <c r="E51" i="14"/>
  <c r="D51" i="14"/>
  <c r="C51" i="14"/>
  <c r="B51" i="14"/>
  <c r="M50" i="14"/>
  <c r="L50" i="14"/>
  <c r="K50" i="14"/>
  <c r="J50" i="14"/>
  <c r="I50" i="14"/>
  <c r="H50" i="14"/>
  <c r="G50" i="14"/>
  <c r="F50" i="14"/>
  <c r="E50" i="14"/>
  <c r="D50" i="14"/>
  <c r="C50" i="14"/>
  <c r="B50" i="14"/>
  <c r="M49" i="14"/>
  <c r="L49" i="14"/>
  <c r="K49" i="14"/>
  <c r="J49" i="14"/>
  <c r="I49" i="14"/>
  <c r="H49" i="14"/>
  <c r="G49" i="14"/>
  <c r="F49" i="14"/>
  <c r="E49" i="14"/>
  <c r="D49" i="14"/>
  <c r="C49" i="14"/>
  <c r="B49" i="14"/>
  <c r="M48" i="14"/>
  <c r="L48" i="14"/>
  <c r="K48" i="14"/>
  <c r="J48" i="14"/>
  <c r="I48" i="14"/>
  <c r="H48" i="14"/>
  <c r="G48" i="14"/>
  <c r="F48" i="14"/>
  <c r="E48" i="14"/>
  <c r="D48" i="14"/>
  <c r="C48" i="14"/>
  <c r="B48" i="14"/>
  <c r="M47" i="14"/>
  <c r="L47" i="14"/>
  <c r="K47" i="14"/>
  <c r="J47" i="14"/>
  <c r="I47" i="14"/>
  <c r="H47" i="14"/>
  <c r="G47" i="14"/>
  <c r="F47" i="14"/>
  <c r="E47" i="14"/>
  <c r="D47" i="14"/>
  <c r="C47" i="14"/>
  <c r="B47" i="14"/>
  <c r="M46" i="14"/>
  <c r="L46" i="14"/>
  <c r="K46" i="14"/>
  <c r="J46" i="14"/>
  <c r="I46" i="14"/>
  <c r="H46" i="14"/>
  <c r="G46" i="14"/>
  <c r="F46" i="14"/>
  <c r="E46" i="14"/>
  <c r="D46" i="14"/>
  <c r="C46" i="14"/>
  <c r="B46" i="14"/>
  <c r="M45" i="14"/>
  <c r="L45" i="14"/>
  <c r="K45" i="14"/>
  <c r="J45" i="14"/>
  <c r="I45" i="14"/>
  <c r="H45" i="14"/>
  <c r="G45" i="14"/>
  <c r="F45" i="14"/>
  <c r="E45" i="14"/>
  <c r="D45" i="14"/>
  <c r="C45" i="14"/>
  <c r="B45" i="14"/>
  <c r="M44" i="14"/>
  <c r="L44" i="14"/>
  <c r="K44" i="14"/>
  <c r="J44" i="14"/>
  <c r="I44" i="14"/>
  <c r="H44" i="14"/>
  <c r="G44" i="14"/>
  <c r="F44" i="14"/>
  <c r="E44" i="14"/>
  <c r="D44" i="14"/>
  <c r="C44" i="14"/>
  <c r="B44" i="14"/>
  <c r="M43" i="14"/>
  <c r="L43" i="14"/>
  <c r="K43" i="14"/>
  <c r="J43" i="14"/>
  <c r="I43" i="14"/>
  <c r="H43" i="14"/>
  <c r="G43" i="14"/>
  <c r="F43" i="14"/>
  <c r="E43" i="14"/>
  <c r="D43" i="14"/>
  <c r="C43" i="14"/>
  <c r="B43" i="14"/>
  <c r="M42" i="14"/>
  <c r="L42" i="14"/>
  <c r="K42" i="14"/>
  <c r="J42" i="14"/>
  <c r="I42" i="14"/>
  <c r="H42" i="14"/>
  <c r="G42" i="14"/>
  <c r="F42" i="14"/>
  <c r="E42" i="14"/>
  <c r="D42" i="14"/>
  <c r="C42" i="14"/>
  <c r="B42" i="14"/>
  <c r="M41" i="14"/>
  <c r="L41" i="14"/>
  <c r="K41" i="14"/>
  <c r="J41" i="14"/>
  <c r="I41" i="14"/>
  <c r="H41" i="14"/>
  <c r="G41" i="14"/>
  <c r="F41" i="14"/>
  <c r="E41" i="14"/>
  <c r="D41" i="14"/>
  <c r="C41" i="14"/>
  <c r="B41" i="14"/>
  <c r="M40" i="14"/>
  <c r="L40" i="14"/>
  <c r="K40" i="14"/>
  <c r="J40" i="14"/>
  <c r="I40" i="14"/>
  <c r="H40" i="14"/>
  <c r="G40" i="14"/>
  <c r="F40" i="14"/>
  <c r="E40" i="14"/>
  <c r="D40" i="14"/>
  <c r="C40" i="14"/>
  <c r="B40" i="14"/>
  <c r="M39" i="14"/>
  <c r="L39" i="14"/>
  <c r="K39" i="14"/>
  <c r="J39" i="14"/>
  <c r="I39" i="14"/>
  <c r="H39" i="14"/>
  <c r="G39" i="14"/>
  <c r="F39" i="14"/>
  <c r="E39" i="14"/>
  <c r="D39" i="14"/>
  <c r="C39" i="14"/>
  <c r="B39" i="14"/>
  <c r="M38" i="14"/>
  <c r="L38" i="14"/>
  <c r="K38" i="14"/>
  <c r="J38" i="14"/>
  <c r="I38" i="14"/>
  <c r="H38" i="14"/>
  <c r="G38" i="14"/>
  <c r="F38" i="14"/>
  <c r="E38" i="14"/>
  <c r="D38" i="14"/>
  <c r="C38" i="14"/>
  <c r="B38" i="14"/>
  <c r="M37" i="14"/>
  <c r="L37" i="14"/>
  <c r="K37" i="14"/>
  <c r="J37" i="14"/>
  <c r="I37" i="14"/>
  <c r="H37" i="14"/>
  <c r="G37" i="14"/>
  <c r="F37" i="14"/>
  <c r="E37" i="14"/>
  <c r="D37" i="14"/>
  <c r="C37" i="14"/>
  <c r="B37" i="14"/>
  <c r="M36" i="14"/>
  <c r="L36" i="14"/>
  <c r="K36" i="14"/>
  <c r="J36" i="14"/>
  <c r="I36" i="14"/>
  <c r="H36" i="14"/>
  <c r="G36" i="14"/>
  <c r="F36" i="14"/>
  <c r="E36" i="14"/>
  <c r="D36" i="14"/>
  <c r="C36" i="14"/>
  <c r="B36" i="14"/>
  <c r="M35" i="14"/>
  <c r="L35" i="14"/>
  <c r="K35" i="14"/>
  <c r="J35" i="14"/>
  <c r="I35" i="14"/>
  <c r="H35" i="14"/>
  <c r="G35" i="14"/>
  <c r="F35" i="14"/>
  <c r="E35" i="14"/>
  <c r="D35" i="14"/>
  <c r="C35" i="14"/>
  <c r="B35" i="14"/>
  <c r="M34" i="14"/>
  <c r="L34" i="14"/>
  <c r="K34" i="14"/>
  <c r="J34" i="14"/>
  <c r="I34" i="14"/>
  <c r="H34" i="14"/>
  <c r="G34" i="14"/>
  <c r="F34" i="14"/>
  <c r="E34" i="14"/>
  <c r="D34" i="14"/>
  <c r="C34" i="14"/>
  <c r="B34" i="14"/>
  <c r="M33" i="14"/>
  <c r="L33" i="14"/>
  <c r="K33" i="14"/>
  <c r="J33" i="14"/>
  <c r="I33" i="14"/>
  <c r="H33" i="14"/>
  <c r="G33" i="14"/>
  <c r="F33" i="14"/>
  <c r="E33" i="14"/>
  <c r="D33" i="14"/>
  <c r="C33" i="14"/>
  <c r="B33" i="14"/>
  <c r="M32" i="14"/>
  <c r="L32" i="14"/>
  <c r="K32" i="14"/>
  <c r="J32" i="14"/>
  <c r="I32" i="14"/>
  <c r="H32" i="14"/>
  <c r="G32" i="14"/>
  <c r="F32" i="14"/>
  <c r="E32" i="14"/>
  <c r="D32" i="14"/>
  <c r="C32" i="14"/>
  <c r="B32" i="14"/>
  <c r="M31" i="14"/>
  <c r="L31" i="14"/>
  <c r="K31" i="14"/>
  <c r="J31" i="14"/>
  <c r="I31" i="14"/>
  <c r="H31" i="14"/>
  <c r="G31" i="14"/>
  <c r="F31" i="14"/>
  <c r="E31" i="14"/>
  <c r="D31" i="14"/>
  <c r="C31" i="14"/>
  <c r="B31" i="14"/>
  <c r="M30" i="14"/>
  <c r="L30" i="14"/>
  <c r="K30" i="14"/>
  <c r="J30" i="14"/>
  <c r="I30" i="14"/>
  <c r="H30" i="14"/>
  <c r="G30" i="14"/>
  <c r="F30" i="14"/>
  <c r="E30" i="14"/>
  <c r="D30" i="14"/>
  <c r="C30" i="14"/>
  <c r="B30" i="14"/>
  <c r="M29" i="14"/>
  <c r="L29" i="14"/>
  <c r="K29" i="14"/>
  <c r="J29" i="14"/>
  <c r="I29" i="14"/>
  <c r="H29" i="14"/>
  <c r="G29" i="14"/>
  <c r="F29" i="14"/>
  <c r="E29" i="14"/>
  <c r="D29" i="14"/>
  <c r="C29" i="14"/>
  <c r="B29" i="14"/>
  <c r="M28" i="14"/>
  <c r="L28" i="14"/>
  <c r="K28" i="14"/>
  <c r="J28" i="14"/>
  <c r="I28" i="14"/>
  <c r="H28" i="14"/>
  <c r="G28" i="14"/>
  <c r="F28" i="14"/>
  <c r="E28" i="14"/>
  <c r="D28" i="14"/>
  <c r="C28" i="14"/>
  <c r="B28" i="14"/>
  <c r="M27" i="14"/>
  <c r="L27" i="14"/>
  <c r="K27" i="14"/>
  <c r="J27" i="14"/>
  <c r="I27" i="14"/>
  <c r="H27" i="14"/>
  <c r="G27" i="14"/>
  <c r="F27" i="14"/>
  <c r="E27" i="14"/>
  <c r="D27" i="14"/>
  <c r="C27" i="14"/>
  <c r="B27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M25" i="14"/>
  <c r="L25" i="14"/>
  <c r="K25" i="14"/>
  <c r="J25" i="14"/>
  <c r="I25" i="14"/>
  <c r="H25" i="14"/>
  <c r="G25" i="14"/>
  <c r="F25" i="14"/>
  <c r="E25" i="14"/>
  <c r="D25" i="14"/>
  <c r="C25" i="14"/>
  <c r="B25" i="14"/>
  <c r="M24" i="14"/>
  <c r="L24" i="14"/>
  <c r="K24" i="14"/>
  <c r="J24" i="14"/>
  <c r="I24" i="14"/>
  <c r="H24" i="14"/>
  <c r="G24" i="14"/>
  <c r="F24" i="14"/>
  <c r="E24" i="14"/>
  <c r="D24" i="14"/>
  <c r="C24" i="14"/>
  <c r="B24" i="14"/>
  <c r="M23" i="14"/>
  <c r="L23" i="14"/>
  <c r="K23" i="14"/>
  <c r="J23" i="14"/>
  <c r="I23" i="14"/>
  <c r="H23" i="14"/>
  <c r="G23" i="14"/>
  <c r="F23" i="14"/>
  <c r="E23" i="14"/>
  <c r="D23" i="14"/>
  <c r="C23" i="14"/>
  <c r="B23" i="14"/>
  <c r="M22" i="14"/>
  <c r="L22" i="14"/>
  <c r="K22" i="14"/>
  <c r="J22" i="14"/>
  <c r="I22" i="14"/>
  <c r="H22" i="14"/>
  <c r="G22" i="14"/>
  <c r="F22" i="14"/>
  <c r="E22" i="14"/>
  <c r="D22" i="14"/>
  <c r="C22" i="14"/>
  <c r="B22" i="14"/>
  <c r="M21" i="14"/>
  <c r="L21" i="14"/>
  <c r="K21" i="14"/>
  <c r="J21" i="14"/>
  <c r="I21" i="14"/>
  <c r="H21" i="14"/>
  <c r="G21" i="14"/>
  <c r="F21" i="14"/>
  <c r="E21" i="14"/>
  <c r="D21" i="14"/>
  <c r="C21" i="14"/>
  <c r="B21" i="14"/>
  <c r="M20" i="14"/>
  <c r="L20" i="14"/>
  <c r="K20" i="14"/>
  <c r="J20" i="14"/>
  <c r="I20" i="14"/>
  <c r="H20" i="14"/>
  <c r="G20" i="14"/>
  <c r="F20" i="14"/>
  <c r="E20" i="14"/>
  <c r="D20" i="14"/>
  <c r="C20" i="14"/>
  <c r="B20" i="14"/>
  <c r="M19" i="14"/>
  <c r="L19" i="14"/>
  <c r="K19" i="14"/>
  <c r="J19" i="14"/>
  <c r="I19" i="14"/>
  <c r="H19" i="14"/>
  <c r="G19" i="14"/>
  <c r="F19" i="14"/>
  <c r="E19" i="14"/>
  <c r="D19" i="14"/>
  <c r="C19" i="14"/>
  <c r="B19" i="14"/>
  <c r="M18" i="14"/>
  <c r="L18" i="14"/>
  <c r="K18" i="14"/>
  <c r="J18" i="14"/>
  <c r="I18" i="14"/>
  <c r="H18" i="14"/>
  <c r="G18" i="14"/>
  <c r="F18" i="14"/>
  <c r="E18" i="14"/>
  <c r="D18" i="14"/>
  <c r="C18" i="14"/>
  <c r="B18" i="14"/>
  <c r="M17" i="14"/>
  <c r="L17" i="14"/>
  <c r="K17" i="14"/>
  <c r="J17" i="14"/>
  <c r="I17" i="14"/>
  <c r="H17" i="14"/>
  <c r="G17" i="14"/>
  <c r="F17" i="14"/>
  <c r="E17" i="14"/>
  <c r="D17" i="14"/>
  <c r="C17" i="14"/>
  <c r="B17" i="14"/>
  <c r="M16" i="14"/>
  <c r="L16" i="14"/>
  <c r="K16" i="14"/>
  <c r="J16" i="14"/>
  <c r="I16" i="14"/>
  <c r="H16" i="14"/>
  <c r="G16" i="14"/>
  <c r="F16" i="14"/>
  <c r="E16" i="14"/>
  <c r="D16" i="14"/>
  <c r="C16" i="14"/>
  <c r="B16" i="14"/>
  <c r="M15" i="14"/>
  <c r="L15" i="14"/>
  <c r="K15" i="14"/>
  <c r="J15" i="14"/>
  <c r="I15" i="14"/>
  <c r="H15" i="14"/>
  <c r="G15" i="14"/>
  <c r="F15" i="14"/>
  <c r="E15" i="14"/>
  <c r="D15" i="14"/>
  <c r="C15" i="14"/>
  <c r="B15" i="14"/>
  <c r="M14" i="14"/>
  <c r="L14" i="14"/>
  <c r="K14" i="14"/>
  <c r="J14" i="14"/>
  <c r="I14" i="14"/>
  <c r="H14" i="14"/>
  <c r="G14" i="14"/>
  <c r="F14" i="14"/>
  <c r="E14" i="14"/>
  <c r="D14" i="14"/>
  <c r="C14" i="14"/>
  <c r="B14" i="14"/>
  <c r="M13" i="14"/>
  <c r="L13" i="14"/>
  <c r="K13" i="14"/>
  <c r="J13" i="14"/>
  <c r="I13" i="14"/>
  <c r="H13" i="14"/>
  <c r="G13" i="14"/>
  <c r="F13" i="14"/>
  <c r="E13" i="14"/>
  <c r="D13" i="14"/>
  <c r="C13" i="14"/>
  <c r="B13" i="14"/>
  <c r="M12" i="14"/>
  <c r="L12" i="14"/>
  <c r="K12" i="14"/>
  <c r="J12" i="14"/>
  <c r="I12" i="14"/>
  <c r="H12" i="14"/>
  <c r="G12" i="14"/>
  <c r="F12" i="14"/>
  <c r="E12" i="14"/>
  <c r="D12" i="14"/>
  <c r="C12" i="14"/>
  <c r="B12" i="14"/>
  <c r="M11" i="14"/>
  <c r="L11" i="14"/>
  <c r="K11" i="14"/>
  <c r="J11" i="14"/>
  <c r="I11" i="14"/>
  <c r="H11" i="14"/>
  <c r="G11" i="14"/>
  <c r="F11" i="14"/>
  <c r="E11" i="14"/>
  <c r="D11" i="14"/>
  <c r="C11" i="14"/>
  <c r="B11" i="14"/>
  <c r="M10" i="14"/>
  <c r="L10" i="14"/>
  <c r="K10" i="14"/>
  <c r="J10" i="14"/>
  <c r="I10" i="14"/>
  <c r="H10" i="14"/>
  <c r="G10" i="14"/>
  <c r="F10" i="14"/>
  <c r="E10" i="14"/>
  <c r="D10" i="14"/>
  <c r="C10" i="14"/>
  <c r="B10" i="14"/>
  <c r="M9" i="14"/>
  <c r="L9" i="14"/>
  <c r="K9" i="14"/>
  <c r="J9" i="14"/>
  <c r="I9" i="14"/>
  <c r="H9" i="14"/>
  <c r="G9" i="14"/>
  <c r="F9" i="14"/>
  <c r="E9" i="14"/>
  <c r="D9" i="14"/>
  <c r="C9" i="14"/>
  <c r="B9" i="14"/>
  <c r="M8" i="14"/>
  <c r="L8" i="14"/>
  <c r="K8" i="14"/>
  <c r="J8" i="14"/>
  <c r="I8" i="14"/>
  <c r="H8" i="14"/>
  <c r="G8" i="14"/>
  <c r="F8" i="14"/>
  <c r="E8" i="14"/>
  <c r="D8" i="14"/>
  <c r="C8" i="14"/>
  <c r="B8" i="14"/>
  <c r="M7" i="14"/>
  <c r="L7" i="14"/>
  <c r="K7" i="14"/>
  <c r="J7" i="14"/>
  <c r="I7" i="14"/>
  <c r="H7" i="14"/>
  <c r="G7" i="14"/>
  <c r="F7" i="14"/>
  <c r="E7" i="14"/>
  <c r="D7" i="14"/>
  <c r="C7" i="14"/>
  <c r="B7" i="14"/>
  <c r="M6" i="14"/>
  <c r="L6" i="14"/>
  <c r="K6" i="14"/>
  <c r="J6" i="14"/>
  <c r="I6" i="14"/>
  <c r="H6" i="14"/>
  <c r="G6" i="14"/>
  <c r="F6" i="14"/>
  <c r="E6" i="14"/>
  <c r="D6" i="14"/>
  <c r="C6" i="14"/>
  <c r="B6" i="14"/>
  <c r="M5" i="14"/>
  <c r="L5" i="14"/>
  <c r="K5" i="14"/>
  <c r="J5" i="14"/>
  <c r="I5" i="14"/>
  <c r="H5" i="14"/>
  <c r="G5" i="14"/>
  <c r="F5" i="14"/>
  <c r="E5" i="14"/>
  <c r="D5" i="14"/>
  <c r="C5" i="14"/>
  <c r="B5" i="14"/>
  <c r="M4" i="14"/>
  <c r="L4" i="14"/>
  <c r="K4" i="14"/>
  <c r="J4" i="14"/>
  <c r="I4" i="14"/>
  <c r="H4" i="14"/>
  <c r="G4" i="14"/>
  <c r="F4" i="14"/>
  <c r="E4" i="14"/>
  <c r="D4" i="14"/>
  <c r="C4" i="14"/>
  <c r="B4" i="14"/>
  <c r="M3" i="14"/>
  <c r="L3" i="14"/>
  <c r="K3" i="14"/>
  <c r="J3" i="14"/>
  <c r="I3" i="14"/>
  <c r="H3" i="14"/>
  <c r="G3" i="14"/>
  <c r="F3" i="14"/>
  <c r="E3" i="14"/>
  <c r="D3" i="14"/>
  <c r="C3" i="14"/>
  <c r="B3" i="14"/>
  <c r="AC113" i="60" l="1"/>
  <c r="AC123" i="60"/>
  <c r="AC87" i="60"/>
  <c r="AC73" i="60"/>
  <c r="Y59" i="60"/>
  <c r="AC59" i="60" s="1"/>
  <c r="AC171" i="60"/>
  <c r="AC170" i="60"/>
  <c r="AC169" i="60"/>
  <c r="AC168" i="60"/>
  <c r="AC167" i="60"/>
  <c r="AC166" i="60"/>
  <c r="AC164" i="60"/>
  <c r="AC163" i="60"/>
  <c r="AC162" i="60"/>
  <c r="AC161" i="60"/>
  <c r="AC160" i="60"/>
  <c r="AC159" i="60"/>
  <c r="AC158" i="60"/>
  <c r="AC157" i="60"/>
  <c r="AC156" i="60"/>
  <c r="AC155" i="60"/>
  <c r="AC154" i="60"/>
  <c r="O6" i="8" l="1"/>
  <c r="P6" i="8"/>
  <c r="O5" i="8"/>
  <c r="P5" i="8"/>
  <c r="Q5" i="8"/>
  <c r="R5" i="8"/>
  <c r="S5" i="8"/>
  <c r="T5" i="8"/>
  <c r="O4" i="8"/>
  <c r="P4" i="8"/>
  <c r="Q4" i="8"/>
  <c r="R4" i="8"/>
  <c r="S4" i="8"/>
  <c r="T4" i="8"/>
  <c r="V5" i="8" l="1"/>
  <c r="P7" i="8"/>
  <c r="V4" i="8"/>
  <c r="F5" i="50"/>
  <c r="G5" i="50"/>
  <c r="H5" i="50"/>
  <c r="I5" i="50"/>
  <c r="J5" i="50"/>
  <c r="F6" i="50"/>
  <c r="G6" i="50"/>
  <c r="H6" i="50"/>
  <c r="I6" i="50"/>
  <c r="J6" i="50"/>
  <c r="F7" i="50"/>
  <c r="G7" i="50"/>
  <c r="H7" i="50"/>
  <c r="I7" i="50"/>
  <c r="J7" i="50"/>
  <c r="F8" i="50"/>
  <c r="G8" i="50"/>
  <c r="H8" i="50"/>
  <c r="I8" i="50"/>
  <c r="J8" i="50"/>
  <c r="F9" i="50"/>
  <c r="G9" i="50"/>
  <c r="H9" i="50"/>
  <c r="I9" i="50"/>
  <c r="J9" i="50"/>
  <c r="AJ171" i="14" l="1"/>
  <c r="AI171" i="14"/>
  <c r="AH171" i="14"/>
  <c r="AG171" i="14"/>
  <c r="AF171" i="14"/>
  <c r="U171" i="14"/>
  <c r="U169" i="14"/>
  <c r="AG154" i="14"/>
  <c r="AF154" i="14"/>
  <c r="AJ154" i="14"/>
  <c r="AI154" i="14"/>
  <c r="AH154" i="14"/>
  <c r="U154" i="14"/>
  <c r="AJ123" i="14"/>
  <c r="AI123" i="14"/>
  <c r="AH123" i="14"/>
  <c r="AG123" i="14"/>
  <c r="AF123" i="14"/>
  <c r="AE123" i="14"/>
  <c r="U123" i="14"/>
  <c r="U93" i="14"/>
  <c r="AH87" i="14"/>
  <c r="AG87" i="14"/>
  <c r="AF87" i="14"/>
  <c r="U87" i="14"/>
  <c r="AI73" i="14"/>
  <c r="AH73" i="14"/>
  <c r="AG73" i="14"/>
  <c r="AF73" i="14"/>
  <c r="U73" i="14"/>
  <c r="AI59" i="14"/>
  <c r="AH59" i="14"/>
  <c r="AG59" i="14"/>
  <c r="AF59" i="14"/>
  <c r="AE59" i="14"/>
  <c r="U59" i="14"/>
  <c r="AH44" i="14"/>
  <c r="AG44" i="14"/>
  <c r="AC35" i="14"/>
  <c r="U7" i="14"/>
  <c r="AK44" i="14" l="1"/>
  <c r="AK123" i="14"/>
  <c r="AK73" i="14"/>
  <c r="AK171" i="14"/>
  <c r="AK87" i="14"/>
  <c r="AK59" i="14"/>
  <c r="AK154" i="14"/>
  <c r="AC220" i="60"/>
  <c r="AC218" i="60"/>
  <c r="AC217" i="60"/>
  <c r="AC216" i="60"/>
  <c r="AC215" i="60"/>
  <c r="AC214" i="60"/>
  <c r="AC213" i="60"/>
  <c r="AC212" i="60"/>
  <c r="AC211" i="60"/>
  <c r="AC210" i="60"/>
  <c r="AC209" i="60"/>
  <c r="AC208" i="60"/>
  <c r="AC205" i="60"/>
  <c r="AC204" i="60"/>
  <c r="AC203" i="60"/>
  <c r="AC202" i="60"/>
  <c r="U219" i="14"/>
  <c r="U220" i="14"/>
  <c r="U218" i="14"/>
  <c r="U217" i="14"/>
  <c r="U216" i="14"/>
  <c r="U215" i="14"/>
  <c r="U214" i="14"/>
  <c r="U213" i="14"/>
  <c r="U212" i="14"/>
  <c r="U211" i="14"/>
  <c r="U210" i="14"/>
  <c r="U209" i="14"/>
  <c r="U208" i="14"/>
  <c r="U205" i="14"/>
  <c r="U204" i="14"/>
  <c r="U203" i="14"/>
  <c r="AC203" i="14"/>
  <c r="AC217" i="14"/>
  <c r="AJ217" i="14"/>
  <c r="AI217" i="14"/>
  <c r="AH217" i="14"/>
  <c r="AG217" i="14"/>
  <c r="AF217" i="14"/>
  <c r="AJ203" i="14"/>
  <c r="AI203" i="14"/>
  <c r="AH203" i="14"/>
  <c r="AG203" i="14"/>
  <c r="AF203" i="14"/>
  <c r="AK217" i="14" l="1"/>
  <c r="AK203" i="14"/>
  <c r="S223" i="60" l="1"/>
  <c r="S222" i="60"/>
  <c r="S59" i="60"/>
  <c r="S24" i="60"/>
  <c r="S23" i="60"/>
  <c r="S22" i="60"/>
  <c r="S21" i="60"/>
  <c r="S20" i="60"/>
  <c r="S19" i="60"/>
  <c r="S18" i="60"/>
  <c r="S17" i="60"/>
  <c r="S16" i="60"/>
  <c r="S15" i="60"/>
  <c r="S14" i="60"/>
  <c r="S13" i="60"/>
  <c r="S12" i="60"/>
  <c r="S11" i="60"/>
  <c r="S10" i="60"/>
  <c r="S9" i="60"/>
  <c r="S8" i="60"/>
  <c r="S7" i="60"/>
  <c r="S6" i="60"/>
  <c r="S5" i="60"/>
  <c r="S4" i="60"/>
  <c r="S3" i="60"/>
  <c r="S2" i="60"/>
  <c r="AC206" i="60"/>
  <c r="Y223" i="60"/>
  <c r="AC223" i="60" s="1"/>
  <c r="Y222" i="60"/>
  <c r="AC222" i="60" s="1"/>
  <c r="AC207" i="60"/>
  <c r="AC219" i="60"/>
  <c r="AC201" i="60"/>
  <c r="AC200" i="60"/>
  <c r="AC199" i="60"/>
  <c r="AC197" i="60"/>
  <c r="AC196" i="60"/>
  <c r="AC195" i="60"/>
  <c r="AC194" i="60"/>
  <c r="AC193" i="60"/>
  <c r="AC192" i="60"/>
  <c r="AC191" i="60"/>
  <c r="AC190" i="60"/>
  <c r="AC189" i="60"/>
  <c r="AC188" i="60"/>
  <c r="AC187" i="60"/>
  <c r="AC186" i="60"/>
  <c r="AC185" i="60"/>
  <c r="AC184" i="60"/>
  <c r="AC183" i="60"/>
  <c r="AC182" i="60"/>
  <c r="AC181" i="60"/>
  <c r="AC180" i="60"/>
  <c r="AC179" i="60"/>
  <c r="AC178" i="60"/>
  <c r="AC177" i="60"/>
  <c r="AC176" i="60"/>
  <c r="AC175" i="60"/>
  <c r="AC174" i="60"/>
  <c r="AC173" i="60"/>
  <c r="AC172" i="60"/>
  <c r="AC153" i="60"/>
  <c r="AC152" i="60"/>
  <c r="AC151" i="60"/>
  <c r="AC150" i="60"/>
  <c r="AC149" i="60"/>
  <c r="AC148" i="60"/>
  <c r="AC147" i="60"/>
  <c r="AC146" i="60"/>
  <c r="AC145" i="60"/>
  <c r="AC144" i="60"/>
  <c r="AC143" i="60"/>
  <c r="AC142" i="60"/>
  <c r="AC141" i="60"/>
  <c r="AC140" i="60"/>
  <c r="AC139" i="60"/>
  <c r="AC138" i="60"/>
  <c r="AC137" i="60"/>
  <c r="AC136" i="60"/>
  <c r="AC135" i="60"/>
  <c r="AC134" i="60"/>
  <c r="AC133" i="60"/>
  <c r="AC132" i="60"/>
  <c r="AC131" i="60"/>
  <c r="AC130" i="60"/>
  <c r="AC129" i="60"/>
  <c r="AC128" i="60"/>
  <c r="AC127" i="60"/>
  <c r="AC126" i="60"/>
  <c r="AC125" i="60"/>
  <c r="AC124" i="60"/>
  <c r="AC122" i="60"/>
  <c r="AC121" i="60"/>
  <c r="AC120" i="60"/>
  <c r="AC119" i="60"/>
  <c r="AC118" i="60"/>
  <c r="AC117" i="60"/>
  <c r="AC116" i="60"/>
  <c r="AC115" i="60"/>
  <c r="AC112" i="60"/>
  <c r="AC111" i="60"/>
  <c r="AC110" i="60"/>
  <c r="AC109" i="60"/>
  <c r="AC108" i="60"/>
  <c r="AC107" i="60"/>
  <c r="AC106" i="60"/>
  <c r="AC105" i="60"/>
  <c r="AC104" i="60"/>
  <c r="AC103" i="60"/>
  <c r="AC102" i="60"/>
  <c r="AC101" i="60"/>
  <c r="AC100" i="60"/>
  <c r="AC99" i="60"/>
  <c r="AC98" i="60"/>
  <c r="AC97" i="60"/>
  <c r="AC96" i="60"/>
  <c r="AC95" i="60"/>
  <c r="AC94" i="60"/>
  <c r="AC93" i="60"/>
  <c r="AC92" i="60"/>
  <c r="AC91" i="60"/>
  <c r="AC90" i="60"/>
  <c r="AC89" i="60"/>
  <c r="AC88" i="60"/>
  <c r="AC86" i="60"/>
  <c r="AC85" i="60"/>
  <c r="AC84" i="60"/>
  <c r="AC83" i="60"/>
  <c r="AC82" i="60"/>
  <c r="AC81" i="60"/>
  <c r="AC80" i="60"/>
  <c r="AC79" i="60"/>
  <c r="AC78" i="60"/>
  <c r="AC77" i="60"/>
  <c r="AC76" i="60"/>
  <c r="AC75" i="60"/>
  <c r="AC74" i="60"/>
  <c r="AC72" i="60"/>
  <c r="AC71" i="60"/>
  <c r="AC70" i="60"/>
  <c r="AC69" i="60"/>
  <c r="AC68" i="60"/>
  <c r="AC67" i="60"/>
  <c r="AC66" i="60"/>
  <c r="AC65" i="60"/>
  <c r="AC64" i="60"/>
  <c r="AC63" i="60"/>
  <c r="AC62" i="60"/>
  <c r="AC61" i="60"/>
  <c r="AC60" i="60"/>
  <c r="AC58" i="60"/>
  <c r="AC57" i="60"/>
  <c r="AC56" i="60"/>
  <c r="AC55" i="60"/>
  <c r="AC54" i="60"/>
  <c r="AC52" i="60"/>
  <c r="AC51" i="60"/>
  <c r="AC50" i="60"/>
  <c r="AC49" i="60"/>
  <c r="AC48" i="60"/>
  <c r="AC47" i="60"/>
  <c r="AC46" i="60"/>
  <c r="AC45" i="60"/>
  <c r="AC44" i="60"/>
  <c r="AC43" i="60"/>
  <c r="AC42" i="60"/>
  <c r="AC41" i="60"/>
  <c r="AC40" i="60"/>
  <c r="AC39" i="60"/>
  <c r="AC38" i="60"/>
  <c r="AC37" i="60"/>
  <c r="AC36" i="60"/>
  <c r="AC35" i="60"/>
  <c r="Y24" i="60"/>
  <c r="Y23" i="60"/>
  <c r="Y22" i="60"/>
  <c r="Y21" i="60"/>
  <c r="Y20" i="60"/>
  <c r="Y19" i="60"/>
  <c r="Y18" i="60"/>
  <c r="Y17" i="60"/>
  <c r="Y16" i="60"/>
  <c r="Y15" i="60"/>
  <c r="Y14" i="60"/>
  <c r="Y13" i="60"/>
  <c r="Y12" i="60"/>
  <c r="Y11" i="60"/>
  <c r="Y10" i="60"/>
  <c r="Y9" i="60"/>
  <c r="Y8" i="60"/>
  <c r="Y7" i="60"/>
  <c r="Y6" i="60"/>
  <c r="Y5" i="60"/>
  <c r="Y4" i="60"/>
  <c r="Y3" i="60"/>
  <c r="Y2" i="60"/>
  <c r="M2" i="60"/>
  <c r="L2" i="60"/>
  <c r="K2" i="60"/>
  <c r="J2" i="60"/>
  <c r="I2" i="60"/>
  <c r="H2" i="60"/>
  <c r="G2" i="60"/>
  <c r="F2" i="60"/>
  <c r="E2" i="60"/>
  <c r="D2" i="60"/>
  <c r="C2" i="60"/>
  <c r="B2" i="60"/>
  <c r="AC185" i="14" l="1"/>
  <c r="U185" i="14"/>
  <c r="AJ169" i="14"/>
  <c r="AI169" i="14"/>
  <c r="AH169" i="14"/>
  <c r="AG169" i="14"/>
  <c r="AF169" i="14"/>
  <c r="AJ185" i="14"/>
  <c r="AI185" i="14"/>
  <c r="AH185" i="14"/>
  <c r="AG185" i="14"/>
  <c r="AF185" i="14"/>
  <c r="AI62" i="14"/>
  <c r="AH62" i="14"/>
  <c r="AG62" i="14"/>
  <c r="U62" i="14"/>
  <c r="AK62" i="14" l="1"/>
  <c r="AK169" i="14"/>
  <c r="AK185" i="14"/>
  <c r="AF196" i="14"/>
  <c r="AE196" i="14"/>
  <c r="AG7" i="14" l="1"/>
  <c r="AK7" i="14" l="1"/>
  <c r="N8" i="52"/>
  <c r="M8" i="52" s="1"/>
  <c r="AH93" i="14" l="1"/>
  <c r="AG93" i="14"/>
  <c r="AF93" i="14"/>
  <c r="AE93" i="14"/>
  <c r="AK93" i="14" l="1"/>
  <c r="AC128" i="14" l="1"/>
  <c r="U128" i="14"/>
  <c r="AJ128" i="14"/>
  <c r="AI128" i="14"/>
  <c r="AH128" i="14"/>
  <c r="AG128" i="14"/>
  <c r="AF128" i="14"/>
  <c r="AK128" i="14" l="1"/>
  <c r="Q7" i="50"/>
  <c r="R7" i="50"/>
  <c r="S7" i="50"/>
  <c r="T7" i="50"/>
  <c r="AA5" i="50"/>
  <c r="AB5" i="50"/>
  <c r="AC5" i="50"/>
  <c r="AD5" i="50"/>
  <c r="AA6" i="50"/>
  <c r="AB6" i="50"/>
  <c r="AC6" i="50"/>
  <c r="AD6" i="50"/>
  <c r="AA7" i="50"/>
  <c r="AB7" i="50"/>
  <c r="AC7" i="50"/>
  <c r="AD7" i="50"/>
  <c r="AA8" i="50"/>
  <c r="AB8" i="50"/>
  <c r="AC8" i="50"/>
  <c r="AD8" i="50"/>
  <c r="AA9" i="50"/>
  <c r="AB9" i="50"/>
  <c r="AC9" i="50"/>
  <c r="AD9" i="50"/>
  <c r="V5" i="50"/>
  <c r="W5" i="50"/>
  <c r="X5" i="50"/>
  <c r="Y5" i="50"/>
  <c r="V6" i="50"/>
  <c r="W6" i="50"/>
  <c r="X6" i="50"/>
  <c r="Y6" i="50"/>
  <c r="V7" i="50"/>
  <c r="W7" i="50"/>
  <c r="X7" i="50"/>
  <c r="Y7" i="50"/>
  <c r="V8" i="50"/>
  <c r="W8" i="50"/>
  <c r="X8" i="50"/>
  <c r="Y8" i="50"/>
  <c r="V9" i="50"/>
  <c r="W9" i="50"/>
  <c r="X9" i="50"/>
  <c r="Y9" i="50"/>
  <c r="L5" i="50"/>
  <c r="M5" i="50"/>
  <c r="N5" i="50"/>
  <c r="O5" i="50"/>
  <c r="L6" i="50"/>
  <c r="M6" i="50"/>
  <c r="N6" i="50"/>
  <c r="O6" i="50"/>
  <c r="L7" i="50"/>
  <c r="M7" i="50"/>
  <c r="N7" i="50"/>
  <c r="O7" i="50"/>
  <c r="L8" i="50"/>
  <c r="M8" i="50"/>
  <c r="N8" i="50"/>
  <c r="O8" i="50"/>
  <c r="L9" i="50"/>
  <c r="M9" i="50"/>
  <c r="N9" i="50"/>
  <c r="O9" i="50"/>
  <c r="D26" i="8" l="1"/>
  <c r="E26" i="8"/>
  <c r="F26" i="8"/>
  <c r="G26" i="8"/>
  <c r="H26" i="8"/>
  <c r="I26" i="8"/>
  <c r="D27" i="8"/>
  <c r="E27" i="8"/>
  <c r="F27" i="8"/>
  <c r="G27" i="8"/>
  <c r="H27" i="8"/>
  <c r="I27" i="8"/>
  <c r="D15" i="8"/>
  <c r="E15" i="8"/>
  <c r="F15" i="8"/>
  <c r="G15" i="8"/>
  <c r="H15" i="8"/>
  <c r="I15" i="8"/>
  <c r="D16" i="8"/>
  <c r="E16" i="8"/>
  <c r="F16" i="8"/>
  <c r="G16" i="8"/>
  <c r="H16" i="8"/>
  <c r="I16" i="8"/>
  <c r="K16" i="8" l="1"/>
  <c r="K26" i="8"/>
  <c r="K27" i="8"/>
  <c r="K15" i="8"/>
  <c r="D4" i="8"/>
  <c r="E4" i="8"/>
  <c r="F4" i="8"/>
  <c r="G4" i="8"/>
  <c r="H4" i="8"/>
  <c r="I4" i="8"/>
  <c r="D5" i="8"/>
  <c r="E5" i="8"/>
  <c r="F5" i="8"/>
  <c r="G5" i="8"/>
  <c r="H5" i="8"/>
  <c r="I5" i="8"/>
  <c r="K5" i="8" l="1"/>
  <c r="K4" i="8"/>
  <c r="AC10" i="52" l="1"/>
  <c r="AB10" i="52"/>
  <c r="AA10" i="52"/>
  <c r="Z10" i="52"/>
  <c r="AD10" i="52"/>
  <c r="AG10" i="52"/>
  <c r="AF10" i="52"/>
  <c r="AE10" i="52"/>
  <c r="Y10" i="52"/>
  <c r="X10" i="52"/>
  <c r="Q5" i="50" l="1"/>
  <c r="R5" i="50"/>
  <c r="S5" i="50"/>
  <c r="T5" i="50"/>
  <c r="Q6" i="50"/>
  <c r="R6" i="50"/>
  <c r="S6" i="50"/>
  <c r="T6" i="50"/>
  <c r="Q8" i="50"/>
  <c r="R8" i="50"/>
  <c r="S8" i="50"/>
  <c r="T8" i="50"/>
  <c r="Q9" i="50"/>
  <c r="R9" i="50"/>
  <c r="S9" i="50"/>
  <c r="T9" i="50"/>
  <c r="AI33" i="14" l="1"/>
  <c r="AH33" i="14"/>
  <c r="AG33" i="14"/>
  <c r="AI32" i="14"/>
  <c r="AH32" i="14"/>
  <c r="AJ206" i="14"/>
  <c r="AI206" i="14"/>
  <c r="AH206" i="14"/>
  <c r="AG206" i="14"/>
  <c r="AF206" i="14"/>
  <c r="AE206" i="14"/>
  <c r="AC206" i="14"/>
  <c r="U206" i="14"/>
  <c r="AC223" i="14"/>
  <c r="U223" i="14"/>
  <c r="AJ222" i="14"/>
  <c r="AI222" i="14"/>
  <c r="AH222" i="14"/>
  <c r="AG222" i="14"/>
  <c r="AF222" i="14"/>
  <c r="AC222" i="14"/>
  <c r="U222" i="14"/>
  <c r="AJ207" i="14"/>
  <c r="AI207" i="14"/>
  <c r="AH207" i="14"/>
  <c r="AG207" i="14"/>
  <c r="AF207" i="14"/>
  <c r="AE207" i="14"/>
  <c r="AC207" i="14"/>
  <c r="U207" i="14"/>
  <c r="AJ219" i="14"/>
  <c r="AI219" i="14"/>
  <c r="AH219" i="14"/>
  <c r="AG219" i="14"/>
  <c r="AF219" i="14"/>
  <c r="AC219" i="14"/>
  <c r="AJ220" i="14"/>
  <c r="AI220" i="14"/>
  <c r="H6" i="8" s="1"/>
  <c r="H7" i="8" s="1"/>
  <c r="AH220" i="14"/>
  <c r="G6" i="8" s="1"/>
  <c r="G7" i="8" s="1"/>
  <c r="AG220" i="14"/>
  <c r="F6" i="8" s="1"/>
  <c r="F7" i="8" s="1"/>
  <c r="AF220" i="14"/>
  <c r="E6" i="8" s="1"/>
  <c r="E7" i="8" s="1"/>
  <c r="AE220" i="14"/>
  <c r="D6" i="8" s="1"/>
  <c r="AC220" i="14"/>
  <c r="AJ218" i="14"/>
  <c r="AI218" i="14"/>
  <c r="AH218" i="14"/>
  <c r="AG218" i="14"/>
  <c r="AF218" i="14"/>
  <c r="AC218" i="14"/>
  <c r="AC216" i="14"/>
  <c r="AJ215" i="14"/>
  <c r="AI215" i="14"/>
  <c r="AH215" i="14"/>
  <c r="AG215" i="14"/>
  <c r="AF215" i="14"/>
  <c r="AE215" i="14"/>
  <c r="AC215" i="14"/>
  <c r="AJ214" i="14"/>
  <c r="T6" i="8" s="1"/>
  <c r="T7" i="8" s="1"/>
  <c r="AI214" i="14"/>
  <c r="S6" i="8" s="1"/>
  <c r="S7" i="8" s="1"/>
  <c r="AH214" i="14"/>
  <c r="R6" i="8" s="1"/>
  <c r="R7" i="8" s="1"/>
  <c r="AG214" i="14"/>
  <c r="Q6" i="8" s="1"/>
  <c r="AC214" i="14"/>
  <c r="AJ213" i="14"/>
  <c r="AI213" i="14"/>
  <c r="AH213" i="14"/>
  <c r="AG213" i="14"/>
  <c r="AF213" i="14"/>
  <c r="AE213" i="14"/>
  <c r="AC213" i="14"/>
  <c r="AJ212" i="14"/>
  <c r="AI212" i="14"/>
  <c r="AH212" i="14"/>
  <c r="AG212" i="14"/>
  <c r="AF212" i="14"/>
  <c r="AC212" i="14"/>
  <c r="AC211" i="14"/>
  <c r="AJ210" i="14"/>
  <c r="AI210" i="14"/>
  <c r="AH210" i="14"/>
  <c r="AG210" i="14"/>
  <c r="AF210" i="14"/>
  <c r="AE210" i="14"/>
  <c r="AC210" i="14"/>
  <c r="AJ209" i="14"/>
  <c r="AI209" i="14"/>
  <c r="AH209" i="14"/>
  <c r="AG209" i="14"/>
  <c r="F17" i="8" s="1"/>
  <c r="F18" i="8" s="1"/>
  <c r="AF209" i="14"/>
  <c r="E17" i="8" s="1"/>
  <c r="E18" i="8" s="1"/>
  <c r="AE209" i="14"/>
  <c r="AC209" i="14"/>
  <c r="AJ208" i="14"/>
  <c r="AI208" i="14"/>
  <c r="AH208" i="14"/>
  <c r="AG208" i="14"/>
  <c r="AF208" i="14"/>
  <c r="AE208" i="14"/>
  <c r="AC208" i="14"/>
  <c r="AC205" i="14"/>
  <c r="AC204" i="14"/>
  <c r="AJ202" i="14"/>
  <c r="AI202" i="14"/>
  <c r="AH202" i="14"/>
  <c r="AC202" i="14"/>
  <c r="U202" i="14"/>
  <c r="AJ201" i="14"/>
  <c r="AI201" i="14"/>
  <c r="H28" i="8" s="1"/>
  <c r="H29" i="8" s="1"/>
  <c r="AH201" i="14"/>
  <c r="G28" i="8" s="1"/>
  <c r="G29" i="8" s="1"/>
  <c r="AG201" i="14"/>
  <c r="F28" i="8" s="1"/>
  <c r="F29" i="8" s="1"/>
  <c r="AF201" i="14"/>
  <c r="E28" i="8" s="1"/>
  <c r="E29" i="8" s="1"/>
  <c r="AE201" i="14"/>
  <c r="D28" i="8" s="1"/>
  <c r="AC201" i="14"/>
  <c r="U201" i="14"/>
  <c r="AJ200" i="14"/>
  <c r="AI200" i="14"/>
  <c r="AH200" i="14"/>
  <c r="AG200" i="14"/>
  <c r="AF200" i="14"/>
  <c r="AE200" i="14"/>
  <c r="AC200" i="14"/>
  <c r="U200" i="14"/>
  <c r="AJ199" i="14"/>
  <c r="AI199" i="14"/>
  <c r="AH199" i="14"/>
  <c r="AC199" i="14"/>
  <c r="U199" i="14"/>
  <c r="AC197" i="14"/>
  <c r="U197" i="14"/>
  <c r="AJ196" i="14"/>
  <c r="AI196" i="14"/>
  <c r="AH196" i="14"/>
  <c r="AG196" i="14"/>
  <c r="AC196" i="14"/>
  <c r="U196" i="14"/>
  <c r="AJ195" i="14"/>
  <c r="AC195" i="14"/>
  <c r="U195" i="14"/>
  <c r="AJ194" i="14"/>
  <c r="AI194" i="14"/>
  <c r="AH194" i="14"/>
  <c r="AG194" i="14"/>
  <c r="AF194" i="14"/>
  <c r="AE194" i="14"/>
  <c r="AC194" i="14"/>
  <c r="U194" i="14"/>
  <c r="AJ193" i="14"/>
  <c r="AI193" i="14"/>
  <c r="AC193" i="14"/>
  <c r="U193" i="14"/>
  <c r="AC192" i="14"/>
  <c r="U192" i="14"/>
  <c r="AJ191" i="14"/>
  <c r="AI191" i="14"/>
  <c r="AH191" i="14"/>
  <c r="AG191" i="14"/>
  <c r="AF191" i="14"/>
  <c r="AE191" i="14"/>
  <c r="AC191" i="14"/>
  <c r="U191" i="14"/>
  <c r="AC190" i="14"/>
  <c r="U190" i="14"/>
  <c r="AJ189" i="14"/>
  <c r="AI189" i="14"/>
  <c r="AH189" i="14"/>
  <c r="AC189" i="14"/>
  <c r="U189" i="14"/>
  <c r="AC188" i="14"/>
  <c r="U188" i="14"/>
  <c r="AJ187" i="14"/>
  <c r="AI187" i="14"/>
  <c r="AH187" i="14"/>
  <c r="AG187" i="14"/>
  <c r="AF187" i="14"/>
  <c r="AE187" i="14"/>
  <c r="AC187" i="14"/>
  <c r="U187" i="14"/>
  <c r="AJ186" i="14"/>
  <c r="AC186" i="14"/>
  <c r="U186" i="14"/>
  <c r="AJ184" i="14"/>
  <c r="AI184" i="14"/>
  <c r="AH184" i="14"/>
  <c r="AG184" i="14"/>
  <c r="AC184" i="14"/>
  <c r="U184" i="14"/>
  <c r="AJ183" i="14"/>
  <c r="AI183" i="14"/>
  <c r="AH183" i="14"/>
  <c r="AG183" i="14"/>
  <c r="AF183" i="14"/>
  <c r="AE183" i="14"/>
  <c r="AC183" i="14"/>
  <c r="U183" i="14"/>
  <c r="AC182" i="14"/>
  <c r="U182" i="14"/>
  <c r="AJ181" i="14"/>
  <c r="AI181" i="14"/>
  <c r="AH181" i="14"/>
  <c r="AG181" i="14"/>
  <c r="AF181" i="14"/>
  <c r="AE181" i="14"/>
  <c r="AC181" i="14"/>
  <c r="U181" i="14"/>
  <c r="AC180" i="14"/>
  <c r="U180" i="14"/>
  <c r="AJ179" i="14"/>
  <c r="AI179" i="14"/>
  <c r="AH179" i="14"/>
  <c r="AG179" i="14"/>
  <c r="AC179" i="14"/>
  <c r="U179" i="14"/>
  <c r="AC178" i="14"/>
  <c r="U178" i="14"/>
  <c r="AJ177" i="14"/>
  <c r="AI177" i="14"/>
  <c r="AH177" i="14"/>
  <c r="AG177" i="14"/>
  <c r="AC177" i="14"/>
  <c r="U177" i="14"/>
  <c r="AC176" i="14"/>
  <c r="U176" i="14"/>
  <c r="AC175" i="14"/>
  <c r="U175" i="14"/>
  <c r="AC174" i="14"/>
  <c r="U174" i="14"/>
  <c r="AC173" i="14"/>
  <c r="U173" i="14"/>
  <c r="AC172" i="14"/>
  <c r="U172" i="14"/>
  <c r="AJ170" i="14"/>
  <c r="AI170" i="14"/>
  <c r="AH170" i="14"/>
  <c r="AG170" i="14"/>
  <c r="AC170" i="14"/>
  <c r="U170" i="14"/>
  <c r="AJ168" i="14"/>
  <c r="AI168" i="14"/>
  <c r="AH168" i="14"/>
  <c r="AG168" i="14"/>
  <c r="AF168" i="14"/>
  <c r="AC168" i="14"/>
  <c r="U168" i="14"/>
  <c r="AC167" i="14"/>
  <c r="U167" i="14"/>
  <c r="AJ166" i="14"/>
  <c r="AI166" i="14"/>
  <c r="AH166" i="14"/>
  <c r="AG166" i="14"/>
  <c r="AF166" i="14"/>
  <c r="AC166" i="14"/>
  <c r="U166" i="14"/>
  <c r="AJ164" i="14"/>
  <c r="AI164" i="14"/>
  <c r="AH164" i="14"/>
  <c r="AC164" i="14"/>
  <c r="U164" i="14"/>
  <c r="AC163" i="14"/>
  <c r="U163" i="14"/>
  <c r="AJ162" i="14"/>
  <c r="AI162" i="14"/>
  <c r="AH162" i="14"/>
  <c r="AC162" i="14"/>
  <c r="U162" i="14"/>
  <c r="AJ161" i="14"/>
  <c r="AI161" i="14"/>
  <c r="AH161" i="14"/>
  <c r="AG161" i="14"/>
  <c r="AF161" i="14"/>
  <c r="AE161" i="14"/>
  <c r="AC161" i="14"/>
  <c r="U161" i="14"/>
  <c r="AC160" i="14"/>
  <c r="U160" i="14"/>
  <c r="AJ159" i="14"/>
  <c r="AI159" i="14"/>
  <c r="AC159" i="14"/>
  <c r="U159" i="14"/>
  <c r="AJ158" i="14"/>
  <c r="AI158" i="14"/>
  <c r="AH158" i="14"/>
  <c r="AG158" i="14"/>
  <c r="AF158" i="14"/>
  <c r="AE158" i="14"/>
  <c r="AC158" i="14"/>
  <c r="U158" i="14"/>
  <c r="AC157" i="14"/>
  <c r="U157" i="14"/>
  <c r="AC156" i="14"/>
  <c r="U156" i="14"/>
  <c r="AJ155" i="14"/>
  <c r="AI155" i="14"/>
  <c r="AH155" i="14"/>
  <c r="AC155" i="14"/>
  <c r="U155" i="14"/>
  <c r="AJ153" i="14"/>
  <c r="AI153" i="14"/>
  <c r="AH153" i="14"/>
  <c r="AG153" i="14"/>
  <c r="AF153" i="14"/>
  <c r="AC153" i="14"/>
  <c r="U153" i="14"/>
  <c r="AJ152" i="14"/>
  <c r="AI152" i="14"/>
  <c r="AH152" i="14"/>
  <c r="AC152" i="14"/>
  <c r="U152" i="14"/>
  <c r="AJ151" i="14"/>
  <c r="AI151" i="14"/>
  <c r="AH151" i="14"/>
  <c r="AG151" i="14"/>
  <c r="AC151" i="14"/>
  <c r="U151" i="14"/>
  <c r="AJ150" i="14"/>
  <c r="AC150" i="14"/>
  <c r="U150" i="14"/>
  <c r="AC149" i="14"/>
  <c r="U149" i="14"/>
  <c r="AC148" i="14"/>
  <c r="U148" i="14"/>
  <c r="AJ147" i="14"/>
  <c r="AI147" i="14"/>
  <c r="AH147" i="14"/>
  <c r="AG147" i="14"/>
  <c r="AF147" i="14"/>
  <c r="AE147" i="14"/>
  <c r="AC147" i="14"/>
  <c r="U147" i="14"/>
  <c r="AC146" i="14"/>
  <c r="U146" i="14"/>
  <c r="AC145" i="14"/>
  <c r="U145" i="14"/>
  <c r="AJ144" i="14"/>
  <c r="AI144" i="14"/>
  <c r="AH144" i="14"/>
  <c r="AG144" i="14"/>
  <c r="AF144" i="14"/>
  <c r="AE144" i="14"/>
  <c r="AC144" i="14"/>
  <c r="U144" i="14"/>
  <c r="AI143" i="14"/>
  <c r="AH143" i="14"/>
  <c r="AC143" i="14"/>
  <c r="U143" i="14"/>
  <c r="AC142" i="14"/>
  <c r="U142" i="14"/>
  <c r="AI141" i="14"/>
  <c r="AH141" i="14"/>
  <c r="AG141" i="14"/>
  <c r="AC141" i="14"/>
  <c r="U141" i="14"/>
  <c r="AC140" i="14"/>
  <c r="U140" i="14"/>
  <c r="AC139" i="14"/>
  <c r="U139" i="14"/>
  <c r="AC138" i="14"/>
  <c r="U138" i="14"/>
  <c r="AI137" i="14"/>
  <c r="AH137" i="14"/>
  <c r="AC137" i="14"/>
  <c r="U137" i="14"/>
  <c r="AC136" i="14"/>
  <c r="U136" i="14"/>
  <c r="AC135" i="14"/>
  <c r="U135" i="14"/>
  <c r="AH134" i="14"/>
  <c r="AG134" i="14"/>
  <c r="AF134" i="14"/>
  <c r="AE134" i="14"/>
  <c r="AC134" i="14"/>
  <c r="U134" i="14"/>
  <c r="AC133" i="14"/>
  <c r="U133" i="14"/>
  <c r="AC132" i="14"/>
  <c r="U132" i="14"/>
  <c r="AH131" i="14"/>
  <c r="AC131" i="14"/>
  <c r="U131" i="14"/>
  <c r="AC130" i="14"/>
  <c r="U130" i="14"/>
  <c r="AC129" i="14"/>
  <c r="U129" i="14"/>
  <c r="AJ127" i="14"/>
  <c r="AI127" i="14"/>
  <c r="AH127" i="14"/>
  <c r="AG127" i="14"/>
  <c r="AF127" i="14"/>
  <c r="AE127" i="14"/>
  <c r="AC127" i="14"/>
  <c r="U127" i="14"/>
  <c r="AC126" i="14"/>
  <c r="U126" i="14"/>
  <c r="AC125" i="14"/>
  <c r="U125" i="14"/>
  <c r="AJ124" i="14"/>
  <c r="AI124" i="14"/>
  <c r="AH124" i="14"/>
  <c r="AG124" i="14"/>
  <c r="AC124" i="14"/>
  <c r="U124" i="14"/>
  <c r="AJ122" i="14"/>
  <c r="AI122" i="14"/>
  <c r="AH122" i="14"/>
  <c r="AC122" i="14"/>
  <c r="U122" i="14"/>
  <c r="AJ121" i="14"/>
  <c r="AC121" i="14"/>
  <c r="U121" i="14"/>
  <c r="AJ120" i="14"/>
  <c r="AI120" i="14"/>
  <c r="AH120" i="14"/>
  <c r="AG120" i="14"/>
  <c r="AF120" i="14"/>
  <c r="AE120" i="14"/>
  <c r="AC120" i="14"/>
  <c r="U120" i="14"/>
  <c r="AI119" i="14"/>
  <c r="AH119" i="14"/>
  <c r="AG119" i="14"/>
  <c r="AC119" i="14"/>
  <c r="U119" i="14"/>
  <c r="AI118" i="14"/>
  <c r="AH118" i="14"/>
  <c r="AG118" i="14"/>
  <c r="AF118" i="14"/>
  <c r="AC118" i="14"/>
  <c r="U118" i="14"/>
  <c r="AI117" i="14"/>
  <c r="AC117" i="14"/>
  <c r="U117" i="14"/>
  <c r="AC116" i="14"/>
  <c r="U116" i="14"/>
  <c r="AI115" i="14"/>
  <c r="AH115" i="14"/>
  <c r="AG115" i="14"/>
  <c r="AC115" i="14"/>
  <c r="U115" i="14"/>
  <c r="AI113" i="14"/>
  <c r="AH113" i="14"/>
  <c r="AG113" i="14"/>
  <c r="AF113" i="14"/>
  <c r="AE113" i="14"/>
  <c r="AC113" i="14"/>
  <c r="U113" i="14"/>
  <c r="AI112" i="14"/>
  <c r="AH112" i="14"/>
  <c r="AG112" i="14"/>
  <c r="AC112" i="14"/>
  <c r="U112" i="14"/>
  <c r="AC111" i="14"/>
  <c r="U111" i="14"/>
  <c r="AC110" i="14"/>
  <c r="U110" i="14"/>
  <c r="AC109" i="14"/>
  <c r="U109" i="14"/>
  <c r="AI108" i="14"/>
  <c r="AH108" i="14"/>
  <c r="AC108" i="14"/>
  <c r="U108" i="14"/>
  <c r="AC107" i="14"/>
  <c r="U107" i="14"/>
  <c r="AI106" i="14"/>
  <c r="AH106" i="14"/>
  <c r="AG106" i="14"/>
  <c r="AC106" i="14"/>
  <c r="U106" i="14"/>
  <c r="AC105" i="14"/>
  <c r="U105" i="14"/>
  <c r="AI104" i="14"/>
  <c r="AH104" i="14"/>
  <c r="AC104" i="14"/>
  <c r="U104" i="14"/>
  <c r="AC103" i="14"/>
  <c r="U103" i="14"/>
  <c r="AC102" i="14"/>
  <c r="U102" i="14"/>
  <c r="AC101" i="14"/>
  <c r="U101" i="14"/>
  <c r="AI100" i="14"/>
  <c r="AH100" i="14"/>
  <c r="AG100" i="14"/>
  <c r="AF100" i="14"/>
  <c r="AC100" i="14"/>
  <c r="U100" i="14"/>
  <c r="AI99" i="14"/>
  <c r="AH99" i="14"/>
  <c r="AC99" i="14"/>
  <c r="U99" i="14"/>
  <c r="AC98" i="14"/>
  <c r="U98" i="14"/>
  <c r="AI97" i="14"/>
  <c r="AH97" i="14"/>
  <c r="AG97" i="14"/>
  <c r="AC97" i="14"/>
  <c r="U97" i="14"/>
  <c r="AI96" i="14"/>
  <c r="AH96" i="14"/>
  <c r="AG96" i="14"/>
  <c r="AF96" i="14"/>
  <c r="AC96" i="14"/>
  <c r="U96" i="14"/>
  <c r="AC95" i="14"/>
  <c r="U95" i="14"/>
  <c r="AH94" i="14"/>
  <c r="AC94" i="14"/>
  <c r="U94" i="14"/>
  <c r="AC92" i="14"/>
  <c r="U92" i="14"/>
  <c r="AH91" i="14"/>
  <c r="AC91" i="14"/>
  <c r="U91" i="14"/>
  <c r="AC90" i="14"/>
  <c r="U90" i="14"/>
  <c r="AC89" i="14"/>
  <c r="U89" i="14"/>
  <c r="AC88" i="14"/>
  <c r="U88" i="14"/>
  <c r="AC86" i="14"/>
  <c r="U86" i="14"/>
  <c r="AC85" i="14"/>
  <c r="U85" i="14"/>
  <c r="AC84" i="14"/>
  <c r="U84" i="14"/>
  <c r="AC83" i="14"/>
  <c r="U83" i="14"/>
  <c r="AC82" i="14"/>
  <c r="U82" i="14"/>
  <c r="AC81" i="14"/>
  <c r="U81" i="14"/>
  <c r="AH80" i="14"/>
  <c r="AG80" i="14"/>
  <c r="AC80" i="14"/>
  <c r="U80" i="14"/>
  <c r="AC79" i="14"/>
  <c r="U79" i="14"/>
  <c r="AC78" i="14"/>
  <c r="U78" i="14"/>
  <c r="AC77" i="14"/>
  <c r="U77" i="14"/>
  <c r="AI76" i="14"/>
  <c r="AH76" i="14"/>
  <c r="AG76" i="14"/>
  <c r="AC76" i="14"/>
  <c r="U76" i="14"/>
  <c r="AI75" i="14"/>
  <c r="AC75" i="14"/>
  <c r="U75" i="14"/>
  <c r="AI74" i="14"/>
  <c r="AC74" i="14"/>
  <c r="U74" i="14"/>
  <c r="AC72" i="14"/>
  <c r="U72" i="14"/>
  <c r="AC71" i="14"/>
  <c r="U71" i="14"/>
  <c r="AI70" i="14"/>
  <c r="AH70" i="14"/>
  <c r="AG70" i="14"/>
  <c r="AF70" i="14"/>
  <c r="AE70" i="14"/>
  <c r="AC70" i="14"/>
  <c r="U70" i="14"/>
  <c r="AI69" i="14"/>
  <c r="AH69" i="14"/>
  <c r="AC69" i="14"/>
  <c r="U69" i="14"/>
  <c r="AC68" i="14"/>
  <c r="U68" i="14"/>
  <c r="AI67" i="14"/>
  <c r="AH67" i="14"/>
  <c r="AG67" i="14"/>
  <c r="AC67" i="14"/>
  <c r="U67" i="14"/>
  <c r="AI66" i="14"/>
  <c r="AC66" i="14"/>
  <c r="U66" i="14"/>
  <c r="AC65" i="14"/>
  <c r="U65" i="14"/>
  <c r="AI64" i="14"/>
  <c r="AC64" i="14"/>
  <c r="U64" i="14"/>
  <c r="AI63" i="14"/>
  <c r="AH63" i="14"/>
  <c r="AC63" i="14"/>
  <c r="U63" i="14"/>
  <c r="AC61" i="14"/>
  <c r="U61" i="14"/>
  <c r="AC60" i="14"/>
  <c r="U60" i="14"/>
  <c r="AI58" i="14"/>
  <c r="AH58" i="14"/>
  <c r="AG58" i="14"/>
  <c r="AF58" i="14"/>
  <c r="AC58" i="14"/>
  <c r="U58" i="14"/>
  <c r="AC57" i="14"/>
  <c r="U57" i="14"/>
  <c r="AI56" i="14"/>
  <c r="AH56" i="14"/>
  <c r="AG56" i="14"/>
  <c r="AF56" i="14"/>
  <c r="AE56" i="14"/>
  <c r="AC56" i="14"/>
  <c r="U56" i="14"/>
  <c r="AC55" i="14"/>
  <c r="U55" i="14"/>
  <c r="AH54" i="14"/>
  <c r="AG54" i="14"/>
  <c r="AC54" i="14"/>
  <c r="U54" i="14"/>
  <c r="AC52" i="14"/>
  <c r="U52" i="14"/>
  <c r="AC51" i="14"/>
  <c r="U51" i="14"/>
  <c r="AH50" i="14"/>
  <c r="AG50" i="14"/>
  <c r="AC50" i="14"/>
  <c r="U50" i="14"/>
  <c r="AC49" i="14"/>
  <c r="U49" i="14"/>
  <c r="AC48" i="14"/>
  <c r="U48" i="14"/>
  <c r="AC47" i="14"/>
  <c r="U47" i="14"/>
  <c r="AC46" i="14"/>
  <c r="U46" i="14"/>
  <c r="AC45" i="14"/>
  <c r="U45" i="14"/>
  <c r="AC44" i="14"/>
  <c r="U44" i="14"/>
  <c r="AH43" i="14"/>
  <c r="AG43" i="14"/>
  <c r="AC43" i="14"/>
  <c r="U43" i="14"/>
  <c r="AC42" i="14"/>
  <c r="U42" i="14"/>
  <c r="AC41" i="14"/>
  <c r="U41" i="14"/>
  <c r="AC40" i="14"/>
  <c r="U40" i="14"/>
  <c r="AC39" i="14"/>
  <c r="U39" i="14"/>
  <c r="AC38" i="14"/>
  <c r="U38" i="14"/>
  <c r="AC37" i="14"/>
  <c r="U37" i="14"/>
  <c r="AC36" i="14"/>
  <c r="U36" i="14"/>
  <c r="U34" i="14"/>
  <c r="U33" i="14"/>
  <c r="U32" i="14"/>
  <c r="U31" i="14"/>
  <c r="U30" i="14"/>
  <c r="U29" i="14"/>
  <c r="U28" i="14"/>
  <c r="U27" i="14"/>
  <c r="U26" i="14"/>
  <c r="U24" i="14"/>
  <c r="U23" i="14"/>
  <c r="U22" i="14"/>
  <c r="U21" i="14"/>
  <c r="U20" i="14"/>
  <c r="U19" i="14"/>
  <c r="U18" i="14"/>
  <c r="U17" i="14"/>
  <c r="U16" i="14"/>
  <c r="U15" i="14"/>
  <c r="U14" i="14"/>
  <c r="U13" i="14"/>
  <c r="U12" i="14"/>
  <c r="U11" i="14"/>
  <c r="U10" i="14"/>
  <c r="U9" i="14"/>
  <c r="U8" i="14"/>
  <c r="U6" i="14"/>
  <c r="U5" i="14"/>
  <c r="U4" i="14"/>
  <c r="U3" i="14"/>
  <c r="U2" i="14"/>
  <c r="Q7" i="8" l="1"/>
  <c r="V6" i="8"/>
  <c r="H17" i="8"/>
  <c r="H18" i="8" s="1"/>
  <c r="D17" i="8"/>
  <c r="D18" i="8" s="1"/>
  <c r="G17" i="8"/>
  <c r="G18" i="8" s="1"/>
  <c r="I28" i="8"/>
  <c r="I29" i="8" s="1"/>
  <c r="I17" i="8"/>
  <c r="I18" i="8" s="1"/>
  <c r="I6" i="8"/>
  <c r="I7" i="8" s="1"/>
  <c r="D29" i="8"/>
  <c r="AK32" i="14"/>
  <c r="AK159" i="14"/>
  <c r="AK91" i="14"/>
  <c r="AK118" i="14"/>
  <c r="AK166" i="14"/>
  <c r="AK168" i="14"/>
  <c r="AK33" i="14"/>
  <c r="AK96" i="14"/>
  <c r="AK94" i="14"/>
  <c r="AK80" i="14"/>
  <c r="AK127" i="14"/>
  <c r="AK181" i="14"/>
  <c r="AK199" i="14"/>
  <c r="AK213" i="14"/>
  <c r="AK215" i="14"/>
  <c r="AK223" i="14"/>
  <c r="AK201" i="14"/>
  <c r="AK218" i="14"/>
  <c r="AK219" i="14"/>
  <c r="AK202" i="14"/>
  <c r="AK209" i="14"/>
  <c r="AK183" i="14"/>
  <c r="AK186" i="14"/>
  <c r="AK144" i="14"/>
  <c r="AK150" i="14"/>
  <c r="AK161" i="14"/>
  <c r="AK134" i="14"/>
  <c r="AK97" i="14"/>
  <c r="AK100" i="14"/>
  <c r="AK106" i="14"/>
  <c r="AK112" i="14"/>
  <c r="AK104" i="14"/>
  <c r="AK108" i="14"/>
  <c r="AK99" i="14"/>
  <c r="AK113" i="14"/>
  <c r="AK120" i="14"/>
  <c r="AK122" i="14"/>
  <c r="AK196" i="14"/>
  <c r="AK194" i="14"/>
  <c r="AK50" i="14"/>
  <c r="AK63" i="14"/>
  <c r="AK67" i="14"/>
  <c r="AK152" i="14"/>
  <c r="AK155" i="14"/>
  <c r="AK69" i="14"/>
  <c r="AK74" i="14"/>
  <c r="AK76" i="14"/>
  <c r="AK172" i="14"/>
  <c r="AK222" i="14"/>
  <c r="AK43" i="14"/>
  <c r="AK115" i="14"/>
  <c r="AK117" i="14"/>
  <c r="AK119" i="14"/>
  <c r="AK121" i="14"/>
  <c r="AK124" i="14"/>
  <c r="AK184" i="14"/>
  <c r="AK187" i="14"/>
  <c r="AK189" i="14"/>
  <c r="AK191" i="14"/>
  <c r="AK193" i="14"/>
  <c r="AK195" i="14"/>
  <c r="AK206" i="14"/>
  <c r="AK131" i="14"/>
  <c r="AK137" i="14"/>
  <c r="AK141" i="14"/>
  <c r="AK143" i="14"/>
  <c r="AK200" i="14"/>
  <c r="AK54" i="14"/>
  <c r="AK56" i="14"/>
  <c r="AK58" i="14"/>
  <c r="AK64" i="14"/>
  <c r="AK66" i="14"/>
  <c r="AK147" i="14"/>
  <c r="AK151" i="14"/>
  <c r="AK153" i="14"/>
  <c r="AK208" i="14"/>
  <c r="AK210" i="14"/>
  <c r="AK212" i="14"/>
  <c r="AK214" i="14"/>
  <c r="AK70" i="14"/>
  <c r="AK75" i="14"/>
  <c r="AK158" i="14"/>
  <c r="AK162" i="14"/>
  <c r="AK164" i="14"/>
  <c r="AK170" i="14"/>
  <c r="AK220" i="14"/>
  <c r="AK207" i="14"/>
  <c r="AK177" i="14"/>
  <c r="AK179" i="14"/>
  <c r="V7" i="8" l="1"/>
  <c r="K28" i="8"/>
  <c r="K6" i="8"/>
  <c r="K17" i="8"/>
  <c r="K29" i="8"/>
  <c r="K7" i="8"/>
  <c r="K18" i="8"/>
  <c r="AI34" i="14"/>
  <c r="AH34" i="14"/>
  <c r="AG34" i="14"/>
  <c r="AH24" i="14"/>
  <c r="AG24" i="14"/>
  <c r="AH22" i="14"/>
  <c r="AH18" i="14"/>
  <c r="AG18" i="14"/>
  <c r="AH14" i="14"/>
  <c r="AG14" i="14"/>
  <c r="AF14" i="14"/>
  <c r="AH13" i="14"/>
  <c r="AH12" i="14"/>
  <c r="AG12" i="14"/>
  <c r="AF12" i="14"/>
  <c r="AE12" i="14"/>
  <c r="AH11" i="14"/>
  <c r="AK18" i="14" l="1"/>
  <c r="AK11" i="14"/>
  <c r="AK22" i="14"/>
  <c r="AK13" i="14"/>
  <c r="AK12" i="14"/>
  <c r="AK14" i="14"/>
  <c r="AK24" i="14"/>
  <c r="AK34" i="14"/>
  <c r="E9" i="50"/>
  <c r="E8" i="50"/>
  <c r="E7" i="50"/>
  <c r="E6" i="50"/>
  <c r="E5" i="50"/>
  <c r="E11" i="50" l="1"/>
  <c r="J11" i="50"/>
  <c r="AC34" i="14" l="1"/>
  <c r="AC33" i="14"/>
  <c r="AC32" i="14"/>
  <c r="AC31" i="14"/>
  <c r="AC30" i="14"/>
  <c r="AC29" i="14"/>
  <c r="AC28" i="14"/>
  <c r="AC27" i="14"/>
  <c r="AC26" i="14"/>
  <c r="AC24" i="14"/>
  <c r="AC23" i="14"/>
  <c r="AC22" i="14"/>
  <c r="L6" i="56" l="1"/>
  <c r="L9" i="56"/>
  <c r="L10" i="56"/>
  <c r="L8" i="56"/>
  <c r="L12" i="56"/>
  <c r="L4" i="56"/>
  <c r="L2" i="56"/>
  <c r="L5" i="56"/>
  <c r="L7" i="56"/>
  <c r="L11" i="56"/>
  <c r="L13" i="56"/>
  <c r="L3" i="56"/>
  <c r="L39" i="56"/>
  <c r="L38" i="56"/>
  <c r="L42" i="56"/>
  <c r="L41" i="56"/>
  <c r="L47" i="56"/>
  <c r="L43" i="56"/>
  <c r="L46" i="56"/>
  <c r="L45" i="56"/>
  <c r="L40" i="56"/>
  <c r="L49" i="56"/>
  <c r="L48" i="56"/>
  <c r="L44" i="56"/>
  <c r="L26" i="56"/>
  <c r="L29" i="56"/>
  <c r="L33" i="56"/>
  <c r="L34" i="56"/>
  <c r="L35" i="56"/>
  <c r="L31" i="56"/>
  <c r="L30" i="56"/>
  <c r="L27" i="56"/>
  <c r="L36" i="56"/>
  <c r="L28" i="56"/>
  <c r="L32" i="56"/>
  <c r="L37" i="56"/>
  <c r="L15" i="56"/>
  <c r="L20" i="56"/>
  <c r="L24" i="56"/>
  <c r="L14" i="56"/>
  <c r="L23" i="56"/>
  <c r="L17" i="56"/>
  <c r="L16" i="56"/>
  <c r="L18" i="56"/>
  <c r="L21" i="56"/>
  <c r="L25" i="56"/>
  <c r="L19" i="56"/>
  <c r="L22" i="56"/>
  <c r="I11" i="50" l="1"/>
  <c r="I12" i="50" s="1"/>
  <c r="L61" i="56" l="1"/>
  <c r="L60" i="56"/>
  <c r="L59" i="56"/>
  <c r="L58" i="56"/>
  <c r="L57" i="56"/>
  <c r="L56" i="56"/>
  <c r="L55" i="56"/>
  <c r="L54" i="56"/>
  <c r="L53" i="56"/>
  <c r="L52" i="56"/>
  <c r="L51" i="56"/>
  <c r="L50" i="56"/>
  <c r="F11" i="50" l="1"/>
  <c r="F12" i="50" s="1"/>
  <c r="G11" i="50"/>
  <c r="G12" i="50" s="1"/>
  <c r="J2" i="49" l="1"/>
  <c r="J2" i="12"/>
  <c r="J2" i="14"/>
  <c r="L97" i="56" l="1"/>
  <c r="L96" i="56"/>
  <c r="L95" i="56"/>
  <c r="L94" i="56"/>
  <c r="L93" i="56"/>
  <c r="L92" i="56"/>
  <c r="L91" i="56"/>
  <c r="L90" i="56"/>
  <c r="L89" i="56"/>
  <c r="L88" i="56"/>
  <c r="L87" i="56"/>
  <c r="L86" i="56"/>
  <c r="L85" i="56"/>
  <c r="L84" i="56"/>
  <c r="L83" i="56"/>
  <c r="L82" i="56"/>
  <c r="L81" i="56"/>
  <c r="L80" i="56"/>
  <c r="L79" i="56"/>
  <c r="L78" i="56"/>
  <c r="L77" i="56"/>
  <c r="L76" i="56"/>
  <c r="L75" i="56"/>
  <c r="L74" i="56"/>
  <c r="L73" i="56"/>
  <c r="L72" i="56"/>
  <c r="L71" i="56"/>
  <c r="L70" i="56"/>
  <c r="L69" i="56"/>
  <c r="L68" i="56"/>
  <c r="L67" i="56"/>
  <c r="L66" i="56"/>
  <c r="L65" i="56"/>
  <c r="L64" i="56"/>
  <c r="L63" i="56"/>
  <c r="L62" i="56"/>
  <c r="H2" i="14"/>
  <c r="H2" i="12"/>
  <c r="H2" i="49"/>
  <c r="V7" i="52" l="1"/>
  <c r="V6" i="52"/>
  <c r="V5" i="52"/>
  <c r="V4" i="52"/>
  <c r="V3" i="52"/>
  <c r="V8" i="52"/>
  <c r="AA8" i="52" l="1"/>
  <c r="Z8" i="52"/>
  <c r="AC8" i="52"/>
  <c r="AD8" i="52"/>
  <c r="AB8" i="52"/>
  <c r="AF8" i="52"/>
  <c r="AE8" i="52"/>
  <c r="Y8" i="52"/>
  <c r="X8" i="52"/>
  <c r="AG8" i="52"/>
  <c r="AC21" i="14"/>
  <c r="AC20" i="14"/>
  <c r="AC19" i="14"/>
  <c r="AC18" i="14"/>
  <c r="AC17" i="14"/>
  <c r="AC16" i="14"/>
  <c r="AC15" i="14"/>
  <c r="AC13" i="14"/>
  <c r="AC12" i="14"/>
  <c r="AC11" i="14"/>
  <c r="AC10" i="14"/>
  <c r="AC9" i="14"/>
  <c r="AC8" i="14"/>
  <c r="AC6" i="14"/>
  <c r="AC5" i="14"/>
  <c r="AC4" i="14"/>
  <c r="AC3" i="14"/>
  <c r="AC2" i="14"/>
  <c r="U35" i="14"/>
  <c r="V9" i="52" l="1"/>
  <c r="AC9" i="52" l="1"/>
  <c r="AC12" i="52" s="1"/>
  <c r="AC13" i="52" s="1"/>
  <c r="AD9" i="52"/>
  <c r="AD12" i="52" s="1"/>
  <c r="AD13" i="52" s="1"/>
  <c r="AB9" i="52"/>
  <c r="AB12" i="52" s="1"/>
  <c r="AB13" i="52" s="1"/>
  <c r="AA9" i="52"/>
  <c r="AA12" i="52" s="1"/>
  <c r="AA13" i="52" s="1"/>
  <c r="Z9" i="52"/>
  <c r="Z12" i="52" s="1"/>
  <c r="Z13" i="52" s="1"/>
  <c r="AG9" i="52"/>
  <c r="AG12" i="52" s="1"/>
  <c r="AG13" i="52" s="1"/>
  <c r="AF9" i="52"/>
  <c r="AF12" i="52" s="1"/>
  <c r="AF13" i="52" s="1"/>
  <c r="AE9" i="52"/>
  <c r="AE12" i="52" s="1"/>
  <c r="AE13" i="52" s="1"/>
  <c r="Y9" i="52"/>
  <c r="Y12" i="52" s="1"/>
  <c r="Y13" i="52" s="1"/>
  <c r="X9" i="52"/>
  <c r="X12" i="52" s="1"/>
  <c r="X13" i="52" s="1"/>
  <c r="J6" i="52"/>
  <c r="M6" i="52" s="1"/>
  <c r="N6" i="52" s="1"/>
  <c r="J5" i="52"/>
  <c r="J4" i="52"/>
  <c r="M4" i="52" s="1"/>
  <c r="N4" i="52" s="1"/>
  <c r="J3" i="52"/>
  <c r="M3" i="52" s="1"/>
  <c r="N3" i="52" s="1"/>
  <c r="J2" i="52"/>
  <c r="M2" i="52" s="1"/>
  <c r="N2" i="52" s="1"/>
  <c r="O8" i="8" l="1"/>
  <c r="P8" i="8"/>
  <c r="H30" i="8"/>
  <c r="E30" i="8"/>
  <c r="F30" i="8"/>
  <c r="E19" i="8"/>
  <c r="G8" i="8"/>
  <c r="R8" i="8"/>
  <c r="F19" i="8"/>
  <c r="T8" i="8"/>
  <c r="S8" i="8"/>
  <c r="F8" i="8"/>
  <c r="H8" i="8"/>
  <c r="G30" i="8"/>
  <c r="E8" i="8"/>
  <c r="I19" i="8"/>
  <c r="I30" i="8"/>
  <c r="G19" i="8"/>
  <c r="D8" i="8"/>
  <c r="D19" i="8"/>
  <c r="Q8" i="8"/>
  <c r="H19" i="8"/>
  <c r="D30" i="8"/>
  <c r="I8" i="8"/>
  <c r="M5" i="52"/>
  <c r="K30" i="8" l="1"/>
  <c r="K31" i="8" s="1"/>
  <c r="D31" i="8"/>
  <c r="E31" i="8" s="1"/>
  <c r="F31" i="8" s="1"/>
  <c r="G31" i="8" s="1"/>
  <c r="H31" i="8" s="1"/>
  <c r="I31" i="8" s="1"/>
  <c r="D20" i="8"/>
  <c r="E20" i="8" s="1"/>
  <c r="F20" i="8" s="1"/>
  <c r="G20" i="8" s="1"/>
  <c r="H20" i="8" s="1"/>
  <c r="I20" i="8" s="1"/>
  <c r="K19" i="8"/>
  <c r="K20" i="8" s="1"/>
  <c r="K8" i="8"/>
  <c r="K9" i="8" s="1"/>
  <c r="D9" i="8"/>
  <c r="E9" i="8" s="1"/>
  <c r="F9" i="8" s="1"/>
  <c r="G9" i="8" s="1"/>
  <c r="H9" i="8" s="1"/>
  <c r="I9" i="8" s="1"/>
  <c r="O9" i="8"/>
  <c r="P9" i="8" s="1"/>
  <c r="Q9" i="8" s="1"/>
  <c r="R9" i="8" s="1"/>
  <c r="S9" i="8" s="1"/>
  <c r="T9" i="8" s="1"/>
  <c r="V8" i="8"/>
  <c r="V9" i="8" s="1"/>
  <c r="N5" i="52"/>
  <c r="N9" i="52" s="1"/>
  <c r="M9" i="52"/>
  <c r="M2" i="49"/>
  <c r="L2" i="49"/>
  <c r="K2" i="49"/>
  <c r="I2" i="49"/>
  <c r="G2" i="49"/>
  <c r="F2" i="49"/>
  <c r="E2" i="49"/>
  <c r="D2" i="49"/>
  <c r="C2" i="49"/>
  <c r="B2" i="49"/>
  <c r="M2" i="12"/>
  <c r="L2" i="12"/>
  <c r="K2" i="12"/>
  <c r="I2" i="12"/>
  <c r="G2" i="12"/>
  <c r="F2" i="12"/>
  <c r="E2" i="12"/>
  <c r="D2" i="12"/>
  <c r="C2" i="12"/>
  <c r="B2" i="12"/>
  <c r="H11" i="50" l="1"/>
  <c r="H12" i="50" s="1"/>
  <c r="B2" i="14"/>
  <c r="M2" i="14" l="1"/>
  <c r="L2" i="14"/>
  <c r="K2" i="14"/>
  <c r="I2" i="14"/>
  <c r="G2" i="14"/>
  <c r="F2" i="14"/>
  <c r="E2" i="14"/>
  <c r="D2" i="14"/>
  <c r="C2" i="14"/>
</calcChain>
</file>

<file path=xl/sharedStrings.xml><?xml version="1.0" encoding="utf-8"?>
<sst xmlns="http://schemas.openxmlformats.org/spreadsheetml/2006/main" count="10326" uniqueCount="513">
  <si>
    <t>Crédit</t>
  </si>
  <si>
    <t>Season</t>
  </si>
  <si>
    <t>Epic</t>
  </si>
  <si>
    <t>Token</t>
  </si>
  <si>
    <t>Packs</t>
  </si>
  <si>
    <t>Unit.</t>
  </si>
  <si>
    <t>x10</t>
  </si>
  <si>
    <t>BPs</t>
  </si>
  <si>
    <t>Nb Pack
can buy</t>
  </si>
  <si>
    <t>Nb Blueprints</t>
  </si>
  <si>
    <t>Class</t>
  </si>
  <si>
    <t>v max.</t>
  </si>
  <si>
    <t>accel</t>
  </si>
  <si>
    <t>mania</t>
  </si>
  <si>
    <t>nitro</t>
  </si>
  <si>
    <t>total</t>
  </si>
  <si>
    <t>Today</t>
  </si>
  <si>
    <t>Packs #01</t>
  </si>
  <si>
    <t>Inventaire</t>
  </si>
  <si>
    <t>Win by Day</t>
  </si>
  <si>
    <t>Packs #02</t>
  </si>
  <si>
    <t>Class A</t>
  </si>
  <si>
    <t>Win by Season</t>
  </si>
  <si>
    <t>Packs #03</t>
  </si>
  <si>
    <t>Class B</t>
  </si>
  <si>
    <t>Event Season</t>
  </si>
  <si>
    <t>Packs #04</t>
  </si>
  <si>
    <t>Class C</t>
  </si>
  <si>
    <t>Min by Season</t>
  </si>
  <si>
    <t>Packs #05</t>
  </si>
  <si>
    <t>Class D</t>
  </si>
  <si>
    <t>Class S</t>
  </si>
  <si>
    <t>Pack #1</t>
  </si>
  <si>
    <t>Commons</t>
  </si>
  <si>
    <t>Pack #2</t>
  </si>
  <si>
    <t>Rares</t>
  </si>
  <si>
    <t>Epics</t>
  </si>
  <si>
    <t>Total :</t>
  </si>
  <si>
    <t>Prévision :</t>
  </si>
  <si>
    <t>Hennessey</t>
  </si>
  <si>
    <t>Venom F5</t>
  </si>
  <si>
    <t>Rimac</t>
  </si>
  <si>
    <t>Nevera</t>
  </si>
  <si>
    <t>*</t>
  </si>
  <si>
    <t>**</t>
  </si>
  <si>
    <t>***</t>
  </si>
  <si>
    <t>****</t>
  </si>
  <si>
    <t>*****</t>
  </si>
  <si>
    <t>******</t>
  </si>
  <si>
    <t>Total</t>
  </si>
  <si>
    <t>Blueprints</t>
  </si>
  <si>
    <t>:</t>
  </si>
  <si>
    <t>Bps Goned</t>
  </si>
  <si>
    <t>Bps Missed</t>
  </si>
  <si>
    <t>Packs to buy</t>
  </si>
  <si>
    <t>Token Cost</t>
  </si>
  <si>
    <t>Token Rest</t>
  </si>
  <si>
    <t>Toroidion</t>
  </si>
  <si>
    <t>1MW</t>
  </si>
  <si>
    <t>Ajlani</t>
  </si>
  <si>
    <t>Drakuma</t>
  </si>
  <si>
    <t xml:space="preserve">  Class</t>
  </si>
  <si>
    <t>Plage</t>
  </si>
  <si>
    <t xml:space="preserve"> Nbr/Cl</t>
  </si>
  <si>
    <t xml:space="preserve"> Lock</t>
  </si>
  <si>
    <t xml:space="preserve"> Unlock</t>
  </si>
  <si>
    <t xml:space="preserve"> Full</t>
  </si>
  <si>
    <t xml:space="preserve"> Gold</t>
  </si>
  <si>
    <t xml:space="preserve"> Upgrade</t>
  </si>
  <si>
    <t xml:space="preserve"> Install</t>
  </si>
  <si>
    <t xml:space="preserve"> To Do</t>
  </si>
  <si>
    <t xml:space="preserve"> None</t>
  </si>
  <si>
    <t xml:space="preserve"> Total</t>
  </si>
  <si>
    <t>Upgrades</t>
  </si>
  <si>
    <t>G</t>
  </si>
  <si>
    <t>H</t>
  </si>
  <si>
    <t>I</t>
  </si>
  <si>
    <t>J</t>
  </si>
  <si>
    <t>W</t>
  </si>
  <si>
    <t>X</t>
  </si>
  <si>
    <t>Y</t>
  </si>
  <si>
    <t>Z</t>
  </si>
  <si>
    <t>AB</t>
  </si>
  <si>
    <t>AC</t>
  </si>
  <si>
    <t>AD</t>
  </si>
  <si>
    <t>AE</t>
  </si>
  <si>
    <t>AG</t>
  </si>
  <si>
    <t>AH</t>
  </si>
  <si>
    <t>AI</t>
  </si>
  <si>
    <t>AJ</t>
  </si>
  <si>
    <t>AL</t>
  </si>
  <si>
    <t>AM</t>
  </si>
  <si>
    <t>AN</t>
  </si>
  <si>
    <t>AO</t>
  </si>
  <si>
    <t xml:space="preserve"> line</t>
  </si>
  <si>
    <t xml:space="preserve"> ###</t>
  </si>
  <si>
    <t xml:space="preserve"> Order</t>
  </si>
  <si>
    <t xml:space="preserve"> Update</t>
  </si>
  <si>
    <t xml:space="preserve"> Group</t>
  </si>
  <si>
    <t>Upgrade</t>
  </si>
  <si>
    <t xml:space="preserve"> Class</t>
  </si>
  <si>
    <t xml:space="preserve"> Brand</t>
  </si>
  <si>
    <t xml:space="preserve"> Model</t>
  </si>
  <si>
    <t>Stat Min</t>
  </si>
  <si>
    <t>Stat Max</t>
  </si>
  <si>
    <t>Rank</t>
  </si>
  <si>
    <t>Blueprint</t>
  </si>
  <si>
    <t>--</t>
  </si>
  <si>
    <t>N</t>
  </si>
  <si>
    <t>C</t>
  </si>
  <si>
    <t>Mercedes-Benz</t>
  </si>
  <si>
    <t>CLK-GTR</t>
  </si>
  <si>
    <t>---</t>
  </si>
  <si>
    <t>Porsche</t>
  </si>
  <si>
    <t>Panamera Turbo S</t>
  </si>
  <si>
    <t>Key</t>
  </si>
  <si>
    <t>B</t>
  </si>
  <si>
    <t>BMW</t>
  </si>
  <si>
    <t>M4 GT3</t>
  </si>
  <si>
    <t>Apollo</t>
  </si>
  <si>
    <t>EVO</t>
  </si>
  <si>
    <t>A</t>
  </si>
  <si>
    <t>935 (2019)</t>
  </si>
  <si>
    <t>De Tomaso</t>
  </si>
  <si>
    <t>P72</t>
  </si>
  <si>
    <t>D</t>
  </si>
  <si>
    <t>Nissan</t>
  </si>
  <si>
    <t>370Z Édition Néon</t>
  </si>
  <si>
    <t>Jaguar</t>
  </si>
  <si>
    <t>XJR-15</t>
  </si>
  <si>
    <t>McLaren</t>
  </si>
  <si>
    <t>Solus GT</t>
  </si>
  <si>
    <t>Noble</t>
  </si>
  <si>
    <t>M600 Speedster</t>
  </si>
  <si>
    <t>S</t>
  </si>
  <si>
    <t>Saleen</t>
  </si>
  <si>
    <t>S7 Twin Turbo</t>
  </si>
  <si>
    <t>Koenigsegg</t>
  </si>
  <si>
    <t>CC850</t>
  </si>
  <si>
    <t>Ford</t>
  </si>
  <si>
    <t>Mustang Mach E1400</t>
  </si>
  <si>
    <t>Artura</t>
  </si>
  <si>
    <t>Maserati</t>
  </si>
  <si>
    <t>MC20</t>
  </si>
  <si>
    <t>Bugatti</t>
  </si>
  <si>
    <t>Chiron Super Sport 300</t>
  </si>
  <si>
    <t>Deus</t>
  </si>
  <si>
    <t>Vayanne</t>
  </si>
  <si>
    <t>Concept S</t>
  </si>
  <si>
    <t>Full Throttle</t>
  </si>
  <si>
    <t>IE</t>
  </si>
  <si>
    <t>Heat Wave</t>
  </si>
  <si>
    <t>Elva</t>
  </si>
  <si>
    <t>Electric</t>
  </si>
  <si>
    <t>Renault</t>
  </si>
  <si>
    <t>TreZor</t>
  </si>
  <si>
    <t>Ultimate Exp.</t>
  </si>
  <si>
    <t>Lamborghini</t>
  </si>
  <si>
    <t>Sián FKP 37</t>
  </si>
  <si>
    <t xml:space="preserve"> Level</t>
  </si>
  <si>
    <t xml:space="preserve"> Common</t>
  </si>
  <si>
    <t xml:space="preserve"> Rare</t>
  </si>
  <si>
    <t xml:space="preserve"> Epic</t>
  </si>
  <si>
    <t>SettingGarage</t>
  </si>
  <si>
    <t>SettingUnitPrice</t>
  </si>
  <si>
    <t>O</t>
  </si>
  <si>
    <t>Mitsubishi</t>
  </si>
  <si>
    <t>Lancer Evolution</t>
  </si>
  <si>
    <t>Z4 LCI E89</t>
  </si>
  <si>
    <t>Chevrolet</t>
  </si>
  <si>
    <t>Camaro LT</t>
  </si>
  <si>
    <t>Leaf Nismo RC</t>
  </si>
  <si>
    <t>37OZ Nismo</t>
  </si>
  <si>
    <t>KTM</t>
  </si>
  <si>
    <t>X-Bow GTX</t>
  </si>
  <si>
    <t>Volkswagen</t>
  </si>
  <si>
    <t>XL Sport Concept</t>
  </si>
  <si>
    <t>DS Automobiles</t>
  </si>
  <si>
    <t>DS E-Tense</t>
  </si>
  <si>
    <t>Dodge</t>
  </si>
  <si>
    <t>Pack Challenger 392 Hemi Scat</t>
  </si>
  <si>
    <t>Dezir</t>
  </si>
  <si>
    <t>Italdesign</t>
  </si>
  <si>
    <t>DaVinci</t>
  </si>
  <si>
    <t>I8 Roadster</t>
  </si>
  <si>
    <t>Peugeot</t>
  </si>
  <si>
    <t>SR1</t>
  </si>
  <si>
    <t>P</t>
  </si>
  <si>
    <t>718 Cayman</t>
  </si>
  <si>
    <t>Infiniti</t>
  </si>
  <si>
    <t>Projet Black S</t>
  </si>
  <si>
    <t>Lotus</t>
  </si>
  <si>
    <t>Elise Sprint 220</t>
  </si>
  <si>
    <t>L</t>
  </si>
  <si>
    <t>Countach 25th Anniversary</t>
  </si>
  <si>
    <t>Shelby GT350R</t>
  </si>
  <si>
    <t>911 Targa 4S</t>
  </si>
  <si>
    <t>Emira</t>
  </si>
  <si>
    <t>Prague</t>
  </si>
  <si>
    <t>R1</t>
  </si>
  <si>
    <t>Ginetta</t>
  </si>
  <si>
    <t>G60</t>
  </si>
  <si>
    <t>Honda</t>
  </si>
  <si>
    <t>Civic Type-R</t>
  </si>
  <si>
    <t>Taycan Turbo S</t>
  </si>
  <si>
    <t>TVR</t>
  </si>
  <si>
    <t>Griffith</t>
  </si>
  <si>
    <t>Bentley</t>
  </si>
  <si>
    <t>Continental GT3</t>
  </si>
  <si>
    <t>Mazda</t>
  </si>
  <si>
    <t>Furai</t>
  </si>
  <si>
    <t>Corvette C7.R</t>
  </si>
  <si>
    <t>Huracan Super Trofeo Evo</t>
  </si>
  <si>
    <t>Electric R</t>
  </si>
  <si>
    <t>Glickhaus</t>
  </si>
  <si>
    <t>004C</t>
  </si>
  <si>
    <t>Challenger SRT8</t>
  </si>
  <si>
    <t>3.0 CSL Hommage</t>
  </si>
  <si>
    <t>Boxster 25th</t>
  </si>
  <si>
    <t>Camaro ZL1 50th Edition</t>
  </si>
  <si>
    <t>Evora Sport 410</t>
  </si>
  <si>
    <t>AMG GT S</t>
  </si>
  <si>
    <t>M4 GTS</t>
  </si>
  <si>
    <t>Rezvani</t>
  </si>
  <si>
    <t>Beast X</t>
  </si>
  <si>
    <t>Aston Martin</t>
  </si>
  <si>
    <t>V12 Speedster</t>
  </si>
  <si>
    <t>Donkervoort</t>
  </si>
  <si>
    <t>D8 GTO</t>
  </si>
  <si>
    <t>Viper ACR</t>
  </si>
  <si>
    <t>Bolwell</t>
  </si>
  <si>
    <t>MK X Nagari 500</t>
  </si>
  <si>
    <t>Shelby GR-1</t>
  </si>
  <si>
    <t>Pininfarina</t>
  </si>
  <si>
    <t>H2 Speed</t>
  </si>
  <si>
    <t>Artega</t>
  </si>
  <si>
    <t>Scalo Superelletra</t>
  </si>
  <si>
    <t>S1</t>
  </si>
  <si>
    <t>Acura</t>
  </si>
  <si>
    <t>2017 NSX</t>
  </si>
  <si>
    <t>Alfieri</t>
  </si>
  <si>
    <t>F</t>
  </si>
  <si>
    <t>Ferrari</t>
  </si>
  <si>
    <t>Monza SP1</t>
  </si>
  <si>
    <t>ATS Automobili</t>
  </si>
  <si>
    <t>Corsa RRTurbo</t>
  </si>
  <si>
    <t>XE SV Project 8</t>
  </si>
  <si>
    <t>F40</t>
  </si>
  <si>
    <t>R.S. 01</t>
  </si>
  <si>
    <t>NSX GT3 EVO</t>
  </si>
  <si>
    <t>Vencer</t>
  </si>
  <si>
    <t>Sarthe</t>
  </si>
  <si>
    <t>MC12</t>
  </si>
  <si>
    <t>Mulliner Bacalar</t>
  </si>
  <si>
    <t>Miura Concept</t>
  </si>
  <si>
    <t>718 Cayman GT4 Clubsport</t>
  </si>
  <si>
    <t>Corvette Stingray</t>
  </si>
  <si>
    <t>Brabham</t>
  </si>
  <si>
    <t>BT62</t>
  </si>
  <si>
    <t>599XX EVO</t>
  </si>
  <si>
    <t>Ares</t>
  </si>
  <si>
    <t>Diablo GT</t>
  </si>
  <si>
    <t>Arrinera</t>
  </si>
  <si>
    <t>Hussarya 33</t>
  </si>
  <si>
    <t>EB110</t>
  </si>
  <si>
    <t>Gallardo LP560-4</t>
  </si>
  <si>
    <t>M</t>
  </si>
  <si>
    <t>GT</t>
  </si>
  <si>
    <t>AMG GT Black Series</t>
  </si>
  <si>
    <t>911 GTS Coupé</t>
  </si>
  <si>
    <t>DB11</t>
  </si>
  <si>
    <t>F-Type SVR</t>
  </si>
  <si>
    <t>F50</t>
  </si>
  <si>
    <t>Exotic Rides</t>
  </si>
  <si>
    <t>W70</t>
  </si>
  <si>
    <t>911 GT1 Evolution</t>
  </si>
  <si>
    <t>Asterion</t>
  </si>
  <si>
    <t>Roma</t>
  </si>
  <si>
    <t>Arash</t>
  </si>
  <si>
    <t>AF10</t>
  </si>
  <si>
    <t>Cadillac</t>
  </si>
  <si>
    <t>Cien Concept</t>
  </si>
  <si>
    <t>GT MK II</t>
  </si>
  <si>
    <t>Zerouno</t>
  </si>
  <si>
    <t>AF8 Falcon Edition</t>
  </si>
  <si>
    <t>488 GTB</t>
  </si>
  <si>
    <t>Kepler</t>
  </si>
  <si>
    <t>Motion</t>
  </si>
  <si>
    <t>Drako</t>
  </si>
  <si>
    <t>GTE</t>
  </si>
  <si>
    <t>003S</t>
  </si>
  <si>
    <t>R390 GT1</t>
  </si>
  <si>
    <t>F12TDF</t>
  </si>
  <si>
    <t>Murcielago LP 640 Roadster</t>
  </si>
  <si>
    <t>765LT</t>
  </si>
  <si>
    <t>Corvette Grand Sport</t>
  </si>
  <si>
    <t>Vantage GT12</t>
  </si>
  <si>
    <t>Apex</t>
  </si>
  <si>
    <t>AP-0</t>
  </si>
  <si>
    <t>Sin</t>
  </si>
  <si>
    <t>R1 550</t>
  </si>
  <si>
    <t>Reventón Roadster</t>
  </si>
  <si>
    <t>Enzo Ferrari</t>
  </si>
  <si>
    <t>One77</t>
  </si>
  <si>
    <t>SLR McLaren</t>
  </si>
  <si>
    <t>DBS Superleggera</t>
  </si>
  <si>
    <t>Essenza SCV12</t>
  </si>
  <si>
    <t>600LT Spider</t>
  </si>
  <si>
    <t>Puritalia</t>
  </si>
  <si>
    <t>Berlinetta</t>
  </si>
  <si>
    <t>Huracán Evo Spyder</t>
  </si>
  <si>
    <t>Carrera GT</t>
  </si>
  <si>
    <t>GTR-50 Italdesign</t>
  </si>
  <si>
    <t>Zenvo</t>
  </si>
  <si>
    <t>TSR-S</t>
  </si>
  <si>
    <t>Sesto Elemento</t>
  </si>
  <si>
    <t>911 GT3 RS</t>
  </si>
  <si>
    <t>488 GTB Challenge EVO</t>
  </si>
  <si>
    <t>Evija</t>
  </si>
  <si>
    <t>F1 LM</t>
  </si>
  <si>
    <t>W12 Coupe</t>
  </si>
  <si>
    <t>Pagani</t>
  </si>
  <si>
    <t>Huayra R</t>
  </si>
  <si>
    <t>Revuelto</t>
  </si>
  <si>
    <t>Vulcan</t>
  </si>
  <si>
    <t>GT-R Nismo</t>
  </si>
  <si>
    <t>Nio</t>
  </si>
  <si>
    <t>EP9</t>
  </si>
  <si>
    <t>J50</t>
  </si>
  <si>
    <t>Viper GTS</t>
  </si>
  <si>
    <t>Continental GT Speed</t>
  </si>
  <si>
    <t>LaFerrari</t>
  </si>
  <si>
    <t>P1</t>
  </si>
  <si>
    <t>Zonda HP Barchetta</t>
  </si>
  <si>
    <t>Aventador SV Coupé</t>
  </si>
  <si>
    <t>812 Superfast</t>
  </si>
  <si>
    <t>Corvette ZR1</t>
  </si>
  <si>
    <t>C-X75</t>
  </si>
  <si>
    <t>VLF</t>
  </si>
  <si>
    <t>Force 1 V10</t>
  </si>
  <si>
    <t>Senna GTR</t>
  </si>
  <si>
    <t>Aventador SVJ Roadster</t>
  </si>
  <si>
    <t>Vanda Electrics</t>
  </si>
  <si>
    <t>Dendrobium</t>
  </si>
  <si>
    <t>918 Spyder</t>
  </si>
  <si>
    <t>9X8</t>
  </si>
  <si>
    <t>570S Spider</t>
  </si>
  <si>
    <t>Aventador J</t>
  </si>
  <si>
    <t>Onyx</t>
  </si>
  <si>
    <t>Zonda R</t>
  </si>
  <si>
    <t>007S</t>
  </si>
  <si>
    <t>Citroen</t>
  </si>
  <si>
    <t>GT by Citroen</t>
  </si>
  <si>
    <t>Victor</t>
  </si>
  <si>
    <t>911 GT2 RS Clubsport</t>
  </si>
  <si>
    <t>Huayra BC</t>
  </si>
  <si>
    <t>650S GT3</t>
  </si>
  <si>
    <t>SC18</t>
  </si>
  <si>
    <t>LaFerrari Aperta</t>
  </si>
  <si>
    <t>F8 Tributo</t>
  </si>
  <si>
    <t>SC20</t>
  </si>
  <si>
    <t>Genty</t>
  </si>
  <si>
    <t>Akylone</t>
  </si>
  <si>
    <t>Techrules</t>
  </si>
  <si>
    <t>AT96 track version</t>
  </si>
  <si>
    <t>Concept_One</t>
  </si>
  <si>
    <t>Valhalla Concept Car</t>
  </si>
  <si>
    <t>Imola</t>
  </si>
  <si>
    <t>XJR-9</t>
  </si>
  <si>
    <t>Countach LPI 800-4</t>
  </si>
  <si>
    <t>Lego Technic McLaren</t>
  </si>
  <si>
    <t>Centenario</t>
  </si>
  <si>
    <t>FXX K</t>
  </si>
  <si>
    <t>Icona</t>
  </si>
  <si>
    <t>Vulcano Titanium</t>
  </si>
  <si>
    <t>W Motors</t>
  </si>
  <si>
    <t>Lykan Hypersport</t>
  </si>
  <si>
    <t>Raesr</t>
  </si>
  <si>
    <t>Tachyon Speed</t>
  </si>
  <si>
    <t>Veneno</t>
  </si>
  <si>
    <t>XJ220S TWR</t>
  </si>
  <si>
    <t>Egoista</t>
  </si>
  <si>
    <t>Chrysler</t>
  </si>
  <si>
    <t>ME412</t>
  </si>
  <si>
    <t>Trion</t>
  </si>
  <si>
    <t>Nemesis</t>
  </si>
  <si>
    <t>Spania GTA</t>
  </si>
  <si>
    <t>2015 GTA Spano</t>
  </si>
  <si>
    <t>SF90 Stradale</t>
  </si>
  <si>
    <t>FV Frangivento</t>
  </si>
  <si>
    <t>Sorpasso GT3</t>
  </si>
  <si>
    <t>Senna</t>
  </si>
  <si>
    <t>Veyron 16.4 Grand Sport Vitesse</t>
  </si>
  <si>
    <t>Terzo Millennio</t>
  </si>
  <si>
    <t>Vision</t>
  </si>
  <si>
    <t>Fenyr Supersport</t>
  </si>
  <si>
    <t>Valkyrie</t>
  </si>
  <si>
    <t>TS1 GT Anniversary</t>
  </si>
  <si>
    <t>Automobili Pininfarina</t>
  </si>
  <si>
    <t>Battista</t>
  </si>
  <si>
    <t>Naran</t>
  </si>
  <si>
    <t>Hyper Coupé</t>
  </si>
  <si>
    <t>Speedtail</t>
  </si>
  <si>
    <t>Faraday</t>
  </si>
  <si>
    <t>FFZero1</t>
  </si>
  <si>
    <t>Regera</t>
  </si>
  <si>
    <t>Ultima</t>
  </si>
  <si>
    <t>RS</t>
  </si>
  <si>
    <t>Inferno Automobili</t>
  </si>
  <si>
    <t>Inferno</t>
  </si>
  <si>
    <t>Torino Design</t>
  </si>
  <si>
    <t>Super Sport</t>
  </si>
  <si>
    <t>Chiron</t>
  </si>
  <si>
    <t>BXR</t>
  </si>
  <si>
    <t>Bailey Blade GT1</t>
  </si>
  <si>
    <t>Divo</t>
  </si>
  <si>
    <t>Tushek</t>
  </si>
  <si>
    <t>TS 900 Racer Pro</t>
  </si>
  <si>
    <t>Mazzanti</t>
  </si>
  <si>
    <t>Evantra Millecavalli</t>
  </si>
  <si>
    <t>TD</t>
  </si>
  <si>
    <t>Settimo Cerchio</t>
  </si>
  <si>
    <t>Jesko</t>
  </si>
  <si>
    <t>Centodieci</t>
  </si>
  <si>
    <t>Aspark</t>
  </si>
  <si>
    <t>Owl</t>
  </si>
  <si>
    <t>Agera RS</t>
  </si>
  <si>
    <t>SSC</t>
  </si>
  <si>
    <t>Tuatara</t>
  </si>
  <si>
    <t>CCXR</t>
  </si>
  <si>
    <t>La Voiture Noire</t>
  </si>
  <si>
    <t>Gemera</t>
  </si>
  <si>
    <t>Bolide</t>
  </si>
  <si>
    <t>C TWO</t>
  </si>
  <si>
    <t xml:space="preserve"> *</t>
  </si>
  <si>
    <t xml:space="preserve"> **</t>
  </si>
  <si>
    <t xml:space="preserve"> ***</t>
  </si>
  <si>
    <t xml:space="preserve"> ****</t>
  </si>
  <si>
    <t xml:space="preserve"> *****</t>
  </si>
  <si>
    <t xml:space="preserve"> ******</t>
  </si>
  <si>
    <t xml:space="preserve"> Got</t>
  </si>
  <si>
    <t xml:space="preserve"> Missed</t>
  </si>
  <si>
    <t xml:space="preserve"> Speed</t>
  </si>
  <si>
    <t xml:space="preserve"> Accel.</t>
  </si>
  <si>
    <t xml:space="preserve"> Handly</t>
  </si>
  <si>
    <t xml:space="preserve"> Nitro</t>
  </si>
  <si>
    <t>-</t>
  </si>
  <si>
    <t xml:space="preserve"> Start</t>
  </si>
  <si>
    <t xml:space="preserve"> Average</t>
  </si>
  <si>
    <t xml:space="preserve"> Accel,</t>
  </si>
  <si>
    <t>Done</t>
  </si>
  <si>
    <t>Race</t>
  </si>
  <si>
    <t>Region</t>
  </si>
  <si>
    <t>Shanghai</t>
  </si>
  <si>
    <t>San Francisco</t>
  </si>
  <si>
    <t>Scotland</t>
  </si>
  <si>
    <t>Himalayas</t>
  </si>
  <si>
    <t>Cairo</t>
  </si>
  <si>
    <t>US Midwest</t>
  </si>
  <si>
    <t>Rome</t>
  </si>
  <si>
    <t>Osaka</t>
  </si>
  <si>
    <t>Nevada</t>
  </si>
  <si>
    <t>New York</t>
  </si>
  <si>
    <t>The Caribbean</t>
  </si>
  <si>
    <t>Auckland</t>
  </si>
  <si>
    <t>Greenland</t>
  </si>
  <si>
    <t>Buenos Aires</t>
  </si>
  <si>
    <t>#</t>
  </si>
  <si>
    <t>Brand / Car</t>
  </si>
  <si>
    <t>Type</t>
  </si>
  <si>
    <t>Task</t>
  </si>
  <si>
    <t>Description</t>
  </si>
  <si>
    <t>ToDo</t>
  </si>
  <si>
    <t>%</t>
  </si>
  <si>
    <t>DataBases</t>
  </si>
  <si>
    <t>quotidien</t>
  </si>
  <si>
    <t>finish</t>
  </si>
  <si>
    <t>boutique</t>
  </si>
  <si>
    <t>air</t>
  </si>
  <si>
    <t>BA/Caraibes/Toscane</t>
  </si>
  <si>
    <t>top 1</t>
  </si>
  <si>
    <t>carrière</t>
  </si>
  <si>
    <t>bouteilles</t>
  </si>
  <si>
    <t>multi</t>
  </si>
  <si>
    <t>top 3</t>
  </si>
  <si>
    <t>garage</t>
  </si>
  <si>
    <t>cascades</t>
  </si>
  <si>
    <t>étoile</t>
  </si>
  <si>
    <t>dérape</t>
  </si>
  <si>
    <t>items</t>
  </si>
  <si>
    <t>éjections</t>
  </si>
  <si>
    <t>sauts</t>
  </si>
  <si>
    <t>5 en 1</t>
  </si>
  <si>
    <t>traque</t>
  </si>
  <si>
    <t>imports</t>
  </si>
  <si>
    <t>spécial</t>
  </si>
  <si>
    <t>15s en 1</t>
  </si>
  <si>
    <t>séquence parfaite</t>
  </si>
  <si>
    <t>3 en 1</t>
  </si>
  <si>
    <t>nitro parfait</t>
  </si>
  <si>
    <t>objets</t>
  </si>
  <si>
    <t>ondes de choc</t>
  </si>
  <si>
    <t>pack</t>
  </si>
  <si>
    <t>Shanguai/Toscane/Midwest</t>
  </si>
  <si>
    <t>réputation</t>
  </si>
  <si>
    <t>10 en 1</t>
  </si>
  <si>
    <t>Him</t>
  </si>
  <si>
    <t>4 ou -</t>
  </si>
  <si>
    <t>time</t>
  </si>
  <si>
    <t>tonneaux</t>
  </si>
  <si>
    <t>6 en 1</t>
  </si>
  <si>
    <t>Groeland/Ecosse</t>
  </si>
  <si>
    <t>Toscane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</si>
</sst>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-* #,##0\ _€_-;\-* #,##0\ _€_-;_-* &quot;-&quot;\ _€_-;_-@_-"/>
  </numFmts>
  <fonts count="31" x14ac:knownFonts="1">
    <font>
      <sz val="9"/>
      <color theme="0" tint="-0.14996795556505021"/>
      <name val="Cascadia Code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rgb="FFC00000"/>
      <name val="Segoe UI Semibold"/>
      <family val="2"/>
    </font>
    <font>
      <sz val="9"/>
      <color theme="0" tint="-0.14996795556505021"/>
      <name val="Cascadia Code"/>
      <family val="3"/>
    </font>
    <font>
      <sz val="9"/>
      <color theme="9" tint="-0.24994659260841701"/>
      <name val="Segoe UI Semibold"/>
      <family val="2"/>
    </font>
    <font>
      <sz val="9"/>
      <color theme="7" tint="-0.24994659260841701"/>
      <name val="Segoe UI Semibold"/>
      <family val="2"/>
    </font>
    <font>
      <sz val="9"/>
      <color theme="4" tint="-0.24994659260841701"/>
      <name val="Segoe UI Semibold"/>
      <family val="2"/>
    </font>
    <font>
      <b/>
      <sz val="24"/>
      <color theme="0" tint="-0.14996795556505021"/>
      <name val="Cascadia Code"/>
      <family val="3"/>
    </font>
    <font>
      <b/>
      <sz val="11"/>
      <color rgb="FFFFC000"/>
      <name val="Cascadia Code"/>
      <family val="3"/>
    </font>
    <font>
      <sz val="9"/>
      <color rgb="FF006100"/>
      <name val="Cascadia Code"/>
      <family val="3"/>
    </font>
    <font>
      <sz val="9"/>
      <color rgb="FF9C0006"/>
      <name val="Cascadia Code"/>
      <family val="3"/>
    </font>
    <font>
      <sz val="9"/>
      <color rgb="FF9C6500"/>
      <name val="Cascadia Code"/>
      <family val="3"/>
    </font>
    <font>
      <u/>
      <sz val="9"/>
      <color theme="10"/>
      <name val="Cascadia Code"/>
      <family val="3"/>
    </font>
    <font>
      <u/>
      <sz val="9"/>
      <color theme="11"/>
      <name val="Cascadia Code"/>
      <family val="3"/>
    </font>
    <font>
      <sz val="9"/>
      <color theme="0" tint="-0.14999847407452621"/>
      <name val="Segoe UI Semibold"/>
      <family val="2"/>
    </font>
    <font>
      <sz val="11"/>
      <color theme="0" tint="-0.14996795556505021"/>
      <name val="Cascadia Code"/>
      <family val="3"/>
    </font>
  </fonts>
  <fills count="4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74996185186315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2" tint="-0.74999237037263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dashed">
        <color theme="2"/>
      </top>
      <bottom style="dashed">
        <color theme="2"/>
      </bottom>
      <diagonal/>
    </border>
    <border>
      <left/>
      <right/>
      <top/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/>
      <right style="dashed">
        <color theme="2"/>
      </right>
      <top/>
      <bottom style="dashed">
        <color theme="2"/>
      </bottom>
      <diagonal/>
    </border>
    <border>
      <left/>
      <right style="dashed">
        <color theme="2"/>
      </right>
      <top/>
      <bottom/>
      <diagonal/>
    </border>
    <border>
      <left style="dashed">
        <color theme="2"/>
      </left>
      <right style="dashed">
        <color theme="2"/>
      </right>
      <top/>
      <bottom style="dashed">
        <color theme="2"/>
      </bottom>
      <diagonal/>
    </border>
    <border>
      <left style="dashed">
        <color theme="2"/>
      </left>
      <right/>
      <top/>
      <bottom/>
      <diagonal/>
    </border>
    <border>
      <left style="dashed">
        <color theme="2"/>
      </left>
      <right/>
      <top/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/>
      <right style="dashed">
        <color theme="2"/>
      </right>
      <top style="dashed">
        <color theme="2"/>
      </top>
      <bottom style="dashed">
        <color theme="2"/>
      </bottom>
      <diagonal/>
    </border>
    <border>
      <left style="dotted">
        <color theme="2"/>
      </left>
      <right style="dotted">
        <color theme="2"/>
      </right>
      <top style="dotted">
        <color theme="2"/>
      </top>
      <bottom style="dotted">
        <color theme="2"/>
      </bottom>
      <diagonal/>
    </border>
    <border>
      <left style="thin">
        <color theme="2"/>
      </left>
      <right/>
      <top style="dashed">
        <color theme="2"/>
      </top>
      <bottom style="dashed">
        <color theme="2"/>
      </bottom>
      <diagonal/>
    </border>
    <border>
      <left/>
      <right style="medium">
        <color theme="2"/>
      </right>
      <top style="dashed">
        <color theme="2"/>
      </top>
      <bottom style="medium">
        <color theme="2"/>
      </bottom>
      <diagonal/>
    </border>
    <border>
      <left/>
      <right/>
      <top style="dashed">
        <color theme="2"/>
      </top>
      <bottom style="medium">
        <color theme="2"/>
      </bottom>
      <diagonal/>
    </border>
    <border>
      <left style="medium">
        <color theme="2"/>
      </left>
      <right/>
      <top style="dashed">
        <color theme="2"/>
      </top>
      <bottom style="medium">
        <color theme="2"/>
      </bottom>
      <diagonal/>
    </border>
    <border>
      <left/>
      <right style="medium">
        <color theme="2"/>
      </right>
      <top style="dashed">
        <color theme="2"/>
      </top>
      <bottom style="dashed">
        <color theme="2"/>
      </bottom>
      <diagonal/>
    </border>
    <border>
      <left style="medium">
        <color theme="2"/>
      </left>
      <right/>
      <top style="dashed">
        <color theme="2"/>
      </top>
      <bottom style="dashed">
        <color theme="2"/>
      </bottom>
      <diagonal/>
    </border>
    <border>
      <left/>
      <right style="medium">
        <color theme="2"/>
      </right>
      <top style="medium">
        <color theme="2"/>
      </top>
      <bottom style="dashed">
        <color theme="2"/>
      </bottom>
      <diagonal/>
    </border>
    <border>
      <left/>
      <right/>
      <top style="medium">
        <color theme="2"/>
      </top>
      <bottom style="dashed">
        <color theme="2"/>
      </bottom>
      <diagonal/>
    </border>
    <border>
      <left style="medium">
        <color theme="2"/>
      </left>
      <right/>
      <top style="medium">
        <color theme="2"/>
      </top>
      <bottom style="dashed">
        <color theme="2"/>
      </bottom>
      <diagonal/>
    </border>
  </borders>
  <cellStyleXfs count="61">
    <xf numFmtId="0" fontId="0" fillId="35" borderId="0">
      <alignment vertical="center"/>
    </xf>
    <xf numFmtId="164" fontId="1" fillId="0" borderId="0" applyFont="0" applyFill="0" applyBorder="0" applyProtection="0">
      <alignment horizontal="right" vertical="center"/>
    </xf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4" applyNumberFormat="0" applyAlignment="0" applyProtection="0"/>
    <xf numFmtId="0" fontId="7" fillId="3" borderId="5" applyNumberFormat="0" applyAlignment="0" applyProtection="0"/>
    <xf numFmtId="0" fontId="8" fillId="3" borderId="4" applyNumberFormat="0" applyAlignment="0" applyProtection="0"/>
    <xf numFmtId="0" fontId="9" fillId="0" borderId="6" applyNumberFormat="0" applyFill="0" applyAlignment="0" applyProtection="0"/>
    <xf numFmtId="0" fontId="10" fillId="4" borderId="7" applyNumberFormat="0" applyAlignment="0" applyProtection="0"/>
    <xf numFmtId="0" fontId="11" fillId="0" borderId="0" applyNumberFormat="0" applyFill="0" applyBorder="0" applyAlignment="0" applyProtection="0"/>
    <xf numFmtId="0" fontId="1" fillId="5" borderId="8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9" applyNumberFormat="0" applyFill="0" applyAlignment="0" applyProtection="0"/>
    <xf numFmtId="0" fontId="14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4" fillId="29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" fontId="20" fillId="30" borderId="0" applyFill="0" applyBorder="0">
      <alignment horizontal="right" vertical="center"/>
    </xf>
    <xf numFmtId="3" fontId="17" fillId="30" borderId="0" applyFill="0" applyBorder="0">
      <alignment horizontal="right" vertical="center"/>
    </xf>
    <xf numFmtId="3" fontId="19" fillId="30" borderId="0" applyFill="0" applyBorder="0">
      <alignment horizontal="right" vertical="center"/>
    </xf>
    <xf numFmtId="0" fontId="24" fillId="31" borderId="0" applyNumberFormat="0" applyBorder="0" applyAlignment="0" applyProtection="0"/>
    <xf numFmtId="0" fontId="25" fillId="32" borderId="0" applyNumberFormat="0" applyBorder="0" applyAlignment="0" applyProtection="0"/>
    <xf numFmtId="0" fontId="26" fillId="33" borderId="0" applyNumberFormat="0" applyBorder="0" applyAlignment="0" applyProtection="0"/>
    <xf numFmtId="0" fontId="18" fillId="38" borderId="20" applyAlignment="0"/>
    <xf numFmtId="0" fontId="18" fillId="36" borderId="20" applyAlignment="0"/>
    <xf numFmtId="3" fontId="21" fillId="30" borderId="0" applyFill="0" applyBorder="0">
      <alignment horizontal="right" vertical="center"/>
    </xf>
    <xf numFmtId="49" fontId="18" fillId="34" borderId="0" applyBorder="0">
      <alignment horizontal="center" textRotation="90"/>
    </xf>
    <xf numFmtId="0" fontId="27" fillId="35" borderId="0" applyNumberFormat="0" applyFill="0" applyBorder="0" applyAlignment="0" applyProtection="0">
      <alignment vertical="center"/>
    </xf>
    <xf numFmtId="0" fontId="28" fillId="35" borderId="0" applyNumberFormat="0" applyFill="0" applyBorder="0" applyAlignment="0" applyProtection="0">
      <alignment vertical="center"/>
    </xf>
    <xf numFmtId="9" fontId="18" fillId="0" borderId="0" applyFont="0" applyFill="0" applyBorder="0" applyAlignment="0" applyProtection="0"/>
  </cellStyleXfs>
  <cellXfs count="120">
    <xf numFmtId="0" fontId="0" fillId="35" borderId="0" xfId="0">
      <alignment vertical="center"/>
    </xf>
    <xf numFmtId="0" fontId="0" fillId="35" borderId="0" xfId="0" applyAlignment="1">
      <alignment horizontal="left" vertical="center"/>
    </xf>
    <xf numFmtId="0" fontId="0" fillId="35" borderId="0" xfId="0" applyAlignment="1">
      <alignment horizontal="center" vertical="center"/>
    </xf>
    <xf numFmtId="0" fontId="0" fillId="35" borderId="0" xfId="0" applyAlignment="1">
      <alignment textRotation="90"/>
    </xf>
    <xf numFmtId="0" fontId="0" fillId="35" borderId="0" xfId="0" applyAlignment="1">
      <alignment horizontal="left" vertical="center" indent="1"/>
    </xf>
    <xf numFmtId="0" fontId="0" fillId="35" borderId="0" xfId="0" applyAlignment="1">
      <alignment horizontal="center" vertical="center" textRotation="90"/>
    </xf>
    <xf numFmtId="49" fontId="18" fillId="34" borderId="0" xfId="57" applyBorder="1">
      <alignment horizontal="center" textRotation="90"/>
    </xf>
    <xf numFmtId="49" fontId="0" fillId="34" borderId="0" xfId="57" applyFont="1" applyBorder="1">
      <alignment horizontal="center" textRotation="90"/>
    </xf>
    <xf numFmtId="0" fontId="18" fillId="38" borderId="20" xfId="54" applyAlignment="1">
      <alignment horizontal="center" vertical="center"/>
    </xf>
    <xf numFmtId="0" fontId="18" fillId="38" borderId="20" xfId="54" applyAlignment="1">
      <alignment horizontal="left" vertical="center"/>
    </xf>
    <xf numFmtId="0" fontId="18" fillId="36" borderId="20" xfId="55" applyAlignment="1">
      <alignment horizontal="center" vertical="center"/>
    </xf>
    <xf numFmtId="0" fontId="18" fillId="36" borderId="20" xfId="55" applyAlignment="1">
      <alignment horizontal="left" vertical="center"/>
    </xf>
    <xf numFmtId="0" fontId="0" fillId="35" borderId="0" xfId="0" applyAlignment="1">
      <alignment horizontal="right" vertical="center"/>
    </xf>
    <xf numFmtId="3" fontId="17" fillId="35" borderId="0" xfId="49" applyFill="1" applyBorder="1">
      <alignment horizontal="right" vertical="center"/>
    </xf>
    <xf numFmtId="0" fontId="18" fillId="38" borderId="11" xfId="54" applyBorder="1" applyAlignment="1">
      <alignment horizontal="center" vertical="center"/>
    </xf>
    <xf numFmtId="0" fontId="18" fillId="38" borderId="13" xfId="54" applyBorder="1" applyAlignment="1">
      <alignment horizontal="center" vertical="center"/>
    </xf>
    <xf numFmtId="0" fontId="18" fillId="36" borderId="11" xfId="55" applyBorder="1" applyAlignment="1">
      <alignment horizontal="center" vertical="center"/>
    </xf>
    <xf numFmtId="0" fontId="18" fillId="36" borderId="13" xfId="55" applyBorder="1" applyAlignment="1">
      <alignment horizontal="center" vertical="center"/>
    </xf>
    <xf numFmtId="0" fontId="18" fillId="38" borderId="17" xfId="54" applyBorder="1" applyAlignment="1">
      <alignment horizontal="center" vertical="center"/>
    </xf>
    <xf numFmtId="0" fontId="18" fillId="36" borderId="17" xfId="55" applyBorder="1" applyAlignment="1">
      <alignment horizontal="center" vertical="center"/>
    </xf>
    <xf numFmtId="49" fontId="18" fillId="34" borderId="16" xfId="57" applyBorder="1">
      <alignment horizontal="center" textRotation="90"/>
    </xf>
    <xf numFmtId="49" fontId="18" fillId="34" borderId="14" xfId="57" applyBorder="1">
      <alignment horizontal="center" textRotation="90"/>
    </xf>
    <xf numFmtId="0" fontId="18" fillId="38" borderId="18" xfId="54" applyBorder="1" applyAlignment="1">
      <alignment horizontal="center" vertical="center"/>
    </xf>
    <xf numFmtId="0" fontId="18" fillId="38" borderId="10" xfId="54" applyBorder="1" applyAlignment="1">
      <alignment horizontal="center" vertical="center"/>
    </xf>
    <xf numFmtId="0" fontId="18" fillId="38" borderId="19" xfId="54" applyBorder="1" applyAlignment="1">
      <alignment horizontal="center" vertical="center"/>
    </xf>
    <xf numFmtId="0" fontId="18" fillId="38" borderId="12" xfId="54" applyBorder="1" applyAlignment="1">
      <alignment horizontal="right" vertical="center" indent="1"/>
    </xf>
    <xf numFmtId="0" fontId="18" fillId="36" borderId="15" xfId="55" applyBorder="1" applyAlignment="1">
      <alignment horizontal="right" vertical="center" indent="1"/>
    </xf>
    <xf numFmtId="0" fontId="23" fillId="37" borderId="0" xfId="0" applyFont="1" applyFill="1" applyAlignment="1">
      <alignment horizontal="center" vertical="center"/>
    </xf>
    <xf numFmtId="3" fontId="19" fillId="35" borderId="0" xfId="50" applyFill="1" applyBorder="1" applyAlignment="1">
      <alignment horizontal="center" vertical="center"/>
    </xf>
    <xf numFmtId="3" fontId="21" fillId="35" borderId="0" xfId="56" applyFill="1" applyBorder="1" applyAlignment="1">
      <alignment horizontal="center" vertical="center"/>
    </xf>
    <xf numFmtId="3" fontId="19" fillId="38" borderId="17" xfId="50" applyFill="1" applyBorder="1" applyAlignment="1">
      <alignment horizontal="center" vertical="center"/>
    </xf>
    <xf numFmtId="3" fontId="19" fillId="38" borderId="11" xfId="50" applyFill="1" applyBorder="1" applyAlignment="1">
      <alignment horizontal="center" vertical="center"/>
    </xf>
    <xf numFmtId="3" fontId="19" fillId="38" borderId="13" xfId="50" applyFill="1" applyBorder="1" applyAlignment="1">
      <alignment horizontal="center" vertical="center"/>
    </xf>
    <xf numFmtId="3" fontId="19" fillId="36" borderId="17" xfId="50" applyFill="1" applyBorder="1" applyAlignment="1">
      <alignment horizontal="center" vertical="center"/>
    </xf>
    <xf numFmtId="3" fontId="19" fillId="36" borderId="11" xfId="50" applyFill="1" applyBorder="1" applyAlignment="1">
      <alignment horizontal="center" vertical="center"/>
    </xf>
    <xf numFmtId="3" fontId="19" fillId="36" borderId="13" xfId="50" applyFill="1" applyBorder="1" applyAlignment="1">
      <alignment horizontal="center" vertical="center"/>
    </xf>
    <xf numFmtId="3" fontId="17" fillId="38" borderId="17" xfId="49" applyFill="1" applyBorder="1" applyAlignment="1">
      <alignment horizontal="center" vertical="center"/>
    </xf>
    <xf numFmtId="3" fontId="17" fillId="38" borderId="11" xfId="49" applyFill="1" applyBorder="1" applyAlignment="1">
      <alignment horizontal="center" vertical="center"/>
    </xf>
    <xf numFmtId="3" fontId="17" fillId="38" borderId="13" xfId="49" applyFill="1" applyBorder="1" applyAlignment="1">
      <alignment horizontal="center" vertical="center"/>
    </xf>
    <xf numFmtId="3" fontId="17" fillId="36" borderId="17" xfId="49" applyFill="1" applyBorder="1" applyAlignment="1">
      <alignment horizontal="center" vertical="center"/>
    </xf>
    <xf numFmtId="3" fontId="17" fillId="36" borderId="11" xfId="49" applyFill="1" applyBorder="1" applyAlignment="1">
      <alignment horizontal="center" vertical="center"/>
    </xf>
    <xf numFmtId="3" fontId="17" fillId="36" borderId="13" xfId="49" applyFill="1" applyBorder="1" applyAlignment="1">
      <alignment horizontal="center" vertical="center"/>
    </xf>
    <xf numFmtId="0" fontId="0" fillId="36" borderId="20" xfId="55" applyFont="1" applyAlignment="1">
      <alignment horizontal="center" vertical="center"/>
    </xf>
    <xf numFmtId="0" fontId="0" fillId="38" borderId="20" xfId="54" applyFont="1" applyAlignment="1">
      <alignment horizontal="left" vertical="center"/>
    </xf>
    <xf numFmtId="0" fontId="0" fillId="38" borderId="20" xfId="54" applyFont="1" applyAlignment="1">
      <alignment horizontal="center" vertical="center"/>
    </xf>
    <xf numFmtId="3" fontId="20" fillId="35" borderId="0" xfId="48" applyFill="1" applyBorder="1">
      <alignment horizontal="right" vertical="center"/>
    </xf>
    <xf numFmtId="3" fontId="21" fillId="35" borderId="0" xfId="56" applyFill="1" applyBorder="1">
      <alignment horizontal="right" vertical="center"/>
    </xf>
    <xf numFmtId="3" fontId="17" fillId="35" borderId="0" xfId="49" applyFill="1" applyBorder="1" applyAlignment="1">
      <alignment horizontal="center" vertical="center"/>
    </xf>
    <xf numFmtId="0" fontId="18" fillId="38" borderId="21" xfId="54" applyBorder="1" applyAlignment="1">
      <alignment horizontal="center" vertical="center"/>
    </xf>
    <xf numFmtId="0" fontId="18" fillId="39" borderId="21" xfId="54" applyFill="1" applyBorder="1" applyAlignment="1">
      <alignment horizontal="center" vertical="center"/>
    </xf>
    <xf numFmtId="0" fontId="18" fillId="39" borderId="13" xfId="55" applyFill="1" applyBorder="1" applyAlignment="1">
      <alignment horizontal="center" vertical="center"/>
    </xf>
    <xf numFmtId="0" fontId="18" fillId="39" borderId="11" xfId="55" applyFill="1" applyBorder="1" applyAlignment="1">
      <alignment horizontal="center" vertical="center"/>
    </xf>
    <xf numFmtId="3" fontId="19" fillId="35" borderId="0" xfId="50" applyFill="1" applyBorder="1">
      <alignment horizontal="right" vertical="center"/>
    </xf>
    <xf numFmtId="2" fontId="0" fillId="38" borderId="20" xfId="54" applyNumberFormat="1" applyFont="1" applyAlignment="1">
      <alignment horizontal="center" vertical="center"/>
    </xf>
    <xf numFmtId="2" fontId="18" fillId="36" borderId="20" xfId="55" applyNumberFormat="1" applyAlignment="1">
      <alignment horizontal="center" vertical="center"/>
    </xf>
    <xf numFmtId="2" fontId="0" fillId="38" borderId="20" xfId="54" applyNumberFormat="1" applyFont="1" applyAlignment="1">
      <alignment horizontal="right" vertical="center"/>
    </xf>
    <xf numFmtId="2" fontId="18" fillId="36" borderId="20" xfId="55" applyNumberFormat="1" applyAlignment="1">
      <alignment horizontal="right" vertical="center"/>
    </xf>
    <xf numFmtId="49" fontId="0" fillId="34" borderId="0" xfId="57" applyFont="1" applyBorder="1" applyAlignment="1">
      <alignment horizontal="center" vertical="center"/>
    </xf>
    <xf numFmtId="49" fontId="18" fillId="34" borderId="0" xfId="57" applyBorder="1" applyAlignment="1">
      <alignment horizontal="center" vertical="center"/>
    </xf>
    <xf numFmtId="49" fontId="0" fillId="34" borderId="0" xfId="57" applyFont="1" applyBorder="1" applyAlignment="1">
      <alignment horizontal="center" vertical="center" wrapText="1"/>
    </xf>
    <xf numFmtId="3" fontId="29" fillId="38" borderId="13" xfId="49" applyFont="1" applyFill="1" applyBorder="1" applyAlignment="1">
      <alignment horizontal="center" vertical="center"/>
    </xf>
    <xf numFmtId="3" fontId="29" fillId="36" borderId="13" xfId="49" applyFont="1" applyFill="1" applyBorder="1" applyAlignment="1">
      <alignment horizontal="center" vertical="center"/>
    </xf>
    <xf numFmtId="49" fontId="0" fillId="34" borderId="0" xfId="57" applyFont="1" applyBorder="1" applyAlignment="1">
      <alignment horizontal="center" vertical="center" textRotation="90"/>
    </xf>
    <xf numFmtId="0" fontId="18" fillId="36" borderId="12" xfId="55" applyBorder="1" applyAlignment="1">
      <alignment horizontal="right" vertical="center" indent="1"/>
    </xf>
    <xf numFmtId="0" fontId="18" fillId="36" borderId="18" xfId="55" applyBorder="1" applyAlignment="1">
      <alignment horizontal="center" vertical="center"/>
    </xf>
    <xf numFmtId="0" fontId="18" fillId="36" borderId="10" xfId="55" applyBorder="1" applyAlignment="1">
      <alignment horizontal="center" vertical="center"/>
    </xf>
    <xf numFmtId="0" fontId="18" fillId="36" borderId="19" xfId="55" applyBorder="1" applyAlignment="1">
      <alignment horizontal="center" vertical="center"/>
    </xf>
    <xf numFmtId="0" fontId="0" fillId="36" borderId="20" xfId="55" applyFont="1" applyAlignment="1">
      <alignment horizontal="left" vertical="center"/>
    </xf>
    <xf numFmtId="0" fontId="0" fillId="35" borderId="23" xfId="0" applyBorder="1" applyAlignment="1">
      <alignment horizontal="right" vertical="center"/>
    </xf>
    <xf numFmtId="0" fontId="0" fillId="35" borderId="23" xfId="0" applyBorder="1" applyAlignment="1">
      <alignment horizontal="left" vertical="center"/>
    </xf>
    <xf numFmtId="0" fontId="0" fillId="35" borderId="10" xfId="0" applyBorder="1" applyAlignment="1">
      <alignment horizontal="right" vertical="center"/>
    </xf>
    <xf numFmtId="0" fontId="0" fillId="35" borderId="10" xfId="0" applyBorder="1" applyAlignment="1">
      <alignment horizontal="left" vertical="center"/>
    </xf>
    <xf numFmtId="10" fontId="0" fillId="35" borderId="27" xfId="0" applyNumberFormat="1" applyBorder="1" applyAlignment="1">
      <alignment horizontal="center" vertical="center"/>
    </xf>
    <xf numFmtId="0" fontId="0" fillId="35" borderId="28" xfId="0" applyBorder="1" applyAlignment="1">
      <alignment horizontal="right" vertical="center"/>
    </xf>
    <xf numFmtId="0" fontId="0" fillId="35" borderId="28" xfId="0" applyBorder="1" applyAlignment="1">
      <alignment horizontal="left" vertical="center"/>
    </xf>
    <xf numFmtId="0" fontId="30" fillId="37" borderId="0" xfId="0" applyFont="1" applyFill="1" applyAlignment="1">
      <alignment horizontal="center" vertical="center"/>
    </xf>
    <xf numFmtId="0" fontId="30" fillId="37" borderId="0" xfId="0" applyFont="1" applyFill="1" applyAlignment="1">
      <alignment horizontal="right" vertical="center"/>
    </xf>
    <xf numFmtId="0" fontId="30" fillId="37" borderId="0" xfId="0" applyFont="1" applyFill="1" applyAlignment="1">
      <alignment horizontal="left" vertical="center"/>
    </xf>
    <xf numFmtId="10" fontId="0" fillId="35" borderId="25" xfId="0" applyNumberFormat="1" applyBorder="1" applyAlignment="1">
      <alignment horizontal="center" vertical="center"/>
    </xf>
    <xf numFmtId="10" fontId="0" fillId="35" borderId="22" xfId="0" applyNumberFormat="1" applyBorder="1" applyAlignment="1">
      <alignment horizontal="center" vertical="center"/>
    </xf>
    <xf numFmtId="0" fontId="22" fillId="34" borderId="0" xfId="57" quotePrefix="1" applyNumberFormat="1" applyFont="1" applyBorder="1" applyAlignment="1">
      <alignment horizontal="center" vertical="center"/>
    </xf>
    <xf numFmtId="0" fontId="22" fillId="34" borderId="0" xfId="57" applyNumberFormat="1" applyFont="1" applyBorder="1" applyAlignment="1">
      <alignment horizontal="center" vertical="center"/>
    </xf>
    <xf numFmtId="0" fontId="18" fillId="38" borderId="18" xfId="54" applyBorder="1" applyAlignment="1">
      <alignment horizontal="left" vertical="center"/>
    </xf>
    <xf numFmtId="0" fontId="18" fillId="36" borderId="17" xfId="55" applyBorder="1" applyAlignment="1">
      <alignment horizontal="left" vertical="center"/>
    </xf>
    <xf numFmtId="0" fontId="0" fillId="38" borderId="20" xfId="54" quotePrefix="1" applyFont="1" applyAlignment="1">
      <alignment horizontal="center" vertical="center"/>
    </xf>
    <xf numFmtId="2" fontId="0" fillId="35" borderId="0" xfId="0" applyNumberFormat="1" applyAlignment="1">
      <alignment horizontal="center" vertical="center"/>
    </xf>
    <xf numFmtId="0" fontId="0" fillId="35" borderId="10" xfId="0" applyBorder="1">
      <alignment vertical="center"/>
    </xf>
    <xf numFmtId="0" fontId="0" fillId="35" borderId="29" xfId="0" applyBorder="1" applyAlignment="1">
      <alignment horizontal="center" vertical="center"/>
    </xf>
    <xf numFmtId="0" fontId="0" fillId="35" borderId="26" xfId="0" applyBorder="1" applyAlignment="1">
      <alignment horizontal="center" vertical="center"/>
    </xf>
    <xf numFmtId="0" fontId="0" fillId="35" borderId="24" xfId="0" applyBorder="1" applyAlignment="1">
      <alignment horizontal="center" vertical="center"/>
    </xf>
    <xf numFmtId="3" fontId="0" fillId="35" borderId="0" xfId="0" applyNumberFormat="1" applyAlignment="1">
      <alignment horizontal="center" vertical="center"/>
    </xf>
    <xf numFmtId="9" fontId="0" fillId="35" borderId="0" xfId="60" applyFont="1" applyFill="1" applyBorder="1" applyAlignment="1">
      <alignment vertical="center"/>
    </xf>
    <xf numFmtId="0" fontId="25" fillId="32" borderId="0" xfId="52" applyBorder="1" applyAlignment="1">
      <alignment horizontal="center" vertical="center"/>
    </xf>
    <xf numFmtId="0" fontId="25" fillId="32" borderId="0" xfId="52" applyBorder="1" applyAlignment="1">
      <alignment vertical="center"/>
    </xf>
    <xf numFmtId="0" fontId="25" fillId="32" borderId="0" xfId="52" applyBorder="1" applyAlignment="1">
      <alignment horizontal="left" vertical="center" indent="1"/>
    </xf>
    <xf numFmtId="0" fontId="24" fillId="31" borderId="0" xfId="51" applyBorder="1" applyAlignment="1">
      <alignment horizontal="center" vertical="center"/>
    </xf>
    <xf numFmtId="0" fontId="24" fillId="31" borderId="0" xfId="51" applyBorder="1" applyAlignment="1">
      <alignment vertical="center"/>
    </xf>
    <xf numFmtId="0" fontId="24" fillId="31" borderId="0" xfId="51" applyBorder="1" applyAlignment="1">
      <alignment horizontal="left" vertical="center" indent="1"/>
    </xf>
    <xf numFmtId="0" fontId="26" fillId="33" borderId="0" xfId="53" applyBorder="1" applyAlignment="1">
      <alignment horizontal="center" vertical="center"/>
    </xf>
    <xf numFmtId="0" fontId="26" fillId="33" borderId="0" xfId="53" applyBorder="1" applyAlignment="1">
      <alignment vertical="center"/>
    </xf>
    <xf numFmtId="0" fontId="26" fillId="33" borderId="0" xfId="53" applyBorder="1" applyAlignment="1">
      <alignment horizontal="left" vertical="center" indent="1"/>
    </xf>
    <xf numFmtId="3" fontId="0" fillId="35" borderId="0" xfId="0" applyNumberFormat="1">
      <alignment vertical="center"/>
    </xf>
    <xf numFmtId="0" fontId="0" fillId="35" borderId="28" xfId="0" applyBorder="1">
      <alignment vertical="center"/>
    </xf>
    <xf numFmtId="3" fontId="19" fillId="35" borderId="0" xfId="50" applyFill="1">
      <alignment horizontal="right" vertical="center"/>
    </xf>
    <xf numFmtId="49" fontId="0" fillId="34" borderId="0" xfId="57" applyFont="1" applyBorder="1" applyAlignment="1">
      <alignment horizontal="right" vertical="center"/>
    </xf>
    <xf numFmtId="0" fontId="0" fillId="35" borderId="0" xfId="0" applyAlignment="1">
      <alignment horizontal="center" vertical="center"/>
    </xf>
    <xf numFmtId="49" fontId="22" fillId="34" borderId="0" xfId="57" applyFont="1" applyBorder="1" applyAlignment="1">
      <alignment horizontal="center" vertical="center"/>
    </xf>
    <xf numFmtId="0" fontId="0" fillId="35" borderId="11" xfId="0" applyBorder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26" fillId="33" borderId="0" xfId="53" applyBorder="1" applyAlignment="1">
      <alignment horizontal="left" vertical="center" indent="1"/>
    </xf>
    <xf numFmtId="0" fontId="25" fillId="32" borderId="0" xfId="52" applyBorder="1" applyAlignment="1">
      <alignment horizontal="left" vertical="center" indent="1"/>
    </xf>
    <xf numFmtId="0" fontId="25" fillId="32" borderId="0" xfId="52" applyBorder="1" applyAlignment="1">
      <alignment horizontal="center" vertical="center"/>
    </xf>
    <xf numFmtId="0" fontId="26" fillId="33" borderId="0" xfId="53" applyBorder="1" applyAlignment="1">
      <alignment horizontal="center" vertical="center"/>
    </xf>
    <xf numFmtId="2" fontId="0" fillId="35" borderId="0" xfId="0" applyNumberFormat="1" applyAlignment="1">
      <alignment horizontal="center" vertical="center"/>
    </xf>
    <xf numFmtId="0" fontId="24" fillId="31" borderId="0" xfId="51" applyBorder="1" applyAlignment="1">
      <alignment horizontal="left" vertical="center" indent="1"/>
    </xf>
    <xf numFmtId="0" fontId="24" fillId="31" borderId="0" xfId="51" applyBorder="1" applyAlignment="1">
      <alignment horizontal="center" vertical="center"/>
    </xf>
    <xf numFmtId="49" fontId="18" fillId="34" borderId="0" xfId="57" applyBorder="1" applyAlignment="1">
      <alignment horizontal="center" vertical="center"/>
    </xf>
    <xf numFmtId="49" fontId="18" fillId="34" borderId="14" xfId="57" applyBorder="1" applyAlignment="1">
      <alignment horizontal="center" vertical="center"/>
    </xf>
    <xf numFmtId="49" fontId="18" fillId="34" borderId="16" xfId="57" applyBorder="1" applyAlignment="1">
      <alignment horizontal="center" vertical="center"/>
    </xf>
    <xf numFmtId="0" fontId="30" fillId="37" borderId="0" xfId="0" applyFont="1" applyFill="1" applyAlignment="1">
      <alignment horizontal="center" vertical="center"/>
    </xf>
  </cellXfs>
  <cellStyles count="61">
    <cellStyle name="20 % - Accent1" xfId="19" builtinId="30" hidden="1"/>
    <cellStyle name="20 % - Accent2" xfId="23" builtinId="34" hidden="1"/>
    <cellStyle name="20 % - Accent3" xfId="27" builtinId="38" hidden="1"/>
    <cellStyle name="20 % - Accent4" xfId="31" builtinId="42" hidden="1"/>
    <cellStyle name="20 % - Accent5" xfId="35" builtinId="46" hidden="1"/>
    <cellStyle name="20 % - Accent6" xfId="39" builtinId="50" hidden="1"/>
    <cellStyle name="40 % - Accent1" xfId="20" builtinId="31" hidden="1"/>
    <cellStyle name="40 % - Accent2" xfId="24" builtinId="35" hidden="1"/>
    <cellStyle name="40 % - Accent3" xfId="28" builtinId="39" hidden="1"/>
    <cellStyle name="40 % - Accent4" xfId="32" builtinId="43" hidden="1"/>
    <cellStyle name="40 % - Accent5" xfId="36" builtinId="47" hidden="1"/>
    <cellStyle name="40 % - Accent6" xfId="40" builtinId="51" hidden="1"/>
    <cellStyle name="60 % - Accent1" xfId="21" builtinId="32" hidden="1"/>
    <cellStyle name="60 % - Accent2" xfId="25" builtinId="36" hidden="1"/>
    <cellStyle name="60 % - Accent3" xfId="29" builtinId="40" hidden="1"/>
    <cellStyle name="60 % - Accent4" xfId="33" builtinId="44" hidden="1"/>
    <cellStyle name="60 % - Accent5" xfId="37" builtinId="48" hidden="1"/>
    <cellStyle name="60 % - Accent6" xfId="41" builtinId="52" hidden="1"/>
    <cellStyle name="A - Even" xfId="54"/>
    <cellStyle name="A - Odd" xfId="55"/>
    <cellStyle name="Accent1" xfId="18" builtinId="29" hidden="1"/>
    <cellStyle name="Accent2" xfId="22" builtinId="33" hidden="1"/>
    <cellStyle name="Accent3" xfId="26" builtinId="37" hidden="1"/>
    <cellStyle name="Accent4" xfId="30" builtinId="41" hidden="1"/>
    <cellStyle name="Accent5" xfId="34" builtinId="45" hidden="1"/>
    <cellStyle name="Accent6" xfId="38" builtinId="49" hidden="1"/>
    <cellStyle name="Avertissement" xfId="14" builtinId="11" hidden="1"/>
    <cellStyle name="B - Header" xfId="57"/>
    <cellStyle name="Blueprint" xfId="50"/>
    <cellStyle name="Calcul" xfId="11" builtinId="22" hidden="1"/>
    <cellStyle name="Cellule liée" xfId="12" builtinId="24" hidden="1"/>
    <cellStyle name="Credits" xfId="48"/>
    <cellStyle name="Entrée" xfId="9" builtinId="20" hidden="1"/>
    <cellStyle name="Epic" xfId="49"/>
    <cellStyle name="Insatisfaisant" xfId="52" builtinId="27" customBuiltin="1"/>
    <cellStyle name="Lien hypertexte" xfId="46" builtinId="8" hidden="1"/>
    <cellStyle name="Lien hypertexte" xfId="44" builtinId="8" hidden="1"/>
    <cellStyle name="Lien hypertexte" xfId="42" builtinId="8" hidden="1"/>
    <cellStyle name="Lien hypertexte" xfId="58" builtinId="8" hidden="1"/>
    <cellStyle name="Lien hypertexte visité" xfId="47" builtinId="9" hidden="1"/>
    <cellStyle name="Lien hypertexte visité" xfId="45" builtinId="9" hidden="1"/>
    <cellStyle name="Lien hypertexte visité" xfId="43" builtinId="9" hidden="1"/>
    <cellStyle name="Lien hypertexte visité" xfId="59" builtinId="9" hidden="1"/>
    <cellStyle name="Milliers [0]" xfId="1" builtinId="6" customBuiltin="1"/>
    <cellStyle name="Monétaire" xfId="2" builtinId="4" hidden="1"/>
    <cellStyle name="Monétaire [0]" xfId="3" builtinId="7" hidden="1"/>
    <cellStyle name="Neutre" xfId="53" builtinId="28" customBuiltin="1"/>
    <cellStyle name="Normal" xfId="0" builtinId="0" customBuiltin="1"/>
    <cellStyle name="Note" xfId="15" builtinId="10" hidden="1"/>
    <cellStyle name="Pourcentage" xfId="60" builtinId="5"/>
    <cellStyle name="Satisfaisant" xfId="51" builtinId="26" customBuiltin="1"/>
    <cellStyle name="Sortie" xfId="10" builtinId="21" hidden="1"/>
    <cellStyle name="Texte explicatif" xfId="16" builtinId="53" hidden="1"/>
    <cellStyle name="Titre" xfId="4" builtinId="15" hidden="1"/>
    <cellStyle name="Titre 1" xfId="5" builtinId="16" hidden="1"/>
    <cellStyle name="Titre 2" xfId="6" builtinId="17" hidden="1"/>
    <cellStyle name="Titre 3" xfId="7" builtinId="18" hidden="1"/>
    <cellStyle name="Titre 4" xfId="8" builtinId="19" hidden="1"/>
    <cellStyle name="Token" xfId="56"/>
    <cellStyle name="Total" xfId="17" builtinId="25" hidden="1"/>
    <cellStyle name="Vérification" xfId="13" builtinId="23" hidden="1"/>
  </cellStyles>
  <dxfs count="1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Dark1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AG13"/>
  <sheetViews>
    <sheetView showGridLines="0" workbookViewId="0"/>
  </sheetViews>
  <sheetFormatPr baseColWidth="10" defaultColWidth="3.7109375" defaultRowHeight="18" customHeight="1" x14ac:dyDescent="0.2"/>
  <cols>
    <col min="2" max="2" width="14.7109375" customWidth="1"/>
    <col min="3" max="6" width="12.7109375" customWidth="1"/>
    <col min="8" max="8" width="12.7109375" customWidth="1"/>
    <col min="9" max="9" width="6.42578125" bestFit="1" customWidth="1"/>
    <col min="10" max="11" width="6.7109375" customWidth="1"/>
    <col min="13" max="14" width="10.7109375" customWidth="1"/>
    <col min="16" max="16" width="12.7109375" customWidth="1"/>
    <col min="18" max="22" width="6.7109375" style="2" customWidth="1"/>
    <col min="24" max="25" width="7.85546875" style="13" bestFit="1" customWidth="1"/>
    <col min="26" max="26" width="7.85546875" style="13" customWidth="1"/>
    <col min="27" max="27" width="7.85546875" style="13" bestFit="1" customWidth="1"/>
    <col min="28" max="30" width="7.85546875" style="13" customWidth="1"/>
    <col min="31" max="33" width="7.85546875" style="13" bestFit="1" customWidth="1"/>
  </cols>
  <sheetData>
    <row r="1" spans="2:33" s="2" customFormat="1" ht="50.1" customHeight="1" x14ac:dyDescent="0.2">
      <c r="C1" s="58" t="s">
        <v>0</v>
      </c>
      <c r="D1" s="57" t="s">
        <v>1</v>
      </c>
      <c r="E1" s="58" t="s">
        <v>2</v>
      </c>
      <c r="F1" s="58" t="s">
        <v>3</v>
      </c>
      <c r="H1" s="57" t="s">
        <v>4</v>
      </c>
      <c r="I1" s="57" t="s">
        <v>5</v>
      </c>
      <c r="J1" s="57" t="s">
        <v>6</v>
      </c>
      <c r="K1" s="57" t="s">
        <v>7</v>
      </c>
      <c r="M1" s="59" t="s">
        <v>8</v>
      </c>
      <c r="N1" s="59" t="s">
        <v>9</v>
      </c>
      <c r="O1"/>
      <c r="P1" s="62" t="s">
        <v>10</v>
      </c>
      <c r="Q1" s="5"/>
      <c r="R1" s="62" t="s">
        <v>11</v>
      </c>
      <c r="S1" s="62" t="s">
        <v>12</v>
      </c>
      <c r="T1" s="62" t="s">
        <v>13</v>
      </c>
      <c r="U1" s="62" t="s">
        <v>14</v>
      </c>
      <c r="V1" s="62" t="s">
        <v>15</v>
      </c>
      <c r="X1" s="13"/>
      <c r="Y1" s="13"/>
      <c r="Z1" s="13"/>
      <c r="AA1" s="13"/>
      <c r="AB1" s="13"/>
      <c r="AC1" s="13"/>
      <c r="AD1" s="13"/>
      <c r="AE1" s="13"/>
      <c r="AF1" s="13"/>
      <c r="AG1" s="13"/>
    </row>
    <row r="2" spans="2:33" ht="18" customHeight="1" x14ac:dyDescent="0.2">
      <c r="B2" s="104" t="s">
        <v>16</v>
      </c>
      <c r="C2" s="45">
        <v>164000000</v>
      </c>
      <c r="D2" s="52">
        <v>35950</v>
      </c>
      <c r="E2" s="13">
        <v>450000</v>
      </c>
      <c r="F2" s="46">
        <v>98000</v>
      </c>
      <c r="H2" t="s">
        <v>17</v>
      </c>
      <c r="I2" s="46">
        <v>65</v>
      </c>
      <c r="J2" s="46">
        <f t="shared" ref="J2:J6" si="0">I2*10</f>
        <v>650</v>
      </c>
      <c r="K2" s="52">
        <v>6</v>
      </c>
      <c r="M2">
        <f t="shared" ref="M2:M6" si="1">ROUNDDOWN($F$2/J2, 0)</f>
        <v>150</v>
      </c>
      <c r="N2" s="52">
        <f>M2*K2</f>
        <v>900</v>
      </c>
      <c r="R2" s="105" t="s">
        <v>18</v>
      </c>
      <c r="S2" s="105"/>
      <c r="T2" s="105"/>
      <c r="U2" s="105"/>
      <c r="V2" s="105"/>
    </row>
    <row r="3" spans="2:33" ht="18" customHeight="1" x14ac:dyDescent="0.2">
      <c r="B3" s="104" t="s">
        <v>19</v>
      </c>
      <c r="C3" s="45">
        <v>175000</v>
      </c>
      <c r="D3" s="52">
        <v>900</v>
      </c>
      <c r="E3" s="13">
        <v>170</v>
      </c>
      <c r="F3" s="46">
        <v>60</v>
      </c>
      <c r="H3" t="s">
        <v>20</v>
      </c>
      <c r="I3" s="46">
        <v>70</v>
      </c>
      <c r="J3" s="46">
        <f t="shared" si="0"/>
        <v>700</v>
      </c>
      <c r="K3" s="52">
        <v>6</v>
      </c>
      <c r="M3">
        <f t="shared" si="1"/>
        <v>140</v>
      </c>
      <c r="N3" s="52">
        <f>M3*K3</f>
        <v>840</v>
      </c>
      <c r="P3" s="63" t="s">
        <v>21</v>
      </c>
      <c r="R3" s="64">
        <v>41</v>
      </c>
      <c r="S3" s="65">
        <v>32</v>
      </c>
      <c r="T3" s="65">
        <v>47</v>
      </c>
      <c r="U3" s="65">
        <v>63</v>
      </c>
      <c r="V3" s="66">
        <f t="shared" ref="V3:V8" si="2">SUM(R3:U3)</f>
        <v>183</v>
      </c>
      <c r="X3" s="13">
        <v>15</v>
      </c>
      <c r="Y3" s="13">
        <v>16</v>
      </c>
      <c r="Z3" s="13">
        <v>17</v>
      </c>
      <c r="AA3" s="13">
        <v>18</v>
      </c>
      <c r="AB3" s="13">
        <v>19</v>
      </c>
      <c r="AC3" s="13">
        <v>20</v>
      </c>
      <c r="AD3" s="13">
        <v>21</v>
      </c>
      <c r="AE3" s="13">
        <v>22</v>
      </c>
      <c r="AF3" s="13">
        <v>26</v>
      </c>
      <c r="AG3" s="13">
        <v>29</v>
      </c>
    </row>
    <row r="4" spans="2:33" ht="18" customHeight="1" x14ac:dyDescent="0.2">
      <c r="B4" s="104" t="s">
        <v>22</v>
      </c>
      <c r="C4" s="45">
        <f>C3*28</f>
        <v>4900000</v>
      </c>
      <c r="D4" s="52">
        <f>D3*28</f>
        <v>25200</v>
      </c>
      <c r="E4" s="13">
        <f>E3*28</f>
        <v>4760</v>
      </c>
      <c r="F4" s="46">
        <f>F3*28</f>
        <v>1680</v>
      </c>
      <c r="H4" t="s">
        <v>23</v>
      </c>
      <c r="I4" s="46">
        <v>75</v>
      </c>
      <c r="J4" s="46">
        <f t="shared" si="0"/>
        <v>750</v>
      </c>
      <c r="K4" s="52">
        <v>6</v>
      </c>
      <c r="M4">
        <f t="shared" si="1"/>
        <v>130</v>
      </c>
      <c r="N4" s="52">
        <f>M4*K4</f>
        <v>780</v>
      </c>
      <c r="P4" s="25" t="s">
        <v>24</v>
      </c>
      <c r="R4" s="22">
        <v>83</v>
      </c>
      <c r="S4" s="23">
        <v>63</v>
      </c>
      <c r="T4" s="23">
        <v>60</v>
      </c>
      <c r="U4" s="23">
        <v>89</v>
      </c>
      <c r="V4" s="24">
        <f t="shared" si="2"/>
        <v>295</v>
      </c>
      <c r="X4" s="13">
        <v>20</v>
      </c>
      <c r="Y4" s="13">
        <v>22</v>
      </c>
      <c r="Z4" s="13">
        <v>24</v>
      </c>
      <c r="AA4" s="13">
        <v>26</v>
      </c>
      <c r="AB4" s="13">
        <v>28</v>
      </c>
      <c r="AC4" s="13">
        <v>30</v>
      </c>
      <c r="AD4" s="13">
        <v>27</v>
      </c>
      <c r="AE4" s="13">
        <v>29</v>
      </c>
      <c r="AF4" s="13">
        <v>34</v>
      </c>
      <c r="AG4" s="13">
        <v>39</v>
      </c>
    </row>
    <row r="5" spans="2:33" ht="18" customHeight="1" x14ac:dyDescent="0.2">
      <c r="B5" s="104" t="s">
        <v>25</v>
      </c>
      <c r="D5" s="103">
        <v>15000</v>
      </c>
      <c r="H5" t="s">
        <v>26</v>
      </c>
      <c r="I5" s="46">
        <v>90</v>
      </c>
      <c r="J5" s="46">
        <f t="shared" si="0"/>
        <v>900</v>
      </c>
      <c r="K5" s="52">
        <v>6</v>
      </c>
      <c r="M5">
        <f t="shared" si="1"/>
        <v>108</v>
      </c>
      <c r="N5" s="52">
        <f>M5*K5</f>
        <v>648</v>
      </c>
      <c r="P5" s="26" t="s">
        <v>27</v>
      </c>
      <c r="R5" s="19">
        <v>93</v>
      </c>
      <c r="S5" s="16">
        <v>93</v>
      </c>
      <c r="T5" s="16">
        <v>103</v>
      </c>
      <c r="U5" s="16">
        <v>122</v>
      </c>
      <c r="V5" s="17">
        <f t="shared" si="2"/>
        <v>411</v>
      </c>
      <c r="X5" s="13">
        <v>100</v>
      </c>
      <c r="Y5" s="13">
        <v>110</v>
      </c>
      <c r="Z5" s="13">
        <v>115</v>
      </c>
      <c r="AA5" s="13">
        <v>120</v>
      </c>
      <c r="AB5" s="13">
        <v>125</v>
      </c>
      <c r="AC5" s="13">
        <v>130</v>
      </c>
      <c r="AD5" s="13">
        <v>135</v>
      </c>
      <c r="AE5" s="13">
        <v>145</v>
      </c>
      <c r="AF5" s="13">
        <v>170</v>
      </c>
      <c r="AG5" s="13">
        <v>190</v>
      </c>
    </row>
    <row r="6" spans="2:33" ht="18" customHeight="1" x14ac:dyDescent="0.2">
      <c r="B6" s="104" t="s">
        <v>28</v>
      </c>
      <c r="D6" s="103">
        <f>D4+D5</f>
        <v>40200</v>
      </c>
      <c r="H6" t="s">
        <v>29</v>
      </c>
      <c r="I6" s="46">
        <v>120</v>
      </c>
      <c r="J6" s="46">
        <f t="shared" si="0"/>
        <v>1200</v>
      </c>
      <c r="K6" s="52">
        <v>6</v>
      </c>
      <c r="M6">
        <f t="shared" si="1"/>
        <v>81</v>
      </c>
      <c r="N6" s="52">
        <f>M6*K6</f>
        <v>486</v>
      </c>
      <c r="P6" s="25" t="s">
        <v>30</v>
      </c>
      <c r="R6" s="22">
        <v>17</v>
      </c>
      <c r="S6" s="23">
        <v>17</v>
      </c>
      <c r="T6" s="23">
        <v>21</v>
      </c>
      <c r="U6" s="23">
        <v>19</v>
      </c>
      <c r="V6" s="24">
        <f t="shared" si="2"/>
        <v>74</v>
      </c>
    </row>
    <row r="7" spans="2:33" ht="18" customHeight="1" x14ac:dyDescent="0.2">
      <c r="I7" s="46"/>
      <c r="J7" s="46"/>
      <c r="K7" s="52"/>
      <c r="P7" s="26" t="s">
        <v>31</v>
      </c>
      <c r="R7" s="19">
        <v>16</v>
      </c>
      <c r="S7" s="16">
        <v>24</v>
      </c>
      <c r="T7" s="16">
        <v>17</v>
      </c>
      <c r="U7" s="16">
        <v>30</v>
      </c>
      <c r="V7" s="17">
        <f t="shared" si="2"/>
        <v>87</v>
      </c>
    </row>
    <row r="8" spans="2:33" ht="18" customHeight="1" x14ac:dyDescent="0.2">
      <c r="B8" s="104" t="s">
        <v>32</v>
      </c>
      <c r="D8" s="103">
        <v>53500</v>
      </c>
      <c r="F8" s="46"/>
      <c r="M8">
        <f>ROUNDDOWN(N8/K5, 0)</f>
        <v>97</v>
      </c>
      <c r="N8">
        <f>600-15</f>
        <v>585</v>
      </c>
      <c r="P8" s="25" t="s">
        <v>33</v>
      </c>
      <c r="R8" s="22">
        <v>429</v>
      </c>
      <c r="S8" s="23">
        <v>403</v>
      </c>
      <c r="T8" s="23">
        <v>411</v>
      </c>
      <c r="U8" s="23">
        <v>428</v>
      </c>
      <c r="V8" s="24">
        <f t="shared" si="2"/>
        <v>1671</v>
      </c>
      <c r="X8" s="13">
        <f>X3*$V$8</f>
        <v>25065</v>
      </c>
      <c r="Y8" s="13">
        <f>Y3*$V$8</f>
        <v>26736</v>
      </c>
      <c r="Z8" s="13">
        <f t="shared" ref="Z8:AC8" si="3">Z3*$V$8</f>
        <v>28407</v>
      </c>
      <c r="AA8" s="13">
        <f t="shared" si="3"/>
        <v>30078</v>
      </c>
      <c r="AB8" s="13">
        <f t="shared" si="3"/>
        <v>31749</v>
      </c>
      <c r="AC8" s="13">
        <f t="shared" si="3"/>
        <v>33420</v>
      </c>
      <c r="AD8" s="13">
        <f>AD3*$V$8</f>
        <v>35091</v>
      </c>
      <c r="AE8" s="13">
        <f>AE3*$V$8</f>
        <v>36762</v>
      </c>
      <c r="AF8" s="13">
        <f>AF3*$V$8</f>
        <v>43446</v>
      </c>
      <c r="AG8" s="13">
        <f>AG3*$V$8</f>
        <v>48459</v>
      </c>
    </row>
    <row r="9" spans="2:33" ht="18" customHeight="1" x14ac:dyDescent="0.2">
      <c r="B9" s="104" t="s">
        <v>34</v>
      </c>
      <c r="D9" s="103">
        <v>18000</v>
      </c>
      <c r="M9">
        <f>M8-M5</f>
        <v>-11</v>
      </c>
      <c r="N9" s="101">
        <f>N8-N5</f>
        <v>-63</v>
      </c>
      <c r="P9" s="26" t="s">
        <v>35</v>
      </c>
      <c r="R9" s="19"/>
      <c r="S9" s="16"/>
      <c r="T9" s="16"/>
      <c r="U9" s="16"/>
      <c r="V9" s="17">
        <f>SUM(V3:V7)</f>
        <v>1050</v>
      </c>
      <c r="X9" s="13">
        <f>X4*$V$9</f>
        <v>21000</v>
      </c>
      <c r="Y9" s="13">
        <f>Y4*$V$9</f>
        <v>23100</v>
      </c>
      <c r="Z9" s="13">
        <f t="shared" ref="Z9:AC9" si="4">Z4*$V$9</f>
        <v>25200</v>
      </c>
      <c r="AA9" s="13">
        <f t="shared" si="4"/>
        <v>27300</v>
      </c>
      <c r="AB9" s="13">
        <f t="shared" si="4"/>
        <v>29400</v>
      </c>
      <c r="AC9" s="13">
        <f t="shared" si="4"/>
        <v>31500</v>
      </c>
      <c r="AD9" s="13">
        <f>AD4*$V$9</f>
        <v>28350</v>
      </c>
      <c r="AE9" s="13">
        <f>AE4*$V$9</f>
        <v>30450</v>
      </c>
      <c r="AF9" s="13">
        <f>AF4*$V$9</f>
        <v>35700</v>
      </c>
      <c r="AG9" s="13">
        <f>AG4*$V$9</f>
        <v>40950</v>
      </c>
    </row>
    <row r="10" spans="2:33" ht="18" customHeight="1" x14ac:dyDescent="0.2">
      <c r="P10" s="25" t="s">
        <v>36</v>
      </c>
      <c r="R10" s="22"/>
      <c r="S10" s="23"/>
      <c r="T10" s="23"/>
      <c r="U10" s="23"/>
      <c r="V10" s="24">
        <v>1</v>
      </c>
      <c r="X10" s="13">
        <f>X5*$V$10</f>
        <v>100</v>
      </c>
      <c r="Y10" s="13">
        <f>Y5*$V$10</f>
        <v>110</v>
      </c>
      <c r="Z10" s="13">
        <f t="shared" ref="Z10:AC10" si="5">Z5*$V$10</f>
        <v>115</v>
      </c>
      <c r="AA10" s="13">
        <f t="shared" si="5"/>
        <v>120</v>
      </c>
      <c r="AB10" s="13">
        <f t="shared" si="5"/>
        <v>125</v>
      </c>
      <c r="AC10" s="13">
        <f t="shared" si="5"/>
        <v>130</v>
      </c>
      <c r="AD10" s="13">
        <f>AD5*$V$10</f>
        <v>135</v>
      </c>
      <c r="AE10" s="13">
        <f>AE5*$V$10</f>
        <v>145</v>
      </c>
      <c r="AF10" s="13">
        <f>AF5*$V$10</f>
        <v>170</v>
      </c>
      <c r="AG10" s="13">
        <f>AG5*$V$10</f>
        <v>190</v>
      </c>
    </row>
    <row r="12" spans="2:33" ht="18" customHeight="1" x14ac:dyDescent="0.2">
      <c r="V12" s="12" t="s">
        <v>37</v>
      </c>
      <c r="X12" s="13">
        <f>SUM(X8:X10)</f>
        <v>46165</v>
      </c>
      <c r="Y12" s="13">
        <f>SUM(Y8:Y10)</f>
        <v>49946</v>
      </c>
      <c r="Z12" s="13">
        <f t="shared" ref="Z12:AC12" si="6">SUM(Z8:Z10)</f>
        <v>53722</v>
      </c>
      <c r="AA12" s="13">
        <f t="shared" si="6"/>
        <v>57498</v>
      </c>
      <c r="AB12" s="13">
        <f t="shared" si="6"/>
        <v>61274</v>
      </c>
      <c r="AC12" s="13">
        <f t="shared" si="6"/>
        <v>65050</v>
      </c>
      <c r="AD12" s="13">
        <f>SUM(AD8:AD10)</f>
        <v>63576</v>
      </c>
      <c r="AE12" s="13">
        <f>SUM(AE8:AE10)</f>
        <v>67357</v>
      </c>
      <c r="AF12" s="13">
        <f>SUM(AF8:AF10)</f>
        <v>79316</v>
      </c>
      <c r="AG12" s="13">
        <f>SUM(AG8:AG10)</f>
        <v>89599</v>
      </c>
    </row>
    <row r="13" spans="2:33" ht="18" customHeight="1" x14ac:dyDescent="0.2">
      <c r="V13" s="12" t="s">
        <v>38</v>
      </c>
      <c r="X13" s="13">
        <f>$E$2+X12</f>
        <v>496165</v>
      </c>
      <c r="Y13" s="13">
        <f>$E$2+Y12</f>
        <v>499946</v>
      </c>
      <c r="Z13" s="13">
        <f t="shared" ref="Z13:AC13" si="7">$E$2+Z12</f>
        <v>503722</v>
      </c>
      <c r="AA13" s="13">
        <f t="shared" si="7"/>
        <v>507498</v>
      </c>
      <c r="AB13" s="13">
        <f t="shared" si="7"/>
        <v>511274</v>
      </c>
      <c r="AC13" s="13">
        <f t="shared" si="7"/>
        <v>515050</v>
      </c>
      <c r="AD13" s="13">
        <f t="shared" ref="AD13:AG13" si="8">$E$2+AD12</f>
        <v>513576</v>
      </c>
      <c r="AE13" s="13">
        <f t="shared" si="8"/>
        <v>517357</v>
      </c>
      <c r="AF13" s="13">
        <f t="shared" si="8"/>
        <v>529316</v>
      </c>
      <c r="AG13" s="13">
        <f t="shared" si="8"/>
        <v>539599</v>
      </c>
    </row>
  </sheetData>
  <mergeCells count="1">
    <mergeCell ref="R2:V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V31"/>
  <sheetViews>
    <sheetView showGridLines="0" tabSelected="1" zoomScaleNormal="100" workbookViewId="0"/>
  </sheetViews>
  <sheetFormatPr baseColWidth="10" defaultColWidth="3.7109375" defaultRowHeight="18" customHeight="1" x14ac:dyDescent="0.2"/>
  <cols>
    <col min="2" max="2" width="16.7109375" style="12" customWidth="1"/>
    <col min="3" max="3" width="2" bestFit="1" customWidth="1"/>
    <col min="4" max="4" width="10.7109375" customWidth="1"/>
    <col min="5" max="9" width="10.7109375" style="2" customWidth="1"/>
    <col min="11" max="11" width="10.7109375" style="2" customWidth="1"/>
    <col min="13" max="13" width="16.7109375" style="12" customWidth="1"/>
    <col min="14" max="14" width="2" bestFit="1" customWidth="1"/>
    <col min="15" max="15" width="10.7109375" customWidth="1"/>
    <col min="16" max="20" width="10.7109375" style="2" customWidth="1"/>
    <col min="22" max="22" width="10.7109375" style="2" customWidth="1"/>
  </cols>
  <sheetData>
    <row r="1" spans="2:22" ht="50.1" customHeight="1" x14ac:dyDescent="0.2">
      <c r="B1" s="81">
        <v>199</v>
      </c>
      <c r="C1" s="106" t="s">
        <v>39</v>
      </c>
      <c r="D1" s="106"/>
      <c r="E1" s="106"/>
      <c r="F1" s="106"/>
      <c r="G1" s="106" t="s">
        <v>40</v>
      </c>
      <c r="H1" s="106"/>
      <c r="I1" s="106"/>
      <c r="J1" s="106"/>
      <c r="K1" s="106"/>
      <c r="M1" s="81">
        <v>209</v>
      </c>
      <c r="N1" s="106" t="s">
        <v>41</v>
      </c>
      <c r="O1" s="106"/>
      <c r="P1" s="106"/>
      <c r="Q1" s="106"/>
      <c r="R1" s="106" t="s">
        <v>42</v>
      </c>
      <c r="S1" s="106"/>
      <c r="T1" s="106"/>
      <c r="U1" s="106"/>
      <c r="V1" s="106"/>
    </row>
    <row r="2" spans="2:22" ht="9" customHeight="1" x14ac:dyDescent="0.2"/>
    <row r="3" spans="2:22" ht="18" customHeight="1" x14ac:dyDescent="0.2">
      <c r="B3" s="27"/>
      <c r="C3" s="27"/>
      <c r="D3" s="27" t="s">
        <v>43</v>
      </c>
      <c r="E3" s="27" t="s">
        <v>44</v>
      </c>
      <c r="F3" s="27" t="s">
        <v>45</v>
      </c>
      <c r="G3" s="27" t="s">
        <v>46</v>
      </c>
      <c r="H3" s="27" t="s">
        <v>47</v>
      </c>
      <c r="I3" s="27" t="s">
        <v>48</v>
      </c>
      <c r="K3" s="27" t="s">
        <v>49</v>
      </c>
      <c r="M3" s="27"/>
      <c r="N3" s="27"/>
      <c r="O3" s="27" t="s">
        <v>43</v>
      </c>
      <c r="P3" s="27" t="s">
        <v>44</v>
      </c>
      <c r="Q3" s="27" t="s">
        <v>45</v>
      </c>
      <c r="R3" s="27" t="s">
        <v>46</v>
      </c>
      <c r="S3" s="27" t="s">
        <v>47</v>
      </c>
      <c r="T3" s="27" t="s">
        <v>48</v>
      </c>
      <c r="V3" s="27" t="s">
        <v>49</v>
      </c>
    </row>
    <row r="4" spans="2:22" ht="18" customHeight="1" x14ac:dyDescent="0.2">
      <c r="B4" s="12" t="s">
        <v>50</v>
      </c>
      <c r="C4" t="s">
        <v>51</v>
      </c>
      <c r="D4" s="2" t="str">
        <f>blueprint!O217</f>
        <v>Key</v>
      </c>
      <c r="E4" s="2">
        <f>blueprint!P217</f>
        <v>40</v>
      </c>
      <c r="F4" s="2">
        <f>blueprint!Q217</f>
        <v>45</v>
      </c>
      <c r="G4" s="2">
        <f>blueprint!R217</f>
        <v>60</v>
      </c>
      <c r="H4" s="2">
        <f>blueprint!S217</f>
        <v>70</v>
      </c>
      <c r="I4" s="90">
        <f>blueprint!T217</f>
        <v>85</v>
      </c>
      <c r="J4" s="2"/>
      <c r="K4" s="90">
        <f>SUM(D4:I4)</f>
        <v>300</v>
      </c>
      <c r="M4" s="12" t="s">
        <v>50</v>
      </c>
      <c r="N4" t="s">
        <v>51</v>
      </c>
      <c r="O4" s="2" t="str">
        <f>blueprint!O214</f>
        <v>Key</v>
      </c>
      <c r="P4" s="2">
        <f>blueprint!P214</f>
        <v>40</v>
      </c>
      <c r="Q4" s="2">
        <f>blueprint!Q214</f>
        <v>45</v>
      </c>
      <c r="R4" s="2">
        <f>blueprint!R214</f>
        <v>60</v>
      </c>
      <c r="S4" s="2">
        <f>blueprint!S214</f>
        <v>70</v>
      </c>
      <c r="T4" s="90">
        <f>blueprint!T214</f>
        <v>85</v>
      </c>
      <c r="U4" s="2"/>
      <c r="V4" s="90">
        <f>SUM(O4:T4)</f>
        <v>300</v>
      </c>
    </row>
    <row r="5" spans="2:22" ht="18" customHeight="1" x14ac:dyDescent="0.2">
      <c r="B5" s="12" t="s">
        <v>52</v>
      </c>
      <c r="C5" t="s">
        <v>51</v>
      </c>
      <c r="D5" s="28">
        <f>blueprint!W217</f>
        <v>0</v>
      </c>
      <c r="E5" s="28">
        <f>blueprint!X217</f>
        <v>19</v>
      </c>
      <c r="F5" s="28">
        <f>blueprint!Y217</f>
        <v>0</v>
      </c>
      <c r="G5" s="28">
        <f>blueprint!Z217</f>
        <v>0</v>
      </c>
      <c r="H5" s="28">
        <f>blueprint!AA217</f>
        <v>0</v>
      </c>
      <c r="I5" s="28">
        <f>blueprint!AB217</f>
        <v>0</v>
      </c>
      <c r="K5" s="28">
        <f>SUM(D5:I5)</f>
        <v>19</v>
      </c>
      <c r="M5" s="12" t="s">
        <v>52</v>
      </c>
      <c r="N5" t="s">
        <v>51</v>
      </c>
      <c r="O5" s="28">
        <f>blueprint!W214</f>
        <v>0</v>
      </c>
      <c r="P5" s="28">
        <f>blueprint!X214</f>
        <v>40</v>
      </c>
      <c r="Q5" s="28">
        <f>blueprint!Y214</f>
        <v>11</v>
      </c>
      <c r="R5" s="28">
        <f>blueprint!Z214</f>
        <v>0</v>
      </c>
      <c r="S5" s="28">
        <f>blueprint!AA214</f>
        <v>0</v>
      </c>
      <c r="T5" s="28">
        <f>blueprint!AB214</f>
        <v>0</v>
      </c>
      <c r="V5" s="28">
        <f>SUM(O5:T5)</f>
        <v>51</v>
      </c>
    </row>
    <row r="6" spans="2:22" ht="18" customHeight="1" x14ac:dyDescent="0.2">
      <c r="B6" s="12" t="s">
        <v>53</v>
      </c>
      <c r="C6" t="s">
        <v>51</v>
      </c>
      <c r="D6" s="47" t="str">
        <f>blueprint!AE217</f>
        <v>Key</v>
      </c>
      <c r="E6" s="47">
        <f>blueprint!AF217</f>
        <v>21</v>
      </c>
      <c r="F6" s="47">
        <f>blueprint!AG217</f>
        <v>45</v>
      </c>
      <c r="G6" s="47">
        <f>blueprint!AH217</f>
        <v>60</v>
      </c>
      <c r="H6" s="47">
        <f>blueprint!AI217</f>
        <v>70</v>
      </c>
      <c r="I6" s="47">
        <f>blueprint!AJ217</f>
        <v>85</v>
      </c>
      <c r="K6" s="47">
        <f>SUM(D6:I6)</f>
        <v>281</v>
      </c>
      <c r="M6" s="12" t="s">
        <v>53</v>
      </c>
      <c r="N6" t="s">
        <v>51</v>
      </c>
      <c r="O6" s="47" t="str">
        <f>blueprint!AE214</f>
        <v>Key</v>
      </c>
      <c r="P6" s="47">
        <f>blueprint!AF214</f>
        <v>0</v>
      </c>
      <c r="Q6" s="47">
        <f>blueprint!AG214</f>
        <v>34</v>
      </c>
      <c r="R6" s="47">
        <f>blueprint!AH214</f>
        <v>60</v>
      </c>
      <c r="S6" s="47">
        <f>blueprint!AI214</f>
        <v>70</v>
      </c>
      <c r="T6" s="47">
        <f>blueprint!AJ214</f>
        <v>85</v>
      </c>
      <c r="V6" s="47">
        <f>SUM(O6:T6)</f>
        <v>249</v>
      </c>
    </row>
    <row r="7" spans="2:22" ht="18" customHeight="1" x14ac:dyDescent="0.2">
      <c r="B7" s="12" t="s">
        <v>54</v>
      </c>
      <c r="C7" t="s">
        <v>51</v>
      </c>
      <c r="D7" s="2"/>
      <c r="E7" s="2">
        <f>ROUNDUP(E6/Crédits!$K$5,0)</f>
        <v>4</v>
      </c>
      <c r="F7" s="2">
        <f>ROUNDUP(F6/Crédits!$K$5,0)</f>
        <v>8</v>
      </c>
      <c r="G7" s="2">
        <f>ROUNDUP(G6/Crédits!$K$5,0)</f>
        <v>10</v>
      </c>
      <c r="H7" s="2">
        <f>ROUNDUP(H6/Crédits!$K$5,0)</f>
        <v>12</v>
      </c>
      <c r="I7" s="2">
        <f>ROUNDUP(I6/Crédits!$K$5,0)</f>
        <v>15</v>
      </c>
      <c r="K7" s="90">
        <f>SUM(D7:I7)</f>
        <v>49</v>
      </c>
      <c r="M7" s="12" t="s">
        <v>54</v>
      </c>
      <c r="N7" t="s">
        <v>51</v>
      </c>
      <c r="O7" s="2"/>
      <c r="P7" s="2">
        <f>ROUNDUP(P6/Crédits!$K$5,0)</f>
        <v>0</v>
      </c>
      <c r="Q7" s="2">
        <f>ROUNDUP(Q6/Crédits!$K$5,0)</f>
        <v>6</v>
      </c>
      <c r="R7" s="2">
        <f>ROUNDUP(R6/Crédits!$K$5,0)</f>
        <v>10</v>
      </c>
      <c r="S7" s="2">
        <f>ROUNDUP(S6/Crédits!$K$5,0)</f>
        <v>12</v>
      </c>
      <c r="T7" s="2">
        <f>ROUNDUP(T6/Crédits!$K$5,0)</f>
        <v>15</v>
      </c>
      <c r="V7" s="90">
        <f>SUM(O7:T7)</f>
        <v>43</v>
      </c>
    </row>
    <row r="8" spans="2:22" ht="18" customHeight="1" x14ac:dyDescent="0.2">
      <c r="B8" s="12" t="s">
        <v>55</v>
      </c>
      <c r="C8" t="s">
        <v>51</v>
      </c>
      <c r="D8" s="29">
        <f>D7*Crédits!$J$5</f>
        <v>0</v>
      </c>
      <c r="E8" s="29">
        <f>E7*Crédits!$J$5</f>
        <v>3600</v>
      </c>
      <c r="F8" s="29">
        <f>F7*Crédits!$J$5</f>
        <v>7200</v>
      </c>
      <c r="G8" s="29">
        <f>G7*Crédits!$J$5</f>
        <v>9000</v>
      </c>
      <c r="H8" s="29">
        <f>H7*Crédits!$J$5</f>
        <v>10800</v>
      </c>
      <c r="I8" s="29">
        <f>I7*Crédits!$J$5</f>
        <v>13500</v>
      </c>
      <c r="K8" s="29">
        <f>SUM(D8:I8)</f>
        <v>44100</v>
      </c>
      <c r="M8" s="12" t="s">
        <v>55</v>
      </c>
      <c r="N8" t="s">
        <v>51</v>
      </c>
      <c r="O8" s="29">
        <f>O7*Crédits!$J$5</f>
        <v>0</v>
      </c>
      <c r="P8" s="29">
        <f>P7*Crédits!$J$5</f>
        <v>0</v>
      </c>
      <c r="Q8" s="29">
        <f>Q7*Crédits!$J$5</f>
        <v>5400</v>
      </c>
      <c r="R8" s="29">
        <f>R7*Crédits!$J$5</f>
        <v>9000</v>
      </c>
      <c r="S8" s="29">
        <f>S7*Crédits!$J$5</f>
        <v>10800</v>
      </c>
      <c r="T8" s="29">
        <f>T7*Crédits!$J$5</f>
        <v>13500</v>
      </c>
      <c r="V8" s="29">
        <f>SUM(O8:T8)</f>
        <v>38700</v>
      </c>
    </row>
    <row r="9" spans="2:22" ht="18" customHeight="1" x14ac:dyDescent="0.2">
      <c r="B9" s="12" t="s">
        <v>56</v>
      </c>
      <c r="C9" t="s">
        <v>51</v>
      </c>
      <c r="D9" s="29">
        <f>Crédits!$F$2-Cars!D8</f>
        <v>98000</v>
      </c>
      <c r="E9" s="29">
        <f>D9-E8</f>
        <v>94400</v>
      </c>
      <c r="F9" s="29">
        <f>E9-F8</f>
        <v>87200</v>
      </c>
      <c r="G9" s="29">
        <f>F9-G8</f>
        <v>78200</v>
      </c>
      <c r="H9" s="29">
        <f>G9-H8</f>
        <v>67400</v>
      </c>
      <c r="I9" s="29">
        <f>H9-I8</f>
        <v>53900</v>
      </c>
      <c r="K9" s="29">
        <f>Crédits!$F$2-Cars!K8</f>
        <v>53900</v>
      </c>
      <c r="M9" s="12" t="s">
        <v>56</v>
      </c>
      <c r="N9" t="s">
        <v>51</v>
      </c>
      <c r="O9" s="29">
        <f>Crédits!$F$2-Cars!O8</f>
        <v>98000</v>
      </c>
      <c r="P9" s="29">
        <f>+O9-P8</f>
        <v>98000</v>
      </c>
      <c r="Q9" s="29">
        <f>+P9-Q8</f>
        <v>92600</v>
      </c>
      <c r="R9" s="29">
        <f>+Q9-R8</f>
        <v>83600</v>
      </c>
      <c r="S9" s="29">
        <f>+R9-S8</f>
        <v>72800</v>
      </c>
      <c r="T9" s="29">
        <f>+S9-T8</f>
        <v>59300</v>
      </c>
      <c r="V9" s="29">
        <f>Crédits!$F$2-Cars!V8</f>
        <v>59300</v>
      </c>
    </row>
    <row r="12" spans="2:22" ht="50.1" customHeight="1" x14ac:dyDescent="0.2">
      <c r="B12" s="80">
        <v>190</v>
      </c>
      <c r="C12" s="106" t="s">
        <v>57</v>
      </c>
      <c r="D12" s="106"/>
      <c r="E12" s="106"/>
      <c r="F12" s="106"/>
      <c r="G12" s="106" t="s">
        <v>58</v>
      </c>
      <c r="H12" s="106"/>
      <c r="I12" s="106"/>
      <c r="J12" s="106"/>
      <c r="K12" s="106"/>
      <c r="M12" s="80"/>
      <c r="N12" s="106"/>
      <c r="O12" s="106"/>
      <c r="P12" s="106"/>
      <c r="Q12" s="106"/>
      <c r="R12" s="106"/>
      <c r="S12" s="106"/>
      <c r="T12" s="106"/>
      <c r="U12" s="106"/>
      <c r="V12" s="106"/>
    </row>
    <row r="14" spans="2:22" ht="18" customHeight="1" x14ac:dyDescent="0.2">
      <c r="B14" s="27"/>
      <c r="C14" s="27"/>
      <c r="D14" s="27" t="s">
        <v>43</v>
      </c>
      <c r="E14" s="27" t="s">
        <v>44</v>
      </c>
      <c r="F14" s="27" t="s">
        <v>45</v>
      </c>
      <c r="G14" s="27" t="s">
        <v>46</v>
      </c>
      <c r="H14" s="27" t="s">
        <v>47</v>
      </c>
      <c r="I14" s="27" t="s">
        <v>48</v>
      </c>
      <c r="K14" s="27" t="s">
        <v>49</v>
      </c>
      <c r="M14" s="27"/>
      <c r="N14" s="27"/>
      <c r="O14" s="27" t="s">
        <v>43</v>
      </c>
      <c r="P14" s="27" t="s">
        <v>44</v>
      </c>
      <c r="Q14" s="27" t="s">
        <v>45</v>
      </c>
      <c r="R14" s="27" t="s">
        <v>46</v>
      </c>
      <c r="S14" s="27" t="s">
        <v>47</v>
      </c>
      <c r="T14" s="27" t="s">
        <v>48</v>
      </c>
      <c r="V14" s="27" t="s">
        <v>49</v>
      </c>
    </row>
    <row r="15" spans="2:22" ht="18" customHeight="1" x14ac:dyDescent="0.2">
      <c r="B15" s="12" t="s">
        <v>50</v>
      </c>
      <c r="C15" t="s">
        <v>51</v>
      </c>
      <c r="D15" s="2">
        <f>blueprint!O207</f>
        <v>85</v>
      </c>
      <c r="E15" s="2">
        <f>blueprint!P207</f>
        <v>25</v>
      </c>
      <c r="F15" s="2">
        <f>blueprint!Q207</f>
        <v>29</v>
      </c>
      <c r="G15" s="2">
        <f>blueprint!R207</f>
        <v>38</v>
      </c>
      <c r="H15" s="2">
        <f>blueprint!S207</f>
        <v>54</v>
      </c>
      <c r="I15" s="2">
        <f>blueprint!T207</f>
        <v>69</v>
      </c>
      <c r="J15" s="2"/>
      <c r="K15" s="2">
        <f>SUM(D15:I15)</f>
        <v>300</v>
      </c>
      <c r="M15" s="12" t="s">
        <v>50</v>
      </c>
      <c r="N15" t="s">
        <v>51</v>
      </c>
      <c r="O15" s="2"/>
      <c r="U15" s="2"/>
    </row>
    <row r="16" spans="2:22" ht="18" customHeight="1" x14ac:dyDescent="0.2">
      <c r="B16" s="12" t="s">
        <v>52</v>
      </c>
      <c r="C16" t="s">
        <v>51</v>
      </c>
      <c r="D16" s="28">
        <f>blueprint!W207</f>
        <v>1</v>
      </c>
      <c r="E16" s="28">
        <f>blueprint!X207</f>
        <v>0</v>
      </c>
      <c r="F16" s="28">
        <f>blueprint!Y207</f>
        <v>0</v>
      </c>
      <c r="G16" s="28">
        <f>blueprint!Z207</f>
        <v>0</v>
      </c>
      <c r="H16" s="28">
        <f>blueprint!AA207</f>
        <v>0</v>
      </c>
      <c r="I16" s="28">
        <f>blueprint!AB207</f>
        <v>0</v>
      </c>
      <c r="K16" s="28">
        <f>SUM(D16:I16)</f>
        <v>1</v>
      </c>
      <c r="M16" s="12" t="s">
        <v>52</v>
      </c>
      <c r="N16" t="s">
        <v>51</v>
      </c>
      <c r="O16" s="28"/>
      <c r="P16" s="28"/>
      <c r="Q16" s="28"/>
      <c r="R16" s="28"/>
      <c r="S16" s="28"/>
      <c r="T16" s="28"/>
      <c r="V16" s="28"/>
    </row>
    <row r="17" spans="2:22" ht="18" customHeight="1" x14ac:dyDescent="0.2">
      <c r="B17" s="12" t="s">
        <v>53</v>
      </c>
      <c r="C17" t="s">
        <v>51</v>
      </c>
      <c r="D17" s="47">
        <f>blueprint!AE207</f>
        <v>84</v>
      </c>
      <c r="E17" s="47">
        <f>blueprint!AF207</f>
        <v>25</v>
      </c>
      <c r="F17" s="47">
        <f>blueprint!AG207</f>
        <v>29</v>
      </c>
      <c r="G17" s="47">
        <f>blueprint!AH207</f>
        <v>38</v>
      </c>
      <c r="H17" s="47">
        <f>blueprint!AI207</f>
        <v>54</v>
      </c>
      <c r="I17" s="47">
        <f>blueprint!AJ207</f>
        <v>69</v>
      </c>
      <c r="K17" s="47">
        <f>SUM(D17:I17)</f>
        <v>299</v>
      </c>
      <c r="M17" s="12" t="s">
        <v>53</v>
      </c>
      <c r="N17" t="s">
        <v>51</v>
      </c>
      <c r="O17" s="47"/>
      <c r="P17" s="47"/>
      <c r="Q17" s="47"/>
      <c r="R17" s="47"/>
      <c r="S17" s="47"/>
      <c r="T17" s="47"/>
      <c r="V17" s="47"/>
    </row>
    <row r="18" spans="2:22" ht="18" customHeight="1" x14ac:dyDescent="0.2">
      <c r="B18" s="12" t="s">
        <v>54</v>
      </c>
      <c r="C18" t="s">
        <v>51</v>
      </c>
      <c r="D18" s="2">
        <f>ROUNDUP(D17/Crédits!$K$5,0)</f>
        <v>14</v>
      </c>
      <c r="E18" s="2">
        <f>ROUNDUP(E17/Crédits!$K$5,0)</f>
        <v>5</v>
      </c>
      <c r="F18" s="2">
        <f>ROUNDUP(F17/Crédits!$K$5,0)</f>
        <v>5</v>
      </c>
      <c r="G18" s="2">
        <f>ROUNDUP(G17/Crédits!$K$5,0)</f>
        <v>7</v>
      </c>
      <c r="H18" s="2">
        <f>ROUNDUP(H17/Crédits!$K$5,0)</f>
        <v>9</v>
      </c>
      <c r="I18" s="2">
        <f>ROUNDUP(I17/Crédits!$K$5,0)</f>
        <v>12</v>
      </c>
      <c r="K18" s="2">
        <f>SUM(D18:I18)</f>
        <v>52</v>
      </c>
      <c r="M18" s="12" t="s">
        <v>54</v>
      </c>
      <c r="N18" t="s">
        <v>51</v>
      </c>
      <c r="O18" s="2"/>
    </row>
    <row r="19" spans="2:22" ht="18" customHeight="1" x14ac:dyDescent="0.2">
      <c r="B19" s="12" t="s">
        <v>55</v>
      </c>
      <c r="C19" t="s">
        <v>51</v>
      </c>
      <c r="D19" s="29">
        <f>D18*Crédits!$J$5</f>
        <v>12600</v>
      </c>
      <c r="E19" s="29">
        <f>E18*Crédits!$J$5</f>
        <v>4500</v>
      </c>
      <c r="F19" s="29">
        <f>F18*Crédits!$J$5</f>
        <v>4500</v>
      </c>
      <c r="G19" s="29">
        <f>G18*Crédits!$J$5</f>
        <v>6300</v>
      </c>
      <c r="H19" s="29">
        <f>H18*Crédits!$J$5</f>
        <v>8100</v>
      </c>
      <c r="I19" s="29">
        <f>I18*Crédits!$J$5</f>
        <v>10800</v>
      </c>
      <c r="K19" s="29">
        <f>SUM(D19:I19)</f>
        <v>46800</v>
      </c>
      <c r="M19" s="12" t="s">
        <v>55</v>
      </c>
      <c r="N19" t="s">
        <v>51</v>
      </c>
      <c r="O19" s="29"/>
      <c r="P19" s="29"/>
      <c r="Q19" s="29"/>
      <c r="R19" s="29"/>
      <c r="S19" s="29"/>
      <c r="T19" s="29"/>
      <c r="V19" s="29"/>
    </row>
    <row r="20" spans="2:22" ht="18" customHeight="1" x14ac:dyDescent="0.2">
      <c r="B20" s="12" t="s">
        <v>56</v>
      </c>
      <c r="C20" t="s">
        <v>51</v>
      </c>
      <c r="D20" s="29">
        <f>Crédits!$F$2-Cars!D19</f>
        <v>85400</v>
      </c>
      <c r="E20" s="29">
        <f>D20-E19</f>
        <v>80900</v>
      </c>
      <c r="F20" s="29">
        <f>E20-F19</f>
        <v>76400</v>
      </c>
      <c r="G20" s="29">
        <f>F20-G19</f>
        <v>70100</v>
      </c>
      <c r="H20" s="29">
        <f>G20-H19</f>
        <v>62000</v>
      </c>
      <c r="I20" s="29">
        <f>H20-I19</f>
        <v>51200</v>
      </c>
      <c r="K20" s="29">
        <f>Crédits!$F$2-Cars!K19</f>
        <v>51200</v>
      </c>
      <c r="M20" s="12" t="s">
        <v>56</v>
      </c>
      <c r="N20" t="s">
        <v>51</v>
      </c>
      <c r="O20" s="29"/>
      <c r="P20" s="29"/>
      <c r="Q20" s="29"/>
      <c r="R20" s="29"/>
      <c r="S20" s="29"/>
      <c r="T20" s="29"/>
      <c r="V20" s="29"/>
    </row>
    <row r="21" spans="2:22" ht="18" customHeight="1" x14ac:dyDescent="0.2">
      <c r="D21" s="29"/>
      <c r="E21" s="29"/>
      <c r="F21" s="29"/>
      <c r="G21" s="29"/>
      <c r="H21" s="29"/>
      <c r="I21" s="29"/>
      <c r="K21" s="29"/>
      <c r="O21" s="29"/>
      <c r="P21" s="29"/>
      <c r="Q21" s="29"/>
      <c r="R21" s="29"/>
      <c r="S21" s="29"/>
      <c r="T21" s="29"/>
      <c r="V21" s="29"/>
    </row>
    <row r="22" spans="2:22" ht="18" customHeight="1" x14ac:dyDescent="0.2">
      <c r="D22" s="29"/>
      <c r="E22" s="29"/>
      <c r="F22" s="29"/>
      <c r="G22" s="29"/>
      <c r="H22" s="29"/>
      <c r="I22" s="29"/>
      <c r="K22" s="29"/>
      <c r="O22" s="29"/>
      <c r="P22" s="29"/>
      <c r="Q22" s="29"/>
      <c r="R22" s="29"/>
      <c r="S22" s="29"/>
      <c r="T22" s="29"/>
      <c r="V22" s="29"/>
    </row>
    <row r="23" spans="2:22" ht="50.1" customHeight="1" x14ac:dyDescent="0.2">
      <c r="B23" s="81">
        <v>184</v>
      </c>
      <c r="C23" s="106" t="s">
        <v>59</v>
      </c>
      <c r="D23" s="106"/>
      <c r="E23" s="106"/>
      <c r="F23" s="106"/>
      <c r="G23" s="106" t="s">
        <v>60</v>
      </c>
      <c r="H23" s="106"/>
      <c r="I23" s="106"/>
      <c r="J23" s="106"/>
      <c r="K23" s="106"/>
      <c r="M23" s="81"/>
      <c r="N23" s="106"/>
      <c r="O23" s="106"/>
      <c r="P23" s="106"/>
      <c r="Q23" s="106"/>
      <c r="R23" s="106"/>
      <c r="S23" s="106"/>
      <c r="T23" s="106"/>
      <c r="U23" s="106"/>
      <c r="V23" s="106"/>
    </row>
    <row r="24" spans="2:22" ht="9" customHeight="1" x14ac:dyDescent="0.2"/>
    <row r="25" spans="2:22" ht="18" customHeight="1" x14ac:dyDescent="0.2">
      <c r="B25" s="27"/>
      <c r="C25" s="27"/>
      <c r="D25" s="27" t="s">
        <v>43</v>
      </c>
      <c r="E25" s="27" t="s">
        <v>44</v>
      </c>
      <c r="F25" s="27" t="s">
        <v>45</v>
      </c>
      <c r="G25" s="27" t="s">
        <v>46</v>
      </c>
      <c r="H25" s="27" t="s">
        <v>47</v>
      </c>
      <c r="I25" s="27" t="s">
        <v>48</v>
      </c>
      <c r="K25" s="27" t="s">
        <v>49</v>
      </c>
      <c r="M25" s="27"/>
      <c r="N25" s="27"/>
      <c r="O25" s="27" t="s">
        <v>43</v>
      </c>
      <c r="P25" s="27" t="s">
        <v>44</v>
      </c>
      <c r="Q25" s="27" t="s">
        <v>45</v>
      </c>
      <c r="R25" s="27" t="s">
        <v>46</v>
      </c>
      <c r="S25" s="27" t="s">
        <v>47</v>
      </c>
      <c r="T25" s="27" t="s">
        <v>48</v>
      </c>
      <c r="V25" s="27" t="s">
        <v>49</v>
      </c>
    </row>
    <row r="26" spans="2:22" ht="18" customHeight="1" x14ac:dyDescent="0.2">
      <c r="B26" s="12" t="s">
        <v>50</v>
      </c>
      <c r="C26" t="s">
        <v>51</v>
      </c>
      <c r="D26" s="2">
        <f>blueprint!O201</f>
        <v>85</v>
      </c>
      <c r="E26" s="2">
        <f>blueprint!P201</f>
        <v>25</v>
      </c>
      <c r="F26" s="2">
        <f>blueprint!Q201</f>
        <v>29</v>
      </c>
      <c r="G26" s="2">
        <f>blueprint!R201</f>
        <v>38</v>
      </c>
      <c r="H26" s="2">
        <f>blueprint!S201</f>
        <v>54</v>
      </c>
      <c r="I26" s="2">
        <f>blueprint!T201</f>
        <v>69</v>
      </c>
      <c r="J26" s="2"/>
      <c r="K26" s="2">
        <f>SUM(D26:I26)</f>
        <v>300</v>
      </c>
      <c r="M26" s="12" t="s">
        <v>50</v>
      </c>
      <c r="N26" t="s">
        <v>51</v>
      </c>
      <c r="O26" s="2"/>
      <c r="U26" s="2"/>
    </row>
    <row r="27" spans="2:22" ht="18" customHeight="1" x14ac:dyDescent="0.2">
      <c r="B27" s="12" t="s">
        <v>52</v>
      </c>
      <c r="C27" t="s">
        <v>51</v>
      </c>
      <c r="D27" s="28">
        <f>blueprint!W201</f>
        <v>21</v>
      </c>
      <c r="E27" s="28">
        <f>blueprint!X201</f>
        <v>0</v>
      </c>
      <c r="F27" s="28">
        <f>blueprint!Y201</f>
        <v>0</v>
      </c>
      <c r="G27" s="28">
        <f>blueprint!Z201</f>
        <v>0</v>
      </c>
      <c r="H27" s="28">
        <f>blueprint!AA201</f>
        <v>0</v>
      </c>
      <c r="I27" s="28">
        <f>blueprint!AB201</f>
        <v>0</v>
      </c>
      <c r="K27" s="2">
        <f>SUM(D27:I27)</f>
        <v>21</v>
      </c>
      <c r="M27" s="12" t="s">
        <v>52</v>
      </c>
      <c r="N27" t="s">
        <v>51</v>
      </c>
      <c r="O27" s="28"/>
      <c r="P27" s="28"/>
      <c r="Q27" s="28"/>
      <c r="R27" s="28"/>
      <c r="S27" s="28"/>
      <c r="T27" s="28"/>
    </row>
    <row r="28" spans="2:22" ht="18" customHeight="1" x14ac:dyDescent="0.2">
      <c r="B28" s="12" t="s">
        <v>53</v>
      </c>
      <c r="C28" t="s">
        <v>51</v>
      </c>
      <c r="D28" s="47">
        <f>blueprint!AE201</f>
        <v>64</v>
      </c>
      <c r="E28" s="47">
        <f>blueprint!AF201</f>
        <v>25</v>
      </c>
      <c r="F28" s="47">
        <f>blueprint!AG201</f>
        <v>29</v>
      </c>
      <c r="G28" s="47">
        <f>blueprint!AH201</f>
        <v>38</v>
      </c>
      <c r="H28" s="47">
        <f>blueprint!AI201</f>
        <v>54</v>
      </c>
      <c r="I28" s="47">
        <f>blueprint!AJ201</f>
        <v>69</v>
      </c>
      <c r="K28" s="47">
        <f>SUM(D28:I28)</f>
        <v>279</v>
      </c>
      <c r="M28" s="12" t="s">
        <v>53</v>
      </c>
      <c r="N28" t="s">
        <v>51</v>
      </c>
      <c r="O28" s="47"/>
      <c r="P28" s="47"/>
      <c r="Q28" s="47"/>
      <c r="R28" s="47"/>
      <c r="S28" s="47"/>
      <c r="T28" s="47"/>
      <c r="V28" s="47"/>
    </row>
    <row r="29" spans="2:22" ht="18" customHeight="1" x14ac:dyDescent="0.2">
      <c r="B29" s="12" t="s">
        <v>54</v>
      </c>
      <c r="C29" t="s">
        <v>51</v>
      </c>
      <c r="D29" s="2">
        <f>ROUNDUP(D28/Crédits!$K$5,0)</f>
        <v>11</v>
      </c>
      <c r="E29" s="2">
        <f>ROUNDUP(E28/Crédits!$K$5,0)</f>
        <v>5</v>
      </c>
      <c r="F29" s="2">
        <f>ROUNDUP(F28/Crédits!$K$5,0)</f>
        <v>5</v>
      </c>
      <c r="G29" s="2">
        <f>ROUNDUP(G28/Crédits!$K$5,0)</f>
        <v>7</v>
      </c>
      <c r="H29" s="2">
        <f>ROUNDUP(H28/Crédits!$K$5,0)</f>
        <v>9</v>
      </c>
      <c r="I29" s="2">
        <f>ROUNDUP(I28/Crédits!$K$5,0)</f>
        <v>12</v>
      </c>
      <c r="K29" s="2">
        <f>SUM(D29:I29)</f>
        <v>49</v>
      </c>
      <c r="M29" s="12" t="s">
        <v>54</v>
      </c>
      <c r="N29" t="s">
        <v>51</v>
      </c>
      <c r="O29" s="2"/>
    </row>
    <row r="30" spans="2:22" ht="18" customHeight="1" x14ac:dyDescent="0.2">
      <c r="B30" s="12" t="s">
        <v>55</v>
      </c>
      <c r="C30" t="s">
        <v>51</v>
      </c>
      <c r="D30" s="29">
        <f>D29*Crédits!$J$5</f>
        <v>9900</v>
      </c>
      <c r="E30" s="29">
        <f>E29*Crédits!$J$5</f>
        <v>4500</v>
      </c>
      <c r="F30" s="29">
        <f>F29*Crédits!$J$5</f>
        <v>4500</v>
      </c>
      <c r="G30" s="29">
        <f>G29*Crédits!$J$5</f>
        <v>6300</v>
      </c>
      <c r="H30" s="29">
        <f>H29*Crédits!$J$5</f>
        <v>8100</v>
      </c>
      <c r="I30" s="29">
        <f>I29*Crédits!$J$5</f>
        <v>10800</v>
      </c>
      <c r="K30" s="29">
        <f>SUM(D30:I30)</f>
        <v>44100</v>
      </c>
      <c r="M30" s="12" t="s">
        <v>55</v>
      </c>
      <c r="N30" t="s">
        <v>51</v>
      </c>
      <c r="O30" s="29"/>
      <c r="P30" s="29"/>
      <c r="Q30" s="29"/>
      <c r="R30" s="29"/>
      <c r="S30" s="29"/>
      <c r="T30" s="29"/>
      <c r="V30" s="29"/>
    </row>
    <row r="31" spans="2:22" ht="18" customHeight="1" x14ac:dyDescent="0.2">
      <c r="B31" s="12" t="s">
        <v>56</v>
      </c>
      <c r="C31" t="s">
        <v>51</v>
      </c>
      <c r="D31" s="29">
        <f>Crédits!$F$2-Cars!D30</f>
        <v>88100</v>
      </c>
      <c r="E31" s="29">
        <f>D31-E30</f>
        <v>83600</v>
      </c>
      <c r="F31" s="29">
        <f>E31-F30</f>
        <v>79100</v>
      </c>
      <c r="G31" s="29">
        <f>F31-G30</f>
        <v>72800</v>
      </c>
      <c r="H31" s="29">
        <f>G31-H30</f>
        <v>64700</v>
      </c>
      <c r="I31" s="29">
        <f>H31-I30</f>
        <v>53900</v>
      </c>
      <c r="K31" s="29">
        <f>Crédits!$F$2-Cars!K30</f>
        <v>53900</v>
      </c>
      <c r="M31" s="12" t="s">
        <v>56</v>
      </c>
      <c r="N31" t="s">
        <v>51</v>
      </c>
      <c r="O31" s="29"/>
      <c r="P31" s="29"/>
      <c r="Q31" s="29"/>
      <c r="R31" s="29"/>
      <c r="S31" s="29"/>
      <c r="T31" s="29"/>
      <c r="V31" s="29"/>
    </row>
  </sheetData>
  <mergeCells count="12">
    <mergeCell ref="C12:F12"/>
    <mergeCell ref="G12:K12"/>
    <mergeCell ref="C23:F23"/>
    <mergeCell ref="G23:K23"/>
    <mergeCell ref="C1:F1"/>
    <mergeCell ref="G1:K1"/>
    <mergeCell ref="N1:Q1"/>
    <mergeCell ref="R1:V1"/>
    <mergeCell ref="N12:Q12"/>
    <mergeCell ref="R12:V12"/>
    <mergeCell ref="N23:Q23"/>
    <mergeCell ref="R23:V2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AD12"/>
  <sheetViews>
    <sheetView showGridLines="0" workbookViewId="0"/>
  </sheetViews>
  <sheetFormatPr baseColWidth="10" defaultColWidth="3.7109375" defaultRowHeight="18" customHeight="1" x14ac:dyDescent="0.2"/>
  <cols>
    <col min="2" max="2" width="10.7109375" customWidth="1"/>
    <col min="3" max="10" width="4.7109375" customWidth="1"/>
    <col min="12" max="15" width="5.7109375" customWidth="1"/>
    <col min="17" max="20" width="5.7109375" customWidth="1"/>
    <col min="22" max="25" width="5.7109375" customWidth="1"/>
    <col min="27" max="30" width="5.7109375" customWidth="1"/>
  </cols>
  <sheetData>
    <row r="1" spans="2:30" ht="50.1" customHeight="1" x14ac:dyDescent="0.2">
      <c r="B1" s="7" t="s">
        <v>61</v>
      </c>
      <c r="C1" s="108" t="s">
        <v>62</v>
      </c>
      <c r="D1" s="108"/>
      <c r="E1" s="7" t="s">
        <v>63</v>
      </c>
      <c r="F1" s="7" t="s">
        <v>64</v>
      </c>
      <c r="G1" s="7" t="s">
        <v>65</v>
      </c>
      <c r="H1" s="7" t="s">
        <v>66</v>
      </c>
      <c r="I1" s="7" t="s">
        <v>67</v>
      </c>
      <c r="J1" s="7" t="s">
        <v>68</v>
      </c>
      <c r="L1" s="6" t="s">
        <v>69</v>
      </c>
      <c r="M1" s="6" t="s">
        <v>70</v>
      </c>
      <c r="N1" s="6" t="s">
        <v>71</v>
      </c>
      <c r="O1" s="6" t="s">
        <v>72</v>
      </c>
      <c r="Q1" s="6" t="s">
        <v>69</v>
      </c>
      <c r="R1" s="6" t="s">
        <v>70</v>
      </c>
      <c r="S1" s="6" t="s">
        <v>71</v>
      </c>
      <c r="T1" s="6" t="s">
        <v>72</v>
      </c>
      <c r="V1" s="6" t="s">
        <v>69</v>
      </c>
      <c r="W1" s="6" t="s">
        <v>70</v>
      </c>
      <c r="X1" s="6" t="s">
        <v>71</v>
      </c>
      <c r="Y1" s="6" t="s">
        <v>72</v>
      </c>
      <c r="AA1" s="6" t="s">
        <v>69</v>
      </c>
      <c r="AB1" s="6" t="s">
        <v>70</v>
      </c>
      <c r="AC1" s="6" t="s">
        <v>71</v>
      </c>
      <c r="AD1" s="6" t="s">
        <v>72</v>
      </c>
    </row>
    <row r="2" spans="2:30" ht="18" customHeight="1" x14ac:dyDescent="0.2">
      <c r="C2" s="2"/>
      <c r="D2" s="2"/>
      <c r="L2" s="107" t="s">
        <v>73</v>
      </c>
      <c r="M2" s="107"/>
      <c r="N2" s="107"/>
      <c r="O2" s="107"/>
      <c r="Q2" s="107" t="s">
        <v>33</v>
      </c>
      <c r="R2" s="107"/>
      <c r="S2" s="107"/>
      <c r="T2" s="107"/>
      <c r="V2" s="107" t="s">
        <v>35</v>
      </c>
      <c r="W2" s="107"/>
      <c r="X2" s="107"/>
      <c r="Y2" s="107"/>
      <c r="AA2" s="107" t="s">
        <v>36</v>
      </c>
      <c r="AB2" s="107"/>
      <c r="AC2" s="107"/>
      <c r="AD2" s="107"/>
    </row>
    <row r="3" spans="2:30" ht="18" customHeight="1" x14ac:dyDescent="0.2">
      <c r="F3" s="2" t="s">
        <v>74</v>
      </c>
      <c r="H3" s="2" t="s">
        <v>75</v>
      </c>
      <c r="I3" s="2" t="s">
        <v>76</v>
      </c>
      <c r="J3" s="2" t="s">
        <v>77</v>
      </c>
      <c r="L3" s="2" t="s">
        <v>78</v>
      </c>
      <c r="M3" s="2" t="s">
        <v>79</v>
      </c>
      <c r="N3" s="2" t="s">
        <v>80</v>
      </c>
      <c r="O3" s="2" t="s">
        <v>81</v>
      </c>
      <c r="Q3" s="2" t="s">
        <v>82</v>
      </c>
      <c r="R3" s="2" t="s">
        <v>83</v>
      </c>
      <c r="S3" s="2" t="s">
        <v>84</v>
      </c>
      <c r="T3" s="2" t="s">
        <v>85</v>
      </c>
      <c r="V3" s="2" t="s">
        <v>86</v>
      </c>
      <c r="W3" s="2" t="s">
        <v>87</v>
      </c>
      <c r="X3" s="2" t="s">
        <v>88</v>
      </c>
      <c r="Y3" s="2" t="s">
        <v>89</v>
      </c>
      <c r="AA3" s="2" t="s">
        <v>90</v>
      </c>
      <c r="AB3" s="2" t="s">
        <v>91</v>
      </c>
      <c r="AC3" s="2" t="s">
        <v>92</v>
      </c>
      <c r="AD3" s="2" t="s">
        <v>93</v>
      </c>
    </row>
    <row r="4" spans="2:30" ht="18" customHeight="1" x14ac:dyDescent="0.2">
      <c r="AA4" s="2"/>
      <c r="AB4" s="2"/>
      <c r="AC4" s="2"/>
      <c r="AD4" s="2"/>
    </row>
    <row r="5" spans="2:30" ht="18" customHeight="1" x14ac:dyDescent="0.2">
      <c r="B5" s="82" t="s">
        <v>30</v>
      </c>
      <c r="C5" s="48">
        <v>2</v>
      </c>
      <c r="D5" s="24">
        <v>33</v>
      </c>
      <c r="E5" s="24">
        <f>D5-C5+1</f>
        <v>32</v>
      </c>
      <c r="F5" s="23">
        <f>COUNTIF(garage!G2:'garage'!G34,"N")</f>
        <v>5</v>
      </c>
      <c r="G5" s="23">
        <f>COUNTIF(garage!G2:'garage'!G34,"O")</f>
        <v>28</v>
      </c>
      <c r="H5" s="23">
        <f>COUNTIF(garage!H2:'garage'!H34,"O")</f>
        <v>22</v>
      </c>
      <c r="I5" s="23">
        <f>COUNTIF(garage!I2:'garage'!I34,"O")</f>
        <v>16</v>
      </c>
      <c r="J5" s="24">
        <f>COUNTIF(garage!J2:'garage'!J34,"O")</f>
        <v>3</v>
      </c>
      <c r="L5" s="48">
        <f>SUM(garage!W2:'garage'!W34)</f>
        <v>0</v>
      </c>
      <c r="M5" s="23">
        <f>SUM(garage!X2:'garage'!X34)</f>
        <v>0</v>
      </c>
      <c r="N5" s="23">
        <f>SUM(garage!Y2:'garage'!Y34)</f>
        <v>0</v>
      </c>
      <c r="O5" s="24">
        <f>SUM(garage!Z2:'garage'!Z34)</f>
        <v>0</v>
      </c>
      <c r="Q5" s="48">
        <f>SUM(garage!AB2:'garage'!AB34)</f>
        <v>0</v>
      </c>
      <c r="R5" s="23">
        <f>SUM(garage!AC2:'garage'!AC34)</f>
        <v>0</v>
      </c>
      <c r="S5" s="23">
        <f>SUM(garage!AD2:'garage'!AD34)</f>
        <v>0</v>
      </c>
      <c r="T5" s="24">
        <f>SUM(garage!AE2:'garage'!AE34)</f>
        <v>0</v>
      </c>
      <c r="V5" s="48">
        <f>SUM(garage!AG2:'garage'!AG34)</f>
        <v>0</v>
      </c>
      <c r="W5" s="23">
        <f>SUM(garage!AH2:'garage'!AH34)</f>
        <v>0</v>
      </c>
      <c r="X5" s="23">
        <f>SUM(garage!AI2:'garage'!AI34)</f>
        <v>0</v>
      </c>
      <c r="Y5" s="24">
        <f>SUM(garage!AJ2:'garage'!AJ34)</f>
        <v>0</v>
      </c>
      <c r="AA5" s="48">
        <f>SUM(garage!AL2:'garage'!AL34)</f>
        <v>0</v>
      </c>
      <c r="AB5" s="23">
        <f>SUM(garage!AM2:'garage'!AM34)</f>
        <v>0</v>
      </c>
      <c r="AC5" s="23">
        <f>SUM(garage!AN2:'garage'!AN34)</f>
        <v>0</v>
      </c>
      <c r="AD5" s="24">
        <f>SUM(garage!AO2:'garage'!AO34)</f>
        <v>0</v>
      </c>
    </row>
    <row r="6" spans="2:30" ht="18" customHeight="1" x14ac:dyDescent="0.2">
      <c r="B6" s="83" t="s">
        <v>27</v>
      </c>
      <c r="C6" s="49">
        <v>34</v>
      </c>
      <c r="D6" s="50">
        <v>74</v>
      </c>
      <c r="E6" s="50">
        <f>D6-C6+1</f>
        <v>41</v>
      </c>
      <c r="F6" s="51">
        <f>COUNTIF(garage!G35:'garage'!G76,"N")</f>
        <v>9</v>
      </c>
      <c r="G6" s="51">
        <f>COUNTIF(garage!G35:'garage'!G76,"O")</f>
        <v>33</v>
      </c>
      <c r="H6" s="51">
        <f>COUNTIF(garage!H35:'garage'!H76,"O")</f>
        <v>22</v>
      </c>
      <c r="I6" s="51">
        <f>COUNTIF(garage!I35:'garage'!I76,"O")</f>
        <v>15</v>
      </c>
      <c r="J6" s="50">
        <f>COUNTIF(garage!J35:'garage'!J76,"O")</f>
        <v>3</v>
      </c>
      <c r="L6" s="49">
        <f>SUM(garage!W35:'garage'!W76)</f>
        <v>0</v>
      </c>
      <c r="M6" s="51">
        <f>SUM(garage!X35:'garage'!X76)</f>
        <v>0</v>
      </c>
      <c r="N6" s="51">
        <f>SUM(garage!Y35:'garage'!Y76)</f>
        <v>0</v>
      </c>
      <c r="O6" s="50">
        <f>SUM(garage!Z35:'garage'!Z76)</f>
        <v>0</v>
      </c>
      <c r="Q6" s="49">
        <f>SUM(garage!AB35:'garage'!AB76)</f>
        <v>0</v>
      </c>
      <c r="R6" s="51">
        <f>SUM(garage!AC35:'garage'!AC76)</f>
        <v>0</v>
      </c>
      <c r="S6" s="51">
        <f>SUM(garage!AD35:'garage'!AD76)</f>
        <v>0</v>
      </c>
      <c r="T6" s="50">
        <f>SUM(garage!AE35:'garage'!AE76)</f>
        <v>0</v>
      </c>
      <c r="V6" s="49">
        <f>SUM(garage!AG35:'garage'!AG76)</f>
        <v>0</v>
      </c>
      <c r="W6" s="51">
        <f>SUM(garage!AH35:'garage'!AH76)</f>
        <v>0</v>
      </c>
      <c r="X6" s="51">
        <f>SUM(garage!AI35:'garage'!AI76)</f>
        <v>0</v>
      </c>
      <c r="Y6" s="50">
        <f>SUM(garage!AJ35:'garage'!AJ76)</f>
        <v>0</v>
      </c>
      <c r="AA6" s="49">
        <f>SUM(garage!AL35:'garage'!AL76)</f>
        <v>0</v>
      </c>
      <c r="AB6" s="51">
        <f>SUM(garage!AM35:'garage'!AM76)</f>
        <v>0</v>
      </c>
      <c r="AC6" s="51">
        <f>SUM(garage!AN35:'garage'!AN76)</f>
        <v>0</v>
      </c>
      <c r="AD6" s="50">
        <f>SUM(garage!AO35:'garage'!AO76)</f>
        <v>0</v>
      </c>
    </row>
    <row r="7" spans="2:30" ht="18" customHeight="1" x14ac:dyDescent="0.2">
      <c r="B7" s="82" t="s">
        <v>24</v>
      </c>
      <c r="C7" s="48">
        <v>75</v>
      </c>
      <c r="D7" s="24">
        <v>125</v>
      </c>
      <c r="E7" s="24">
        <f>D7-C7+1</f>
        <v>51</v>
      </c>
      <c r="F7" s="23">
        <f>COUNTIF(garage!G77:'garage'!G128,"N")</f>
        <v>10</v>
      </c>
      <c r="G7" s="23">
        <f>COUNTIF(garage!G77:'garage'!G128,"O")</f>
        <v>42</v>
      </c>
      <c r="H7" s="23">
        <f>COUNTIF(garage!H77:'garage'!H128,"O")</f>
        <v>27</v>
      </c>
      <c r="I7" s="23">
        <f>COUNTIF(garage!I77:'garage'!I128,"O")</f>
        <v>17</v>
      </c>
      <c r="J7" s="24">
        <f>COUNTIF(garage!J77:'garage'!J128,"O")</f>
        <v>3</v>
      </c>
      <c r="L7" s="48">
        <f>SUM(garage!W77:'garage'!W128)</f>
        <v>0</v>
      </c>
      <c r="M7" s="23">
        <f>SUM(garage!X77:'garage'!X128)</f>
        <v>0</v>
      </c>
      <c r="N7" s="23">
        <f>SUM(garage!Y77:'garage'!Y128)</f>
        <v>0</v>
      </c>
      <c r="O7" s="24">
        <f>SUM(garage!Z77:'garage'!Z128)</f>
        <v>0</v>
      </c>
      <c r="Q7" s="48">
        <f>SUM(garage!AB77:'garage'!AB128)</f>
        <v>0</v>
      </c>
      <c r="R7" s="23">
        <f>SUM(garage!AC77:'garage'!AC128)</f>
        <v>0</v>
      </c>
      <c r="S7" s="23">
        <f>SUM(garage!AD77:'garage'!AD128)</f>
        <v>0</v>
      </c>
      <c r="T7" s="24">
        <f>SUM(garage!AE77:'garage'!AE128)</f>
        <v>0</v>
      </c>
      <c r="V7" s="48">
        <f>SUM(garage!AG77:'garage'!AG128)</f>
        <v>0</v>
      </c>
      <c r="W7" s="23">
        <f>SUM(garage!AH77:'garage'!AH128)</f>
        <v>0</v>
      </c>
      <c r="X7" s="23">
        <f>SUM(garage!AI77:'garage'!AI128)</f>
        <v>0</v>
      </c>
      <c r="Y7" s="24">
        <f>SUM(garage!AJ77:'garage'!AJ128)</f>
        <v>0</v>
      </c>
      <c r="AA7" s="48">
        <f>SUM(garage!AL77:'garage'!AL128)</f>
        <v>0</v>
      </c>
      <c r="AB7" s="23">
        <f>SUM(garage!AM77:'garage'!AM128)</f>
        <v>0</v>
      </c>
      <c r="AC7" s="23">
        <f>SUM(garage!AN77:'garage'!AN128)</f>
        <v>0</v>
      </c>
      <c r="AD7" s="24">
        <f>SUM(garage!AO77:'garage'!AO128)</f>
        <v>0</v>
      </c>
    </row>
    <row r="8" spans="2:30" ht="18" customHeight="1" x14ac:dyDescent="0.2">
      <c r="B8" s="83" t="s">
        <v>21</v>
      </c>
      <c r="C8" s="49">
        <v>126</v>
      </c>
      <c r="D8" s="50">
        <v>168</v>
      </c>
      <c r="E8" s="50">
        <f>D8-C8+1</f>
        <v>43</v>
      </c>
      <c r="F8" s="51">
        <f>COUNTIF(garage!G129:'garage'!G172,"N")</f>
        <v>15</v>
      </c>
      <c r="G8" s="51">
        <f>COUNTIF(garage!G129:'garage'!G172,"O")</f>
        <v>29</v>
      </c>
      <c r="H8" s="51">
        <f>COUNTIF(garage!H129:'garage'!H172,"O")</f>
        <v>19</v>
      </c>
      <c r="I8" s="51">
        <f>COUNTIF(garage!I129:'garage'!I172,"O")</f>
        <v>16</v>
      </c>
      <c r="J8" s="50">
        <f>COUNTIF(garage!J129:'garage'!J172,"O")</f>
        <v>1</v>
      </c>
      <c r="L8" s="49">
        <f>SUM(garage!W129:'garage'!W172)</f>
        <v>0</v>
      </c>
      <c r="M8" s="51">
        <f>SUM(garage!X129:'garage'!X172)</f>
        <v>0</v>
      </c>
      <c r="N8" s="51">
        <f>SUM(garage!Y129:'garage'!Y172)</f>
        <v>0</v>
      </c>
      <c r="O8" s="50">
        <f>SUM(garage!Z129:'garage'!Z172)</f>
        <v>0</v>
      </c>
      <c r="Q8" s="49">
        <f>SUM(garage!AB129:'garage'!AB172)</f>
        <v>0</v>
      </c>
      <c r="R8" s="51">
        <f>SUM(garage!AC129:'garage'!AC172)</f>
        <v>0</v>
      </c>
      <c r="S8" s="51">
        <f>SUM(garage!AD129:'garage'!AD172)</f>
        <v>0</v>
      </c>
      <c r="T8" s="50">
        <f>SUM(garage!AE129:'garage'!AE172)</f>
        <v>0</v>
      </c>
      <c r="V8" s="49">
        <f>SUM(garage!AG129:'garage'!AG172)</f>
        <v>0</v>
      </c>
      <c r="W8" s="51">
        <f>SUM(garage!AH129:'garage'!AH172)</f>
        <v>0</v>
      </c>
      <c r="X8" s="51">
        <f>SUM(garage!AI129:'garage'!AI172)</f>
        <v>0</v>
      </c>
      <c r="Y8" s="50">
        <f>SUM(garage!AJ129:'garage'!AJ172)</f>
        <v>0</v>
      </c>
      <c r="AA8" s="49">
        <f>SUM(garage!AL129:'garage'!AL172)</f>
        <v>0</v>
      </c>
      <c r="AB8" s="51">
        <f>SUM(garage!AM129:'garage'!AM172)</f>
        <v>0</v>
      </c>
      <c r="AC8" s="51">
        <f>SUM(garage!AN129:'garage'!AN172)</f>
        <v>0</v>
      </c>
      <c r="AD8" s="50">
        <f>SUM(garage!AO129:'garage'!AO172)</f>
        <v>0</v>
      </c>
    </row>
    <row r="9" spans="2:30" ht="18" customHeight="1" x14ac:dyDescent="0.2">
      <c r="B9" s="82" t="s">
        <v>31</v>
      </c>
      <c r="C9" s="48">
        <v>169</v>
      </c>
      <c r="D9" s="24">
        <v>217</v>
      </c>
      <c r="E9" s="24">
        <f>D9-C9+1</f>
        <v>49</v>
      </c>
      <c r="F9" s="23">
        <f>COUNTIF(garage!G173:'garage'!G223,"N")</f>
        <v>32</v>
      </c>
      <c r="G9" s="23">
        <f>COUNTIF(garage!G173:'garage'!G223,"O")</f>
        <v>19</v>
      </c>
      <c r="H9" s="23">
        <f>COUNTIF(garage!H173:'garage'!H215,"O")</f>
        <v>14</v>
      </c>
      <c r="I9" s="23">
        <f>COUNTIF(garage!I173:'garage'!I215,"O")</f>
        <v>10</v>
      </c>
      <c r="J9" s="24">
        <f>COUNTIF(garage!J173:'garage'!J215,"O")</f>
        <v>0</v>
      </c>
      <c r="L9" s="48">
        <f>SUM(garage!W173:'garage'!W223)</f>
        <v>0</v>
      </c>
      <c r="M9" s="23">
        <f>SUM(garage!X173:'garage'!X223)</f>
        <v>0</v>
      </c>
      <c r="N9" s="23">
        <f>SUM(garage!Y173:'garage'!Y223)</f>
        <v>0</v>
      </c>
      <c r="O9" s="24">
        <f>SUM(garage!Z173:'garage'!Z223)</f>
        <v>0</v>
      </c>
      <c r="Q9" s="48">
        <f>SUM(garage!AB173:'garage'!AB223)</f>
        <v>0</v>
      </c>
      <c r="R9" s="23">
        <f>SUM(garage!AC173:'garage'!AC223)</f>
        <v>0</v>
      </c>
      <c r="S9" s="23">
        <f>SUM(garage!AD173:'garage'!AD223)</f>
        <v>0</v>
      </c>
      <c r="T9" s="24">
        <f>SUM(garage!AE173:'garage'!AE223)</f>
        <v>0</v>
      </c>
      <c r="V9" s="48">
        <f>SUM(garage!AG173:'garage'!AG223)</f>
        <v>0</v>
      </c>
      <c r="W9" s="23">
        <f>SUM(garage!AH173:'garage'!AH223)</f>
        <v>0</v>
      </c>
      <c r="X9" s="23">
        <f>SUM(garage!AI173:'garage'!AI223)</f>
        <v>0</v>
      </c>
      <c r="Y9" s="24">
        <f>SUM(garage!AJ173:'garage'!AJ223)</f>
        <v>0</v>
      </c>
      <c r="AA9" s="48">
        <f>SUM(garage!AL173:'garage'!AL223)</f>
        <v>0</v>
      </c>
      <c r="AB9" s="23">
        <f>SUM(garage!AM173:'garage'!AM223)</f>
        <v>0</v>
      </c>
      <c r="AC9" s="23">
        <f>SUM(garage!AN173:'garage'!AN223)</f>
        <v>0</v>
      </c>
      <c r="AD9" s="24">
        <f>SUM(garage!AO173:'garage'!AO223)</f>
        <v>0</v>
      </c>
    </row>
    <row r="11" spans="2:30" ht="18" customHeight="1" x14ac:dyDescent="0.2">
      <c r="E11">
        <f t="shared" ref="E11:J11" si="0">SUM(E5:E9)</f>
        <v>216</v>
      </c>
      <c r="F11">
        <f t="shared" si="0"/>
        <v>71</v>
      </c>
      <c r="G11">
        <f t="shared" si="0"/>
        <v>151</v>
      </c>
      <c r="H11">
        <f t="shared" si="0"/>
        <v>104</v>
      </c>
      <c r="I11">
        <f t="shared" si="0"/>
        <v>74</v>
      </c>
      <c r="J11">
        <f t="shared" si="0"/>
        <v>10</v>
      </c>
    </row>
    <row r="12" spans="2:30" ht="18" customHeight="1" x14ac:dyDescent="0.2">
      <c r="F12" s="91">
        <f>F11/$E$11</f>
        <v>0.32870370370370372</v>
      </c>
      <c r="G12" s="91">
        <f t="shared" ref="G12:I12" si="1">G11/$E$11</f>
        <v>0.69907407407407407</v>
      </c>
      <c r="H12" s="91">
        <f t="shared" si="1"/>
        <v>0.48148148148148145</v>
      </c>
      <c r="I12" s="91">
        <f t="shared" si="1"/>
        <v>0.34259259259259262</v>
      </c>
      <c r="J12" s="91"/>
    </row>
  </sheetData>
  <mergeCells count="5">
    <mergeCell ref="V2:Y2"/>
    <mergeCell ref="AA2:AD2"/>
    <mergeCell ref="C1:D1"/>
    <mergeCell ref="L2:O2"/>
    <mergeCell ref="Q2:T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AL29"/>
  <sheetViews>
    <sheetView showGridLines="0" workbookViewId="0">
      <pane ySplit="1" topLeftCell="A2" activePane="bottomLeft" state="frozenSplit"/>
      <selection activeCell="J2" sqref="J2"/>
      <selection pane="bottomLeft" activeCell="A2" sqref="A2"/>
    </sheetView>
  </sheetViews>
  <sheetFormatPr baseColWidth="10" defaultColWidth="3.7109375" defaultRowHeight="18" customHeight="1" x14ac:dyDescent="0.2"/>
  <cols>
    <col min="2" max="8" width="3.7109375" style="2" customWidth="1"/>
    <col min="9" max="10" width="3.7109375" customWidth="1"/>
    <col min="11" max="11" width="3.7109375" style="4" customWidth="1"/>
    <col min="12" max="12" width="25.7109375" style="4" customWidth="1"/>
    <col min="13" max="13" width="30.7109375" customWidth="1"/>
    <col min="14" max="14" width="3.7109375" style="2"/>
    <col min="15" max="18" width="6.7109375" style="85" customWidth="1"/>
    <col min="19" max="19" width="3.7109375" style="2"/>
    <col min="20" max="23" width="6.7109375" style="85" customWidth="1"/>
    <col min="24" max="24" width="3.7109375" style="2"/>
    <col min="25" max="31" width="6.7109375" style="2" customWidth="1"/>
    <col min="32" max="38" width="3.7109375" style="2"/>
  </cols>
  <sheetData>
    <row r="1" spans="2:38" ht="50.1" customHeight="1" x14ac:dyDescent="0.2">
      <c r="B1" s="7" t="s">
        <v>94</v>
      </c>
      <c r="C1" s="7" t="s">
        <v>95</v>
      </c>
      <c r="D1" s="7" t="s">
        <v>96</v>
      </c>
      <c r="E1" s="7" t="s">
        <v>97</v>
      </c>
      <c r="F1" s="7" t="s">
        <v>98</v>
      </c>
      <c r="G1" s="7" t="s">
        <v>65</v>
      </c>
      <c r="H1" s="7" t="s">
        <v>66</v>
      </c>
      <c r="I1" s="7" t="s">
        <v>67</v>
      </c>
      <c r="J1" s="7" t="s">
        <v>99</v>
      </c>
      <c r="K1" s="6" t="s">
        <v>100</v>
      </c>
      <c r="L1" s="6" t="s">
        <v>101</v>
      </c>
      <c r="M1" s="6" t="s">
        <v>102</v>
      </c>
      <c r="O1" s="113" t="s">
        <v>103</v>
      </c>
      <c r="P1" s="113"/>
      <c r="Q1" s="113"/>
      <c r="R1" s="113"/>
      <c r="T1" s="113" t="s">
        <v>104</v>
      </c>
      <c r="U1" s="113"/>
      <c r="V1" s="113"/>
      <c r="W1" s="113"/>
      <c r="Y1" s="105" t="s">
        <v>105</v>
      </c>
      <c r="Z1" s="105"/>
      <c r="AA1" s="105"/>
      <c r="AB1" s="105"/>
      <c r="AC1" s="105"/>
      <c r="AD1" s="105"/>
      <c r="AE1" s="105"/>
      <c r="AG1" s="105" t="s">
        <v>106</v>
      </c>
      <c r="AH1" s="105"/>
      <c r="AI1" s="105"/>
      <c r="AJ1" s="105"/>
      <c r="AK1" s="105"/>
      <c r="AL1" s="105"/>
    </row>
    <row r="2" spans="2:38" ht="18" customHeight="1" x14ac:dyDescent="0.2">
      <c r="B2" s="8" t="s">
        <v>107</v>
      </c>
      <c r="C2" s="8">
        <v>2</v>
      </c>
      <c r="D2" s="8">
        <v>24</v>
      </c>
      <c r="E2" s="8">
        <v>31</v>
      </c>
      <c r="F2" s="8" t="s">
        <v>107</v>
      </c>
      <c r="G2" s="44" t="s">
        <v>108</v>
      </c>
      <c r="H2" s="44" t="s">
        <v>108</v>
      </c>
      <c r="I2" s="44" t="s">
        <v>108</v>
      </c>
      <c r="J2" s="44" t="s">
        <v>108</v>
      </c>
      <c r="K2" s="44" t="s">
        <v>109</v>
      </c>
      <c r="L2" s="43" t="s">
        <v>110</v>
      </c>
      <c r="M2" s="43" t="s">
        <v>111</v>
      </c>
      <c r="O2" s="85">
        <v>320</v>
      </c>
      <c r="P2" s="85">
        <v>66.7</v>
      </c>
      <c r="Q2" s="85">
        <v>42.53</v>
      </c>
      <c r="R2" s="85">
        <v>32.25</v>
      </c>
      <c r="T2" s="85">
        <v>332.7</v>
      </c>
      <c r="U2" s="85">
        <v>78.92</v>
      </c>
      <c r="V2" s="85">
        <v>70.489999999999995</v>
      </c>
      <c r="W2" s="85">
        <v>57.24</v>
      </c>
      <c r="Y2" s="2">
        <v>2080</v>
      </c>
      <c r="Z2" s="2">
        <v>2268</v>
      </c>
      <c r="AA2" s="2">
        <v>2536</v>
      </c>
      <c r="AB2" s="2">
        <v>2775</v>
      </c>
      <c r="AC2" s="2">
        <v>3073</v>
      </c>
      <c r="AD2" s="2">
        <v>3575</v>
      </c>
      <c r="AE2" s="2" t="s">
        <v>112</v>
      </c>
      <c r="AG2" s="2">
        <v>35</v>
      </c>
      <c r="AH2" s="2">
        <v>15</v>
      </c>
      <c r="AI2" s="2">
        <v>21</v>
      </c>
      <c r="AJ2" s="2">
        <v>28</v>
      </c>
      <c r="AK2" s="2">
        <v>35</v>
      </c>
      <c r="AL2" s="2" t="s">
        <v>107</v>
      </c>
    </row>
    <row r="3" spans="2:38" ht="18" customHeight="1" x14ac:dyDescent="0.2">
      <c r="B3" s="10" t="s">
        <v>107</v>
      </c>
      <c r="C3" s="10">
        <v>2</v>
      </c>
      <c r="D3" s="10">
        <v>38</v>
      </c>
      <c r="E3" s="10">
        <v>31</v>
      </c>
      <c r="F3" s="10" t="s">
        <v>107</v>
      </c>
      <c r="G3" s="42" t="s">
        <v>108</v>
      </c>
      <c r="H3" s="42" t="s">
        <v>108</v>
      </c>
      <c r="I3" s="42" t="s">
        <v>108</v>
      </c>
      <c r="J3" s="42" t="s">
        <v>108</v>
      </c>
      <c r="K3" s="42" t="s">
        <v>109</v>
      </c>
      <c r="L3" s="67" t="s">
        <v>113</v>
      </c>
      <c r="M3" s="67" t="s">
        <v>114</v>
      </c>
      <c r="O3" s="85">
        <v>315</v>
      </c>
      <c r="P3" s="85">
        <v>81.099999999999994</v>
      </c>
      <c r="Q3" s="85">
        <v>38.51</v>
      </c>
      <c r="R3" s="85">
        <v>26.22</v>
      </c>
      <c r="T3" s="85">
        <v>326.3</v>
      </c>
      <c r="U3" s="85">
        <v>88.03</v>
      </c>
      <c r="V3" s="85">
        <v>72.48</v>
      </c>
      <c r="W3" s="85">
        <v>58.56</v>
      </c>
      <c r="Y3" s="2">
        <v>2283</v>
      </c>
      <c r="Z3" s="2">
        <v>2495</v>
      </c>
      <c r="AA3" s="2">
        <v>2798</v>
      </c>
      <c r="AB3" s="2">
        <v>3066</v>
      </c>
      <c r="AC3" s="2">
        <v>3405</v>
      </c>
      <c r="AD3" s="2">
        <v>3971</v>
      </c>
      <c r="AE3" s="2" t="s">
        <v>112</v>
      </c>
      <c r="AG3" s="2" t="s">
        <v>115</v>
      </c>
      <c r="AH3" s="2">
        <v>25</v>
      </c>
      <c r="AI3" s="2">
        <v>32</v>
      </c>
      <c r="AJ3" s="2">
        <v>36</v>
      </c>
      <c r="AK3" s="2">
        <v>41</v>
      </c>
      <c r="AL3" s="2" t="s">
        <v>107</v>
      </c>
    </row>
    <row r="4" spans="2:38" ht="18" customHeight="1" x14ac:dyDescent="0.2">
      <c r="B4" s="8" t="s">
        <v>107</v>
      </c>
      <c r="C4" s="8">
        <v>3</v>
      </c>
      <c r="D4" s="8">
        <v>11</v>
      </c>
      <c r="E4" s="8">
        <v>31</v>
      </c>
      <c r="F4" s="8" t="s">
        <v>107</v>
      </c>
      <c r="G4" s="44" t="s">
        <v>108</v>
      </c>
      <c r="H4" s="44" t="s">
        <v>108</v>
      </c>
      <c r="I4" s="44" t="s">
        <v>108</v>
      </c>
      <c r="J4" s="44" t="s">
        <v>108</v>
      </c>
      <c r="K4" s="44" t="s">
        <v>116</v>
      </c>
      <c r="L4" s="43" t="s">
        <v>117</v>
      </c>
      <c r="M4" s="43" t="s">
        <v>118</v>
      </c>
      <c r="O4" s="85">
        <v>324.60000000000002</v>
      </c>
      <c r="P4" s="85">
        <v>73.040000000000006</v>
      </c>
      <c r="Q4" s="85">
        <v>48.28</v>
      </c>
      <c r="R4" s="85">
        <v>56.99</v>
      </c>
      <c r="T4" s="85">
        <v>333.3</v>
      </c>
      <c r="U4" s="85">
        <v>79.459999999999994</v>
      </c>
      <c r="V4" s="85">
        <v>53.36</v>
      </c>
      <c r="W4" s="85">
        <v>63.69</v>
      </c>
      <c r="Y4" s="2">
        <v>1921</v>
      </c>
      <c r="Z4" s="2">
        <v>2146</v>
      </c>
      <c r="AA4" s="2">
        <v>2497</v>
      </c>
      <c r="AB4" s="2">
        <v>2837</v>
      </c>
      <c r="AC4" s="2">
        <v>3134</v>
      </c>
      <c r="AD4" s="2" t="s">
        <v>112</v>
      </c>
      <c r="AE4" s="2" t="s">
        <v>112</v>
      </c>
      <c r="AG4" s="2">
        <v>55</v>
      </c>
      <c r="AH4" s="2">
        <v>35</v>
      </c>
      <c r="AI4" s="2">
        <v>44</v>
      </c>
      <c r="AJ4" s="2">
        <v>54</v>
      </c>
      <c r="AK4" s="2" t="s">
        <v>107</v>
      </c>
      <c r="AL4" s="2" t="s">
        <v>107</v>
      </c>
    </row>
    <row r="5" spans="2:38" ht="18" customHeight="1" x14ac:dyDescent="0.2">
      <c r="B5" s="10" t="s">
        <v>107</v>
      </c>
      <c r="C5" s="10">
        <v>3</v>
      </c>
      <c r="D5" s="10">
        <v>46</v>
      </c>
      <c r="E5" s="10">
        <v>31</v>
      </c>
      <c r="F5" s="10" t="s">
        <v>107</v>
      </c>
      <c r="G5" s="42" t="s">
        <v>108</v>
      </c>
      <c r="H5" s="42" t="s">
        <v>108</v>
      </c>
      <c r="I5" s="42" t="s">
        <v>108</v>
      </c>
      <c r="J5" s="42" t="s">
        <v>108</v>
      </c>
      <c r="K5" s="42" t="s">
        <v>116</v>
      </c>
      <c r="L5" s="67" t="s">
        <v>119</v>
      </c>
      <c r="M5" s="67" t="s">
        <v>120</v>
      </c>
      <c r="O5" s="85">
        <v>335</v>
      </c>
      <c r="P5" s="85">
        <v>75.7</v>
      </c>
      <c r="Q5" s="85">
        <v>43.93</v>
      </c>
      <c r="R5" s="85">
        <v>45.17</v>
      </c>
      <c r="T5" s="85">
        <v>355</v>
      </c>
      <c r="U5" s="85">
        <v>85.46</v>
      </c>
      <c r="V5" s="85">
        <v>70.34</v>
      </c>
      <c r="W5" s="85">
        <v>65.790000000000006</v>
      </c>
      <c r="Y5" s="2">
        <v>2319</v>
      </c>
      <c r="Z5" s="2">
        <v>2557</v>
      </c>
      <c r="AA5" s="2">
        <v>2831</v>
      </c>
      <c r="AB5" s="2">
        <v>3111</v>
      </c>
      <c r="AC5" s="2">
        <v>3493</v>
      </c>
      <c r="AD5" s="2">
        <v>3941</v>
      </c>
      <c r="AE5" s="2">
        <v>4265</v>
      </c>
      <c r="AG5" s="2">
        <v>55</v>
      </c>
      <c r="AH5" s="2">
        <v>18</v>
      </c>
      <c r="AI5" s="2">
        <v>24</v>
      </c>
      <c r="AJ5" s="2">
        <v>32</v>
      </c>
      <c r="AK5" s="2">
        <v>47</v>
      </c>
      <c r="AL5" s="2">
        <v>50</v>
      </c>
    </row>
    <row r="6" spans="2:38" ht="18" customHeight="1" x14ac:dyDescent="0.2">
      <c r="B6" s="8" t="s">
        <v>107</v>
      </c>
      <c r="C6" s="8">
        <v>4</v>
      </c>
      <c r="D6" s="8">
        <v>26</v>
      </c>
      <c r="E6" s="8">
        <v>31</v>
      </c>
      <c r="F6" s="8" t="s">
        <v>107</v>
      </c>
      <c r="G6" s="44" t="s">
        <v>108</v>
      </c>
      <c r="H6" s="44" t="s">
        <v>108</v>
      </c>
      <c r="I6" s="44" t="s">
        <v>108</v>
      </c>
      <c r="J6" s="44" t="s">
        <v>108</v>
      </c>
      <c r="K6" s="44" t="s">
        <v>121</v>
      </c>
      <c r="L6" s="43" t="s">
        <v>113</v>
      </c>
      <c r="M6" s="43" t="s">
        <v>122</v>
      </c>
      <c r="O6" s="85">
        <v>340</v>
      </c>
      <c r="P6" s="85">
        <v>75.7</v>
      </c>
      <c r="Q6" s="85">
        <v>55.63</v>
      </c>
      <c r="R6" s="85">
        <v>55.63</v>
      </c>
      <c r="T6" s="85">
        <v>352</v>
      </c>
      <c r="U6" s="85">
        <v>84.94</v>
      </c>
      <c r="V6" s="85">
        <v>87.96</v>
      </c>
      <c r="W6" s="85">
        <v>72.61</v>
      </c>
      <c r="Y6" s="2">
        <v>2928</v>
      </c>
      <c r="Z6" s="2">
        <v>3100</v>
      </c>
      <c r="AA6" s="2">
        <v>3302</v>
      </c>
      <c r="AB6" s="2">
        <v>3491</v>
      </c>
      <c r="AC6" s="2">
        <v>3740</v>
      </c>
      <c r="AD6" s="2">
        <v>3988</v>
      </c>
      <c r="AE6" s="2">
        <v>4229</v>
      </c>
      <c r="AG6" s="2" t="s">
        <v>115</v>
      </c>
      <c r="AH6" s="2">
        <v>28</v>
      </c>
      <c r="AI6" s="2">
        <v>32</v>
      </c>
      <c r="AJ6" s="2">
        <v>44</v>
      </c>
      <c r="AK6" s="2">
        <v>59</v>
      </c>
      <c r="AL6" s="2">
        <v>86</v>
      </c>
    </row>
    <row r="7" spans="2:38" ht="18" customHeight="1" x14ac:dyDescent="0.2">
      <c r="B7" s="10" t="s">
        <v>107</v>
      </c>
      <c r="C7" s="10">
        <v>4</v>
      </c>
      <c r="D7" s="10">
        <v>42</v>
      </c>
      <c r="E7" s="10">
        <v>31</v>
      </c>
      <c r="F7" s="10" t="s">
        <v>107</v>
      </c>
      <c r="G7" s="42" t="s">
        <v>108</v>
      </c>
      <c r="H7" s="42" t="s">
        <v>108</v>
      </c>
      <c r="I7" s="42" t="s">
        <v>108</v>
      </c>
      <c r="J7" s="42" t="s">
        <v>108</v>
      </c>
      <c r="K7" s="42" t="s">
        <v>121</v>
      </c>
      <c r="L7" s="67" t="s">
        <v>123</v>
      </c>
      <c r="M7" s="67" t="s">
        <v>124</v>
      </c>
      <c r="O7" s="85">
        <v>360</v>
      </c>
      <c r="P7" s="85">
        <v>73.900000000000006</v>
      </c>
      <c r="Q7" s="85">
        <v>54.07</v>
      </c>
      <c r="R7" s="85">
        <v>47.57</v>
      </c>
      <c r="T7" s="85">
        <v>375.6</v>
      </c>
      <c r="U7" s="85">
        <v>82.74</v>
      </c>
      <c r="V7" s="85">
        <v>75.239999999999995</v>
      </c>
      <c r="W7" s="85">
        <v>71.180000000000007</v>
      </c>
      <c r="Y7" s="2">
        <v>3288</v>
      </c>
      <c r="Z7" s="2">
        <v>3463</v>
      </c>
      <c r="AA7" s="2">
        <v>3666</v>
      </c>
      <c r="AB7" s="2">
        <v>3854</v>
      </c>
      <c r="AC7" s="2">
        <v>4100</v>
      </c>
      <c r="AD7" s="2">
        <v>4348</v>
      </c>
      <c r="AE7" s="2">
        <v>4586</v>
      </c>
      <c r="AG7" s="2" t="s">
        <v>115</v>
      </c>
      <c r="AH7" s="2">
        <v>30</v>
      </c>
      <c r="AI7" s="2">
        <v>40</v>
      </c>
      <c r="AJ7" s="2">
        <v>50</v>
      </c>
      <c r="AK7" s="2">
        <v>65</v>
      </c>
      <c r="AL7" s="2">
        <v>80</v>
      </c>
    </row>
    <row r="8" spans="2:38" ht="18" customHeight="1" x14ac:dyDescent="0.2">
      <c r="B8" s="8" t="s">
        <v>107</v>
      </c>
      <c r="C8" s="8">
        <v>1</v>
      </c>
      <c r="D8" s="8">
        <v>24</v>
      </c>
      <c r="E8" s="8">
        <v>32</v>
      </c>
      <c r="F8" s="8" t="s">
        <v>107</v>
      </c>
      <c r="G8" s="44" t="s">
        <v>108</v>
      </c>
      <c r="H8" s="44" t="s">
        <v>108</v>
      </c>
      <c r="I8" s="44" t="s">
        <v>108</v>
      </c>
      <c r="J8" s="44" t="s">
        <v>108</v>
      </c>
      <c r="K8" s="44" t="s">
        <v>125</v>
      </c>
      <c r="L8" s="43" t="s">
        <v>126</v>
      </c>
      <c r="M8" s="43" t="s">
        <v>127</v>
      </c>
      <c r="O8" s="85">
        <v>250</v>
      </c>
      <c r="P8" s="85">
        <v>53.2</v>
      </c>
      <c r="Q8" s="85">
        <v>49.95</v>
      </c>
      <c r="R8" s="85">
        <v>35.380000000000003</v>
      </c>
      <c r="T8" s="85">
        <v>271.10000000000002</v>
      </c>
      <c r="U8" s="85">
        <v>83.26</v>
      </c>
      <c r="V8" s="85">
        <v>82.91</v>
      </c>
      <c r="W8" s="85">
        <v>65.22</v>
      </c>
      <c r="Y8" s="2">
        <v>540</v>
      </c>
      <c r="Z8" s="2">
        <v>1030</v>
      </c>
      <c r="AA8" s="2">
        <v>1576</v>
      </c>
      <c r="AB8" s="2">
        <v>2138</v>
      </c>
      <c r="AC8" s="2">
        <v>2675</v>
      </c>
      <c r="AD8" s="2" t="s">
        <v>112</v>
      </c>
      <c r="AE8" s="2" t="s">
        <v>112</v>
      </c>
      <c r="AG8" s="2">
        <v>30</v>
      </c>
      <c r="AH8" s="2">
        <v>23</v>
      </c>
      <c r="AI8" s="2">
        <v>33</v>
      </c>
      <c r="AJ8" s="2">
        <v>42</v>
      </c>
      <c r="AK8" s="2" t="s">
        <v>107</v>
      </c>
      <c r="AL8" s="2" t="s">
        <v>107</v>
      </c>
    </row>
    <row r="9" spans="2:38" ht="18" customHeight="1" x14ac:dyDescent="0.2">
      <c r="B9" s="10" t="s">
        <v>107</v>
      </c>
      <c r="C9" s="10">
        <v>2</v>
      </c>
      <c r="D9" s="10">
        <v>19</v>
      </c>
      <c r="E9" s="10">
        <v>32</v>
      </c>
      <c r="F9" s="10" t="s">
        <v>107</v>
      </c>
      <c r="G9" s="42" t="s">
        <v>108</v>
      </c>
      <c r="H9" s="42" t="s">
        <v>108</v>
      </c>
      <c r="I9" s="42" t="s">
        <v>108</v>
      </c>
      <c r="J9" s="42" t="s">
        <v>108</v>
      </c>
      <c r="K9" s="42" t="s">
        <v>109</v>
      </c>
      <c r="L9" s="67" t="s">
        <v>128</v>
      </c>
      <c r="M9" s="67" t="s">
        <v>129</v>
      </c>
      <c r="O9" s="85">
        <v>307</v>
      </c>
      <c r="P9" s="85">
        <v>71.2</v>
      </c>
      <c r="Q9" s="85">
        <v>48.28</v>
      </c>
      <c r="R9" s="85">
        <v>44.33</v>
      </c>
      <c r="T9" s="85">
        <v>320.39999999999998</v>
      </c>
      <c r="U9" s="85">
        <v>80.819999999999993</v>
      </c>
      <c r="V9" s="85">
        <v>70.91</v>
      </c>
      <c r="W9" s="85">
        <v>61.06</v>
      </c>
      <c r="Y9" s="2">
        <v>1840</v>
      </c>
      <c r="Z9" s="2">
        <v>2135</v>
      </c>
      <c r="AA9" s="2">
        <v>2523</v>
      </c>
      <c r="AB9" s="2">
        <v>2907</v>
      </c>
      <c r="AC9" s="2">
        <v>3221</v>
      </c>
      <c r="AD9" s="2" t="s">
        <v>112</v>
      </c>
      <c r="AE9" s="2" t="s">
        <v>112</v>
      </c>
      <c r="AG9" s="2">
        <v>50</v>
      </c>
      <c r="AH9" s="2">
        <v>29</v>
      </c>
      <c r="AI9" s="2">
        <v>38</v>
      </c>
      <c r="AJ9" s="2">
        <v>48</v>
      </c>
      <c r="AK9" s="2" t="s">
        <v>107</v>
      </c>
      <c r="AL9" s="2" t="s">
        <v>107</v>
      </c>
    </row>
    <row r="10" spans="2:38" ht="18" customHeight="1" x14ac:dyDescent="0.2">
      <c r="B10" s="8" t="s">
        <v>107</v>
      </c>
      <c r="C10" s="8">
        <v>3</v>
      </c>
      <c r="D10" s="8">
        <v>38</v>
      </c>
      <c r="E10" s="8">
        <v>32</v>
      </c>
      <c r="F10" s="8" t="s">
        <v>107</v>
      </c>
      <c r="G10" s="44" t="s">
        <v>108</v>
      </c>
      <c r="H10" s="44" t="s">
        <v>108</v>
      </c>
      <c r="I10" s="44" t="s">
        <v>108</v>
      </c>
      <c r="J10" s="44" t="s">
        <v>108</v>
      </c>
      <c r="K10" s="44" t="s">
        <v>116</v>
      </c>
      <c r="L10" s="43" t="s">
        <v>130</v>
      </c>
      <c r="M10" s="43" t="s">
        <v>131</v>
      </c>
      <c r="O10" s="85">
        <v>322</v>
      </c>
      <c r="P10" s="85">
        <v>77.5</v>
      </c>
      <c r="Q10" s="85">
        <v>51.36</v>
      </c>
      <c r="R10" s="85">
        <v>37.19</v>
      </c>
      <c r="T10" s="85">
        <v>335.4</v>
      </c>
      <c r="U10" s="85">
        <v>89.3</v>
      </c>
      <c r="V10" s="85">
        <v>83.12</v>
      </c>
      <c r="W10" s="85">
        <v>76.83</v>
      </c>
      <c r="Y10" s="2">
        <v>2506</v>
      </c>
      <c r="Z10" s="2">
        <v>2719</v>
      </c>
      <c r="AA10" s="2">
        <v>3025</v>
      </c>
      <c r="AB10" s="2">
        <v>3296</v>
      </c>
      <c r="AC10" s="2">
        <v>3692</v>
      </c>
      <c r="AD10" s="2">
        <v>3936</v>
      </c>
      <c r="AE10" s="2">
        <v>4076</v>
      </c>
      <c r="AG10" s="2" t="s">
        <v>115</v>
      </c>
      <c r="AH10" s="2">
        <v>26</v>
      </c>
      <c r="AI10" s="2">
        <v>34</v>
      </c>
      <c r="AJ10" s="2">
        <v>40</v>
      </c>
      <c r="AK10" s="2">
        <v>62</v>
      </c>
      <c r="AL10" s="2" t="s">
        <v>107</v>
      </c>
    </row>
    <row r="11" spans="2:38" ht="18" customHeight="1" x14ac:dyDescent="0.2">
      <c r="B11" s="10" t="s">
        <v>107</v>
      </c>
      <c r="C11" s="10">
        <v>4</v>
      </c>
      <c r="D11" s="10">
        <v>37</v>
      </c>
      <c r="E11" s="10">
        <v>32</v>
      </c>
      <c r="F11" s="10" t="s">
        <v>107</v>
      </c>
      <c r="G11" s="42" t="s">
        <v>108</v>
      </c>
      <c r="H11" s="42" t="s">
        <v>108</v>
      </c>
      <c r="I11" s="42" t="s">
        <v>108</v>
      </c>
      <c r="J11" s="42" t="s">
        <v>108</v>
      </c>
      <c r="K11" s="42" t="s">
        <v>121</v>
      </c>
      <c r="L11" s="67" t="s">
        <v>132</v>
      </c>
      <c r="M11" s="67" t="s">
        <v>133</v>
      </c>
      <c r="O11" s="85">
        <v>361</v>
      </c>
      <c r="P11" s="85">
        <v>73</v>
      </c>
      <c r="Q11" s="85">
        <v>62</v>
      </c>
      <c r="R11" s="85">
        <v>30.98</v>
      </c>
      <c r="T11" s="85">
        <v>375.7</v>
      </c>
      <c r="U11" s="85">
        <v>81.3</v>
      </c>
      <c r="V11" s="85">
        <v>58.47</v>
      </c>
      <c r="W11" s="85">
        <v>61.71</v>
      </c>
      <c r="Y11" s="2">
        <v>3154</v>
      </c>
      <c r="Z11" s="2">
        <v>3328</v>
      </c>
      <c r="AA11" s="2">
        <v>3535</v>
      </c>
      <c r="AB11" s="2">
        <v>3723</v>
      </c>
      <c r="AC11" s="2">
        <v>3975</v>
      </c>
      <c r="AD11" s="2">
        <v>4224</v>
      </c>
      <c r="AE11" s="2">
        <v>4464</v>
      </c>
      <c r="AG11" s="2">
        <v>70</v>
      </c>
      <c r="AH11" s="2">
        <v>23</v>
      </c>
      <c r="AI11" s="2">
        <v>27</v>
      </c>
      <c r="AJ11" s="2">
        <v>36</v>
      </c>
      <c r="AK11" s="2">
        <v>52</v>
      </c>
      <c r="AL11" s="2">
        <v>59</v>
      </c>
    </row>
    <row r="12" spans="2:38" ht="18" customHeight="1" x14ac:dyDescent="0.2">
      <c r="B12" s="8" t="s">
        <v>107</v>
      </c>
      <c r="C12" s="8">
        <v>5</v>
      </c>
      <c r="D12" s="8">
        <v>26</v>
      </c>
      <c r="E12" s="8">
        <v>32</v>
      </c>
      <c r="F12" s="8" t="s">
        <v>107</v>
      </c>
      <c r="G12" s="44" t="s">
        <v>108</v>
      </c>
      <c r="H12" s="44" t="s">
        <v>108</v>
      </c>
      <c r="I12" s="44" t="s">
        <v>108</v>
      </c>
      <c r="J12" s="44" t="s">
        <v>108</v>
      </c>
      <c r="K12" s="44" t="s">
        <v>134</v>
      </c>
      <c r="L12" s="43" t="s">
        <v>135</v>
      </c>
      <c r="M12" s="43" t="s">
        <v>136</v>
      </c>
      <c r="O12" s="85">
        <v>402</v>
      </c>
      <c r="P12" s="85">
        <v>62.2</v>
      </c>
      <c r="Q12" s="85">
        <v>62.89</v>
      </c>
      <c r="R12" s="85">
        <v>60.64</v>
      </c>
      <c r="T12" s="85">
        <v>429.9</v>
      </c>
      <c r="U12" s="85">
        <v>69.5</v>
      </c>
      <c r="V12" s="85">
        <v>68.97</v>
      </c>
      <c r="W12" s="85">
        <v>77.31</v>
      </c>
      <c r="Y12" s="2">
        <v>3471</v>
      </c>
      <c r="Z12" s="2">
        <v>3620</v>
      </c>
      <c r="AA12" s="2">
        <v>3796</v>
      </c>
      <c r="AB12" s="2">
        <v>3983</v>
      </c>
      <c r="AC12" s="2">
        <v>4179</v>
      </c>
      <c r="AD12" s="2">
        <v>4405</v>
      </c>
      <c r="AE12" s="2">
        <v>4629</v>
      </c>
      <c r="AG12" s="2" t="s">
        <v>115</v>
      </c>
      <c r="AH12" s="2">
        <v>40</v>
      </c>
      <c r="AI12" s="2">
        <v>45</v>
      </c>
      <c r="AJ12" s="2">
        <v>60</v>
      </c>
      <c r="AK12" s="2">
        <v>70</v>
      </c>
      <c r="AL12" s="2">
        <v>85</v>
      </c>
    </row>
    <row r="13" spans="2:38" ht="18" customHeight="1" x14ac:dyDescent="0.2">
      <c r="B13" s="10" t="s">
        <v>107</v>
      </c>
      <c r="C13" s="10">
        <v>5</v>
      </c>
      <c r="D13" s="10">
        <v>49</v>
      </c>
      <c r="E13" s="10">
        <v>32</v>
      </c>
      <c r="F13" s="10" t="s">
        <v>107</v>
      </c>
      <c r="G13" s="42" t="s">
        <v>108</v>
      </c>
      <c r="H13" s="42" t="s">
        <v>108</v>
      </c>
      <c r="I13" s="42" t="s">
        <v>108</v>
      </c>
      <c r="J13" s="42" t="s">
        <v>108</v>
      </c>
      <c r="K13" s="42" t="s">
        <v>134</v>
      </c>
      <c r="L13" s="67" t="s">
        <v>137</v>
      </c>
      <c r="M13" s="67" t="s">
        <v>138</v>
      </c>
      <c r="O13" s="85">
        <v>465</v>
      </c>
      <c r="P13" s="85">
        <v>77.5</v>
      </c>
      <c r="Q13" s="85">
        <v>40.99</v>
      </c>
      <c r="R13" s="85">
        <v>24.33</v>
      </c>
      <c r="T13" s="85">
        <v>478.3</v>
      </c>
      <c r="U13" s="85">
        <v>82.37</v>
      </c>
      <c r="V13" s="85">
        <v>54.39</v>
      </c>
      <c r="W13" s="85">
        <v>37.44</v>
      </c>
      <c r="Y13" s="2">
        <v>3919</v>
      </c>
      <c r="Z13" s="2">
        <v>4078</v>
      </c>
      <c r="AA13" s="2">
        <v>4266</v>
      </c>
      <c r="AB13" s="2">
        <v>4466</v>
      </c>
      <c r="AC13" s="2">
        <v>4677</v>
      </c>
      <c r="AD13" s="2">
        <v>4923</v>
      </c>
      <c r="AE13" s="2">
        <v>5145</v>
      </c>
      <c r="AG13" s="2" t="s">
        <v>115</v>
      </c>
      <c r="AH13" s="2">
        <v>40</v>
      </c>
      <c r="AI13" s="2">
        <v>45</v>
      </c>
      <c r="AJ13" s="2">
        <v>60</v>
      </c>
      <c r="AK13" s="2">
        <v>70</v>
      </c>
      <c r="AL13" s="2">
        <v>85</v>
      </c>
    </row>
    <row r="14" spans="2:38" ht="18" customHeight="1" x14ac:dyDescent="0.2">
      <c r="B14" s="8" t="s">
        <v>107</v>
      </c>
      <c r="C14" s="8">
        <v>1</v>
      </c>
      <c r="D14" s="8" t="s">
        <v>107</v>
      </c>
      <c r="E14" s="8">
        <v>33</v>
      </c>
      <c r="F14" s="8" t="s">
        <v>107</v>
      </c>
      <c r="G14" s="44" t="s">
        <v>107</v>
      </c>
      <c r="H14" s="44" t="s">
        <v>107</v>
      </c>
      <c r="I14" s="44" t="s">
        <v>107</v>
      </c>
      <c r="J14" s="44" t="s">
        <v>107</v>
      </c>
      <c r="K14" s="44" t="s">
        <v>125</v>
      </c>
      <c r="L14" s="43" t="s">
        <v>139</v>
      </c>
      <c r="M14" s="43" t="s">
        <v>140</v>
      </c>
      <c r="O14" s="85">
        <v>290</v>
      </c>
      <c r="P14" s="85">
        <v>74.8</v>
      </c>
      <c r="Q14" s="85">
        <v>33.020000000000003</v>
      </c>
      <c r="R14" s="85">
        <v>39.049999999999997</v>
      </c>
      <c r="T14" s="85">
        <v>301.2</v>
      </c>
      <c r="U14" s="85">
        <v>82.87</v>
      </c>
      <c r="V14" s="85">
        <v>51.83</v>
      </c>
      <c r="W14" s="85">
        <v>64.819999999999993</v>
      </c>
      <c r="Y14" s="2">
        <v>1538</v>
      </c>
      <c r="Z14" s="2" t="s">
        <v>112</v>
      </c>
      <c r="AA14" s="2" t="s">
        <v>112</v>
      </c>
      <c r="AB14" s="2" t="s">
        <v>112</v>
      </c>
      <c r="AC14" s="2" t="s">
        <v>112</v>
      </c>
      <c r="AD14" s="2">
        <v>3097</v>
      </c>
      <c r="AE14" s="2" t="s">
        <v>112</v>
      </c>
      <c r="AG14" s="2" t="s">
        <v>107</v>
      </c>
      <c r="AH14" s="2" t="s">
        <v>107</v>
      </c>
      <c r="AI14" s="2" t="s">
        <v>107</v>
      </c>
      <c r="AJ14" s="2" t="s">
        <v>107</v>
      </c>
      <c r="AK14" s="2" t="s">
        <v>107</v>
      </c>
      <c r="AL14" s="2" t="s">
        <v>107</v>
      </c>
    </row>
    <row r="15" spans="2:38" ht="18" customHeight="1" x14ac:dyDescent="0.2">
      <c r="B15" s="10" t="s">
        <v>107</v>
      </c>
      <c r="C15" s="10">
        <v>3</v>
      </c>
      <c r="D15" s="10" t="s">
        <v>107</v>
      </c>
      <c r="E15" s="10">
        <v>33</v>
      </c>
      <c r="F15" s="10" t="s">
        <v>107</v>
      </c>
      <c r="G15" s="42" t="s">
        <v>107</v>
      </c>
      <c r="H15" s="42" t="s">
        <v>107</v>
      </c>
      <c r="I15" s="42" t="s">
        <v>107</v>
      </c>
      <c r="J15" s="42" t="s">
        <v>107</v>
      </c>
      <c r="K15" s="42" t="s">
        <v>116</v>
      </c>
      <c r="L15" s="67" t="s">
        <v>130</v>
      </c>
      <c r="M15" s="67" t="s">
        <v>141</v>
      </c>
      <c r="O15" s="85">
        <v>330</v>
      </c>
      <c r="P15" s="85">
        <v>73</v>
      </c>
      <c r="Q15" s="85">
        <v>50.79</v>
      </c>
      <c r="R15" s="85">
        <v>29.05</v>
      </c>
      <c r="T15" s="85">
        <v>337.7</v>
      </c>
      <c r="U15" s="85">
        <v>81.05</v>
      </c>
      <c r="V15" s="85">
        <v>68.33</v>
      </c>
      <c r="W15" s="85">
        <v>47.34</v>
      </c>
      <c r="Y15" s="2">
        <v>2021</v>
      </c>
      <c r="Z15" s="2" t="s">
        <v>112</v>
      </c>
      <c r="AA15" s="2" t="s">
        <v>112</v>
      </c>
      <c r="AB15" s="2" t="s">
        <v>112</v>
      </c>
      <c r="AC15" s="2">
        <v>3267</v>
      </c>
      <c r="AD15" s="2" t="s">
        <v>112</v>
      </c>
      <c r="AE15" s="2" t="s">
        <v>112</v>
      </c>
      <c r="AG15" s="2">
        <v>55</v>
      </c>
      <c r="AH15" s="2">
        <v>18</v>
      </c>
      <c r="AI15" s="2">
        <v>24</v>
      </c>
      <c r="AJ15" s="2">
        <v>32</v>
      </c>
      <c r="AK15" s="2">
        <v>50</v>
      </c>
      <c r="AL15" s="2">
        <v>61</v>
      </c>
    </row>
    <row r="16" spans="2:38" ht="18" customHeight="1" x14ac:dyDescent="0.2">
      <c r="B16" s="8" t="s">
        <v>107</v>
      </c>
      <c r="C16" s="8">
        <v>3</v>
      </c>
      <c r="D16" s="8" t="s">
        <v>107</v>
      </c>
      <c r="E16" s="8">
        <v>33</v>
      </c>
      <c r="F16" s="8" t="s">
        <v>107</v>
      </c>
      <c r="G16" s="44" t="s">
        <v>107</v>
      </c>
      <c r="H16" s="44" t="s">
        <v>107</v>
      </c>
      <c r="I16" s="44" t="s">
        <v>107</v>
      </c>
      <c r="J16" s="44" t="s">
        <v>107</v>
      </c>
      <c r="K16" s="44" t="s">
        <v>116</v>
      </c>
      <c r="L16" s="43" t="s">
        <v>142</v>
      </c>
      <c r="M16" s="43" t="s">
        <v>143</v>
      </c>
      <c r="O16" s="85">
        <v>325</v>
      </c>
      <c r="P16" s="85">
        <v>73.900000000000006</v>
      </c>
      <c r="Q16" s="85">
        <v>61.13</v>
      </c>
      <c r="R16" s="85">
        <v>45.65</v>
      </c>
      <c r="T16" s="85">
        <v>335.7</v>
      </c>
      <c r="U16" s="85">
        <v>81.63</v>
      </c>
      <c r="V16" s="85">
        <v>90.79</v>
      </c>
      <c r="W16" s="85">
        <v>75.84</v>
      </c>
      <c r="Y16" s="2">
        <v>2393</v>
      </c>
      <c r="Z16" s="2" t="s">
        <v>112</v>
      </c>
      <c r="AA16" s="2" t="s">
        <v>112</v>
      </c>
      <c r="AB16" s="2" t="s">
        <v>112</v>
      </c>
      <c r="AC16" s="2" t="s">
        <v>112</v>
      </c>
      <c r="AD16" s="2">
        <v>3773</v>
      </c>
      <c r="AE16" s="2" t="s">
        <v>112</v>
      </c>
      <c r="AG16" s="2">
        <v>45</v>
      </c>
      <c r="AH16" s="2">
        <v>17</v>
      </c>
      <c r="AI16" s="2">
        <v>23</v>
      </c>
      <c r="AJ16" s="2">
        <v>32</v>
      </c>
      <c r="AK16" s="2">
        <v>45</v>
      </c>
      <c r="AL16" s="2" t="s">
        <v>107</v>
      </c>
    </row>
    <row r="17" spans="2:38" ht="18" customHeight="1" x14ac:dyDescent="0.2">
      <c r="B17" s="10" t="s">
        <v>107</v>
      </c>
      <c r="C17" s="10">
        <v>5</v>
      </c>
      <c r="D17" s="10" t="s">
        <v>107</v>
      </c>
      <c r="E17" s="10">
        <v>33</v>
      </c>
      <c r="F17" s="10" t="s">
        <v>107</v>
      </c>
      <c r="G17" s="42" t="s">
        <v>107</v>
      </c>
      <c r="H17" s="42" t="s">
        <v>107</v>
      </c>
      <c r="I17" s="42" t="s">
        <v>107</v>
      </c>
      <c r="J17" s="42" t="s">
        <v>107</v>
      </c>
      <c r="K17" s="42" t="s">
        <v>134</v>
      </c>
      <c r="L17" s="67" t="s">
        <v>144</v>
      </c>
      <c r="M17" s="67" t="s">
        <v>145</v>
      </c>
      <c r="O17" s="85">
        <v>440</v>
      </c>
      <c r="P17" s="85">
        <v>78.400000000000006</v>
      </c>
      <c r="Q17" s="85">
        <v>41.54</v>
      </c>
      <c r="R17" s="85">
        <v>24.79</v>
      </c>
      <c r="T17" s="85">
        <v>456.6</v>
      </c>
      <c r="U17" s="85">
        <v>83.27</v>
      </c>
      <c r="V17" s="85">
        <v>60.63</v>
      </c>
      <c r="W17" s="85">
        <v>41.7</v>
      </c>
      <c r="Y17" s="2">
        <v>3770</v>
      </c>
      <c r="Z17" s="2" t="s">
        <v>112</v>
      </c>
      <c r="AA17" s="2" t="s">
        <v>112</v>
      </c>
      <c r="AB17" s="2" t="s">
        <v>112</v>
      </c>
      <c r="AC17" s="2" t="s">
        <v>112</v>
      </c>
      <c r="AD17" s="2" t="s">
        <v>112</v>
      </c>
      <c r="AE17" s="2">
        <v>4983</v>
      </c>
      <c r="AG17" s="2" t="s">
        <v>115</v>
      </c>
      <c r="AH17" s="2">
        <v>40</v>
      </c>
      <c r="AI17" s="2">
        <v>45</v>
      </c>
      <c r="AJ17" s="2">
        <v>60</v>
      </c>
      <c r="AK17" s="2">
        <v>70</v>
      </c>
      <c r="AL17" s="2">
        <v>85</v>
      </c>
    </row>
    <row r="18" spans="2:38" ht="18" customHeight="1" x14ac:dyDescent="0.2">
      <c r="B18" s="8" t="s">
        <v>107</v>
      </c>
      <c r="C18" s="8">
        <v>5</v>
      </c>
      <c r="D18" s="8" t="s">
        <v>107</v>
      </c>
      <c r="E18" s="8">
        <v>33</v>
      </c>
      <c r="F18" s="8" t="s">
        <v>107</v>
      </c>
      <c r="G18" s="44" t="s">
        <v>107</v>
      </c>
      <c r="H18" s="44" t="s">
        <v>107</v>
      </c>
      <c r="I18" s="44" t="s">
        <v>107</v>
      </c>
      <c r="J18" s="44" t="s">
        <v>107</v>
      </c>
      <c r="K18" s="44" t="s">
        <v>134</v>
      </c>
      <c r="L18" s="43" t="s">
        <v>146</v>
      </c>
      <c r="M18" s="43" t="s">
        <v>147</v>
      </c>
      <c r="O18" s="85">
        <v>420</v>
      </c>
      <c r="P18" s="85">
        <v>82.09</v>
      </c>
      <c r="Q18" s="85">
        <v>37</v>
      </c>
      <c r="R18" s="85">
        <v>20.67</v>
      </c>
      <c r="T18" s="85">
        <v>438.7</v>
      </c>
      <c r="U18" s="85">
        <v>86.55</v>
      </c>
      <c r="V18" s="85">
        <v>47.61</v>
      </c>
      <c r="W18" s="85">
        <v>47.08</v>
      </c>
      <c r="Y18" s="2">
        <v>3840</v>
      </c>
      <c r="Z18" s="2" t="s">
        <v>112</v>
      </c>
      <c r="AA18" s="2" t="s">
        <v>112</v>
      </c>
      <c r="AB18" s="2" t="s">
        <v>112</v>
      </c>
      <c r="AC18" s="2" t="s">
        <v>112</v>
      </c>
      <c r="AD18" s="2" t="s">
        <v>112</v>
      </c>
      <c r="AE18" s="2">
        <v>5082</v>
      </c>
      <c r="AG18" s="2" t="s">
        <v>115</v>
      </c>
      <c r="AH18" s="2">
        <v>40</v>
      </c>
      <c r="AI18" s="2">
        <v>45</v>
      </c>
      <c r="AJ18" s="2">
        <v>60</v>
      </c>
      <c r="AK18" s="2">
        <v>70</v>
      </c>
      <c r="AL18" s="2">
        <v>85</v>
      </c>
    </row>
    <row r="19" spans="2:38" ht="18" customHeight="1" x14ac:dyDescent="0.2">
      <c r="B19" s="10" t="s">
        <v>107</v>
      </c>
      <c r="C19" s="10">
        <v>5</v>
      </c>
      <c r="D19" s="10" t="s">
        <v>107</v>
      </c>
      <c r="E19" s="10">
        <v>33</v>
      </c>
      <c r="F19" s="10" t="s">
        <v>107</v>
      </c>
      <c r="G19" s="42" t="s">
        <v>107</v>
      </c>
      <c r="H19" s="42" t="s">
        <v>107</v>
      </c>
      <c r="I19" s="42" t="s">
        <v>107</v>
      </c>
      <c r="J19" s="42" t="s">
        <v>107</v>
      </c>
      <c r="K19" s="42" t="s">
        <v>134</v>
      </c>
      <c r="L19" s="67" t="s">
        <v>41</v>
      </c>
      <c r="M19" s="67" t="s">
        <v>148</v>
      </c>
      <c r="O19" s="85">
        <v>365</v>
      </c>
      <c r="P19" s="85">
        <v>78.849999999999994</v>
      </c>
      <c r="Q19" s="85">
        <v>46.73</v>
      </c>
      <c r="R19" s="85">
        <v>41.74</v>
      </c>
      <c r="T19" s="85">
        <v>376.3</v>
      </c>
      <c r="U19" s="85">
        <v>84.53</v>
      </c>
      <c r="V19" s="85">
        <v>79.900000000000006</v>
      </c>
      <c r="W19" s="85">
        <v>69.86</v>
      </c>
      <c r="Y19" s="2">
        <v>3089</v>
      </c>
      <c r="Z19" s="2" t="s">
        <v>112</v>
      </c>
      <c r="AA19" s="2" t="s">
        <v>112</v>
      </c>
      <c r="AB19" s="2" t="s">
        <v>112</v>
      </c>
      <c r="AC19" s="2" t="s">
        <v>112</v>
      </c>
      <c r="AD19" s="2" t="s">
        <v>112</v>
      </c>
      <c r="AE19" s="2">
        <v>4528</v>
      </c>
      <c r="AG19" s="2">
        <v>80</v>
      </c>
      <c r="AH19" s="2" t="s">
        <v>107</v>
      </c>
      <c r="AI19" s="2" t="s">
        <v>107</v>
      </c>
      <c r="AJ19" s="2" t="s">
        <v>107</v>
      </c>
      <c r="AK19" s="2" t="s">
        <v>107</v>
      </c>
      <c r="AL19" s="2" t="s">
        <v>107</v>
      </c>
    </row>
    <row r="21" spans="2:38" ht="18" customHeight="1" x14ac:dyDescent="0.2">
      <c r="B21" s="95" t="s">
        <v>134</v>
      </c>
      <c r="C21" s="95">
        <v>2</v>
      </c>
      <c r="D21" s="114" t="s">
        <v>149</v>
      </c>
      <c r="E21" s="114"/>
      <c r="F21" s="114"/>
      <c r="G21" s="114"/>
      <c r="H21" s="114"/>
      <c r="I21" s="115">
        <v>2606</v>
      </c>
      <c r="J21" s="115"/>
      <c r="K21" s="115"/>
      <c r="L21" s="97" t="s">
        <v>119</v>
      </c>
      <c r="M21" s="96" t="s">
        <v>150</v>
      </c>
    </row>
    <row r="22" spans="2:38" ht="18" customHeight="1" x14ac:dyDescent="0.2">
      <c r="B22" s="98" t="s">
        <v>134</v>
      </c>
      <c r="C22" s="98">
        <v>2</v>
      </c>
      <c r="D22" s="109" t="s">
        <v>151</v>
      </c>
      <c r="E22" s="109"/>
      <c r="F22" s="109"/>
      <c r="G22" s="109"/>
      <c r="H22" s="109"/>
      <c r="I22" s="112">
        <v>3000</v>
      </c>
      <c r="J22" s="112"/>
      <c r="K22" s="112"/>
      <c r="L22" s="100" t="s">
        <v>130</v>
      </c>
      <c r="M22" s="99" t="s">
        <v>152</v>
      </c>
    </row>
    <row r="23" spans="2:38" ht="18" customHeight="1" x14ac:dyDescent="0.2">
      <c r="B23" s="98" t="s">
        <v>134</v>
      </c>
      <c r="C23" s="98">
        <v>4</v>
      </c>
      <c r="D23" s="109" t="s">
        <v>153</v>
      </c>
      <c r="E23" s="109"/>
      <c r="F23" s="109"/>
      <c r="G23" s="109"/>
      <c r="H23" s="109"/>
      <c r="I23" s="112">
        <v>2300</v>
      </c>
      <c r="J23" s="112"/>
      <c r="K23" s="112"/>
      <c r="L23" s="100" t="s">
        <v>154</v>
      </c>
      <c r="M23" s="99" t="s">
        <v>155</v>
      </c>
    </row>
    <row r="24" spans="2:38" ht="18" customHeight="1" x14ac:dyDescent="0.2">
      <c r="B24" s="92" t="s">
        <v>134</v>
      </c>
      <c r="C24" s="92">
        <v>4</v>
      </c>
      <c r="D24" s="110" t="s">
        <v>156</v>
      </c>
      <c r="E24" s="110"/>
      <c r="F24" s="110"/>
      <c r="G24" s="110"/>
      <c r="H24" s="110"/>
      <c r="I24" s="111">
        <v>3518</v>
      </c>
      <c r="J24" s="111"/>
      <c r="K24" s="111"/>
      <c r="L24" s="94" t="s">
        <v>157</v>
      </c>
      <c r="M24" s="93" t="s">
        <v>158</v>
      </c>
    </row>
    <row r="25" spans="2:38" ht="18" customHeight="1" x14ac:dyDescent="0.2">
      <c r="M25" s="85"/>
    </row>
    <row r="26" spans="2:38" ht="18" customHeight="1" x14ac:dyDescent="0.2">
      <c r="M26" s="85"/>
    </row>
    <row r="27" spans="2:38" ht="18" customHeight="1" x14ac:dyDescent="0.2">
      <c r="M27" s="85"/>
    </row>
    <row r="28" spans="2:38" ht="18" customHeight="1" x14ac:dyDescent="0.2">
      <c r="M28" s="85"/>
    </row>
    <row r="29" spans="2:38" ht="18" customHeight="1" x14ac:dyDescent="0.2">
      <c r="M29" s="85"/>
    </row>
  </sheetData>
  <autoFilter ref="E1:L15"/>
  <sortState ref="B2:AL15">
    <sortCondition ref="E2:E15"/>
    <sortCondition ref="C2:C15"/>
    <sortCondition ref="D2:D15"/>
  </sortState>
  <mergeCells count="12">
    <mergeCell ref="AG1:AL1"/>
    <mergeCell ref="Y1:AE1"/>
    <mergeCell ref="D23:H23"/>
    <mergeCell ref="D24:H24"/>
    <mergeCell ref="I24:K24"/>
    <mergeCell ref="I23:K23"/>
    <mergeCell ref="I22:K22"/>
    <mergeCell ref="T1:W1"/>
    <mergeCell ref="O1:R1"/>
    <mergeCell ref="D21:H21"/>
    <mergeCell ref="D22:H22"/>
    <mergeCell ref="I21:K2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1:AR223"/>
  <sheetViews>
    <sheetView showGridLines="0" workbookViewId="0">
      <pane ySplit="1" topLeftCell="A177" activePane="bottomLeft" state="frozenSplit"/>
      <selection activeCell="D217" sqref="D217"/>
      <selection pane="bottomLeft" activeCell="A2" sqref="A2"/>
    </sheetView>
  </sheetViews>
  <sheetFormatPr baseColWidth="10" defaultColWidth="3.7109375" defaultRowHeight="18" customHeight="1" x14ac:dyDescent="0.2"/>
  <cols>
    <col min="2" max="11" width="3.7109375" style="2" customWidth="1"/>
    <col min="12" max="12" width="25.7109375" style="1" customWidth="1"/>
    <col min="13" max="13" width="30.7109375" style="1" customWidth="1"/>
    <col min="15" max="18" width="3.7109375" style="2"/>
    <col min="20" max="21" width="3.7109375" style="2"/>
    <col min="23" max="23" width="3.7109375" style="2"/>
    <col min="24" max="24" width="4" style="2" bestFit="1" customWidth="1"/>
    <col min="25" max="26" width="3.7109375" style="2"/>
    <col min="28" max="31" width="3.7109375" style="2"/>
    <col min="33" max="36" width="3.7109375" style="2"/>
    <col min="38" max="41" width="3.7109375" style="2"/>
  </cols>
  <sheetData>
    <row r="1" spans="2:44" ht="50.1" customHeight="1" x14ac:dyDescent="0.2">
      <c r="B1" s="7" t="s">
        <v>94</v>
      </c>
      <c r="C1" s="7" t="s">
        <v>95</v>
      </c>
      <c r="D1" s="7" t="s">
        <v>96</v>
      </c>
      <c r="E1" s="7" t="s">
        <v>97</v>
      </c>
      <c r="F1" s="7" t="s">
        <v>98</v>
      </c>
      <c r="G1" s="7" t="s">
        <v>65</v>
      </c>
      <c r="H1" s="7" t="s">
        <v>66</v>
      </c>
      <c r="I1" s="7" t="s">
        <v>67</v>
      </c>
      <c r="J1" s="7" t="s">
        <v>99</v>
      </c>
      <c r="K1" s="6" t="s">
        <v>100</v>
      </c>
      <c r="L1" s="6" t="s">
        <v>101</v>
      </c>
      <c r="M1" s="6" t="s">
        <v>102</v>
      </c>
      <c r="O1" s="6" t="s">
        <v>159</v>
      </c>
      <c r="P1" s="6" t="s">
        <v>160</v>
      </c>
      <c r="Q1" s="6" t="s">
        <v>161</v>
      </c>
      <c r="R1" s="6" t="s">
        <v>162</v>
      </c>
      <c r="T1" s="6" t="s">
        <v>159</v>
      </c>
      <c r="U1" s="6" t="s">
        <v>162</v>
      </c>
      <c r="W1" s="6" t="s">
        <v>69</v>
      </c>
      <c r="X1" s="6" t="s">
        <v>70</v>
      </c>
      <c r="Y1" s="6" t="s">
        <v>71</v>
      </c>
      <c r="Z1" s="6" t="s">
        <v>72</v>
      </c>
      <c r="AB1" s="6" t="s">
        <v>69</v>
      </c>
      <c r="AC1" s="6" t="s">
        <v>70</v>
      </c>
      <c r="AD1" s="6" t="s">
        <v>71</v>
      </c>
      <c r="AE1" s="6" t="s">
        <v>72</v>
      </c>
      <c r="AG1" s="6" t="s">
        <v>69</v>
      </c>
      <c r="AH1" s="6" t="s">
        <v>70</v>
      </c>
      <c r="AI1" s="6" t="s">
        <v>71</v>
      </c>
      <c r="AJ1" s="6" t="s">
        <v>72</v>
      </c>
      <c r="AL1" s="6" t="s">
        <v>69</v>
      </c>
      <c r="AM1" s="6" t="s">
        <v>70</v>
      </c>
      <c r="AN1" s="6" t="s">
        <v>71</v>
      </c>
      <c r="AO1" s="6" t="s">
        <v>72</v>
      </c>
      <c r="AQ1" s="6" t="s">
        <v>163</v>
      </c>
      <c r="AR1" s="6" t="s">
        <v>164</v>
      </c>
    </row>
    <row r="2" spans="2:44" ht="18" customHeight="1" x14ac:dyDescent="0.2">
      <c r="B2" s="8">
        <v>2</v>
      </c>
      <c r="C2" s="8">
        <v>1</v>
      </c>
      <c r="D2" s="8">
        <v>1</v>
      </c>
      <c r="E2" s="8">
        <v>0</v>
      </c>
      <c r="F2" s="84" t="s">
        <v>107</v>
      </c>
      <c r="G2" s="8" t="s">
        <v>165</v>
      </c>
      <c r="H2" s="8" t="s">
        <v>165</v>
      </c>
      <c r="I2" s="8" t="s">
        <v>165</v>
      </c>
      <c r="J2" s="44" t="s">
        <v>108</v>
      </c>
      <c r="K2" s="8" t="s">
        <v>125</v>
      </c>
      <c r="L2" s="9" t="s">
        <v>166</v>
      </c>
      <c r="M2" s="9" t="s">
        <v>167</v>
      </c>
      <c r="O2" s="18">
        <v>10</v>
      </c>
      <c r="P2" s="14">
        <v>20</v>
      </c>
      <c r="Q2" s="14">
        <v>4</v>
      </c>
      <c r="R2" s="15">
        <v>0</v>
      </c>
      <c r="T2" s="18">
        <v>10</v>
      </c>
      <c r="U2" s="15">
        <v>0</v>
      </c>
      <c r="W2" s="18"/>
      <c r="X2" s="14"/>
      <c r="Y2" s="14"/>
      <c r="Z2" s="15"/>
      <c r="AB2" s="18"/>
      <c r="AC2" s="14"/>
      <c r="AD2" s="14"/>
      <c r="AE2" s="15"/>
      <c r="AG2" s="18"/>
      <c r="AH2" s="14"/>
      <c r="AI2" s="14"/>
      <c r="AJ2" s="15"/>
      <c r="AL2" s="18"/>
      <c r="AM2" s="14"/>
      <c r="AN2" s="14"/>
      <c r="AO2" s="15"/>
      <c r="AQ2" s="2">
        <v>2</v>
      </c>
    </row>
    <row r="3" spans="2:44" ht="18" customHeight="1" x14ac:dyDescent="0.2">
      <c r="B3" s="10">
        <v>3</v>
      </c>
      <c r="C3" s="10">
        <v>1</v>
      </c>
      <c r="D3" s="10">
        <v>2</v>
      </c>
      <c r="E3" s="10">
        <v>0</v>
      </c>
      <c r="F3" s="10" t="s">
        <v>107</v>
      </c>
      <c r="G3" s="10" t="s">
        <v>165</v>
      </c>
      <c r="H3" s="10" t="s">
        <v>165</v>
      </c>
      <c r="I3" s="10" t="s">
        <v>165</v>
      </c>
      <c r="J3" s="10" t="s">
        <v>108</v>
      </c>
      <c r="K3" s="10" t="s">
        <v>125</v>
      </c>
      <c r="L3" s="67" t="s">
        <v>117</v>
      </c>
      <c r="M3" s="11" t="s">
        <v>168</v>
      </c>
      <c r="O3" s="19">
        <v>10</v>
      </c>
      <c r="P3" s="16">
        <v>20</v>
      </c>
      <c r="Q3" s="16">
        <v>4</v>
      </c>
      <c r="R3" s="17">
        <v>0</v>
      </c>
      <c r="T3" s="19">
        <v>10</v>
      </c>
      <c r="U3" s="17">
        <v>0</v>
      </c>
      <c r="W3" s="19"/>
      <c r="X3" s="16"/>
      <c r="Y3" s="16"/>
      <c r="Z3" s="17"/>
      <c r="AB3" s="19"/>
      <c r="AC3" s="16"/>
      <c r="AD3" s="16"/>
      <c r="AE3" s="17"/>
      <c r="AG3" s="19"/>
      <c r="AH3" s="16"/>
      <c r="AI3" s="16"/>
      <c r="AJ3" s="17"/>
      <c r="AL3" s="19"/>
      <c r="AM3" s="16"/>
      <c r="AN3" s="16"/>
      <c r="AO3" s="17"/>
      <c r="AQ3" s="2">
        <v>2</v>
      </c>
    </row>
    <row r="4" spans="2:44" ht="18" customHeight="1" x14ac:dyDescent="0.2">
      <c r="B4" s="8">
        <v>4</v>
      </c>
      <c r="C4" s="8">
        <v>1</v>
      </c>
      <c r="D4" s="8">
        <v>3</v>
      </c>
      <c r="E4" s="8">
        <v>0</v>
      </c>
      <c r="F4" s="84" t="s">
        <v>109</v>
      </c>
      <c r="G4" s="8" t="s">
        <v>165</v>
      </c>
      <c r="H4" s="8" t="s">
        <v>165</v>
      </c>
      <c r="I4" s="8" t="s">
        <v>165</v>
      </c>
      <c r="J4" s="44" t="s">
        <v>108</v>
      </c>
      <c r="K4" s="8" t="s">
        <v>125</v>
      </c>
      <c r="L4" s="9" t="s">
        <v>169</v>
      </c>
      <c r="M4" s="9" t="s">
        <v>170</v>
      </c>
      <c r="O4" s="18">
        <v>10</v>
      </c>
      <c r="P4" s="14">
        <v>20</v>
      </c>
      <c r="Q4" s="14">
        <v>4</v>
      </c>
      <c r="R4" s="15">
        <v>0</v>
      </c>
      <c r="T4" s="18">
        <v>10</v>
      </c>
      <c r="U4" s="15">
        <v>0</v>
      </c>
      <c r="W4" s="18"/>
      <c r="X4" s="14"/>
      <c r="Y4" s="14"/>
      <c r="Z4" s="15"/>
      <c r="AB4" s="18"/>
      <c r="AC4" s="14"/>
      <c r="AD4" s="14"/>
      <c r="AE4" s="15"/>
      <c r="AG4" s="18"/>
      <c r="AH4" s="14"/>
      <c r="AI4" s="14"/>
      <c r="AJ4" s="15"/>
      <c r="AL4" s="18"/>
      <c r="AM4" s="14"/>
      <c r="AN4" s="14"/>
      <c r="AO4" s="15"/>
      <c r="AQ4" s="2">
        <v>2</v>
      </c>
    </row>
    <row r="5" spans="2:44" ht="18" customHeight="1" x14ac:dyDescent="0.2">
      <c r="B5" s="10">
        <v>5</v>
      </c>
      <c r="C5" s="10">
        <v>1</v>
      </c>
      <c r="D5" s="10">
        <v>4</v>
      </c>
      <c r="E5" s="10">
        <v>0</v>
      </c>
      <c r="F5" s="10" t="s">
        <v>107</v>
      </c>
      <c r="G5" s="10" t="s">
        <v>165</v>
      </c>
      <c r="H5" s="10" t="s">
        <v>165</v>
      </c>
      <c r="I5" s="10" t="s">
        <v>165</v>
      </c>
      <c r="J5" s="10" t="s">
        <v>108</v>
      </c>
      <c r="K5" s="10" t="s">
        <v>125</v>
      </c>
      <c r="L5" s="67" t="s">
        <v>126</v>
      </c>
      <c r="M5" s="11" t="s">
        <v>171</v>
      </c>
      <c r="O5" s="19">
        <v>10</v>
      </c>
      <c r="P5" s="16">
        <v>20</v>
      </c>
      <c r="Q5" s="16">
        <v>4</v>
      </c>
      <c r="R5" s="17">
        <v>0</v>
      </c>
      <c r="T5" s="19">
        <v>10</v>
      </c>
      <c r="U5" s="17">
        <v>0</v>
      </c>
      <c r="W5" s="19"/>
      <c r="X5" s="16"/>
      <c r="Y5" s="16"/>
      <c r="Z5" s="17"/>
      <c r="AB5" s="19"/>
      <c r="AC5" s="16"/>
      <c r="AD5" s="16"/>
      <c r="AE5" s="17"/>
      <c r="AG5" s="19"/>
      <c r="AH5" s="16"/>
      <c r="AI5" s="16"/>
      <c r="AJ5" s="17"/>
      <c r="AL5" s="19"/>
      <c r="AM5" s="16"/>
      <c r="AN5" s="16"/>
      <c r="AO5" s="17"/>
      <c r="AQ5" s="2">
        <v>2</v>
      </c>
    </row>
    <row r="6" spans="2:44" ht="18" customHeight="1" x14ac:dyDescent="0.2">
      <c r="B6" s="8">
        <v>6</v>
      </c>
      <c r="C6" s="8">
        <v>1</v>
      </c>
      <c r="D6" s="8">
        <v>5</v>
      </c>
      <c r="E6" s="8">
        <v>0</v>
      </c>
      <c r="F6" s="84" t="s">
        <v>107</v>
      </c>
      <c r="G6" s="8" t="s">
        <v>165</v>
      </c>
      <c r="H6" s="8" t="s">
        <v>165</v>
      </c>
      <c r="I6" s="8" t="s">
        <v>165</v>
      </c>
      <c r="J6" s="44" t="s">
        <v>108</v>
      </c>
      <c r="K6" s="8" t="s">
        <v>125</v>
      </c>
      <c r="L6" s="9" t="s">
        <v>126</v>
      </c>
      <c r="M6" s="9" t="s">
        <v>172</v>
      </c>
      <c r="O6" s="18">
        <v>10</v>
      </c>
      <c r="P6" s="14">
        <v>20</v>
      </c>
      <c r="Q6" s="14">
        <v>4</v>
      </c>
      <c r="R6" s="15">
        <v>0</v>
      </c>
      <c r="T6" s="18">
        <v>10</v>
      </c>
      <c r="U6" s="15">
        <v>0</v>
      </c>
      <c r="W6" s="18"/>
      <c r="X6" s="14"/>
      <c r="Y6" s="14"/>
      <c r="Z6" s="15"/>
      <c r="AB6" s="18"/>
      <c r="AC6" s="14"/>
      <c r="AD6" s="14"/>
      <c r="AE6" s="15"/>
      <c r="AG6" s="18"/>
      <c r="AH6" s="14"/>
      <c r="AI6" s="14"/>
      <c r="AJ6" s="15"/>
      <c r="AL6" s="18"/>
      <c r="AM6" s="14"/>
      <c r="AN6" s="14"/>
      <c r="AO6" s="15"/>
      <c r="AQ6" s="2">
        <v>2</v>
      </c>
    </row>
    <row r="7" spans="2:44" ht="18" customHeight="1" x14ac:dyDescent="0.2">
      <c r="B7" s="10">
        <v>7</v>
      </c>
      <c r="C7" s="10">
        <v>1</v>
      </c>
      <c r="D7" s="10">
        <v>6</v>
      </c>
      <c r="E7" s="10">
        <v>30</v>
      </c>
      <c r="F7" s="10" t="s">
        <v>107</v>
      </c>
      <c r="G7" s="10" t="s">
        <v>165</v>
      </c>
      <c r="H7" s="10" t="s">
        <v>165</v>
      </c>
      <c r="I7" s="10" t="s">
        <v>108</v>
      </c>
      <c r="J7" s="10" t="s">
        <v>108</v>
      </c>
      <c r="K7" s="10" t="s">
        <v>125</v>
      </c>
      <c r="L7" s="67" t="s">
        <v>173</v>
      </c>
      <c r="M7" s="11" t="s">
        <v>174</v>
      </c>
      <c r="O7" s="19">
        <v>10</v>
      </c>
      <c r="P7" s="16">
        <v>20</v>
      </c>
      <c r="Q7" s="16">
        <v>4</v>
      </c>
      <c r="R7" s="17">
        <v>0</v>
      </c>
      <c r="T7" s="19">
        <v>3</v>
      </c>
      <c r="U7" s="17">
        <v>0</v>
      </c>
      <c r="W7" s="19"/>
      <c r="X7" s="16"/>
      <c r="Y7" s="16"/>
      <c r="Z7" s="17"/>
      <c r="AB7" s="19"/>
      <c r="AC7" s="16"/>
      <c r="AD7" s="16"/>
      <c r="AE7" s="17"/>
      <c r="AG7" s="19"/>
      <c r="AH7" s="16"/>
      <c r="AI7" s="16"/>
      <c r="AJ7" s="17"/>
      <c r="AL7" s="19"/>
      <c r="AM7" s="16"/>
      <c r="AN7" s="16"/>
      <c r="AO7" s="17"/>
      <c r="AQ7" s="2">
        <v>2</v>
      </c>
    </row>
    <row r="8" spans="2:44" ht="18" customHeight="1" x14ac:dyDescent="0.2">
      <c r="B8" s="8">
        <v>8</v>
      </c>
      <c r="C8" s="8">
        <v>1</v>
      </c>
      <c r="D8" s="8">
        <v>7</v>
      </c>
      <c r="E8" s="8">
        <v>0</v>
      </c>
      <c r="F8" s="84" t="s">
        <v>107</v>
      </c>
      <c r="G8" s="8" t="s">
        <v>165</v>
      </c>
      <c r="H8" s="8" t="s">
        <v>165</v>
      </c>
      <c r="I8" s="8" t="s">
        <v>165</v>
      </c>
      <c r="J8" s="44" t="s">
        <v>108</v>
      </c>
      <c r="K8" s="8" t="s">
        <v>125</v>
      </c>
      <c r="L8" s="9" t="s">
        <v>175</v>
      </c>
      <c r="M8" s="9" t="s">
        <v>176</v>
      </c>
      <c r="O8" s="18">
        <v>10</v>
      </c>
      <c r="P8" s="14">
        <v>20</v>
      </c>
      <c r="Q8" s="14">
        <v>4</v>
      </c>
      <c r="R8" s="15">
        <v>0</v>
      </c>
      <c r="T8" s="18">
        <v>10</v>
      </c>
      <c r="U8" s="15">
        <v>0</v>
      </c>
      <c r="W8" s="18"/>
      <c r="X8" s="14"/>
      <c r="Y8" s="14"/>
      <c r="Z8" s="15"/>
      <c r="AB8" s="18"/>
      <c r="AC8" s="14"/>
      <c r="AD8" s="14"/>
      <c r="AE8" s="15"/>
      <c r="AG8" s="18"/>
      <c r="AH8" s="14"/>
      <c r="AI8" s="14"/>
      <c r="AJ8" s="15"/>
      <c r="AL8" s="18"/>
      <c r="AM8" s="14"/>
      <c r="AN8" s="14"/>
      <c r="AO8" s="15"/>
      <c r="AQ8" s="2">
        <v>2</v>
      </c>
    </row>
    <row r="9" spans="2:44" ht="18" customHeight="1" x14ac:dyDescent="0.2">
      <c r="B9" s="10">
        <v>9</v>
      </c>
      <c r="C9" s="10">
        <v>1</v>
      </c>
      <c r="D9" s="10">
        <v>8</v>
      </c>
      <c r="E9" s="10">
        <v>0</v>
      </c>
      <c r="F9" s="10" t="s">
        <v>107</v>
      </c>
      <c r="G9" s="10" t="s">
        <v>165</v>
      </c>
      <c r="H9" s="10" t="s">
        <v>165</v>
      </c>
      <c r="I9" s="10" t="s">
        <v>165</v>
      </c>
      <c r="J9" s="10" t="s">
        <v>108</v>
      </c>
      <c r="K9" s="10" t="s">
        <v>125</v>
      </c>
      <c r="L9" s="67" t="s">
        <v>177</v>
      </c>
      <c r="M9" s="11" t="s">
        <v>178</v>
      </c>
      <c r="O9" s="19">
        <v>10</v>
      </c>
      <c r="P9" s="16">
        <v>20</v>
      </c>
      <c r="Q9" s="16">
        <v>4</v>
      </c>
      <c r="R9" s="17">
        <v>0</v>
      </c>
      <c r="T9" s="19">
        <v>10</v>
      </c>
      <c r="U9" s="17">
        <v>0</v>
      </c>
      <c r="W9" s="19"/>
      <c r="X9" s="16"/>
      <c r="Y9" s="16"/>
      <c r="Z9" s="17"/>
      <c r="AB9" s="19"/>
      <c r="AC9" s="16"/>
      <c r="AD9" s="16"/>
      <c r="AE9" s="17"/>
      <c r="AG9" s="19"/>
      <c r="AH9" s="16"/>
      <c r="AI9" s="16"/>
      <c r="AJ9" s="17"/>
      <c r="AL9" s="19"/>
      <c r="AM9" s="16"/>
      <c r="AN9" s="16"/>
      <c r="AO9" s="17"/>
      <c r="AQ9" s="2">
        <v>2</v>
      </c>
    </row>
    <row r="10" spans="2:44" ht="18" customHeight="1" x14ac:dyDescent="0.2">
      <c r="B10" s="8">
        <v>10</v>
      </c>
      <c r="C10" s="8">
        <v>1</v>
      </c>
      <c r="D10" s="8">
        <v>9</v>
      </c>
      <c r="E10" s="8">
        <v>0</v>
      </c>
      <c r="F10" s="84" t="s">
        <v>107</v>
      </c>
      <c r="G10" s="8" t="s">
        <v>165</v>
      </c>
      <c r="H10" s="8" t="s">
        <v>165</v>
      </c>
      <c r="I10" s="8" t="s">
        <v>165</v>
      </c>
      <c r="J10" s="44" t="s">
        <v>108</v>
      </c>
      <c r="K10" s="8" t="s">
        <v>125</v>
      </c>
      <c r="L10" s="9" t="s">
        <v>179</v>
      </c>
      <c r="M10" s="9" t="s">
        <v>180</v>
      </c>
      <c r="O10" s="18">
        <v>10</v>
      </c>
      <c r="P10" s="14">
        <v>20</v>
      </c>
      <c r="Q10" s="14">
        <v>4</v>
      </c>
      <c r="R10" s="15">
        <v>0</v>
      </c>
      <c r="T10" s="18">
        <v>10</v>
      </c>
      <c r="U10" s="15">
        <v>0</v>
      </c>
      <c r="W10" s="18"/>
      <c r="X10" s="14"/>
      <c r="Y10" s="14"/>
      <c r="Z10" s="15"/>
      <c r="AB10" s="18"/>
      <c r="AC10" s="14"/>
      <c r="AD10" s="14"/>
      <c r="AE10" s="15"/>
      <c r="AG10" s="18"/>
      <c r="AH10" s="14"/>
      <c r="AI10" s="14"/>
      <c r="AJ10" s="15"/>
      <c r="AL10" s="18"/>
      <c r="AM10" s="14"/>
      <c r="AN10" s="14"/>
      <c r="AO10" s="15"/>
      <c r="AQ10" s="2">
        <v>2</v>
      </c>
    </row>
    <row r="11" spans="2:44" ht="18" customHeight="1" x14ac:dyDescent="0.2">
      <c r="B11" s="10">
        <v>11</v>
      </c>
      <c r="C11" s="10">
        <v>1</v>
      </c>
      <c r="D11" s="10">
        <v>10</v>
      </c>
      <c r="E11" s="10">
        <v>26</v>
      </c>
      <c r="F11" s="10" t="s">
        <v>107</v>
      </c>
      <c r="G11" s="10" t="s">
        <v>165</v>
      </c>
      <c r="H11" s="10" t="s">
        <v>108</v>
      </c>
      <c r="I11" s="10" t="s">
        <v>108</v>
      </c>
      <c r="J11" s="10" t="s">
        <v>165</v>
      </c>
      <c r="K11" s="10" t="s">
        <v>125</v>
      </c>
      <c r="L11" s="67" t="s">
        <v>154</v>
      </c>
      <c r="M11" s="11" t="s">
        <v>181</v>
      </c>
      <c r="O11" s="19">
        <v>11</v>
      </c>
      <c r="P11" s="16">
        <v>28</v>
      </c>
      <c r="Q11" s="16">
        <v>8</v>
      </c>
      <c r="R11" s="17">
        <v>4</v>
      </c>
      <c r="T11" s="19">
        <v>9</v>
      </c>
      <c r="U11" s="17">
        <v>0</v>
      </c>
      <c r="W11" s="19"/>
      <c r="X11" s="16"/>
      <c r="Y11" s="16"/>
      <c r="Z11" s="17"/>
      <c r="AB11" s="19"/>
      <c r="AC11" s="16"/>
      <c r="AD11" s="16"/>
      <c r="AE11" s="17"/>
      <c r="AG11" s="19"/>
      <c r="AH11" s="16"/>
      <c r="AI11" s="16"/>
      <c r="AJ11" s="17"/>
      <c r="AL11" s="19"/>
      <c r="AM11" s="16"/>
      <c r="AN11" s="16"/>
      <c r="AO11" s="17"/>
      <c r="AQ11" s="2">
        <v>9</v>
      </c>
    </row>
    <row r="12" spans="2:44" ht="18" customHeight="1" x14ac:dyDescent="0.2">
      <c r="B12" s="8">
        <v>12</v>
      </c>
      <c r="C12" s="8">
        <v>1</v>
      </c>
      <c r="D12" s="8">
        <v>11</v>
      </c>
      <c r="E12" s="8">
        <v>18</v>
      </c>
      <c r="F12" s="84" t="s">
        <v>107</v>
      </c>
      <c r="G12" s="8" t="s">
        <v>108</v>
      </c>
      <c r="H12" s="8" t="s">
        <v>108</v>
      </c>
      <c r="I12" s="8" t="s">
        <v>108</v>
      </c>
      <c r="J12" s="44" t="s">
        <v>108</v>
      </c>
      <c r="K12" s="8" t="s">
        <v>125</v>
      </c>
      <c r="L12" s="9" t="s">
        <v>182</v>
      </c>
      <c r="M12" s="9" t="s">
        <v>183</v>
      </c>
      <c r="O12" s="18">
        <v>11</v>
      </c>
      <c r="P12" s="14">
        <v>28</v>
      </c>
      <c r="Q12" s="14">
        <v>8</v>
      </c>
      <c r="R12" s="15">
        <v>4</v>
      </c>
      <c r="T12" s="18">
        <v>0</v>
      </c>
      <c r="U12" s="15">
        <v>0</v>
      </c>
      <c r="W12" s="18"/>
      <c r="X12" s="14"/>
      <c r="Y12" s="14"/>
      <c r="Z12" s="15"/>
      <c r="AB12" s="18"/>
      <c r="AC12" s="14"/>
      <c r="AD12" s="14"/>
      <c r="AE12" s="15"/>
      <c r="AG12" s="18"/>
      <c r="AH12" s="14"/>
      <c r="AI12" s="14"/>
      <c r="AJ12" s="15"/>
      <c r="AL12" s="18"/>
      <c r="AM12" s="14"/>
      <c r="AN12" s="14"/>
      <c r="AO12" s="15"/>
      <c r="AQ12" s="2">
        <v>9</v>
      </c>
    </row>
    <row r="13" spans="2:44" ht="18" customHeight="1" x14ac:dyDescent="0.2">
      <c r="B13" s="10">
        <v>13</v>
      </c>
      <c r="C13" s="10">
        <v>1</v>
      </c>
      <c r="D13" s="10">
        <v>12</v>
      </c>
      <c r="E13" s="10">
        <v>16</v>
      </c>
      <c r="F13" s="10" t="s">
        <v>107</v>
      </c>
      <c r="G13" s="10" t="s">
        <v>165</v>
      </c>
      <c r="H13" s="10" t="s">
        <v>108</v>
      </c>
      <c r="I13" s="10" t="s">
        <v>108</v>
      </c>
      <c r="J13" s="10" t="s">
        <v>165</v>
      </c>
      <c r="K13" s="10" t="s">
        <v>125</v>
      </c>
      <c r="L13" s="67" t="s">
        <v>117</v>
      </c>
      <c r="M13" s="11" t="s">
        <v>184</v>
      </c>
      <c r="O13" s="19">
        <v>11</v>
      </c>
      <c r="P13" s="16">
        <v>28</v>
      </c>
      <c r="Q13" s="16">
        <v>8</v>
      </c>
      <c r="R13" s="17">
        <v>4</v>
      </c>
      <c r="T13" s="19">
        <v>7</v>
      </c>
      <c r="U13" s="17">
        <v>0</v>
      </c>
      <c r="W13" s="19"/>
      <c r="X13" s="16"/>
      <c r="Y13" s="16"/>
      <c r="Z13" s="17"/>
      <c r="AB13" s="19"/>
      <c r="AC13" s="16"/>
      <c r="AD13" s="16"/>
      <c r="AE13" s="17"/>
      <c r="AG13" s="19"/>
      <c r="AH13" s="16"/>
      <c r="AI13" s="16"/>
      <c r="AJ13" s="17"/>
      <c r="AL13" s="19"/>
      <c r="AM13" s="16"/>
      <c r="AN13" s="16"/>
      <c r="AO13" s="17"/>
      <c r="AQ13" s="2">
        <v>9</v>
      </c>
    </row>
    <row r="14" spans="2:44" ht="18" customHeight="1" x14ac:dyDescent="0.2">
      <c r="B14" s="8">
        <v>14</v>
      </c>
      <c r="C14" s="8">
        <v>1</v>
      </c>
      <c r="D14" s="8">
        <v>13</v>
      </c>
      <c r="E14" s="8">
        <v>27</v>
      </c>
      <c r="F14" s="84" t="s">
        <v>107</v>
      </c>
      <c r="G14" s="8" t="s">
        <v>165</v>
      </c>
      <c r="H14" s="8" t="s">
        <v>108</v>
      </c>
      <c r="I14" s="8" t="s">
        <v>108</v>
      </c>
      <c r="J14" s="44" t="s">
        <v>108</v>
      </c>
      <c r="K14" s="8" t="s">
        <v>125</v>
      </c>
      <c r="L14" s="9" t="s">
        <v>185</v>
      </c>
      <c r="M14" s="9" t="s">
        <v>186</v>
      </c>
      <c r="O14" s="18">
        <v>11</v>
      </c>
      <c r="P14" s="14">
        <v>28</v>
      </c>
      <c r="Q14" s="14">
        <v>8</v>
      </c>
      <c r="R14" s="15">
        <v>4</v>
      </c>
      <c r="T14" s="18">
        <v>4</v>
      </c>
      <c r="U14" s="15">
        <v>0</v>
      </c>
      <c r="W14" s="18"/>
      <c r="X14" s="14"/>
      <c r="Y14" s="14"/>
      <c r="Z14" s="15"/>
      <c r="AB14" s="18"/>
      <c r="AC14" s="14"/>
      <c r="AD14" s="14"/>
      <c r="AE14" s="15"/>
      <c r="AG14" s="18"/>
      <c r="AH14" s="14"/>
      <c r="AI14" s="14"/>
      <c r="AJ14" s="15"/>
      <c r="AL14" s="18"/>
      <c r="AM14" s="14"/>
      <c r="AN14" s="14"/>
      <c r="AO14" s="15"/>
      <c r="AQ14" s="2">
        <v>9</v>
      </c>
    </row>
    <row r="15" spans="2:44" ht="18" customHeight="1" x14ac:dyDescent="0.2">
      <c r="B15" s="10">
        <v>15</v>
      </c>
      <c r="C15" s="10">
        <v>1</v>
      </c>
      <c r="D15" s="10">
        <v>14</v>
      </c>
      <c r="E15" s="10">
        <v>0</v>
      </c>
      <c r="F15" s="10" t="s">
        <v>187</v>
      </c>
      <c r="G15" s="10" t="s">
        <v>165</v>
      </c>
      <c r="H15" s="10" t="s">
        <v>165</v>
      </c>
      <c r="I15" s="10" t="s">
        <v>165</v>
      </c>
      <c r="J15" s="10" t="s">
        <v>108</v>
      </c>
      <c r="K15" s="10" t="s">
        <v>125</v>
      </c>
      <c r="L15" s="67" t="s">
        <v>113</v>
      </c>
      <c r="M15" s="11" t="s">
        <v>188</v>
      </c>
      <c r="O15" s="19">
        <v>11</v>
      </c>
      <c r="P15" s="16">
        <v>28</v>
      </c>
      <c r="Q15" s="16">
        <v>8</v>
      </c>
      <c r="R15" s="17">
        <v>4</v>
      </c>
      <c r="T15" s="19">
        <v>11</v>
      </c>
      <c r="U15" s="17">
        <v>4</v>
      </c>
      <c r="W15" s="19"/>
      <c r="X15" s="16"/>
      <c r="Y15" s="16"/>
      <c r="Z15" s="17"/>
      <c r="AB15" s="19"/>
      <c r="AC15" s="16"/>
      <c r="AD15" s="16"/>
      <c r="AE15" s="17"/>
      <c r="AG15" s="19"/>
      <c r="AH15" s="16"/>
      <c r="AI15" s="16"/>
      <c r="AJ15" s="17"/>
      <c r="AL15" s="19"/>
      <c r="AM15" s="16"/>
      <c r="AN15" s="16"/>
      <c r="AO15" s="17"/>
      <c r="AQ15" s="2">
        <v>9</v>
      </c>
    </row>
    <row r="16" spans="2:44" ht="18" customHeight="1" x14ac:dyDescent="0.2">
      <c r="B16" s="8">
        <v>16</v>
      </c>
      <c r="C16" s="8">
        <v>1</v>
      </c>
      <c r="D16" s="8">
        <v>15</v>
      </c>
      <c r="E16" s="8">
        <v>17</v>
      </c>
      <c r="F16" s="84" t="s">
        <v>107</v>
      </c>
      <c r="G16" s="8" t="s">
        <v>165</v>
      </c>
      <c r="H16" s="8" t="s">
        <v>165</v>
      </c>
      <c r="I16" s="8" t="s">
        <v>108</v>
      </c>
      <c r="J16" s="44" t="s">
        <v>108</v>
      </c>
      <c r="K16" s="8" t="s">
        <v>125</v>
      </c>
      <c r="L16" s="9" t="s">
        <v>189</v>
      </c>
      <c r="M16" s="9" t="s">
        <v>190</v>
      </c>
      <c r="O16" s="18">
        <v>11</v>
      </c>
      <c r="P16" s="14">
        <v>28</v>
      </c>
      <c r="Q16" s="14">
        <v>8</v>
      </c>
      <c r="R16" s="15">
        <v>4</v>
      </c>
      <c r="T16" s="18">
        <v>7</v>
      </c>
      <c r="U16" s="15">
        <v>0</v>
      </c>
      <c r="W16" s="18"/>
      <c r="X16" s="14"/>
      <c r="Y16" s="14"/>
      <c r="Z16" s="15"/>
      <c r="AB16" s="18"/>
      <c r="AC16" s="14"/>
      <c r="AD16" s="14"/>
      <c r="AE16" s="15"/>
      <c r="AG16" s="18"/>
      <c r="AH16" s="14"/>
      <c r="AI16" s="14"/>
      <c r="AJ16" s="15"/>
      <c r="AL16" s="18"/>
      <c r="AM16" s="14"/>
      <c r="AN16" s="14"/>
      <c r="AO16" s="15"/>
      <c r="AQ16" s="2">
        <v>9</v>
      </c>
    </row>
    <row r="17" spans="2:43" ht="18" customHeight="1" x14ac:dyDescent="0.2">
      <c r="B17" s="10">
        <v>17</v>
      </c>
      <c r="C17" s="10">
        <v>1</v>
      </c>
      <c r="D17" s="10">
        <v>16</v>
      </c>
      <c r="E17" s="10">
        <v>0</v>
      </c>
      <c r="F17" s="10" t="s">
        <v>107</v>
      </c>
      <c r="G17" s="10" t="s">
        <v>165</v>
      </c>
      <c r="H17" s="10" t="s">
        <v>165</v>
      </c>
      <c r="I17" s="10" t="s">
        <v>165</v>
      </c>
      <c r="J17" s="10" t="s">
        <v>108</v>
      </c>
      <c r="K17" s="10" t="s">
        <v>125</v>
      </c>
      <c r="L17" s="67" t="s">
        <v>191</v>
      </c>
      <c r="M17" s="11" t="s">
        <v>192</v>
      </c>
      <c r="O17" s="19">
        <v>11</v>
      </c>
      <c r="P17" s="16">
        <v>28</v>
      </c>
      <c r="Q17" s="16">
        <v>8</v>
      </c>
      <c r="R17" s="17">
        <v>4</v>
      </c>
      <c r="T17" s="19">
        <v>11</v>
      </c>
      <c r="U17" s="17">
        <v>4</v>
      </c>
      <c r="W17" s="19"/>
      <c r="X17" s="16"/>
      <c r="Y17" s="16"/>
      <c r="Z17" s="17"/>
      <c r="AB17" s="19"/>
      <c r="AC17" s="16"/>
      <c r="AD17" s="16"/>
      <c r="AE17" s="17"/>
      <c r="AG17" s="19"/>
      <c r="AH17" s="16"/>
      <c r="AI17" s="16"/>
      <c r="AJ17" s="17"/>
      <c r="AL17" s="19"/>
      <c r="AM17" s="16"/>
      <c r="AN17" s="16"/>
      <c r="AO17" s="17"/>
      <c r="AQ17" s="2">
        <v>9</v>
      </c>
    </row>
    <row r="18" spans="2:43" ht="18" customHeight="1" x14ac:dyDescent="0.2">
      <c r="B18" s="8">
        <v>18</v>
      </c>
      <c r="C18" s="8">
        <v>1</v>
      </c>
      <c r="D18" s="8">
        <v>17</v>
      </c>
      <c r="E18" s="8">
        <v>25</v>
      </c>
      <c r="F18" s="84" t="s">
        <v>193</v>
      </c>
      <c r="G18" s="8" t="s">
        <v>165</v>
      </c>
      <c r="H18" s="8" t="s">
        <v>108</v>
      </c>
      <c r="I18" s="8" t="s">
        <v>108</v>
      </c>
      <c r="J18" s="44" t="s">
        <v>165</v>
      </c>
      <c r="K18" s="8" t="s">
        <v>125</v>
      </c>
      <c r="L18" s="9" t="s">
        <v>157</v>
      </c>
      <c r="M18" s="9" t="s">
        <v>194</v>
      </c>
      <c r="O18" s="18">
        <v>11</v>
      </c>
      <c r="P18" s="14">
        <v>28</v>
      </c>
      <c r="Q18" s="14">
        <v>8</v>
      </c>
      <c r="R18" s="15">
        <v>4</v>
      </c>
      <c r="T18" s="18">
        <v>7</v>
      </c>
      <c r="U18" s="15">
        <v>0</v>
      </c>
      <c r="W18" s="18"/>
      <c r="X18" s="14"/>
      <c r="Y18" s="14"/>
      <c r="Z18" s="15"/>
      <c r="AB18" s="18"/>
      <c r="AC18" s="14"/>
      <c r="AD18" s="14"/>
      <c r="AE18" s="15"/>
      <c r="AG18" s="18"/>
      <c r="AH18" s="14"/>
      <c r="AI18" s="14"/>
      <c r="AJ18" s="15"/>
      <c r="AL18" s="18"/>
      <c r="AM18" s="14"/>
      <c r="AN18" s="14"/>
      <c r="AO18" s="15"/>
      <c r="AQ18" s="2">
        <v>9</v>
      </c>
    </row>
    <row r="19" spans="2:43" ht="18" customHeight="1" x14ac:dyDescent="0.2">
      <c r="B19" s="10">
        <v>19</v>
      </c>
      <c r="C19" s="10">
        <v>1</v>
      </c>
      <c r="D19" s="10">
        <v>18</v>
      </c>
      <c r="E19" s="10">
        <v>0</v>
      </c>
      <c r="F19" s="10" t="s">
        <v>107</v>
      </c>
      <c r="G19" s="10" t="s">
        <v>165</v>
      </c>
      <c r="H19" s="10" t="s">
        <v>165</v>
      </c>
      <c r="I19" s="10" t="s">
        <v>165</v>
      </c>
      <c r="J19" s="10" t="s">
        <v>108</v>
      </c>
      <c r="K19" s="10" t="s">
        <v>125</v>
      </c>
      <c r="L19" s="67" t="s">
        <v>139</v>
      </c>
      <c r="M19" s="11" t="s">
        <v>195</v>
      </c>
      <c r="O19" s="19">
        <v>11</v>
      </c>
      <c r="P19" s="16">
        <v>28</v>
      </c>
      <c r="Q19" s="16">
        <v>8</v>
      </c>
      <c r="R19" s="17">
        <v>4</v>
      </c>
      <c r="T19" s="19">
        <v>11</v>
      </c>
      <c r="U19" s="17">
        <v>4</v>
      </c>
      <c r="W19" s="19"/>
      <c r="X19" s="16"/>
      <c r="Y19" s="16"/>
      <c r="Z19" s="17"/>
      <c r="AB19" s="19"/>
      <c r="AC19" s="16"/>
      <c r="AD19" s="16"/>
      <c r="AE19" s="17"/>
      <c r="AG19" s="19"/>
      <c r="AH19" s="16"/>
      <c r="AI19" s="16"/>
      <c r="AJ19" s="17"/>
      <c r="AL19" s="19"/>
      <c r="AM19" s="16"/>
      <c r="AN19" s="16"/>
      <c r="AO19" s="17"/>
      <c r="AQ19" s="2">
        <v>9</v>
      </c>
    </row>
    <row r="20" spans="2:43" ht="18" customHeight="1" x14ac:dyDescent="0.2">
      <c r="B20" s="8">
        <v>20</v>
      </c>
      <c r="C20" s="8">
        <v>1</v>
      </c>
      <c r="D20" s="8">
        <v>19</v>
      </c>
      <c r="E20" s="8">
        <v>6</v>
      </c>
      <c r="F20" s="84" t="s">
        <v>187</v>
      </c>
      <c r="G20" s="8" t="s">
        <v>165</v>
      </c>
      <c r="H20" s="8" t="s">
        <v>165</v>
      </c>
      <c r="I20" s="8" t="s">
        <v>165</v>
      </c>
      <c r="J20" s="44" t="s">
        <v>108</v>
      </c>
      <c r="K20" s="8" t="s">
        <v>125</v>
      </c>
      <c r="L20" s="9" t="s">
        <v>113</v>
      </c>
      <c r="M20" s="9" t="s">
        <v>196</v>
      </c>
      <c r="O20" s="18">
        <v>11</v>
      </c>
      <c r="P20" s="14">
        <v>28</v>
      </c>
      <c r="Q20" s="14">
        <v>8</v>
      </c>
      <c r="R20" s="15">
        <v>4</v>
      </c>
      <c r="T20" s="18">
        <v>11</v>
      </c>
      <c r="U20" s="15">
        <v>4</v>
      </c>
      <c r="W20" s="18"/>
      <c r="X20" s="14"/>
      <c r="Y20" s="14"/>
      <c r="Z20" s="15"/>
      <c r="AB20" s="18"/>
      <c r="AC20" s="14"/>
      <c r="AD20" s="14"/>
      <c r="AE20" s="15"/>
      <c r="AG20" s="18"/>
      <c r="AH20" s="14"/>
      <c r="AI20" s="14"/>
      <c r="AJ20" s="15"/>
      <c r="AL20" s="18"/>
      <c r="AM20" s="14"/>
      <c r="AN20" s="14"/>
      <c r="AO20" s="15"/>
      <c r="AQ20" s="2">
        <v>9</v>
      </c>
    </row>
    <row r="21" spans="2:43" ht="18" customHeight="1" x14ac:dyDescent="0.2">
      <c r="B21" s="10">
        <v>21</v>
      </c>
      <c r="C21" s="10">
        <v>1</v>
      </c>
      <c r="D21" s="10">
        <v>20</v>
      </c>
      <c r="E21" s="10">
        <v>23</v>
      </c>
      <c r="F21" s="10" t="s">
        <v>107</v>
      </c>
      <c r="G21" s="10" t="s">
        <v>165</v>
      </c>
      <c r="H21" s="10" t="s">
        <v>165</v>
      </c>
      <c r="I21" s="10" t="s">
        <v>108</v>
      </c>
      <c r="J21" s="10" t="s">
        <v>108</v>
      </c>
      <c r="K21" s="10" t="s">
        <v>125</v>
      </c>
      <c r="L21" s="67" t="s">
        <v>191</v>
      </c>
      <c r="M21" s="11" t="s">
        <v>197</v>
      </c>
      <c r="O21" s="19">
        <v>11</v>
      </c>
      <c r="P21" s="16">
        <v>28</v>
      </c>
      <c r="Q21" s="16">
        <v>8</v>
      </c>
      <c r="R21" s="17">
        <v>4</v>
      </c>
      <c r="T21" s="19">
        <v>11</v>
      </c>
      <c r="U21" s="17">
        <v>5</v>
      </c>
      <c r="W21" s="19"/>
      <c r="X21" s="16"/>
      <c r="Y21" s="16"/>
      <c r="Z21" s="17"/>
      <c r="AB21" s="19"/>
      <c r="AC21" s="16"/>
      <c r="AD21" s="16"/>
      <c r="AE21" s="17"/>
      <c r="AG21" s="19"/>
      <c r="AH21" s="16"/>
      <c r="AI21" s="16"/>
      <c r="AJ21" s="17"/>
      <c r="AL21" s="19"/>
      <c r="AM21" s="16"/>
      <c r="AN21" s="16"/>
      <c r="AO21" s="17"/>
      <c r="AQ21" s="2">
        <v>9</v>
      </c>
    </row>
    <row r="22" spans="2:43" ht="18" customHeight="1" x14ac:dyDescent="0.2">
      <c r="B22" s="8">
        <v>22</v>
      </c>
      <c r="C22" s="8">
        <v>1</v>
      </c>
      <c r="D22" s="8">
        <v>21</v>
      </c>
      <c r="E22" s="8">
        <v>28</v>
      </c>
      <c r="F22" s="84" t="s">
        <v>107</v>
      </c>
      <c r="G22" s="8" t="s">
        <v>165</v>
      </c>
      <c r="H22" s="8" t="s">
        <v>108</v>
      </c>
      <c r="I22" s="8" t="s">
        <v>108</v>
      </c>
      <c r="J22" s="44" t="s">
        <v>108</v>
      </c>
      <c r="K22" s="8" t="s">
        <v>125</v>
      </c>
      <c r="L22" s="9" t="s">
        <v>198</v>
      </c>
      <c r="M22" s="9" t="s">
        <v>199</v>
      </c>
      <c r="O22" s="18">
        <v>11</v>
      </c>
      <c r="P22" s="14">
        <v>28</v>
      </c>
      <c r="Q22" s="14">
        <v>8</v>
      </c>
      <c r="R22" s="15">
        <v>4</v>
      </c>
      <c r="T22" s="18">
        <v>9</v>
      </c>
      <c r="U22" s="15">
        <v>0</v>
      </c>
      <c r="W22" s="18"/>
      <c r="X22" s="14"/>
      <c r="Y22" s="14"/>
      <c r="Z22" s="15"/>
      <c r="AB22" s="18"/>
      <c r="AC22" s="14"/>
      <c r="AD22" s="14"/>
      <c r="AE22" s="15"/>
      <c r="AG22" s="18"/>
      <c r="AH22" s="14"/>
      <c r="AI22" s="14"/>
      <c r="AJ22" s="15"/>
      <c r="AL22" s="18"/>
      <c r="AM22" s="14"/>
      <c r="AN22" s="14"/>
      <c r="AO22" s="15"/>
      <c r="AQ22" s="2">
        <v>9</v>
      </c>
    </row>
    <row r="23" spans="2:43" ht="18" customHeight="1" x14ac:dyDescent="0.2">
      <c r="B23" s="10">
        <v>23</v>
      </c>
      <c r="C23" s="10">
        <v>1</v>
      </c>
      <c r="D23" s="10">
        <v>22</v>
      </c>
      <c r="E23" s="10">
        <v>6</v>
      </c>
      <c r="F23" s="10" t="s">
        <v>107</v>
      </c>
      <c r="G23" s="10" t="s">
        <v>165</v>
      </c>
      <c r="H23" s="10" t="s">
        <v>165</v>
      </c>
      <c r="I23" s="10" t="s">
        <v>165</v>
      </c>
      <c r="J23" s="10" t="s">
        <v>108</v>
      </c>
      <c r="K23" s="10" t="s">
        <v>125</v>
      </c>
      <c r="L23" s="67" t="s">
        <v>200</v>
      </c>
      <c r="M23" s="11" t="s">
        <v>201</v>
      </c>
      <c r="O23" s="19">
        <v>11</v>
      </c>
      <c r="P23" s="16">
        <v>28</v>
      </c>
      <c r="Q23" s="16">
        <v>8</v>
      </c>
      <c r="R23" s="17">
        <v>4</v>
      </c>
      <c r="T23" s="19">
        <v>11</v>
      </c>
      <c r="U23" s="17">
        <v>4</v>
      </c>
      <c r="W23" s="19"/>
      <c r="X23" s="16"/>
      <c r="Y23" s="16"/>
      <c r="Z23" s="17"/>
      <c r="AB23" s="19"/>
      <c r="AC23" s="16"/>
      <c r="AD23" s="16"/>
      <c r="AE23" s="17"/>
      <c r="AG23" s="19"/>
      <c r="AH23" s="16"/>
      <c r="AI23" s="16"/>
      <c r="AJ23" s="17"/>
      <c r="AL23" s="19"/>
      <c r="AM23" s="16"/>
      <c r="AN23" s="16"/>
      <c r="AO23" s="17"/>
      <c r="AQ23" s="2">
        <v>9</v>
      </c>
    </row>
    <row r="24" spans="2:43" ht="18" customHeight="1" x14ac:dyDescent="0.2">
      <c r="B24" s="8">
        <v>24</v>
      </c>
      <c r="C24" s="8">
        <v>1</v>
      </c>
      <c r="D24" s="8">
        <v>23</v>
      </c>
      <c r="E24" s="8">
        <v>21</v>
      </c>
      <c r="F24" s="84" t="s">
        <v>107</v>
      </c>
      <c r="G24" s="8" t="s">
        <v>165</v>
      </c>
      <c r="H24" s="8" t="s">
        <v>108</v>
      </c>
      <c r="I24" s="8" t="s">
        <v>108</v>
      </c>
      <c r="J24" s="44" t="s">
        <v>108</v>
      </c>
      <c r="K24" s="8" t="s">
        <v>125</v>
      </c>
      <c r="L24" s="9" t="s">
        <v>154</v>
      </c>
      <c r="M24" s="9" t="s">
        <v>155</v>
      </c>
      <c r="O24" s="18">
        <v>11</v>
      </c>
      <c r="P24" s="14">
        <v>28</v>
      </c>
      <c r="Q24" s="14">
        <v>8</v>
      </c>
      <c r="R24" s="15">
        <v>4</v>
      </c>
      <c r="T24" s="18">
        <v>6</v>
      </c>
      <c r="U24" s="15">
        <v>0</v>
      </c>
      <c r="W24" s="18"/>
      <c r="X24" s="14"/>
      <c r="Y24" s="14"/>
      <c r="Z24" s="15"/>
      <c r="AB24" s="18"/>
      <c r="AC24" s="14"/>
      <c r="AD24" s="14"/>
      <c r="AE24" s="15"/>
      <c r="AG24" s="18"/>
      <c r="AH24" s="14"/>
      <c r="AI24" s="14"/>
      <c r="AJ24" s="15"/>
      <c r="AL24" s="18"/>
      <c r="AM24" s="14"/>
      <c r="AN24" s="14"/>
      <c r="AO24" s="15"/>
      <c r="AQ24" s="2">
        <v>9</v>
      </c>
    </row>
    <row r="25" spans="2:43" ht="18" customHeight="1" x14ac:dyDescent="0.2">
      <c r="B25" s="10">
        <v>25</v>
      </c>
      <c r="C25" s="8">
        <v>1</v>
      </c>
      <c r="D25" s="8">
        <v>24</v>
      </c>
      <c r="E25" s="8">
        <v>32</v>
      </c>
      <c r="F25" s="84" t="s">
        <v>107</v>
      </c>
      <c r="G25" s="8" t="s">
        <v>108</v>
      </c>
      <c r="H25" s="8" t="s">
        <v>108</v>
      </c>
      <c r="I25" s="8" t="s">
        <v>108</v>
      </c>
      <c r="J25" s="44" t="s">
        <v>108</v>
      </c>
      <c r="K25" s="8" t="s">
        <v>125</v>
      </c>
      <c r="L25" s="9" t="s">
        <v>126</v>
      </c>
      <c r="M25" s="9" t="s">
        <v>127</v>
      </c>
      <c r="O25" s="18"/>
      <c r="P25" s="14"/>
      <c r="Q25" s="14"/>
      <c r="R25" s="15"/>
      <c r="T25" s="18"/>
      <c r="U25" s="15"/>
      <c r="W25" s="18"/>
      <c r="X25" s="14"/>
      <c r="Y25" s="14"/>
      <c r="Z25" s="15"/>
      <c r="AB25" s="18"/>
      <c r="AC25" s="14"/>
      <c r="AD25" s="14"/>
      <c r="AE25" s="15"/>
      <c r="AG25" s="18"/>
      <c r="AH25" s="14"/>
      <c r="AI25" s="14"/>
      <c r="AJ25" s="15"/>
      <c r="AL25" s="18"/>
      <c r="AM25" s="14"/>
      <c r="AN25" s="14"/>
      <c r="AO25" s="15"/>
      <c r="AQ25" s="2"/>
    </row>
    <row r="26" spans="2:43" ht="18" customHeight="1" x14ac:dyDescent="0.2">
      <c r="B26" s="8">
        <v>26</v>
      </c>
      <c r="C26" s="10">
        <v>1</v>
      </c>
      <c r="D26" s="10">
        <v>25</v>
      </c>
      <c r="E26" s="10">
        <v>10</v>
      </c>
      <c r="F26" s="10" t="s">
        <v>107</v>
      </c>
      <c r="G26" s="10" t="s">
        <v>165</v>
      </c>
      <c r="H26" s="10" t="s">
        <v>165</v>
      </c>
      <c r="I26" s="10" t="s">
        <v>108</v>
      </c>
      <c r="J26" s="10" t="s">
        <v>108</v>
      </c>
      <c r="K26" s="10" t="s">
        <v>125</v>
      </c>
      <c r="L26" s="67" t="s">
        <v>202</v>
      </c>
      <c r="M26" s="11" t="s">
        <v>203</v>
      </c>
      <c r="O26" s="19">
        <v>11</v>
      </c>
      <c r="P26" s="16">
        <v>28</v>
      </c>
      <c r="Q26" s="16">
        <v>8</v>
      </c>
      <c r="R26" s="17">
        <v>4</v>
      </c>
      <c r="T26" s="19">
        <v>11</v>
      </c>
      <c r="U26" s="17">
        <v>1</v>
      </c>
      <c r="W26" s="19"/>
      <c r="X26" s="16"/>
      <c r="Y26" s="16"/>
      <c r="Z26" s="17"/>
      <c r="AB26" s="19"/>
      <c r="AC26" s="16"/>
      <c r="AD26" s="16"/>
      <c r="AE26" s="17"/>
      <c r="AG26" s="19"/>
      <c r="AH26" s="16"/>
      <c r="AI26" s="16"/>
      <c r="AJ26" s="17"/>
      <c r="AL26" s="19"/>
      <c r="AM26" s="16"/>
      <c r="AN26" s="16"/>
      <c r="AO26" s="17"/>
      <c r="AQ26" s="2">
        <v>9</v>
      </c>
    </row>
    <row r="27" spans="2:43" ht="18" customHeight="1" x14ac:dyDescent="0.2">
      <c r="B27" s="10">
        <v>27</v>
      </c>
      <c r="C27" s="8">
        <v>1</v>
      </c>
      <c r="D27" s="8">
        <v>26</v>
      </c>
      <c r="E27" s="8">
        <v>11</v>
      </c>
      <c r="F27" s="84" t="s">
        <v>187</v>
      </c>
      <c r="G27" s="8" t="s">
        <v>165</v>
      </c>
      <c r="H27" s="8" t="s">
        <v>165</v>
      </c>
      <c r="I27" s="8" t="s">
        <v>165</v>
      </c>
      <c r="J27" s="44" t="s">
        <v>108</v>
      </c>
      <c r="K27" s="8" t="s">
        <v>125</v>
      </c>
      <c r="L27" s="9" t="s">
        <v>113</v>
      </c>
      <c r="M27" s="9" t="s">
        <v>204</v>
      </c>
      <c r="O27" s="18">
        <v>11</v>
      </c>
      <c r="P27" s="14">
        <v>28</v>
      </c>
      <c r="Q27" s="14">
        <v>8</v>
      </c>
      <c r="R27" s="15">
        <v>4</v>
      </c>
      <c r="T27" s="18">
        <v>11</v>
      </c>
      <c r="U27" s="15">
        <v>4</v>
      </c>
      <c r="W27" s="18"/>
      <c r="X27" s="14"/>
      <c r="Y27" s="14"/>
      <c r="Z27" s="15"/>
      <c r="AB27" s="18"/>
      <c r="AC27" s="14"/>
      <c r="AD27" s="14"/>
      <c r="AE27" s="15"/>
      <c r="AG27" s="18"/>
      <c r="AH27" s="14"/>
      <c r="AI27" s="14"/>
      <c r="AJ27" s="15"/>
      <c r="AL27" s="18"/>
      <c r="AM27" s="14"/>
      <c r="AN27" s="14"/>
      <c r="AO27" s="15"/>
      <c r="AQ27" s="2">
        <v>9</v>
      </c>
    </row>
    <row r="28" spans="2:43" ht="18" customHeight="1" x14ac:dyDescent="0.2">
      <c r="B28" s="8">
        <v>28</v>
      </c>
      <c r="C28" s="10">
        <v>1</v>
      </c>
      <c r="D28" s="10">
        <v>27</v>
      </c>
      <c r="E28" s="10">
        <v>7</v>
      </c>
      <c r="F28" s="10" t="s">
        <v>107</v>
      </c>
      <c r="G28" s="10" t="s">
        <v>165</v>
      </c>
      <c r="H28" s="10" t="s">
        <v>165</v>
      </c>
      <c r="I28" s="10" t="s">
        <v>165</v>
      </c>
      <c r="J28" s="10" t="s">
        <v>108</v>
      </c>
      <c r="K28" s="10" t="s">
        <v>125</v>
      </c>
      <c r="L28" s="67" t="s">
        <v>205</v>
      </c>
      <c r="M28" s="11" t="s">
        <v>206</v>
      </c>
      <c r="O28" s="19">
        <v>11</v>
      </c>
      <c r="P28" s="16">
        <v>28</v>
      </c>
      <c r="Q28" s="16">
        <v>8</v>
      </c>
      <c r="R28" s="17">
        <v>4</v>
      </c>
      <c r="T28" s="19">
        <v>11</v>
      </c>
      <c r="U28" s="17">
        <v>4</v>
      </c>
      <c r="W28" s="19"/>
      <c r="X28" s="16"/>
      <c r="Y28" s="16"/>
      <c r="Z28" s="17"/>
      <c r="AB28" s="19"/>
      <c r="AC28" s="16"/>
      <c r="AD28" s="16"/>
      <c r="AE28" s="17"/>
      <c r="AG28" s="19"/>
      <c r="AH28" s="16"/>
      <c r="AI28" s="16"/>
      <c r="AJ28" s="17"/>
      <c r="AL28" s="19"/>
      <c r="AM28" s="16"/>
      <c r="AN28" s="16"/>
      <c r="AO28" s="17"/>
      <c r="AQ28" s="2">
        <v>9</v>
      </c>
    </row>
    <row r="29" spans="2:43" ht="18" customHeight="1" x14ac:dyDescent="0.2">
      <c r="B29" s="10">
        <v>29</v>
      </c>
      <c r="C29" s="8">
        <v>1</v>
      </c>
      <c r="D29" s="8">
        <v>28</v>
      </c>
      <c r="E29" s="8">
        <v>14</v>
      </c>
      <c r="F29" s="84" t="s">
        <v>107</v>
      </c>
      <c r="G29" s="8" t="s">
        <v>165</v>
      </c>
      <c r="H29" s="8" t="s">
        <v>165</v>
      </c>
      <c r="I29" s="8" t="s">
        <v>108</v>
      </c>
      <c r="J29" s="44" t="s">
        <v>108</v>
      </c>
      <c r="K29" s="8" t="s">
        <v>125</v>
      </c>
      <c r="L29" s="9" t="s">
        <v>207</v>
      </c>
      <c r="M29" s="9" t="s">
        <v>208</v>
      </c>
      <c r="O29" s="18">
        <v>11</v>
      </c>
      <c r="P29" s="14">
        <v>28</v>
      </c>
      <c r="Q29" s="14">
        <v>8</v>
      </c>
      <c r="R29" s="15">
        <v>4</v>
      </c>
      <c r="T29" s="18">
        <v>11</v>
      </c>
      <c r="U29" s="15">
        <v>1</v>
      </c>
      <c r="W29" s="18"/>
      <c r="X29" s="14"/>
      <c r="Y29" s="14"/>
      <c r="Z29" s="15"/>
      <c r="AB29" s="18"/>
      <c r="AC29" s="14"/>
      <c r="AD29" s="14"/>
      <c r="AE29" s="15"/>
      <c r="AG29" s="18"/>
      <c r="AH29" s="14"/>
      <c r="AI29" s="14"/>
      <c r="AJ29" s="15"/>
      <c r="AL29" s="18"/>
      <c r="AM29" s="14"/>
      <c r="AN29" s="14"/>
      <c r="AO29" s="15"/>
      <c r="AQ29" s="2">
        <v>9</v>
      </c>
    </row>
    <row r="30" spans="2:43" ht="18" customHeight="1" x14ac:dyDescent="0.2">
      <c r="B30" s="8">
        <v>30</v>
      </c>
      <c r="C30" s="10">
        <v>1</v>
      </c>
      <c r="D30" s="10">
        <v>29</v>
      </c>
      <c r="E30" s="10">
        <v>0</v>
      </c>
      <c r="F30" s="10" t="s">
        <v>107</v>
      </c>
      <c r="G30" s="10" t="s">
        <v>165</v>
      </c>
      <c r="H30" s="10" t="s">
        <v>165</v>
      </c>
      <c r="I30" s="10" t="s">
        <v>165</v>
      </c>
      <c r="J30" s="10" t="s">
        <v>108</v>
      </c>
      <c r="K30" s="10" t="s">
        <v>125</v>
      </c>
      <c r="L30" s="67" t="s">
        <v>209</v>
      </c>
      <c r="M30" s="11" t="s">
        <v>210</v>
      </c>
      <c r="O30" s="19">
        <v>11</v>
      </c>
      <c r="P30" s="16">
        <v>28</v>
      </c>
      <c r="Q30" s="16">
        <v>8</v>
      </c>
      <c r="R30" s="17">
        <v>4</v>
      </c>
      <c r="T30" s="19">
        <v>11</v>
      </c>
      <c r="U30" s="17">
        <v>4</v>
      </c>
      <c r="W30" s="19"/>
      <c r="X30" s="16"/>
      <c r="Y30" s="16"/>
      <c r="Z30" s="17"/>
      <c r="AB30" s="19"/>
      <c r="AC30" s="16"/>
      <c r="AD30" s="16"/>
      <c r="AE30" s="17"/>
      <c r="AG30" s="19"/>
      <c r="AH30" s="16"/>
      <c r="AI30" s="16"/>
      <c r="AJ30" s="17"/>
      <c r="AL30" s="19"/>
      <c r="AM30" s="16"/>
      <c r="AN30" s="16"/>
      <c r="AO30" s="17"/>
      <c r="AQ30" s="2">
        <v>9</v>
      </c>
    </row>
    <row r="31" spans="2:43" ht="18" customHeight="1" x14ac:dyDescent="0.2">
      <c r="B31" s="10">
        <v>31</v>
      </c>
      <c r="C31" s="8">
        <v>1</v>
      </c>
      <c r="D31" s="8">
        <v>30</v>
      </c>
      <c r="E31" s="8">
        <v>13</v>
      </c>
      <c r="F31" s="84" t="s">
        <v>109</v>
      </c>
      <c r="G31" s="8" t="s">
        <v>165</v>
      </c>
      <c r="H31" s="8" t="s">
        <v>165</v>
      </c>
      <c r="I31" s="8" t="s">
        <v>108</v>
      </c>
      <c r="J31" s="44" t="s">
        <v>108</v>
      </c>
      <c r="K31" s="8" t="s">
        <v>125</v>
      </c>
      <c r="L31" s="9" t="s">
        <v>169</v>
      </c>
      <c r="M31" s="9" t="s">
        <v>211</v>
      </c>
      <c r="O31" s="18">
        <v>12</v>
      </c>
      <c r="P31" s="14">
        <v>36</v>
      </c>
      <c r="Q31" s="14">
        <v>16</v>
      </c>
      <c r="R31" s="15">
        <v>8</v>
      </c>
      <c r="T31" s="18">
        <v>12</v>
      </c>
      <c r="U31" s="15">
        <v>0</v>
      </c>
      <c r="W31" s="18"/>
      <c r="X31" s="14"/>
      <c r="Y31" s="14"/>
      <c r="Z31" s="15"/>
      <c r="AB31" s="18"/>
      <c r="AC31" s="14"/>
      <c r="AD31" s="14"/>
      <c r="AE31" s="15"/>
      <c r="AG31" s="18"/>
      <c r="AH31" s="14"/>
      <c r="AI31" s="14"/>
      <c r="AJ31" s="15"/>
      <c r="AL31" s="18"/>
      <c r="AM31" s="14"/>
      <c r="AN31" s="14"/>
      <c r="AO31" s="15"/>
      <c r="AQ31" s="2">
        <v>13</v>
      </c>
    </row>
    <row r="32" spans="2:43" ht="18" customHeight="1" x14ac:dyDescent="0.2">
      <c r="B32" s="8">
        <v>32</v>
      </c>
      <c r="C32" s="10">
        <v>1</v>
      </c>
      <c r="D32" s="10">
        <v>31</v>
      </c>
      <c r="E32" s="10">
        <v>16</v>
      </c>
      <c r="F32" s="10" t="s">
        <v>193</v>
      </c>
      <c r="G32" s="10" t="s">
        <v>108</v>
      </c>
      <c r="H32" s="10" t="s">
        <v>108</v>
      </c>
      <c r="I32" s="10" t="s">
        <v>108</v>
      </c>
      <c r="J32" s="10" t="s">
        <v>108</v>
      </c>
      <c r="K32" s="10" t="s">
        <v>125</v>
      </c>
      <c r="L32" s="67" t="s">
        <v>157</v>
      </c>
      <c r="M32" s="11" t="s">
        <v>212</v>
      </c>
      <c r="O32" s="19">
        <v>12</v>
      </c>
      <c r="P32" s="16">
        <v>36</v>
      </c>
      <c r="Q32" s="16">
        <v>16</v>
      </c>
      <c r="R32" s="17">
        <v>8</v>
      </c>
      <c r="T32" s="19">
        <v>6</v>
      </c>
      <c r="U32" s="17">
        <v>1</v>
      </c>
      <c r="W32" s="19"/>
      <c r="X32" s="16"/>
      <c r="Y32" s="16"/>
      <c r="Z32" s="17"/>
      <c r="AB32" s="19"/>
      <c r="AC32" s="16"/>
      <c r="AD32" s="16"/>
      <c r="AE32" s="17"/>
      <c r="AG32" s="19"/>
      <c r="AH32" s="16"/>
      <c r="AI32" s="16"/>
      <c r="AJ32" s="17"/>
      <c r="AL32" s="19"/>
      <c r="AM32" s="16"/>
      <c r="AN32" s="16"/>
      <c r="AO32" s="17"/>
      <c r="AQ32" s="2">
        <v>13</v>
      </c>
    </row>
    <row r="33" spans="2:43" ht="18" customHeight="1" x14ac:dyDescent="0.2">
      <c r="B33" s="10">
        <v>33</v>
      </c>
      <c r="C33" s="8">
        <v>1</v>
      </c>
      <c r="D33" s="8">
        <v>32</v>
      </c>
      <c r="E33" s="8">
        <v>21</v>
      </c>
      <c r="F33" s="84" t="s">
        <v>107</v>
      </c>
      <c r="G33" s="8" t="s">
        <v>108</v>
      </c>
      <c r="H33" s="8" t="s">
        <v>108</v>
      </c>
      <c r="I33" s="8" t="s">
        <v>108</v>
      </c>
      <c r="J33" s="44" t="s">
        <v>108</v>
      </c>
      <c r="K33" s="8" t="s">
        <v>125</v>
      </c>
      <c r="L33" s="9" t="s">
        <v>175</v>
      </c>
      <c r="M33" s="9" t="s">
        <v>213</v>
      </c>
      <c r="O33" s="18">
        <v>12</v>
      </c>
      <c r="P33" s="14">
        <v>36</v>
      </c>
      <c r="Q33" s="14">
        <v>16</v>
      </c>
      <c r="R33" s="15">
        <v>8</v>
      </c>
      <c r="T33" s="18">
        <v>6</v>
      </c>
      <c r="U33" s="15">
        <v>1</v>
      </c>
      <c r="W33" s="18"/>
      <c r="X33" s="14"/>
      <c r="Y33" s="14"/>
      <c r="Z33" s="15"/>
      <c r="AB33" s="18"/>
      <c r="AC33" s="14"/>
      <c r="AD33" s="14"/>
      <c r="AE33" s="15"/>
      <c r="AG33" s="18"/>
      <c r="AH33" s="14"/>
      <c r="AI33" s="14"/>
      <c r="AJ33" s="15"/>
      <c r="AL33" s="18"/>
      <c r="AM33" s="14"/>
      <c r="AN33" s="14"/>
      <c r="AO33" s="15"/>
      <c r="AQ33" s="2">
        <v>13</v>
      </c>
    </row>
    <row r="34" spans="2:43" ht="18" customHeight="1" x14ac:dyDescent="0.2">
      <c r="B34" s="8">
        <v>34</v>
      </c>
      <c r="C34" s="10">
        <v>1</v>
      </c>
      <c r="D34" s="10">
        <v>33</v>
      </c>
      <c r="E34" s="10">
        <v>27</v>
      </c>
      <c r="F34" s="10" t="s">
        <v>107</v>
      </c>
      <c r="G34" s="10" t="s">
        <v>108</v>
      </c>
      <c r="H34" s="10" t="s">
        <v>108</v>
      </c>
      <c r="I34" s="10" t="s">
        <v>108</v>
      </c>
      <c r="J34" s="10" t="s">
        <v>108</v>
      </c>
      <c r="K34" s="10" t="s">
        <v>125</v>
      </c>
      <c r="L34" s="67" t="s">
        <v>214</v>
      </c>
      <c r="M34" s="11" t="s">
        <v>215</v>
      </c>
      <c r="O34" s="19">
        <v>12</v>
      </c>
      <c r="P34" s="16">
        <v>36</v>
      </c>
      <c r="Q34" s="16">
        <v>16</v>
      </c>
      <c r="R34" s="17">
        <v>8</v>
      </c>
      <c r="T34" s="19">
        <v>6</v>
      </c>
      <c r="U34" s="17">
        <v>1</v>
      </c>
      <c r="W34" s="19"/>
      <c r="X34" s="16"/>
      <c r="Y34" s="16"/>
      <c r="Z34" s="17"/>
      <c r="AB34" s="19"/>
      <c r="AC34" s="16"/>
      <c r="AD34" s="16"/>
      <c r="AE34" s="17"/>
      <c r="AG34" s="19"/>
      <c r="AH34" s="16"/>
      <c r="AI34" s="16"/>
      <c r="AJ34" s="17"/>
      <c r="AL34" s="19"/>
      <c r="AM34" s="16"/>
      <c r="AN34" s="16"/>
      <c r="AO34" s="17"/>
      <c r="AQ34" s="2">
        <v>13</v>
      </c>
    </row>
    <row r="35" spans="2:43" ht="18" customHeight="1" x14ac:dyDescent="0.2">
      <c r="B35" s="10">
        <v>35</v>
      </c>
      <c r="C35" s="8">
        <v>2</v>
      </c>
      <c r="D35" s="8">
        <v>1</v>
      </c>
      <c r="E35" s="8">
        <v>0</v>
      </c>
      <c r="F35" s="84" t="s">
        <v>107</v>
      </c>
      <c r="G35" s="8" t="s">
        <v>165</v>
      </c>
      <c r="H35" s="8" t="s">
        <v>165</v>
      </c>
      <c r="I35" s="8" t="s">
        <v>165</v>
      </c>
      <c r="J35" s="44" t="s">
        <v>108</v>
      </c>
      <c r="K35" s="8" t="s">
        <v>109</v>
      </c>
      <c r="L35" s="9" t="s">
        <v>179</v>
      </c>
      <c r="M35" s="9" t="s">
        <v>216</v>
      </c>
      <c r="O35" s="18">
        <v>10</v>
      </c>
      <c r="P35" s="14">
        <v>16</v>
      </c>
      <c r="Q35" s="14">
        <v>4</v>
      </c>
      <c r="R35" s="15">
        <v>4</v>
      </c>
      <c r="T35" s="18">
        <v>10</v>
      </c>
      <c r="U35" s="15">
        <v>4</v>
      </c>
      <c r="W35" s="18"/>
      <c r="X35" s="14"/>
      <c r="Y35" s="14"/>
      <c r="Z35" s="15"/>
      <c r="AB35" s="18"/>
      <c r="AC35" s="14"/>
      <c r="AD35" s="14"/>
      <c r="AE35" s="15"/>
      <c r="AG35" s="18"/>
      <c r="AH35" s="14"/>
      <c r="AI35" s="14"/>
      <c r="AJ35" s="15"/>
      <c r="AL35" s="18"/>
      <c r="AM35" s="14"/>
      <c r="AN35" s="14"/>
      <c r="AO35" s="15"/>
      <c r="AQ35" s="2">
        <v>1</v>
      </c>
    </row>
    <row r="36" spans="2:43" ht="18" customHeight="1" x14ac:dyDescent="0.2">
      <c r="B36" s="8">
        <v>36</v>
      </c>
      <c r="C36" s="10">
        <v>2</v>
      </c>
      <c r="D36" s="10">
        <v>2</v>
      </c>
      <c r="E36" s="10">
        <v>0</v>
      </c>
      <c r="F36" s="10" t="s">
        <v>107</v>
      </c>
      <c r="G36" s="10" t="s">
        <v>165</v>
      </c>
      <c r="H36" s="10" t="s">
        <v>165</v>
      </c>
      <c r="I36" s="10" t="s">
        <v>165</v>
      </c>
      <c r="J36" s="10" t="s">
        <v>108</v>
      </c>
      <c r="K36" s="10" t="s">
        <v>109</v>
      </c>
      <c r="L36" s="67" t="s">
        <v>117</v>
      </c>
      <c r="M36" s="11" t="s">
        <v>217</v>
      </c>
      <c r="O36" s="19">
        <v>10</v>
      </c>
      <c r="P36" s="16">
        <v>16</v>
      </c>
      <c r="Q36" s="16">
        <v>4</v>
      </c>
      <c r="R36" s="17">
        <v>4</v>
      </c>
      <c r="T36" s="19">
        <v>10</v>
      </c>
      <c r="U36" s="17">
        <v>4</v>
      </c>
      <c r="W36" s="19"/>
      <c r="X36" s="16"/>
      <c r="Y36" s="16"/>
      <c r="Z36" s="17"/>
      <c r="AB36" s="19"/>
      <c r="AC36" s="16"/>
      <c r="AD36" s="16"/>
      <c r="AE36" s="17"/>
      <c r="AG36" s="19"/>
      <c r="AH36" s="16"/>
      <c r="AI36" s="16"/>
      <c r="AJ36" s="17"/>
      <c r="AL36" s="19"/>
      <c r="AM36" s="16"/>
      <c r="AN36" s="16"/>
      <c r="AO36" s="17"/>
      <c r="AQ36" s="2">
        <v>1</v>
      </c>
    </row>
    <row r="37" spans="2:43" ht="18" customHeight="1" x14ac:dyDescent="0.2">
      <c r="B37" s="10">
        <v>37</v>
      </c>
      <c r="C37" s="8">
        <v>2</v>
      </c>
      <c r="D37" s="8">
        <v>3</v>
      </c>
      <c r="E37" s="8">
        <v>28</v>
      </c>
      <c r="F37" s="84" t="s">
        <v>187</v>
      </c>
      <c r="G37" s="8" t="s">
        <v>165</v>
      </c>
      <c r="H37" s="8" t="s">
        <v>165</v>
      </c>
      <c r="I37" s="8" t="s">
        <v>108</v>
      </c>
      <c r="J37" s="44" t="s">
        <v>108</v>
      </c>
      <c r="K37" s="8" t="s">
        <v>109</v>
      </c>
      <c r="L37" s="9" t="s">
        <v>113</v>
      </c>
      <c r="M37" s="9" t="s">
        <v>218</v>
      </c>
      <c r="O37" s="18">
        <v>11</v>
      </c>
      <c r="P37" s="14">
        <v>28</v>
      </c>
      <c r="Q37" s="14">
        <v>8</v>
      </c>
      <c r="R37" s="15">
        <v>4</v>
      </c>
      <c r="T37" s="18">
        <v>11</v>
      </c>
      <c r="U37" s="15">
        <v>1</v>
      </c>
      <c r="W37" s="18"/>
      <c r="X37" s="14"/>
      <c r="Y37" s="14"/>
      <c r="Z37" s="15"/>
      <c r="AB37" s="18"/>
      <c r="AC37" s="14"/>
      <c r="AD37" s="14"/>
      <c r="AE37" s="15"/>
      <c r="AG37" s="18"/>
      <c r="AH37" s="14"/>
      <c r="AI37" s="14"/>
      <c r="AJ37" s="15"/>
      <c r="AL37" s="18"/>
      <c r="AM37" s="14"/>
      <c r="AN37" s="14"/>
      <c r="AO37" s="15"/>
      <c r="AQ37" s="2">
        <v>9</v>
      </c>
    </row>
    <row r="38" spans="2:43" ht="18" customHeight="1" x14ac:dyDescent="0.2">
      <c r="B38" s="8">
        <v>38</v>
      </c>
      <c r="C38" s="10">
        <v>2</v>
      </c>
      <c r="D38" s="10">
        <v>4</v>
      </c>
      <c r="E38" s="10">
        <v>0</v>
      </c>
      <c r="F38" s="10" t="s">
        <v>109</v>
      </c>
      <c r="G38" s="10" t="s">
        <v>165</v>
      </c>
      <c r="H38" s="10" t="s">
        <v>165</v>
      </c>
      <c r="I38" s="10" t="s">
        <v>165</v>
      </c>
      <c r="J38" s="10" t="s">
        <v>108</v>
      </c>
      <c r="K38" s="10" t="s">
        <v>109</v>
      </c>
      <c r="L38" s="67" t="s">
        <v>169</v>
      </c>
      <c r="M38" s="11" t="s">
        <v>219</v>
      </c>
      <c r="O38" s="19">
        <v>10</v>
      </c>
      <c r="P38" s="16">
        <v>16</v>
      </c>
      <c r="Q38" s="16">
        <v>4</v>
      </c>
      <c r="R38" s="17">
        <v>4</v>
      </c>
      <c r="T38" s="19">
        <v>10</v>
      </c>
      <c r="U38" s="17">
        <v>4</v>
      </c>
      <c r="W38" s="19"/>
      <c r="X38" s="16"/>
      <c r="Y38" s="16"/>
      <c r="Z38" s="17"/>
      <c r="AB38" s="19"/>
      <c r="AC38" s="16"/>
      <c r="AD38" s="16"/>
      <c r="AE38" s="17"/>
      <c r="AG38" s="19"/>
      <c r="AH38" s="16"/>
      <c r="AI38" s="16"/>
      <c r="AJ38" s="17"/>
      <c r="AL38" s="19"/>
      <c r="AM38" s="16"/>
      <c r="AN38" s="16"/>
      <c r="AO38" s="17"/>
      <c r="AQ38" s="2">
        <v>1</v>
      </c>
    </row>
    <row r="39" spans="2:43" ht="18" customHeight="1" x14ac:dyDescent="0.2">
      <c r="B39" s="10">
        <v>39</v>
      </c>
      <c r="C39" s="8">
        <v>2</v>
      </c>
      <c r="D39" s="8">
        <v>5</v>
      </c>
      <c r="E39" s="8">
        <v>0</v>
      </c>
      <c r="F39" s="84" t="s">
        <v>107</v>
      </c>
      <c r="G39" s="8" t="s">
        <v>165</v>
      </c>
      <c r="H39" s="8" t="s">
        <v>165</v>
      </c>
      <c r="I39" s="8" t="s">
        <v>165</v>
      </c>
      <c r="J39" s="44" t="s">
        <v>108</v>
      </c>
      <c r="K39" s="8" t="s">
        <v>109</v>
      </c>
      <c r="L39" s="9" t="s">
        <v>191</v>
      </c>
      <c r="M39" s="9" t="s">
        <v>220</v>
      </c>
      <c r="O39" s="18">
        <v>10</v>
      </c>
      <c r="P39" s="14">
        <v>16</v>
      </c>
      <c r="Q39" s="14">
        <v>4</v>
      </c>
      <c r="R39" s="15">
        <v>4</v>
      </c>
      <c r="T39" s="18">
        <v>10</v>
      </c>
      <c r="U39" s="15">
        <v>4</v>
      </c>
      <c r="W39" s="18"/>
      <c r="X39" s="14"/>
      <c r="Y39" s="14"/>
      <c r="Z39" s="15"/>
      <c r="AB39" s="18"/>
      <c r="AC39" s="14"/>
      <c r="AD39" s="14"/>
      <c r="AE39" s="15"/>
      <c r="AG39" s="18"/>
      <c r="AH39" s="14"/>
      <c r="AI39" s="14"/>
      <c r="AJ39" s="15"/>
      <c r="AL39" s="18"/>
      <c r="AM39" s="14"/>
      <c r="AN39" s="14"/>
      <c r="AO39" s="15"/>
      <c r="AQ39" s="2">
        <v>1</v>
      </c>
    </row>
    <row r="40" spans="2:43" ht="18" customHeight="1" x14ac:dyDescent="0.2">
      <c r="B40" s="8">
        <v>40</v>
      </c>
      <c r="C40" s="10">
        <v>2</v>
      </c>
      <c r="D40" s="10">
        <v>6</v>
      </c>
      <c r="E40" s="10">
        <v>0</v>
      </c>
      <c r="F40" s="10" t="s">
        <v>107</v>
      </c>
      <c r="G40" s="10" t="s">
        <v>165</v>
      </c>
      <c r="H40" s="10" t="s">
        <v>165</v>
      </c>
      <c r="I40" s="10" t="s">
        <v>165</v>
      </c>
      <c r="J40" s="10" t="s">
        <v>108</v>
      </c>
      <c r="K40" s="10" t="s">
        <v>109</v>
      </c>
      <c r="L40" s="67" t="s">
        <v>110</v>
      </c>
      <c r="M40" s="11" t="s">
        <v>221</v>
      </c>
      <c r="O40" s="19">
        <v>10</v>
      </c>
      <c r="P40" s="16">
        <v>16</v>
      </c>
      <c r="Q40" s="16">
        <v>4</v>
      </c>
      <c r="R40" s="17">
        <v>4</v>
      </c>
      <c r="T40" s="19">
        <v>10</v>
      </c>
      <c r="U40" s="17">
        <v>4</v>
      </c>
      <c r="W40" s="19"/>
      <c r="X40" s="16"/>
      <c r="Y40" s="16"/>
      <c r="Z40" s="17"/>
      <c r="AB40" s="19"/>
      <c r="AC40" s="16"/>
      <c r="AD40" s="16"/>
      <c r="AE40" s="17"/>
      <c r="AG40" s="19"/>
      <c r="AH40" s="16"/>
      <c r="AI40" s="16"/>
      <c r="AJ40" s="17"/>
      <c r="AL40" s="19"/>
      <c r="AM40" s="16"/>
      <c r="AN40" s="16"/>
      <c r="AO40" s="17"/>
      <c r="AQ40" s="2">
        <v>1</v>
      </c>
    </row>
    <row r="41" spans="2:43" ht="18" customHeight="1" x14ac:dyDescent="0.2">
      <c r="B41" s="10">
        <v>41</v>
      </c>
      <c r="C41" s="8">
        <v>2</v>
      </c>
      <c r="D41" s="8">
        <v>7</v>
      </c>
      <c r="E41" s="8">
        <v>0</v>
      </c>
      <c r="F41" s="84" t="s">
        <v>107</v>
      </c>
      <c r="G41" s="8" t="s">
        <v>165</v>
      </c>
      <c r="H41" s="8" t="s">
        <v>165</v>
      </c>
      <c r="I41" s="8" t="s">
        <v>165</v>
      </c>
      <c r="J41" s="44" t="s">
        <v>108</v>
      </c>
      <c r="K41" s="8" t="s">
        <v>109</v>
      </c>
      <c r="L41" s="9" t="s">
        <v>117</v>
      </c>
      <c r="M41" s="9" t="s">
        <v>222</v>
      </c>
      <c r="O41" s="18">
        <v>10</v>
      </c>
      <c r="P41" s="14">
        <v>16</v>
      </c>
      <c r="Q41" s="14">
        <v>4</v>
      </c>
      <c r="R41" s="15">
        <v>4</v>
      </c>
      <c r="T41" s="18">
        <v>10</v>
      </c>
      <c r="U41" s="15">
        <v>4</v>
      </c>
      <c r="W41" s="18"/>
      <c r="X41" s="14"/>
      <c r="Y41" s="14"/>
      <c r="Z41" s="15"/>
      <c r="AB41" s="18"/>
      <c r="AC41" s="14"/>
      <c r="AD41" s="14"/>
      <c r="AE41" s="15"/>
      <c r="AG41" s="18"/>
      <c r="AH41" s="14"/>
      <c r="AI41" s="14"/>
      <c r="AJ41" s="15"/>
      <c r="AL41" s="18"/>
      <c r="AM41" s="14"/>
      <c r="AN41" s="14"/>
      <c r="AO41" s="15"/>
      <c r="AQ41" s="2">
        <v>1</v>
      </c>
    </row>
    <row r="42" spans="2:43" ht="18" customHeight="1" x14ac:dyDescent="0.2">
      <c r="B42" s="8">
        <v>42</v>
      </c>
      <c r="C42" s="10">
        <v>2</v>
      </c>
      <c r="D42" s="10">
        <v>8</v>
      </c>
      <c r="E42" s="10">
        <v>0</v>
      </c>
      <c r="F42" s="10" t="s">
        <v>107</v>
      </c>
      <c r="G42" s="10" t="s">
        <v>165</v>
      </c>
      <c r="H42" s="10" t="s">
        <v>165</v>
      </c>
      <c r="I42" s="10" t="s">
        <v>165</v>
      </c>
      <c r="J42" s="10" t="s">
        <v>108</v>
      </c>
      <c r="K42" s="10" t="s">
        <v>109</v>
      </c>
      <c r="L42" s="67" t="s">
        <v>223</v>
      </c>
      <c r="M42" s="11" t="s">
        <v>224</v>
      </c>
      <c r="O42" s="19">
        <v>11</v>
      </c>
      <c r="P42" s="16">
        <v>24</v>
      </c>
      <c r="Q42" s="16">
        <v>12</v>
      </c>
      <c r="R42" s="17">
        <v>4</v>
      </c>
      <c r="T42" s="19">
        <v>11</v>
      </c>
      <c r="U42" s="17">
        <v>4</v>
      </c>
      <c r="W42" s="19"/>
      <c r="X42" s="16"/>
      <c r="Y42" s="16"/>
      <c r="Z42" s="17"/>
      <c r="AB42" s="19"/>
      <c r="AC42" s="16"/>
      <c r="AD42" s="16"/>
      <c r="AE42" s="17"/>
      <c r="AG42" s="19"/>
      <c r="AH42" s="16"/>
      <c r="AI42" s="16"/>
      <c r="AJ42" s="17"/>
      <c r="AL42" s="19"/>
      <c r="AM42" s="16"/>
      <c r="AN42" s="16"/>
      <c r="AO42" s="17"/>
      <c r="AQ42" s="2">
        <v>6</v>
      </c>
    </row>
    <row r="43" spans="2:43" ht="18" customHeight="1" x14ac:dyDescent="0.2">
      <c r="B43" s="10">
        <v>43</v>
      </c>
      <c r="C43" s="8">
        <v>2</v>
      </c>
      <c r="D43" s="8">
        <v>9</v>
      </c>
      <c r="E43" s="8">
        <v>20</v>
      </c>
      <c r="F43" s="84" t="s">
        <v>91</v>
      </c>
      <c r="G43" s="8" t="s">
        <v>165</v>
      </c>
      <c r="H43" s="8" t="s">
        <v>108</v>
      </c>
      <c r="I43" s="8" t="s">
        <v>108</v>
      </c>
      <c r="J43" s="44" t="s">
        <v>108</v>
      </c>
      <c r="K43" s="8" t="s">
        <v>109</v>
      </c>
      <c r="L43" s="9" t="s">
        <v>225</v>
      </c>
      <c r="M43" s="9" t="s">
        <v>226</v>
      </c>
      <c r="O43" s="18">
        <v>11</v>
      </c>
      <c r="P43" s="14">
        <v>24</v>
      </c>
      <c r="Q43" s="14">
        <v>12</v>
      </c>
      <c r="R43" s="15">
        <v>4</v>
      </c>
      <c r="T43" s="18">
        <v>7</v>
      </c>
      <c r="U43" s="15">
        <v>0</v>
      </c>
      <c r="W43" s="18"/>
      <c r="X43" s="14"/>
      <c r="Y43" s="14"/>
      <c r="Z43" s="15"/>
      <c r="AB43" s="18"/>
      <c r="AC43" s="14"/>
      <c r="AD43" s="14"/>
      <c r="AE43" s="15"/>
      <c r="AG43" s="18"/>
      <c r="AH43" s="14"/>
      <c r="AI43" s="14"/>
      <c r="AJ43" s="15"/>
      <c r="AL43" s="18"/>
      <c r="AM43" s="14"/>
      <c r="AN43" s="14"/>
      <c r="AO43" s="15"/>
      <c r="AQ43" s="2">
        <v>6</v>
      </c>
    </row>
    <row r="44" spans="2:43" ht="18" customHeight="1" x14ac:dyDescent="0.2">
      <c r="B44" s="8">
        <v>44</v>
      </c>
      <c r="C44" s="10">
        <v>2</v>
      </c>
      <c r="D44" s="10">
        <v>10</v>
      </c>
      <c r="E44" s="10">
        <v>29</v>
      </c>
      <c r="F44" s="10" t="s">
        <v>107</v>
      </c>
      <c r="G44" s="10" t="s">
        <v>165</v>
      </c>
      <c r="H44" s="10" t="s">
        <v>108</v>
      </c>
      <c r="I44" s="10" t="s">
        <v>108</v>
      </c>
      <c r="J44" s="10" t="s">
        <v>108</v>
      </c>
      <c r="K44" s="10" t="s">
        <v>109</v>
      </c>
      <c r="L44" s="67" t="s">
        <v>227</v>
      </c>
      <c r="M44" s="11" t="s">
        <v>228</v>
      </c>
      <c r="O44" s="19">
        <v>11</v>
      </c>
      <c r="P44" s="16">
        <v>24</v>
      </c>
      <c r="Q44" s="16">
        <v>12</v>
      </c>
      <c r="R44" s="17">
        <v>4</v>
      </c>
      <c r="T44" s="19">
        <v>0</v>
      </c>
      <c r="U44" s="17">
        <v>0</v>
      </c>
      <c r="W44" s="19"/>
      <c r="X44" s="16"/>
      <c r="Y44" s="16"/>
      <c r="Z44" s="17"/>
      <c r="AB44" s="19"/>
      <c r="AC44" s="16"/>
      <c r="AD44" s="16"/>
      <c r="AE44" s="17"/>
      <c r="AG44" s="19"/>
      <c r="AH44" s="16"/>
      <c r="AI44" s="16"/>
      <c r="AJ44" s="17"/>
      <c r="AL44" s="19"/>
      <c r="AM44" s="16"/>
      <c r="AN44" s="16"/>
      <c r="AO44" s="17"/>
      <c r="AQ44" s="2">
        <v>6</v>
      </c>
    </row>
    <row r="45" spans="2:43" ht="18" customHeight="1" x14ac:dyDescent="0.2">
      <c r="B45" s="10">
        <v>45</v>
      </c>
      <c r="C45" s="8">
        <v>2</v>
      </c>
      <c r="D45" s="8">
        <v>11</v>
      </c>
      <c r="E45" s="8">
        <v>0</v>
      </c>
      <c r="F45" s="84" t="s">
        <v>107</v>
      </c>
      <c r="G45" s="8" t="s">
        <v>165</v>
      </c>
      <c r="H45" s="8" t="s">
        <v>165</v>
      </c>
      <c r="I45" s="8" t="s">
        <v>165</v>
      </c>
      <c r="J45" s="44" t="s">
        <v>108</v>
      </c>
      <c r="K45" s="8" t="s">
        <v>109</v>
      </c>
      <c r="L45" s="9" t="s">
        <v>179</v>
      </c>
      <c r="M45" s="9" t="s">
        <v>229</v>
      </c>
      <c r="O45" s="18">
        <v>11</v>
      </c>
      <c r="P45" s="14">
        <v>24</v>
      </c>
      <c r="Q45" s="14">
        <v>12</v>
      </c>
      <c r="R45" s="15">
        <v>4</v>
      </c>
      <c r="T45" s="18">
        <v>11</v>
      </c>
      <c r="U45" s="15">
        <v>4</v>
      </c>
      <c r="W45" s="18"/>
      <c r="X45" s="14"/>
      <c r="Y45" s="14"/>
      <c r="Z45" s="15"/>
      <c r="AB45" s="18"/>
      <c r="AC45" s="14"/>
      <c r="AD45" s="14"/>
      <c r="AE45" s="15"/>
      <c r="AG45" s="18"/>
      <c r="AH45" s="14"/>
      <c r="AI45" s="14"/>
      <c r="AJ45" s="15"/>
      <c r="AL45" s="18"/>
      <c r="AM45" s="14"/>
      <c r="AN45" s="14"/>
      <c r="AO45" s="15"/>
      <c r="AQ45" s="2">
        <v>6</v>
      </c>
    </row>
    <row r="46" spans="2:43" ht="18" customHeight="1" x14ac:dyDescent="0.2">
      <c r="B46" s="8">
        <v>46</v>
      </c>
      <c r="C46" s="10">
        <v>2</v>
      </c>
      <c r="D46" s="10">
        <v>12</v>
      </c>
      <c r="E46" s="10">
        <v>24</v>
      </c>
      <c r="F46" s="10" t="s">
        <v>107</v>
      </c>
      <c r="G46" s="10" t="s">
        <v>165</v>
      </c>
      <c r="H46" s="10" t="s">
        <v>108</v>
      </c>
      <c r="I46" s="10" t="s">
        <v>108</v>
      </c>
      <c r="J46" s="10" t="s">
        <v>165</v>
      </c>
      <c r="K46" s="10" t="s">
        <v>109</v>
      </c>
      <c r="L46" s="67" t="s">
        <v>230</v>
      </c>
      <c r="M46" s="11" t="s">
        <v>231</v>
      </c>
      <c r="O46" s="19">
        <v>11</v>
      </c>
      <c r="P46" s="16">
        <v>24</v>
      </c>
      <c r="Q46" s="16">
        <v>12</v>
      </c>
      <c r="R46" s="17">
        <v>4</v>
      </c>
      <c r="T46" s="19">
        <v>7</v>
      </c>
      <c r="U46" s="17">
        <v>0</v>
      </c>
      <c r="W46" s="19"/>
      <c r="X46" s="16"/>
      <c r="Y46" s="16"/>
      <c r="Z46" s="17"/>
      <c r="AB46" s="19"/>
      <c r="AC46" s="16"/>
      <c r="AD46" s="16"/>
      <c r="AE46" s="17"/>
      <c r="AG46" s="19"/>
      <c r="AH46" s="16"/>
      <c r="AI46" s="16"/>
      <c r="AJ46" s="17"/>
      <c r="AL46" s="19"/>
      <c r="AM46" s="16"/>
      <c r="AN46" s="16"/>
      <c r="AO46" s="17"/>
      <c r="AQ46" s="2">
        <v>6</v>
      </c>
    </row>
    <row r="47" spans="2:43" ht="18" customHeight="1" x14ac:dyDescent="0.2">
      <c r="B47" s="10">
        <v>47</v>
      </c>
      <c r="C47" s="8">
        <v>2</v>
      </c>
      <c r="D47" s="8">
        <v>13</v>
      </c>
      <c r="E47" s="8">
        <v>0</v>
      </c>
      <c r="F47" s="84" t="s">
        <v>107</v>
      </c>
      <c r="G47" s="8" t="s">
        <v>165</v>
      </c>
      <c r="H47" s="8" t="s">
        <v>165</v>
      </c>
      <c r="I47" s="8" t="s">
        <v>165</v>
      </c>
      <c r="J47" s="44" t="s">
        <v>108</v>
      </c>
      <c r="K47" s="8" t="s">
        <v>109</v>
      </c>
      <c r="L47" s="9" t="s">
        <v>139</v>
      </c>
      <c r="M47" s="9" t="s">
        <v>232</v>
      </c>
      <c r="O47" s="18">
        <v>11</v>
      </c>
      <c r="P47" s="14">
        <v>24</v>
      </c>
      <c r="Q47" s="14">
        <v>12</v>
      </c>
      <c r="R47" s="15">
        <v>4</v>
      </c>
      <c r="T47" s="18">
        <v>11</v>
      </c>
      <c r="U47" s="15">
        <v>4</v>
      </c>
      <c r="W47" s="18"/>
      <c r="X47" s="14"/>
      <c r="Y47" s="14"/>
      <c r="Z47" s="15"/>
      <c r="AB47" s="18"/>
      <c r="AC47" s="14"/>
      <c r="AD47" s="14"/>
      <c r="AE47" s="15"/>
      <c r="AG47" s="18"/>
      <c r="AH47" s="14"/>
      <c r="AI47" s="14"/>
      <c r="AJ47" s="15"/>
      <c r="AL47" s="18"/>
      <c r="AM47" s="14"/>
      <c r="AN47" s="14"/>
      <c r="AO47" s="15"/>
      <c r="AQ47" s="2">
        <v>6</v>
      </c>
    </row>
    <row r="48" spans="2:43" ht="18" customHeight="1" x14ac:dyDescent="0.2">
      <c r="B48" s="8">
        <v>48</v>
      </c>
      <c r="C48" s="10">
        <v>2</v>
      </c>
      <c r="D48" s="10">
        <v>14</v>
      </c>
      <c r="E48" s="10">
        <v>0</v>
      </c>
      <c r="F48" s="10" t="s">
        <v>107</v>
      </c>
      <c r="G48" s="10" t="s">
        <v>165</v>
      </c>
      <c r="H48" s="10" t="s">
        <v>165</v>
      </c>
      <c r="I48" s="10" t="s">
        <v>165</v>
      </c>
      <c r="J48" s="10" t="s">
        <v>108</v>
      </c>
      <c r="K48" s="10" t="s">
        <v>109</v>
      </c>
      <c r="L48" s="67" t="s">
        <v>233</v>
      </c>
      <c r="M48" s="11" t="s">
        <v>234</v>
      </c>
      <c r="O48" s="19">
        <v>11</v>
      </c>
      <c r="P48" s="16">
        <v>24</v>
      </c>
      <c r="Q48" s="16">
        <v>12</v>
      </c>
      <c r="R48" s="17">
        <v>4</v>
      </c>
      <c r="T48" s="19">
        <v>11</v>
      </c>
      <c r="U48" s="17">
        <v>4</v>
      </c>
      <c r="W48" s="19"/>
      <c r="X48" s="16"/>
      <c r="Y48" s="16"/>
      <c r="Z48" s="17"/>
      <c r="AB48" s="19"/>
      <c r="AC48" s="16"/>
      <c r="AD48" s="16"/>
      <c r="AE48" s="17"/>
      <c r="AG48" s="19"/>
      <c r="AH48" s="16"/>
      <c r="AI48" s="16"/>
      <c r="AJ48" s="17"/>
      <c r="AL48" s="19"/>
      <c r="AM48" s="16"/>
      <c r="AN48" s="16"/>
      <c r="AO48" s="17"/>
      <c r="AQ48" s="2">
        <v>6</v>
      </c>
    </row>
    <row r="49" spans="2:43" ht="18" customHeight="1" x14ac:dyDescent="0.2">
      <c r="B49" s="10">
        <v>49</v>
      </c>
      <c r="C49" s="8">
        <v>2</v>
      </c>
      <c r="D49" s="8">
        <v>15</v>
      </c>
      <c r="E49" s="8">
        <v>7</v>
      </c>
      <c r="F49" s="84" t="s">
        <v>107</v>
      </c>
      <c r="G49" s="8" t="s">
        <v>165</v>
      </c>
      <c r="H49" s="8" t="s">
        <v>165</v>
      </c>
      <c r="I49" s="8" t="s">
        <v>165</v>
      </c>
      <c r="J49" s="44" t="s">
        <v>108</v>
      </c>
      <c r="K49" s="8" t="s">
        <v>109</v>
      </c>
      <c r="L49" s="9" t="s">
        <v>235</v>
      </c>
      <c r="M49" s="9" t="s">
        <v>236</v>
      </c>
      <c r="O49" s="18">
        <v>11</v>
      </c>
      <c r="P49" s="14">
        <v>24</v>
      </c>
      <c r="Q49" s="14">
        <v>12</v>
      </c>
      <c r="R49" s="15">
        <v>4</v>
      </c>
      <c r="T49" s="18">
        <v>11</v>
      </c>
      <c r="U49" s="15">
        <v>4</v>
      </c>
      <c r="W49" s="18"/>
      <c r="X49" s="14"/>
      <c r="Y49" s="14"/>
      <c r="Z49" s="15"/>
      <c r="AB49" s="18"/>
      <c r="AC49" s="14"/>
      <c r="AD49" s="14"/>
      <c r="AE49" s="15"/>
      <c r="AG49" s="18"/>
      <c r="AH49" s="14"/>
      <c r="AI49" s="14"/>
      <c r="AJ49" s="15"/>
      <c r="AL49" s="18"/>
      <c r="AM49" s="14"/>
      <c r="AN49" s="14"/>
      <c r="AO49" s="15"/>
      <c r="AQ49" s="2">
        <v>6</v>
      </c>
    </row>
    <row r="50" spans="2:43" ht="18" customHeight="1" x14ac:dyDescent="0.2">
      <c r="B50" s="8">
        <v>50</v>
      </c>
      <c r="C50" s="10">
        <v>2</v>
      </c>
      <c r="D50" s="10">
        <v>16</v>
      </c>
      <c r="E50" s="10">
        <v>22</v>
      </c>
      <c r="F50" s="10" t="s">
        <v>107</v>
      </c>
      <c r="G50" s="10" t="s">
        <v>165</v>
      </c>
      <c r="H50" s="10" t="s">
        <v>108</v>
      </c>
      <c r="I50" s="10" t="s">
        <v>108</v>
      </c>
      <c r="J50" s="10" t="s">
        <v>108</v>
      </c>
      <c r="K50" s="10" t="s">
        <v>109</v>
      </c>
      <c r="L50" s="67" t="s">
        <v>135</v>
      </c>
      <c r="M50" s="11" t="s">
        <v>237</v>
      </c>
      <c r="O50" s="19">
        <v>11</v>
      </c>
      <c r="P50" s="16">
        <v>24</v>
      </c>
      <c r="Q50" s="16">
        <v>12</v>
      </c>
      <c r="R50" s="17">
        <v>4</v>
      </c>
      <c r="T50" s="19">
        <v>7</v>
      </c>
      <c r="U50" s="17">
        <v>0</v>
      </c>
      <c r="W50" s="19"/>
      <c r="X50" s="16"/>
      <c r="Y50" s="16"/>
      <c r="Z50" s="17"/>
      <c r="AB50" s="19"/>
      <c r="AC50" s="16"/>
      <c r="AD50" s="16"/>
      <c r="AE50" s="17"/>
      <c r="AG50" s="19"/>
      <c r="AH50" s="16"/>
      <c r="AI50" s="16"/>
      <c r="AJ50" s="17"/>
      <c r="AL50" s="19"/>
      <c r="AM50" s="16"/>
      <c r="AN50" s="16"/>
      <c r="AO50" s="17"/>
      <c r="AQ50" s="2">
        <v>6</v>
      </c>
    </row>
    <row r="51" spans="2:43" ht="18" customHeight="1" x14ac:dyDescent="0.2">
      <c r="B51" s="10">
        <v>51</v>
      </c>
      <c r="C51" s="8">
        <v>2</v>
      </c>
      <c r="D51" s="8">
        <v>17</v>
      </c>
      <c r="E51" s="8">
        <v>0</v>
      </c>
      <c r="F51" s="84" t="s">
        <v>107</v>
      </c>
      <c r="G51" s="8" t="s">
        <v>165</v>
      </c>
      <c r="H51" s="8" t="s">
        <v>165</v>
      </c>
      <c r="I51" s="8" t="s">
        <v>165</v>
      </c>
      <c r="J51" s="44" t="s">
        <v>108</v>
      </c>
      <c r="K51" s="8" t="s">
        <v>109</v>
      </c>
      <c r="L51" s="9" t="s">
        <v>238</v>
      </c>
      <c r="M51" s="9" t="s">
        <v>239</v>
      </c>
      <c r="O51" s="18">
        <v>11</v>
      </c>
      <c r="P51" s="14">
        <v>24</v>
      </c>
      <c r="Q51" s="14">
        <v>12</v>
      </c>
      <c r="R51" s="15">
        <v>4</v>
      </c>
      <c r="T51" s="18">
        <v>11</v>
      </c>
      <c r="U51" s="15">
        <v>4</v>
      </c>
      <c r="W51" s="18"/>
      <c r="X51" s="14"/>
      <c r="Y51" s="14"/>
      <c r="Z51" s="15"/>
      <c r="AB51" s="18"/>
      <c r="AC51" s="14"/>
      <c r="AD51" s="14"/>
      <c r="AE51" s="15"/>
      <c r="AG51" s="18"/>
      <c r="AH51" s="14"/>
      <c r="AI51" s="14"/>
      <c r="AJ51" s="15"/>
      <c r="AL51" s="18"/>
      <c r="AM51" s="14"/>
      <c r="AN51" s="14"/>
      <c r="AO51" s="15"/>
      <c r="AQ51" s="2">
        <v>6</v>
      </c>
    </row>
    <row r="52" spans="2:43" ht="18" customHeight="1" x14ac:dyDescent="0.2">
      <c r="B52" s="8">
        <v>52</v>
      </c>
      <c r="C52" s="10">
        <v>2</v>
      </c>
      <c r="D52" s="10">
        <v>18</v>
      </c>
      <c r="E52" s="10">
        <v>0</v>
      </c>
      <c r="F52" s="10" t="s">
        <v>107</v>
      </c>
      <c r="G52" s="10" t="s">
        <v>165</v>
      </c>
      <c r="H52" s="10" t="s">
        <v>165</v>
      </c>
      <c r="I52" s="10" t="s">
        <v>165</v>
      </c>
      <c r="J52" s="10" t="s">
        <v>108</v>
      </c>
      <c r="K52" s="10" t="s">
        <v>109</v>
      </c>
      <c r="L52" s="67" t="s">
        <v>142</v>
      </c>
      <c r="M52" s="11" t="s">
        <v>240</v>
      </c>
      <c r="O52" s="19">
        <v>11</v>
      </c>
      <c r="P52" s="16">
        <v>24</v>
      </c>
      <c r="Q52" s="16">
        <v>12</v>
      </c>
      <c r="R52" s="17">
        <v>4</v>
      </c>
      <c r="T52" s="19">
        <v>11</v>
      </c>
      <c r="U52" s="17">
        <v>4</v>
      </c>
      <c r="W52" s="19"/>
      <c r="X52" s="16"/>
      <c r="Y52" s="16"/>
      <c r="Z52" s="17"/>
      <c r="AB52" s="19"/>
      <c r="AC52" s="16"/>
      <c r="AD52" s="16"/>
      <c r="AE52" s="17"/>
      <c r="AG52" s="19"/>
      <c r="AH52" s="16"/>
      <c r="AI52" s="16"/>
      <c r="AJ52" s="17"/>
      <c r="AL52" s="19"/>
      <c r="AM52" s="16"/>
      <c r="AN52" s="16"/>
      <c r="AO52" s="17"/>
      <c r="AQ52" s="2">
        <v>6</v>
      </c>
    </row>
    <row r="53" spans="2:43" ht="18" customHeight="1" x14ac:dyDescent="0.2">
      <c r="B53" s="10">
        <v>53</v>
      </c>
      <c r="C53" s="10">
        <v>2</v>
      </c>
      <c r="D53" s="10">
        <v>19</v>
      </c>
      <c r="E53" s="10">
        <v>32</v>
      </c>
      <c r="F53" s="10" t="s">
        <v>107</v>
      </c>
      <c r="G53" s="10" t="s">
        <v>108</v>
      </c>
      <c r="H53" s="10" t="s">
        <v>108</v>
      </c>
      <c r="I53" s="10" t="s">
        <v>108</v>
      </c>
      <c r="J53" s="10" t="s">
        <v>108</v>
      </c>
      <c r="K53" s="10" t="s">
        <v>109</v>
      </c>
      <c r="L53" s="67" t="s">
        <v>128</v>
      </c>
      <c r="M53" s="11" t="s">
        <v>129</v>
      </c>
      <c r="O53" s="19"/>
      <c r="P53" s="16"/>
      <c r="Q53" s="16"/>
      <c r="R53" s="17"/>
      <c r="T53" s="19"/>
      <c r="U53" s="17"/>
      <c r="W53" s="19"/>
      <c r="X53" s="16"/>
      <c r="Y53" s="16"/>
      <c r="Z53" s="17"/>
      <c r="AB53" s="19"/>
      <c r="AC53" s="16"/>
      <c r="AD53" s="16"/>
      <c r="AE53" s="17"/>
      <c r="AG53" s="19"/>
      <c r="AH53" s="16"/>
      <c r="AI53" s="16"/>
      <c r="AJ53" s="17"/>
      <c r="AL53" s="19"/>
      <c r="AM53" s="16"/>
      <c r="AN53" s="16"/>
      <c r="AO53" s="17"/>
      <c r="AQ53" s="2"/>
    </row>
    <row r="54" spans="2:43" ht="18" customHeight="1" x14ac:dyDescent="0.2">
      <c r="B54" s="8">
        <v>54</v>
      </c>
      <c r="C54" s="8">
        <v>2</v>
      </c>
      <c r="D54" s="8">
        <v>20</v>
      </c>
      <c r="E54" s="8">
        <v>26</v>
      </c>
      <c r="F54" s="84" t="s">
        <v>241</v>
      </c>
      <c r="G54" s="8" t="s">
        <v>165</v>
      </c>
      <c r="H54" s="8" t="s">
        <v>108</v>
      </c>
      <c r="I54" s="8" t="s">
        <v>108</v>
      </c>
      <c r="J54" s="44" t="s">
        <v>165</v>
      </c>
      <c r="K54" s="8" t="s">
        <v>109</v>
      </c>
      <c r="L54" s="9" t="s">
        <v>242</v>
      </c>
      <c r="M54" s="9" t="s">
        <v>243</v>
      </c>
      <c r="O54" s="18">
        <v>11</v>
      </c>
      <c r="P54" s="14">
        <v>24</v>
      </c>
      <c r="Q54" s="14">
        <v>12</v>
      </c>
      <c r="R54" s="15">
        <v>4</v>
      </c>
      <c r="T54" s="18">
        <v>7</v>
      </c>
      <c r="U54" s="15">
        <v>2</v>
      </c>
      <c r="W54" s="18"/>
      <c r="X54" s="14"/>
      <c r="Y54" s="14"/>
      <c r="Z54" s="15"/>
      <c r="AB54" s="18"/>
      <c r="AC54" s="14"/>
      <c r="AD54" s="14"/>
      <c r="AE54" s="15"/>
      <c r="AG54" s="18"/>
      <c r="AH54" s="14"/>
      <c r="AI54" s="14"/>
      <c r="AJ54" s="15"/>
      <c r="AL54" s="18"/>
      <c r="AM54" s="14"/>
      <c r="AN54" s="14"/>
      <c r="AO54" s="15"/>
      <c r="AQ54" s="2">
        <v>6</v>
      </c>
    </row>
    <row r="55" spans="2:43" ht="18" customHeight="1" x14ac:dyDescent="0.2">
      <c r="B55" s="10">
        <v>55</v>
      </c>
      <c r="C55" s="10">
        <v>2</v>
      </c>
      <c r="D55" s="10">
        <v>21</v>
      </c>
      <c r="E55" s="10">
        <v>18</v>
      </c>
      <c r="F55" s="10" t="s">
        <v>107</v>
      </c>
      <c r="G55" s="10" t="s">
        <v>165</v>
      </c>
      <c r="H55" s="10" t="s">
        <v>165</v>
      </c>
      <c r="I55" s="10" t="s">
        <v>108</v>
      </c>
      <c r="J55" s="10" t="s">
        <v>108</v>
      </c>
      <c r="K55" s="10" t="s">
        <v>109</v>
      </c>
      <c r="L55" s="67" t="s">
        <v>244</v>
      </c>
      <c r="M55" s="11" t="s">
        <v>245</v>
      </c>
      <c r="O55" s="19">
        <v>11</v>
      </c>
      <c r="P55" s="16">
        <v>24</v>
      </c>
      <c r="Q55" s="16">
        <v>12</v>
      </c>
      <c r="R55" s="17">
        <v>4</v>
      </c>
      <c r="T55" s="19">
        <v>11</v>
      </c>
      <c r="U55" s="17">
        <v>1</v>
      </c>
      <c r="W55" s="19"/>
      <c r="X55" s="16"/>
      <c r="Y55" s="16"/>
      <c r="Z55" s="17"/>
      <c r="AB55" s="19"/>
      <c r="AC55" s="16"/>
      <c r="AD55" s="16"/>
      <c r="AE55" s="17"/>
      <c r="AG55" s="19"/>
      <c r="AH55" s="16"/>
      <c r="AI55" s="16"/>
      <c r="AJ55" s="17"/>
      <c r="AL55" s="19"/>
      <c r="AM55" s="16"/>
      <c r="AN55" s="16"/>
      <c r="AO55" s="17"/>
      <c r="AQ55" s="2">
        <v>6</v>
      </c>
    </row>
    <row r="56" spans="2:43" ht="18" customHeight="1" x14ac:dyDescent="0.2">
      <c r="B56" s="8">
        <v>56</v>
      </c>
      <c r="C56" s="8">
        <v>2</v>
      </c>
      <c r="D56" s="8">
        <v>22</v>
      </c>
      <c r="E56" s="8">
        <v>27</v>
      </c>
      <c r="F56" s="84" t="s">
        <v>107</v>
      </c>
      <c r="G56" s="8" t="s">
        <v>108</v>
      </c>
      <c r="H56" s="8" t="s">
        <v>108</v>
      </c>
      <c r="I56" s="8" t="s">
        <v>108</v>
      </c>
      <c r="J56" s="44" t="s">
        <v>108</v>
      </c>
      <c r="K56" s="8" t="s">
        <v>109</v>
      </c>
      <c r="L56" s="9" t="s">
        <v>128</v>
      </c>
      <c r="M56" s="9" t="s">
        <v>246</v>
      </c>
      <c r="O56" s="18">
        <v>12</v>
      </c>
      <c r="P56" s="14">
        <v>36</v>
      </c>
      <c r="Q56" s="14">
        <v>16</v>
      </c>
      <c r="R56" s="15">
        <v>8</v>
      </c>
      <c r="T56" s="18">
        <v>0</v>
      </c>
      <c r="U56" s="15">
        <v>0</v>
      </c>
      <c r="W56" s="18"/>
      <c r="X56" s="14"/>
      <c r="Y56" s="14"/>
      <c r="Z56" s="15"/>
      <c r="AB56" s="18"/>
      <c r="AC56" s="14"/>
      <c r="AD56" s="14"/>
      <c r="AE56" s="15"/>
      <c r="AG56" s="18"/>
      <c r="AH56" s="14"/>
      <c r="AI56" s="14"/>
      <c r="AJ56" s="15"/>
      <c r="AL56" s="18"/>
      <c r="AM56" s="14"/>
      <c r="AN56" s="14"/>
      <c r="AO56" s="15"/>
      <c r="AQ56" s="2">
        <v>13</v>
      </c>
    </row>
    <row r="57" spans="2:43" ht="18" customHeight="1" x14ac:dyDescent="0.2">
      <c r="B57" s="10">
        <v>57</v>
      </c>
      <c r="C57" s="10">
        <v>2</v>
      </c>
      <c r="D57" s="10">
        <v>23</v>
      </c>
      <c r="E57" s="10">
        <v>15</v>
      </c>
      <c r="F57" s="10" t="s">
        <v>241</v>
      </c>
      <c r="G57" s="10" t="s">
        <v>165</v>
      </c>
      <c r="H57" s="10" t="s">
        <v>165</v>
      </c>
      <c r="I57" s="10" t="s">
        <v>108</v>
      </c>
      <c r="J57" s="10" t="s">
        <v>108</v>
      </c>
      <c r="K57" s="10" t="s">
        <v>109</v>
      </c>
      <c r="L57" s="67" t="s">
        <v>242</v>
      </c>
      <c r="M57" s="11" t="s">
        <v>247</v>
      </c>
      <c r="O57" s="19">
        <v>12</v>
      </c>
      <c r="P57" s="16">
        <v>36</v>
      </c>
      <c r="Q57" s="16">
        <v>16</v>
      </c>
      <c r="R57" s="17">
        <v>8</v>
      </c>
      <c r="T57" s="19">
        <v>12</v>
      </c>
      <c r="U57" s="17">
        <v>1</v>
      </c>
      <c r="W57" s="19"/>
      <c r="X57" s="16"/>
      <c r="Y57" s="16"/>
      <c r="Z57" s="17"/>
      <c r="AB57" s="19"/>
      <c r="AC57" s="16"/>
      <c r="AD57" s="16"/>
      <c r="AE57" s="17"/>
      <c r="AG57" s="19"/>
      <c r="AH57" s="16"/>
      <c r="AI57" s="16"/>
      <c r="AJ57" s="17"/>
      <c r="AL57" s="19"/>
      <c r="AM57" s="16"/>
      <c r="AN57" s="16"/>
      <c r="AO57" s="17"/>
      <c r="AQ57" s="2">
        <v>13</v>
      </c>
    </row>
    <row r="58" spans="2:43" ht="18" customHeight="1" x14ac:dyDescent="0.2">
      <c r="B58" s="8">
        <v>58</v>
      </c>
      <c r="C58" s="8">
        <v>2</v>
      </c>
      <c r="D58" s="8">
        <v>24</v>
      </c>
      <c r="E58" s="8">
        <v>19</v>
      </c>
      <c r="F58" s="84" t="s">
        <v>107</v>
      </c>
      <c r="G58" s="8" t="s">
        <v>108</v>
      </c>
      <c r="H58" s="8" t="s">
        <v>108</v>
      </c>
      <c r="I58" s="8" t="s">
        <v>108</v>
      </c>
      <c r="J58" s="44" t="s">
        <v>108</v>
      </c>
      <c r="K58" s="8" t="s">
        <v>109</v>
      </c>
      <c r="L58" s="9" t="s">
        <v>154</v>
      </c>
      <c r="M58" s="9" t="s">
        <v>248</v>
      </c>
      <c r="O58" s="18">
        <v>12</v>
      </c>
      <c r="P58" s="14">
        <v>36</v>
      </c>
      <c r="Q58" s="14">
        <v>16</v>
      </c>
      <c r="R58" s="15">
        <v>8</v>
      </c>
      <c r="T58" s="18">
        <v>4</v>
      </c>
      <c r="U58" s="15">
        <v>1</v>
      </c>
      <c r="W58" s="18"/>
      <c r="X58" s="14"/>
      <c r="Y58" s="14"/>
      <c r="Z58" s="15"/>
      <c r="AB58" s="18"/>
      <c r="AC58" s="14"/>
      <c r="AD58" s="14"/>
      <c r="AE58" s="15"/>
      <c r="AG58" s="18"/>
      <c r="AH58" s="14"/>
      <c r="AI58" s="14"/>
      <c r="AJ58" s="15"/>
      <c r="AL58" s="18"/>
      <c r="AM58" s="14"/>
      <c r="AN58" s="14"/>
      <c r="AO58" s="15"/>
      <c r="AQ58" s="2">
        <v>13</v>
      </c>
    </row>
    <row r="59" spans="2:43" ht="18" customHeight="1" x14ac:dyDescent="0.2">
      <c r="B59" s="10">
        <v>59</v>
      </c>
      <c r="C59" s="10">
        <v>2</v>
      </c>
      <c r="D59" s="10">
        <v>25</v>
      </c>
      <c r="E59" s="10">
        <v>31</v>
      </c>
      <c r="F59" s="10" t="s">
        <v>107</v>
      </c>
      <c r="G59" s="10" t="s">
        <v>108</v>
      </c>
      <c r="H59" s="10" t="s">
        <v>108</v>
      </c>
      <c r="I59" s="10" t="s">
        <v>108</v>
      </c>
      <c r="J59" s="10" t="s">
        <v>108</v>
      </c>
      <c r="K59" s="10" t="s">
        <v>109</v>
      </c>
      <c r="L59" s="67" t="s">
        <v>110</v>
      </c>
      <c r="M59" s="11" t="s">
        <v>111</v>
      </c>
      <c r="O59" s="19">
        <v>12</v>
      </c>
      <c r="P59" s="16">
        <v>36</v>
      </c>
      <c r="Q59" s="16">
        <v>16</v>
      </c>
      <c r="R59" s="17">
        <v>8</v>
      </c>
      <c r="T59" s="19">
        <v>0</v>
      </c>
      <c r="U59" s="17">
        <v>0</v>
      </c>
      <c r="W59" s="19"/>
      <c r="X59" s="16"/>
      <c r="Y59" s="16"/>
      <c r="Z59" s="17"/>
      <c r="AB59" s="19"/>
      <c r="AC59" s="16"/>
      <c r="AD59" s="16"/>
      <c r="AE59" s="17"/>
      <c r="AG59" s="19"/>
      <c r="AH59" s="16"/>
      <c r="AI59" s="16"/>
      <c r="AJ59" s="17"/>
      <c r="AL59" s="19"/>
      <c r="AM59" s="16"/>
      <c r="AN59" s="16"/>
      <c r="AO59" s="17"/>
      <c r="AQ59" s="2">
        <v>13</v>
      </c>
    </row>
    <row r="60" spans="2:43" ht="18" customHeight="1" x14ac:dyDescent="0.2">
      <c r="B60" s="8">
        <v>60</v>
      </c>
      <c r="C60" s="8">
        <v>2</v>
      </c>
      <c r="D60" s="8">
        <v>26</v>
      </c>
      <c r="E60" s="8">
        <v>17</v>
      </c>
      <c r="F60" s="84" t="s">
        <v>107</v>
      </c>
      <c r="G60" s="8" t="s">
        <v>165</v>
      </c>
      <c r="H60" s="8" t="s">
        <v>165</v>
      </c>
      <c r="I60" s="8" t="s">
        <v>108</v>
      </c>
      <c r="J60" s="44" t="s">
        <v>108</v>
      </c>
      <c r="K60" s="8" t="s">
        <v>109</v>
      </c>
      <c r="L60" s="9" t="s">
        <v>238</v>
      </c>
      <c r="M60" s="9" t="s">
        <v>249</v>
      </c>
      <c r="O60" s="18">
        <v>12</v>
      </c>
      <c r="P60" s="14">
        <v>36</v>
      </c>
      <c r="Q60" s="14">
        <v>16</v>
      </c>
      <c r="R60" s="15">
        <v>8</v>
      </c>
      <c r="T60" s="18">
        <v>12</v>
      </c>
      <c r="U60" s="15">
        <v>0</v>
      </c>
      <c r="W60" s="18"/>
      <c r="X60" s="14"/>
      <c r="Y60" s="14"/>
      <c r="Z60" s="15"/>
      <c r="AB60" s="18"/>
      <c r="AC60" s="14"/>
      <c r="AD60" s="14"/>
      <c r="AE60" s="15"/>
      <c r="AG60" s="18"/>
      <c r="AH60" s="14"/>
      <c r="AI60" s="14"/>
      <c r="AJ60" s="15"/>
      <c r="AL60" s="18"/>
      <c r="AM60" s="14"/>
      <c r="AN60" s="14"/>
      <c r="AO60" s="15"/>
      <c r="AQ60" s="2">
        <v>13</v>
      </c>
    </row>
    <row r="61" spans="2:43" ht="18" customHeight="1" x14ac:dyDescent="0.2">
      <c r="B61" s="10">
        <v>61</v>
      </c>
      <c r="C61" s="10">
        <v>2</v>
      </c>
      <c r="D61" s="10">
        <v>27</v>
      </c>
      <c r="E61" s="10">
        <v>0</v>
      </c>
      <c r="F61" s="10" t="s">
        <v>107</v>
      </c>
      <c r="G61" s="10" t="s">
        <v>165</v>
      </c>
      <c r="H61" s="10" t="s">
        <v>165</v>
      </c>
      <c r="I61" s="10" t="s">
        <v>165</v>
      </c>
      <c r="J61" s="10" t="s">
        <v>108</v>
      </c>
      <c r="K61" s="10" t="s">
        <v>109</v>
      </c>
      <c r="L61" s="67" t="s">
        <v>250</v>
      </c>
      <c r="M61" s="11" t="s">
        <v>251</v>
      </c>
      <c r="O61" s="19">
        <v>12</v>
      </c>
      <c r="P61" s="16">
        <v>36</v>
      </c>
      <c r="Q61" s="16">
        <v>16</v>
      </c>
      <c r="R61" s="17">
        <v>8</v>
      </c>
      <c r="T61" s="19">
        <v>12</v>
      </c>
      <c r="U61" s="17">
        <v>8</v>
      </c>
      <c r="W61" s="19"/>
      <c r="X61" s="16"/>
      <c r="Y61" s="16"/>
      <c r="Z61" s="17"/>
      <c r="AB61" s="19"/>
      <c r="AC61" s="16"/>
      <c r="AD61" s="16"/>
      <c r="AE61" s="17"/>
      <c r="AG61" s="19"/>
      <c r="AH61" s="16"/>
      <c r="AI61" s="16"/>
      <c r="AJ61" s="17"/>
      <c r="AL61" s="19"/>
      <c r="AM61" s="16"/>
      <c r="AN61" s="16"/>
      <c r="AO61" s="17"/>
      <c r="AQ61" s="2">
        <v>13</v>
      </c>
    </row>
    <row r="62" spans="2:43" ht="18" customHeight="1" x14ac:dyDescent="0.2">
      <c r="B62" s="8">
        <v>62</v>
      </c>
      <c r="C62" s="8">
        <v>2</v>
      </c>
      <c r="D62" s="8">
        <v>28</v>
      </c>
      <c r="E62" s="8">
        <v>30</v>
      </c>
      <c r="F62" s="84" t="s">
        <v>107</v>
      </c>
      <c r="G62" s="8" t="s">
        <v>108</v>
      </c>
      <c r="H62" s="8" t="s">
        <v>108</v>
      </c>
      <c r="I62" s="8" t="s">
        <v>108</v>
      </c>
      <c r="J62" s="44" t="s">
        <v>108</v>
      </c>
      <c r="K62" s="8" t="s">
        <v>109</v>
      </c>
      <c r="L62" s="9" t="s">
        <v>142</v>
      </c>
      <c r="M62" s="9" t="s">
        <v>252</v>
      </c>
      <c r="O62" s="18">
        <v>12</v>
      </c>
      <c r="P62" s="14">
        <v>36</v>
      </c>
      <c r="Q62" s="14">
        <v>16</v>
      </c>
      <c r="R62" s="15">
        <v>8</v>
      </c>
      <c r="T62" s="18">
        <v>0</v>
      </c>
      <c r="U62" s="15">
        <v>0</v>
      </c>
      <c r="W62" s="18"/>
      <c r="X62" s="14"/>
      <c r="Y62" s="14"/>
      <c r="Z62" s="15"/>
      <c r="AB62" s="18"/>
      <c r="AC62" s="14"/>
      <c r="AD62" s="14"/>
      <c r="AE62" s="15"/>
      <c r="AG62" s="18"/>
      <c r="AH62" s="14"/>
      <c r="AI62" s="14"/>
      <c r="AJ62" s="15"/>
      <c r="AL62" s="18"/>
      <c r="AM62" s="14"/>
      <c r="AN62" s="14"/>
      <c r="AO62" s="15"/>
      <c r="AQ62" s="2">
        <v>13</v>
      </c>
    </row>
    <row r="63" spans="2:43" ht="18" customHeight="1" x14ac:dyDescent="0.2">
      <c r="B63" s="10">
        <v>63</v>
      </c>
      <c r="C63" s="10">
        <v>2</v>
      </c>
      <c r="D63" s="10">
        <v>29</v>
      </c>
      <c r="E63" s="10">
        <v>14</v>
      </c>
      <c r="F63" s="10" t="s">
        <v>107</v>
      </c>
      <c r="G63" s="10" t="s">
        <v>165</v>
      </c>
      <c r="H63" s="10" t="s">
        <v>108</v>
      </c>
      <c r="I63" s="10" t="s">
        <v>108</v>
      </c>
      <c r="J63" s="10" t="s">
        <v>108</v>
      </c>
      <c r="K63" s="10" t="s">
        <v>109</v>
      </c>
      <c r="L63" s="67" t="s">
        <v>207</v>
      </c>
      <c r="M63" s="11" t="s">
        <v>253</v>
      </c>
      <c r="O63" s="19">
        <v>12</v>
      </c>
      <c r="P63" s="16">
        <v>36</v>
      </c>
      <c r="Q63" s="16">
        <v>16</v>
      </c>
      <c r="R63" s="17">
        <v>8</v>
      </c>
      <c r="T63" s="19">
        <v>8</v>
      </c>
      <c r="U63" s="17">
        <v>0</v>
      </c>
      <c r="W63" s="19"/>
      <c r="X63" s="16"/>
      <c r="Y63" s="16"/>
      <c r="Z63" s="17"/>
      <c r="AB63" s="19"/>
      <c r="AC63" s="16"/>
      <c r="AD63" s="16"/>
      <c r="AE63" s="17"/>
      <c r="AG63" s="19"/>
      <c r="AH63" s="16"/>
      <c r="AI63" s="16"/>
      <c r="AJ63" s="17"/>
      <c r="AL63" s="19"/>
      <c r="AM63" s="16"/>
      <c r="AN63" s="16"/>
      <c r="AO63" s="17"/>
      <c r="AQ63" s="2">
        <v>13</v>
      </c>
    </row>
    <row r="64" spans="2:43" ht="18" customHeight="1" x14ac:dyDescent="0.2">
      <c r="B64" s="8">
        <v>64</v>
      </c>
      <c r="C64" s="8">
        <v>2</v>
      </c>
      <c r="D64" s="8">
        <v>30</v>
      </c>
      <c r="E64" s="8">
        <v>25</v>
      </c>
      <c r="F64" s="84" t="s">
        <v>193</v>
      </c>
      <c r="G64" s="8" t="s">
        <v>108</v>
      </c>
      <c r="H64" s="8" t="s">
        <v>108</v>
      </c>
      <c r="I64" s="8" t="s">
        <v>108</v>
      </c>
      <c r="J64" s="44" t="s">
        <v>108</v>
      </c>
      <c r="K64" s="8" t="s">
        <v>109</v>
      </c>
      <c r="L64" s="9" t="s">
        <v>157</v>
      </c>
      <c r="M64" s="9" t="s">
        <v>254</v>
      </c>
      <c r="O64" s="18">
        <v>12</v>
      </c>
      <c r="P64" s="14">
        <v>36</v>
      </c>
      <c r="Q64" s="14">
        <v>16</v>
      </c>
      <c r="R64" s="15">
        <v>8</v>
      </c>
      <c r="T64" s="18">
        <v>6</v>
      </c>
      <c r="U64" s="15">
        <v>2</v>
      </c>
      <c r="W64" s="18"/>
      <c r="X64" s="14"/>
      <c r="Y64" s="14"/>
      <c r="Z64" s="15"/>
      <c r="AB64" s="18"/>
      <c r="AC64" s="14"/>
      <c r="AD64" s="14"/>
      <c r="AE64" s="15"/>
      <c r="AG64" s="18"/>
      <c r="AH64" s="14"/>
      <c r="AI64" s="14"/>
      <c r="AJ64" s="15"/>
      <c r="AL64" s="18"/>
      <c r="AM64" s="14"/>
      <c r="AN64" s="14"/>
      <c r="AO64" s="15"/>
      <c r="AQ64" s="2">
        <v>13</v>
      </c>
    </row>
    <row r="65" spans="2:43" ht="18" customHeight="1" x14ac:dyDescent="0.2">
      <c r="B65" s="10">
        <v>65</v>
      </c>
      <c r="C65" s="10">
        <v>2</v>
      </c>
      <c r="D65" s="10">
        <v>31</v>
      </c>
      <c r="E65" s="10">
        <v>11</v>
      </c>
      <c r="F65" s="10" t="s">
        <v>187</v>
      </c>
      <c r="G65" s="10" t="s">
        <v>165</v>
      </c>
      <c r="H65" s="10" t="s">
        <v>165</v>
      </c>
      <c r="I65" s="10" t="s">
        <v>108</v>
      </c>
      <c r="J65" s="10" t="s">
        <v>108</v>
      </c>
      <c r="K65" s="10" t="s">
        <v>109</v>
      </c>
      <c r="L65" s="67" t="s">
        <v>113</v>
      </c>
      <c r="M65" s="11" t="s">
        <v>255</v>
      </c>
      <c r="O65" s="19">
        <v>12</v>
      </c>
      <c r="P65" s="16">
        <v>36</v>
      </c>
      <c r="Q65" s="16">
        <v>16</v>
      </c>
      <c r="R65" s="17">
        <v>8</v>
      </c>
      <c r="T65" s="19">
        <v>12</v>
      </c>
      <c r="U65" s="17">
        <v>5</v>
      </c>
      <c r="W65" s="19"/>
      <c r="X65" s="16"/>
      <c r="Y65" s="16"/>
      <c r="Z65" s="17"/>
      <c r="AB65" s="19"/>
      <c r="AC65" s="16"/>
      <c r="AD65" s="16"/>
      <c r="AE65" s="17"/>
      <c r="AG65" s="19"/>
      <c r="AH65" s="16"/>
      <c r="AI65" s="16"/>
      <c r="AJ65" s="17"/>
      <c r="AL65" s="19"/>
      <c r="AM65" s="16"/>
      <c r="AN65" s="16"/>
      <c r="AO65" s="17"/>
      <c r="AQ65" s="2">
        <v>13</v>
      </c>
    </row>
    <row r="66" spans="2:43" ht="18" customHeight="1" x14ac:dyDescent="0.2">
      <c r="B66" s="8">
        <v>66</v>
      </c>
      <c r="C66" s="8">
        <v>2</v>
      </c>
      <c r="D66" s="8">
        <v>32</v>
      </c>
      <c r="E66" s="8">
        <v>13</v>
      </c>
      <c r="F66" s="84" t="s">
        <v>109</v>
      </c>
      <c r="G66" s="8" t="s">
        <v>165</v>
      </c>
      <c r="H66" s="8" t="s">
        <v>108</v>
      </c>
      <c r="I66" s="8" t="s">
        <v>108</v>
      </c>
      <c r="J66" s="44" t="s">
        <v>108</v>
      </c>
      <c r="K66" s="8" t="s">
        <v>109</v>
      </c>
      <c r="L66" s="9" t="s">
        <v>169</v>
      </c>
      <c r="M66" s="9" t="s">
        <v>256</v>
      </c>
      <c r="O66" s="18">
        <v>12</v>
      </c>
      <c r="P66" s="14">
        <v>36</v>
      </c>
      <c r="Q66" s="14">
        <v>16</v>
      </c>
      <c r="R66" s="15">
        <v>8</v>
      </c>
      <c r="T66" s="18">
        <v>8</v>
      </c>
      <c r="U66" s="15">
        <v>0</v>
      </c>
      <c r="W66" s="18"/>
      <c r="X66" s="14"/>
      <c r="Y66" s="14"/>
      <c r="Z66" s="15"/>
      <c r="AB66" s="18"/>
      <c r="AC66" s="14"/>
      <c r="AD66" s="14"/>
      <c r="AE66" s="15"/>
      <c r="AG66" s="18"/>
      <c r="AH66" s="14"/>
      <c r="AI66" s="14"/>
      <c r="AJ66" s="15"/>
      <c r="AL66" s="18"/>
      <c r="AM66" s="14"/>
      <c r="AN66" s="14"/>
      <c r="AO66" s="15"/>
      <c r="AQ66" s="2">
        <v>13</v>
      </c>
    </row>
    <row r="67" spans="2:43" ht="18" customHeight="1" x14ac:dyDescent="0.2">
      <c r="B67" s="10">
        <v>67</v>
      </c>
      <c r="C67" s="10">
        <v>2</v>
      </c>
      <c r="D67" s="10">
        <v>33</v>
      </c>
      <c r="E67" s="10">
        <v>24</v>
      </c>
      <c r="F67" s="10" t="s">
        <v>107</v>
      </c>
      <c r="G67" s="10" t="s">
        <v>108</v>
      </c>
      <c r="H67" s="10" t="s">
        <v>108</v>
      </c>
      <c r="I67" s="10" t="s">
        <v>108</v>
      </c>
      <c r="J67" s="10" t="s">
        <v>165</v>
      </c>
      <c r="K67" s="10" t="s">
        <v>109</v>
      </c>
      <c r="L67" s="67" t="s">
        <v>257</v>
      </c>
      <c r="M67" s="11" t="s">
        <v>258</v>
      </c>
      <c r="O67" s="19">
        <v>12</v>
      </c>
      <c r="P67" s="16">
        <v>36</v>
      </c>
      <c r="Q67" s="16">
        <v>16</v>
      </c>
      <c r="R67" s="17">
        <v>8</v>
      </c>
      <c r="T67" s="19">
        <v>4</v>
      </c>
      <c r="U67" s="17">
        <v>0</v>
      </c>
      <c r="W67" s="19"/>
      <c r="X67" s="16"/>
      <c r="Y67" s="16"/>
      <c r="Z67" s="17"/>
      <c r="AB67" s="19"/>
      <c r="AC67" s="16"/>
      <c r="AD67" s="16"/>
      <c r="AE67" s="17"/>
      <c r="AG67" s="19"/>
      <c r="AH67" s="16"/>
      <c r="AI67" s="16"/>
      <c r="AJ67" s="17"/>
      <c r="AL67" s="19"/>
      <c r="AM67" s="16"/>
      <c r="AN67" s="16"/>
      <c r="AO67" s="17"/>
      <c r="AQ67" s="2">
        <v>13</v>
      </c>
    </row>
    <row r="68" spans="2:43" ht="18" customHeight="1" x14ac:dyDescent="0.2">
      <c r="B68" s="8">
        <v>68</v>
      </c>
      <c r="C68" s="8">
        <v>2</v>
      </c>
      <c r="D68" s="8">
        <v>34</v>
      </c>
      <c r="E68" s="8">
        <v>15</v>
      </c>
      <c r="F68" s="84" t="s">
        <v>241</v>
      </c>
      <c r="G68" s="8" t="s">
        <v>165</v>
      </c>
      <c r="H68" s="8" t="s">
        <v>165</v>
      </c>
      <c r="I68" s="8" t="s">
        <v>108</v>
      </c>
      <c r="J68" s="44" t="s">
        <v>108</v>
      </c>
      <c r="K68" s="8" t="s">
        <v>109</v>
      </c>
      <c r="L68" s="9" t="s">
        <v>242</v>
      </c>
      <c r="M68" s="9" t="s">
        <v>259</v>
      </c>
      <c r="O68" s="18">
        <v>12</v>
      </c>
      <c r="P68" s="14">
        <v>36</v>
      </c>
      <c r="Q68" s="14">
        <v>16</v>
      </c>
      <c r="R68" s="15">
        <v>8</v>
      </c>
      <c r="T68" s="18">
        <v>12</v>
      </c>
      <c r="U68" s="15">
        <v>1</v>
      </c>
      <c r="W68" s="18"/>
      <c r="X68" s="14"/>
      <c r="Y68" s="14"/>
      <c r="Z68" s="15"/>
      <c r="AB68" s="18"/>
      <c r="AC68" s="14"/>
      <c r="AD68" s="14"/>
      <c r="AE68" s="15"/>
      <c r="AG68" s="18"/>
      <c r="AH68" s="14"/>
      <c r="AI68" s="14"/>
      <c r="AJ68" s="15"/>
      <c r="AL68" s="18"/>
      <c r="AM68" s="14"/>
      <c r="AN68" s="14"/>
      <c r="AO68" s="15"/>
      <c r="AQ68" s="2">
        <v>13</v>
      </c>
    </row>
    <row r="69" spans="2:43" ht="18" customHeight="1" x14ac:dyDescent="0.2">
      <c r="B69" s="10">
        <v>69</v>
      </c>
      <c r="C69" s="10">
        <v>2</v>
      </c>
      <c r="D69" s="10">
        <v>35</v>
      </c>
      <c r="E69" s="10">
        <v>28</v>
      </c>
      <c r="F69" s="10" t="s">
        <v>107</v>
      </c>
      <c r="G69" s="10" t="s">
        <v>165</v>
      </c>
      <c r="H69" s="10" t="s">
        <v>108</v>
      </c>
      <c r="I69" s="10" t="s">
        <v>108</v>
      </c>
      <c r="J69" s="10" t="s">
        <v>108</v>
      </c>
      <c r="K69" s="10" t="s">
        <v>109</v>
      </c>
      <c r="L69" s="67" t="s">
        <v>260</v>
      </c>
      <c r="M69" s="11" t="s">
        <v>237</v>
      </c>
      <c r="O69" s="19">
        <v>12</v>
      </c>
      <c r="P69" s="16">
        <v>36</v>
      </c>
      <c r="Q69" s="16">
        <v>16</v>
      </c>
      <c r="R69" s="17">
        <v>8</v>
      </c>
      <c r="T69" s="19">
        <v>8</v>
      </c>
      <c r="U69" s="17">
        <v>2</v>
      </c>
      <c r="W69" s="19"/>
      <c r="X69" s="16"/>
      <c r="Y69" s="16"/>
      <c r="Z69" s="17"/>
      <c r="AB69" s="19"/>
      <c r="AC69" s="16"/>
      <c r="AD69" s="16"/>
      <c r="AE69" s="17"/>
      <c r="AG69" s="19"/>
      <c r="AH69" s="16"/>
      <c r="AI69" s="16"/>
      <c r="AJ69" s="17"/>
      <c r="AL69" s="19"/>
      <c r="AM69" s="16"/>
      <c r="AN69" s="16"/>
      <c r="AO69" s="17"/>
      <c r="AQ69" s="2">
        <v>13</v>
      </c>
    </row>
    <row r="70" spans="2:43" ht="18" customHeight="1" x14ac:dyDescent="0.2">
      <c r="B70" s="8">
        <v>70</v>
      </c>
      <c r="C70" s="8">
        <v>2</v>
      </c>
      <c r="D70" s="8">
        <v>36</v>
      </c>
      <c r="E70" s="8">
        <v>25</v>
      </c>
      <c r="F70" s="84" t="s">
        <v>193</v>
      </c>
      <c r="G70" s="8" t="s">
        <v>108</v>
      </c>
      <c r="H70" s="8" t="s">
        <v>108</v>
      </c>
      <c r="I70" s="8" t="s">
        <v>108</v>
      </c>
      <c r="J70" s="44" t="s">
        <v>108</v>
      </c>
      <c r="K70" s="8" t="s">
        <v>109</v>
      </c>
      <c r="L70" s="9" t="s">
        <v>157</v>
      </c>
      <c r="M70" s="9" t="s">
        <v>261</v>
      </c>
      <c r="O70" s="18">
        <v>12</v>
      </c>
      <c r="P70" s="14">
        <v>36</v>
      </c>
      <c r="Q70" s="14">
        <v>16</v>
      </c>
      <c r="R70" s="15">
        <v>8</v>
      </c>
      <c r="T70" s="18">
        <v>0</v>
      </c>
      <c r="U70" s="15">
        <v>1</v>
      </c>
      <c r="W70" s="18"/>
      <c r="X70" s="14"/>
      <c r="Y70" s="14"/>
      <c r="Z70" s="15"/>
      <c r="AB70" s="18"/>
      <c r="AC70" s="14"/>
      <c r="AD70" s="14"/>
      <c r="AE70" s="15"/>
      <c r="AG70" s="18"/>
      <c r="AH70" s="14"/>
      <c r="AI70" s="14"/>
      <c r="AJ70" s="15"/>
      <c r="AL70" s="18"/>
      <c r="AM70" s="14"/>
      <c r="AN70" s="14"/>
      <c r="AO70" s="15"/>
      <c r="AQ70" s="2">
        <v>13</v>
      </c>
    </row>
    <row r="71" spans="2:43" ht="18" customHeight="1" x14ac:dyDescent="0.2">
      <c r="B71" s="10">
        <v>71</v>
      </c>
      <c r="C71" s="10">
        <v>2</v>
      </c>
      <c r="D71" s="10">
        <v>37</v>
      </c>
      <c r="E71" s="10">
        <v>7</v>
      </c>
      <c r="F71" s="10" t="s">
        <v>107</v>
      </c>
      <c r="G71" s="10" t="s">
        <v>165</v>
      </c>
      <c r="H71" s="10" t="s">
        <v>165</v>
      </c>
      <c r="I71" s="10" t="s">
        <v>165</v>
      </c>
      <c r="J71" s="10" t="s">
        <v>108</v>
      </c>
      <c r="K71" s="10" t="s">
        <v>109</v>
      </c>
      <c r="L71" s="67" t="s">
        <v>262</v>
      </c>
      <c r="M71" s="11" t="s">
        <v>263</v>
      </c>
      <c r="O71" s="19">
        <v>12</v>
      </c>
      <c r="P71" s="16">
        <v>36</v>
      </c>
      <c r="Q71" s="16">
        <v>16</v>
      </c>
      <c r="R71" s="17">
        <v>8</v>
      </c>
      <c r="T71" s="19">
        <v>12</v>
      </c>
      <c r="U71" s="17">
        <v>8</v>
      </c>
      <c r="W71" s="19"/>
      <c r="X71" s="16"/>
      <c r="Y71" s="16"/>
      <c r="Z71" s="17"/>
      <c r="AB71" s="19"/>
      <c r="AC71" s="16"/>
      <c r="AD71" s="16"/>
      <c r="AE71" s="17"/>
      <c r="AG71" s="19"/>
      <c r="AH71" s="16"/>
      <c r="AI71" s="16"/>
      <c r="AJ71" s="17"/>
      <c r="AL71" s="19"/>
      <c r="AM71" s="16"/>
      <c r="AN71" s="16"/>
      <c r="AO71" s="17"/>
      <c r="AQ71" s="2">
        <v>13</v>
      </c>
    </row>
    <row r="72" spans="2:43" ht="18" customHeight="1" x14ac:dyDescent="0.2">
      <c r="B72" s="8">
        <v>72</v>
      </c>
      <c r="C72" s="8">
        <v>2</v>
      </c>
      <c r="D72" s="8">
        <v>38</v>
      </c>
      <c r="E72" s="8">
        <v>26</v>
      </c>
      <c r="F72" s="84" t="s">
        <v>116</v>
      </c>
      <c r="G72" s="8" t="s">
        <v>165</v>
      </c>
      <c r="H72" s="8" t="s">
        <v>165</v>
      </c>
      <c r="I72" s="8" t="s">
        <v>108</v>
      </c>
      <c r="J72" s="44" t="s">
        <v>108</v>
      </c>
      <c r="K72" s="8" t="s">
        <v>109</v>
      </c>
      <c r="L72" s="9" t="s">
        <v>144</v>
      </c>
      <c r="M72" s="9" t="s">
        <v>264</v>
      </c>
      <c r="O72" s="18">
        <v>12</v>
      </c>
      <c r="P72" s="14">
        <v>36</v>
      </c>
      <c r="Q72" s="14">
        <v>16</v>
      </c>
      <c r="R72" s="15">
        <v>8</v>
      </c>
      <c r="T72" s="18">
        <v>12</v>
      </c>
      <c r="U72" s="15">
        <v>4</v>
      </c>
      <c r="W72" s="18"/>
      <c r="X72" s="14"/>
      <c r="Y72" s="14"/>
      <c r="Z72" s="15"/>
      <c r="AB72" s="18"/>
      <c r="AC72" s="14"/>
      <c r="AD72" s="14"/>
      <c r="AE72" s="15"/>
      <c r="AG72" s="18"/>
      <c r="AH72" s="14"/>
      <c r="AI72" s="14"/>
      <c r="AJ72" s="15"/>
      <c r="AL72" s="18"/>
      <c r="AM72" s="14"/>
      <c r="AN72" s="14"/>
      <c r="AO72" s="15"/>
      <c r="AQ72" s="2">
        <v>13</v>
      </c>
    </row>
    <row r="73" spans="2:43" ht="18" customHeight="1" x14ac:dyDescent="0.2">
      <c r="B73" s="10">
        <v>73</v>
      </c>
      <c r="C73" s="10">
        <v>2</v>
      </c>
      <c r="D73" s="10">
        <v>39</v>
      </c>
      <c r="E73" s="10">
        <v>31</v>
      </c>
      <c r="F73" s="10" t="s">
        <v>107</v>
      </c>
      <c r="G73" s="10" t="s">
        <v>108</v>
      </c>
      <c r="H73" s="10" t="s">
        <v>108</v>
      </c>
      <c r="I73" s="10" t="s">
        <v>108</v>
      </c>
      <c r="J73" s="10" t="s">
        <v>108</v>
      </c>
      <c r="K73" s="10" t="s">
        <v>109</v>
      </c>
      <c r="L73" s="67" t="s">
        <v>113</v>
      </c>
      <c r="M73" s="11" t="s">
        <v>114</v>
      </c>
      <c r="O73" s="19">
        <v>12</v>
      </c>
      <c r="P73" s="16">
        <v>36</v>
      </c>
      <c r="Q73" s="16">
        <v>16</v>
      </c>
      <c r="R73" s="17">
        <v>8</v>
      </c>
      <c r="T73" s="19">
        <v>0</v>
      </c>
      <c r="U73" s="17">
        <v>1</v>
      </c>
      <c r="W73" s="19"/>
      <c r="X73" s="16"/>
      <c r="Y73" s="16"/>
      <c r="Z73" s="17"/>
      <c r="AB73" s="19"/>
      <c r="AC73" s="16"/>
      <c r="AD73" s="16"/>
      <c r="AE73" s="17"/>
      <c r="AG73" s="19"/>
      <c r="AH73" s="16"/>
      <c r="AI73" s="16"/>
      <c r="AJ73" s="17"/>
      <c r="AL73" s="19"/>
      <c r="AM73" s="16"/>
      <c r="AN73" s="16"/>
      <c r="AO73" s="17"/>
      <c r="AQ73" s="2">
        <v>13</v>
      </c>
    </row>
    <row r="74" spans="2:43" ht="18" customHeight="1" x14ac:dyDescent="0.2">
      <c r="B74" s="8">
        <v>74</v>
      </c>
      <c r="C74" s="8">
        <v>2</v>
      </c>
      <c r="D74" s="8">
        <v>40</v>
      </c>
      <c r="E74" s="8">
        <v>12</v>
      </c>
      <c r="F74" s="84" t="s">
        <v>193</v>
      </c>
      <c r="G74" s="8" t="s">
        <v>165</v>
      </c>
      <c r="H74" s="8" t="s">
        <v>108</v>
      </c>
      <c r="I74" s="8" t="s">
        <v>108</v>
      </c>
      <c r="J74" s="44" t="s">
        <v>108</v>
      </c>
      <c r="K74" s="8" t="s">
        <v>109</v>
      </c>
      <c r="L74" s="9" t="s">
        <v>157</v>
      </c>
      <c r="M74" s="9" t="s">
        <v>265</v>
      </c>
      <c r="O74" s="18">
        <v>12</v>
      </c>
      <c r="P74" s="14">
        <v>36</v>
      </c>
      <c r="Q74" s="14">
        <v>16</v>
      </c>
      <c r="R74" s="15">
        <v>8</v>
      </c>
      <c r="T74" s="18">
        <v>8</v>
      </c>
      <c r="U74" s="15">
        <v>1</v>
      </c>
      <c r="W74" s="18"/>
      <c r="X74" s="14"/>
      <c r="Y74" s="14"/>
      <c r="Z74" s="15"/>
      <c r="AB74" s="18"/>
      <c r="AC74" s="14"/>
      <c r="AD74" s="14"/>
      <c r="AE74" s="15"/>
      <c r="AG74" s="18"/>
      <c r="AH74" s="14"/>
      <c r="AI74" s="14"/>
      <c r="AJ74" s="15"/>
      <c r="AL74" s="18"/>
      <c r="AM74" s="14"/>
      <c r="AN74" s="14"/>
      <c r="AO74" s="15"/>
      <c r="AQ74" s="2">
        <v>13</v>
      </c>
    </row>
    <row r="75" spans="2:43" ht="18" customHeight="1" x14ac:dyDescent="0.2">
      <c r="B75" s="10">
        <v>75</v>
      </c>
      <c r="C75" s="10">
        <v>2</v>
      </c>
      <c r="D75" s="10">
        <v>41</v>
      </c>
      <c r="E75" s="10">
        <v>23</v>
      </c>
      <c r="F75" s="10" t="s">
        <v>266</v>
      </c>
      <c r="G75" s="10" t="s">
        <v>165</v>
      </c>
      <c r="H75" s="10" t="s">
        <v>108</v>
      </c>
      <c r="I75" s="10" t="s">
        <v>108</v>
      </c>
      <c r="J75" s="10" t="s">
        <v>108</v>
      </c>
      <c r="K75" s="10" t="s">
        <v>109</v>
      </c>
      <c r="L75" s="67" t="s">
        <v>130</v>
      </c>
      <c r="M75" s="11" t="s">
        <v>267</v>
      </c>
      <c r="O75" s="19">
        <v>12</v>
      </c>
      <c r="P75" s="16">
        <v>36</v>
      </c>
      <c r="Q75" s="16">
        <v>16</v>
      </c>
      <c r="R75" s="17">
        <v>8</v>
      </c>
      <c r="T75" s="19">
        <v>10</v>
      </c>
      <c r="U75" s="17">
        <v>8</v>
      </c>
      <c r="W75" s="19"/>
      <c r="X75" s="16"/>
      <c r="Y75" s="16"/>
      <c r="Z75" s="17"/>
      <c r="AB75" s="19"/>
      <c r="AC75" s="16"/>
      <c r="AD75" s="16"/>
      <c r="AE75" s="17"/>
      <c r="AG75" s="19"/>
      <c r="AH75" s="16"/>
      <c r="AI75" s="16"/>
      <c r="AJ75" s="17"/>
      <c r="AL75" s="19"/>
      <c r="AM75" s="16"/>
      <c r="AN75" s="16"/>
      <c r="AO75" s="17"/>
      <c r="AQ75" s="2">
        <v>13</v>
      </c>
    </row>
    <row r="76" spans="2:43" ht="18" customHeight="1" x14ac:dyDescent="0.2">
      <c r="B76" s="8">
        <v>76</v>
      </c>
      <c r="C76" s="8">
        <v>2</v>
      </c>
      <c r="D76" s="8">
        <v>42</v>
      </c>
      <c r="E76" s="8">
        <v>29</v>
      </c>
      <c r="F76" s="84" t="s">
        <v>107</v>
      </c>
      <c r="G76" s="8" t="s">
        <v>165</v>
      </c>
      <c r="H76" s="8" t="s">
        <v>108</v>
      </c>
      <c r="I76" s="8" t="s">
        <v>108</v>
      </c>
      <c r="J76" s="44" t="s">
        <v>108</v>
      </c>
      <c r="K76" s="8" t="s">
        <v>109</v>
      </c>
      <c r="L76" s="9" t="s">
        <v>110</v>
      </c>
      <c r="M76" s="9" t="s">
        <v>268</v>
      </c>
      <c r="O76" s="18">
        <v>12</v>
      </c>
      <c r="P76" s="14">
        <v>36</v>
      </c>
      <c r="Q76" s="14">
        <v>16</v>
      </c>
      <c r="R76" s="15">
        <v>8</v>
      </c>
      <c r="T76" s="18">
        <v>0</v>
      </c>
      <c r="U76" s="15">
        <v>1</v>
      </c>
      <c r="W76" s="18"/>
      <c r="X76" s="14"/>
      <c r="Y76" s="14"/>
      <c r="Z76" s="15"/>
      <c r="AB76" s="18"/>
      <c r="AC76" s="14"/>
      <c r="AD76" s="14"/>
      <c r="AE76" s="15"/>
      <c r="AG76" s="18"/>
      <c r="AH76" s="14"/>
      <c r="AI76" s="14"/>
      <c r="AJ76" s="15"/>
      <c r="AL76" s="18"/>
      <c r="AM76" s="14"/>
      <c r="AN76" s="14"/>
      <c r="AO76" s="15"/>
      <c r="AQ76" s="2">
        <v>13</v>
      </c>
    </row>
    <row r="77" spans="2:43" ht="18" customHeight="1" x14ac:dyDescent="0.2">
      <c r="B77" s="10">
        <v>77</v>
      </c>
      <c r="C77" s="10">
        <v>3</v>
      </c>
      <c r="D77" s="10">
        <v>1</v>
      </c>
      <c r="E77" s="10">
        <v>0</v>
      </c>
      <c r="F77" s="10" t="s">
        <v>187</v>
      </c>
      <c r="G77" s="10" t="s">
        <v>165</v>
      </c>
      <c r="H77" s="10" t="s">
        <v>165</v>
      </c>
      <c r="I77" s="10" t="s">
        <v>165</v>
      </c>
      <c r="J77" s="10" t="s">
        <v>108</v>
      </c>
      <c r="K77" s="10" t="s">
        <v>116</v>
      </c>
      <c r="L77" s="67" t="s">
        <v>113</v>
      </c>
      <c r="M77" s="11" t="s">
        <v>269</v>
      </c>
      <c r="O77" s="19">
        <v>10</v>
      </c>
      <c r="P77" s="16">
        <v>24</v>
      </c>
      <c r="Q77" s="16">
        <v>4</v>
      </c>
      <c r="R77" s="17">
        <v>4</v>
      </c>
      <c r="T77" s="19">
        <v>10</v>
      </c>
      <c r="U77" s="17">
        <v>4</v>
      </c>
      <c r="W77" s="19"/>
      <c r="X77" s="16"/>
      <c r="Y77" s="16"/>
      <c r="Z77" s="17"/>
      <c r="AB77" s="19"/>
      <c r="AC77" s="16"/>
      <c r="AD77" s="16"/>
      <c r="AE77" s="17"/>
      <c r="AG77" s="19"/>
      <c r="AH77" s="16"/>
      <c r="AI77" s="16"/>
      <c r="AJ77" s="17"/>
      <c r="AL77" s="19"/>
      <c r="AM77" s="16"/>
      <c r="AN77" s="16"/>
      <c r="AO77" s="17"/>
      <c r="AQ77" s="2">
        <v>3</v>
      </c>
    </row>
    <row r="78" spans="2:43" ht="18" customHeight="1" x14ac:dyDescent="0.2">
      <c r="B78" s="8">
        <v>78</v>
      </c>
      <c r="C78" s="8">
        <v>3</v>
      </c>
      <c r="D78" s="8">
        <v>2</v>
      </c>
      <c r="E78" s="8">
        <v>0</v>
      </c>
      <c r="F78" s="84" t="s">
        <v>91</v>
      </c>
      <c r="G78" s="8" t="s">
        <v>165</v>
      </c>
      <c r="H78" s="8" t="s">
        <v>165</v>
      </c>
      <c r="I78" s="8" t="s">
        <v>165</v>
      </c>
      <c r="J78" s="44" t="s">
        <v>108</v>
      </c>
      <c r="K78" s="8" t="s">
        <v>116</v>
      </c>
      <c r="L78" s="9" t="s">
        <v>225</v>
      </c>
      <c r="M78" s="9" t="s">
        <v>270</v>
      </c>
      <c r="O78" s="18">
        <v>10</v>
      </c>
      <c r="P78" s="14">
        <v>24</v>
      </c>
      <c r="Q78" s="14">
        <v>4</v>
      </c>
      <c r="R78" s="15">
        <v>4</v>
      </c>
      <c r="T78" s="18">
        <v>10</v>
      </c>
      <c r="U78" s="15">
        <v>4</v>
      </c>
      <c r="W78" s="18"/>
      <c r="X78" s="14"/>
      <c r="Y78" s="14"/>
      <c r="Z78" s="15"/>
      <c r="AB78" s="18"/>
      <c r="AC78" s="14"/>
      <c r="AD78" s="14"/>
      <c r="AE78" s="15"/>
      <c r="AG78" s="18"/>
      <c r="AH78" s="14"/>
      <c r="AI78" s="14"/>
      <c r="AJ78" s="15"/>
      <c r="AL78" s="18"/>
      <c r="AM78" s="14"/>
      <c r="AN78" s="14"/>
      <c r="AO78" s="15"/>
      <c r="AQ78" s="2">
        <v>3</v>
      </c>
    </row>
    <row r="79" spans="2:43" ht="18" customHeight="1" x14ac:dyDescent="0.2">
      <c r="B79" s="10">
        <v>79</v>
      </c>
      <c r="C79" s="10">
        <v>3</v>
      </c>
      <c r="D79" s="10">
        <v>3</v>
      </c>
      <c r="E79" s="10">
        <v>0</v>
      </c>
      <c r="F79" s="10" t="s">
        <v>107</v>
      </c>
      <c r="G79" s="10" t="s">
        <v>165</v>
      </c>
      <c r="H79" s="10" t="s">
        <v>165</v>
      </c>
      <c r="I79" s="10" t="s">
        <v>165</v>
      </c>
      <c r="J79" s="10" t="s">
        <v>108</v>
      </c>
      <c r="K79" s="10" t="s">
        <v>116</v>
      </c>
      <c r="L79" s="67" t="s">
        <v>128</v>
      </c>
      <c r="M79" s="11" t="s">
        <v>271</v>
      </c>
      <c r="O79" s="19">
        <v>10</v>
      </c>
      <c r="P79" s="16">
        <v>24</v>
      </c>
      <c r="Q79" s="16">
        <v>4</v>
      </c>
      <c r="R79" s="17">
        <v>8</v>
      </c>
      <c r="T79" s="19">
        <v>10</v>
      </c>
      <c r="U79" s="17">
        <v>8</v>
      </c>
      <c r="W79" s="19"/>
      <c r="X79" s="16"/>
      <c r="Y79" s="16"/>
      <c r="Z79" s="17"/>
      <c r="AB79" s="19"/>
      <c r="AC79" s="16"/>
      <c r="AD79" s="16"/>
      <c r="AE79" s="17"/>
      <c r="AG79" s="19"/>
      <c r="AH79" s="16"/>
      <c r="AI79" s="16"/>
      <c r="AJ79" s="17"/>
      <c r="AL79" s="19"/>
      <c r="AM79" s="16"/>
      <c r="AN79" s="16"/>
      <c r="AO79" s="17"/>
      <c r="AQ79" s="2">
        <v>4</v>
      </c>
    </row>
    <row r="80" spans="2:43" ht="18" customHeight="1" x14ac:dyDescent="0.2">
      <c r="B80" s="8">
        <v>80</v>
      </c>
      <c r="C80" s="8">
        <v>3</v>
      </c>
      <c r="D80" s="8">
        <v>4</v>
      </c>
      <c r="E80" s="8">
        <v>29</v>
      </c>
      <c r="F80" s="84" t="s">
        <v>241</v>
      </c>
      <c r="G80" s="8" t="s">
        <v>165</v>
      </c>
      <c r="H80" s="8" t="s">
        <v>108</v>
      </c>
      <c r="I80" s="8" t="s">
        <v>108</v>
      </c>
      <c r="J80" s="44" t="s">
        <v>108</v>
      </c>
      <c r="K80" s="8" t="s">
        <v>116</v>
      </c>
      <c r="L80" s="9" t="s">
        <v>242</v>
      </c>
      <c r="M80" s="9" t="s">
        <v>272</v>
      </c>
      <c r="O80" s="18">
        <v>11</v>
      </c>
      <c r="P80" s="14">
        <v>24</v>
      </c>
      <c r="Q80" s="14">
        <v>16</v>
      </c>
      <c r="R80" s="15">
        <v>8</v>
      </c>
      <c r="T80" s="18">
        <v>0</v>
      </c>
      <c r="U80" s="15">
        <v>0</v>
      </c>
      <c r="W80" s="18"/>
      <c r="X80" s="14"/>
      <c r="Y80" s="14"/>
      <c r="Z80" s="15"/>
      <c r="AB80" s="18"/>
      <c r="AC80" s="14"/>
      <c r="AD80" s="14"/>
      <c r="AE80" s="15"/>
      <c r="AG80" s="18"/>
      <c r="AH80" s="14"/>
      <c r="AI80" s="14"/>
      <c r="AJ80" s="15"/>
      <c r="AL80" s="18"/>
      <c r="AM80" s="14"/>
      <c r="AN80" s="14"/>
      <c r="AO80" s="15"/>
      <c r="AQ80" s="2">
        <v>8</v>
      </c>
    </row>
    <row r="81" spans="2:43" ht="18" customHeight="1" x14ac:dyDescent="0.2">
      <c r="B81" s="10">
        <v>81</v>
      </c>
      <c r="C81" s="10">
        <v>3</v>
      </c>
      <c r="D81" s="10">
        <v>5</v>
      </c>
      <c r="E81" s="10">
        <v>0</v>
      </c>
      <c r="F81" s="10" t="s">
        <v>107</v>
      </c>
      <c r="G81" s="10" t="s">
        <v>165</v>
      </c>
      <c r="H81" s="10" t="s">
        <v>165</v>
      </c>
      <c r="I81" s="10" t="s">
        <v>165</v>
      </c>
      <c r="J81" s="10" t="s">
        <v>108</v>
      </c>
      <c r="K81" s="10" t="s">
        <v>116</v>
      </c>
      <c r="L81" s="67" t="s">
        <v>273</v>
      </c>
      <c r="M81" s="11" t="s">
        <v>274</v>
      </c>
      <c r="O81" s="19">
        <v>11</v>
      </c>
      <c r="P81" s="16">
        <v>24</v>
      </c>
      <c r="Q81" s="16">
        <v>16</v>
      </c>
      <c r="R81" s="17">
        <v>4</v>
      </c>
      <c r="T81" s="19">
        <v>11</v>
      </c>
      <c r="U81" s="17">
        <v>4</v>
      </c>
      <c r="W81" s="19"/>
      <c r="X81" s="16"/>
      <c r="Y81" s="16"/>
      <c r="Z81" s="17"/>
      <c r="AB81" s="19"/>
      <c r="AC81" s="16"/>
      <c r="AD81" s="16"/>
      <c r="AE81" s="17"/>
      <c r="AG81" s="19"/>
      <c r="AH81" s="16"/>
      <c r="AI81" s="16"/>
      <c r="AJ81" s="17"/>
      <c r="AL81" s="19"/>
      <c r="AM81" s="16"/>
      <c r="AN81" s="16"/>
      <c r="AO81" s="17"/>
      <c r="AQ81" s="2">
        <v>7</v>
      </c>
    </row>
    <row r="82" spans="2:43" ht="18" customHeight="1" x14ac:dyDescent="0.2">
      <c r="B82" s="8">
        <v>82</v>
      </c>
      <c r="C82" s="8">
        <v>3</v>
      </c>
      <c r="D82" s="8">
        <v>6</v>
      </c>
      <c r="E82" s="8">
        <v>11</v>
      </c>
      <c r="F82" s="84" t="s">
        <v>187</v>
      </c>
      <c r="G82" s="8" t="s">
        <v>165</v>
      </c>
      <c r="H82" s="8" t="s">
        <v>165</v>
      </c>
      <c r="I82" s="8" t="s">
        <v>108</v>
      </c>
      <c r="J82" s="44" t="s">
        <v>108</v>
      </c>
      <c r="K82" s="8" t="s">
        <v>116</v>
      </c>
      <c r="L82" s="9" t="s">
        <v>113</v>
      </c>
      <c r="M82" s="9" t="s">
        <v>275</v>
      </c>
      <c r="O82" s="18">
        <v>11</v>
      </c>
      <c r="P82" s="14">
        <v>24</v>
      </c>
      <c r="Q82" s="14">
        <v>16</v>
      </c>
      <c r="R82" s="15">
        <v>8</v>
      </c>
      <c r="T82" s="18">
        <v>11</v>
      </c>
      <c r="U82" s="15">
        <v>0</v>
      </c>
      <c r="W82" s="18"/>
      <c r="X82" s="14"/>
      <c r="Y82" s="14"/>
      <c r="Z82" s="15"/>
      <c r="AB82" s="18"/>
      <c r="AC82" s="14"/>
      <c r="AD82" s="14"/>
      <c r="AE82" s="15"/>
      <c r="AG82" s="18"/>
      <c r="AH82" s="14"/>
      <c r="AI82" s="14"/>
      <c r="AJ82" s="15"/>
      <c r="AL82" s="18"/>
      <c r="AM82" s="14"/>
      <c r="AN82" s="14"/>
      <c r="AO82" s="15"/>
      <c r="AQ82" s="2">
        <v>8</v>
      </c>
    </row>
    <row r="83" spans="2:43" ht="18" customHeight="1" x14ac:dyDescent="0.2">
      <c r="B83" s="10">
        <v>83</v>
      </c>
      <c r="C83" s="10">
        <v>3</v>
      </c>
      <c r="D83" s="10">
        <v>7</v>
      </c>
      <c r="E83" s="10">
        <v>0</v>
      </c>
      <c r="F83" s="10" t="s">
        <v>107</v>
      </c>
      <c r="G83" s="10" t="s">
        <v>165</v>
      </c>
      <c r="H83" s="10" t="s">
        <v>165</v>
      </c>
      <c r="I83" s="10" t="s">
        <v>165</v>
      </c>
      <c r="J83" s="10" t="s">
        <v>108</v>
      </c>
      <c r="K83" s="10" t="s">
        <v>116</v>
      </c>
      <c r="L83" s="67" t="s">
        <v>139</v>
      </c>
      <c r="M83" s="11" t="s">
        <v>267</v>
      </c>
      <c r="O83" s="19">
        <v>11</v>
      </c>
      <c r="P83" s="16">
        <v>24</v>
      </c>
      <c r="Q83" s="16">
        <v>16</v>
      </c>
      <c r="R83" s="17">
        <v>8</v>
      </c>
      <c r="T83" s="19">
        <v>11</v>
      </c>
      <c r="U83" s="17">
        <v>8</v>
      </c>
      <c r="W83" s="19"/>
      <c r="X83" s="16"/>
      <c r="Y83" s="16"/>
      <c r="Z83" s="17"/>
      <c r="AB83" s="19"/>
      <c r="AC83" s="16"/>
      <c r="AD83" s="16"/>
      <c r="AE83" s="17"/>
      <c r="AG83" s="19"/>
      <c r="AH83" s="16"/>
      <c r="AI83" s="16"/>
      <c r="AJ83" s="17"/>
      <c r="AL83" s="19"/>
      <c r="AM83" s="16"/>
      <c r="AN83" s="16"/>
      <c r="AO83" s="17"/>
      <c r="AQ83" s="2">
        <v>8</v>
      </c>
    </row>
    <row r="84" spans="2:43" ht="18" customHeight="1" x14ac:dyDescent="0.2">
      <c r="B84" s="8">
        <v>84</v>
      </c>
      <c r="C84" s="8">
        <v>3</v>
      </c>
      <c r="D84" s="8">
        <v>8</v>
      </c>
      <c r="E84" s="8">
        <v>0</v>
      </c>
      <c r="F84" s="84" t="s">
        <v>193</v>
      </c>
      <c r="G84" s="8" t="s">
        <v>165</v>
      </c>
      <c r="H84" s="8" t="s">
        <v>165</v>
      </c>
      <c r="I84" s="8" t="s">
        <v>108</v>
      </c>
      <c r="J84" s="44" t="s">
        <v>108</v>
      </c>
      <c r="K84" s="8" t="s">
        <v>116</v>
      </c>
      <c r="L84" s="9" t="s">
        <v>157</v>
      </c>
      <c r="M84" s="9" t="s">
        <v>276</v>
      </c>
      <c r="O84" s="18">
        <v>11</v>
      </c>
      <c r="P84" s="14">
        <v>24</v>
      </c>
      <c r="Q84" s="14">
        <v>16</v>
      </c>
      <c r="R84" s="15">
        <v>8</v>
      </c>
      <c r="T84" s="18">
        <v>11</v>
      </c>
      <c r="U84" s="15">
        <v>4</v>
      </c>
      <c r="W84" s="18"/>
      <c r="X84" s="14"/>
      <c r="Y84" s="14"/>
      <c r="Z84" s="15"/>
      <c r="AB84" s="18"/>
      <c r="AC84" s="14"/>
      <c r="AD84" s="14"/>
      <c r="AE84" s="15"/>
      <c r="AG84" s="18"/>
      <c r="AH84" s="14"/>
      <c r="AI84" s="14"/>
      <c r="AJ84" s="15"/>
      <c r="AL84" s="18"/>
      <c r="AM84" s="14"/>
      <c r="AN84" s="14"/>
      <c r="AO84" s="15"/>
      <c r="AQ84" s="2">
        <v>8</v>
      </c>
    </row>
    <row r="85" spans="2:43" ht="18" customHeight="1" x14ac:dyDescent="0.2">
      <c r="B85" s="10">
        <v>85</v>
      </c>
      <c r="C85" s="10">
        <v>3</v>
      </c>
      <c r="D85" s="10">
        <v>9</v>
      </c>
      <c r="E85" s="10">
        <v>18</v>
      </c>
      <c r="F85" s="10" t="s">
        <v>241</v>
      </c>
      <c r="G85" s="10" t="s">
        <v>165</v>
      </c>
      <c r="H85" s="10" t="s">
        <v>165</v>
      </c>
      <c r="I85" s="10" t="s">
        <v>108</v>
      </c>
      <c r="J85" s="10" t="s">
        <v>108</v>
      </c>
      <c r="K85" s="10" t="s">
        <v>116</v>
      </c>
      <c r="L85" s="67" t="s">
        <v>242</v>
      </c>
      <c r="M85" s="11" t="s">
        <v>277</v>
      </c>
      <c r="O85" s="19">
        <v>11</v>
      </c>
      <c r="P85" s="16">
        <v>24</v>
      </c>
      <c r="Q85" s="16">
        <v>16</v>
      </c>
      <c r="R85" s="17">
        <v>8</v>
      </c>
      <c r="T85" s="19">
        <v>11</v>
      </c>
      <c r="U85" s="17">
        <v>2</v>
      </c>
      <c r="W85" s="19"/>
      <c r="X85" s="16"/>
      <c r="Y85" s="16"/>
      <c r="Z85" s="17"/>
      <c r="AB85" s="19"/>
      <c r="AC85" s="16"/>
      <c r="AD85" s="16"/>
      <c r="AE85" s="17"/>
      <c r="AG85" s="19"/>
      <c r="AH85" s="16"/>
      <c r="AI85" s="16"/>
      <c r="AJ85" s="17"/>
      <c r="AL85" s="19"/>
      <c r="AM85" s="16"/>
      <c r="AN85" s="16"/>
      <c r="AO85" s="17"/>
      <c r="AQ85" s="2">
        <v>8</v>
      </c>
    </row>
    <row r="86" spans="2:43" ht="18" customHeight="1" x14ac:dyDescent="0.2">
      <c r="B86" s="8">
        <v>86</v>
      </c>
      <c r="C86" s="8">
        <v>3</v>
      </c>
      <c r="D86" s="8">
        <v>10</v>
      </c>
      <c r="E86" s="8">
        <v>22</v>
      </c>
      <c r="F86" s="84" t="s">
        <v>107</v>
      </c>
      <c r="G86" s="8" t="s">
        <v>165</v>
      </c>
      <c r="H86" s="8" t="s">
        <v>165</v>
      </c>
      <c r="I86" s="8" t="s">
        <v>108</v>
      </c>
      <c r="J86" s="44" t="s">
        <v>108</v>
      </c>
      <c r="K86" s="8" t="s">
        <v>116</v>
      </c>
      <c r="L86" s="9" t="s">
        <v>278</v>
      </c>
      <c r="M86" s="9" t="s">
        <v>279</v>
      </c>
      <c r="O86" s="18">
        <v>11</v>
      </c>
      <c r="P86" s="14">
        <v>24</v>
      </c>
      <c r="Q86" s="14">
        <v>16</v>
      </c>
      <c r="R86" s="15">
        <v>8</v>
      </c>
      <c r="T86" s="18">
        <v>11</v>
      </c>
      <c r="U86" s="15">
        <v>3</v>
      </c>
      <c r="W86" s="18"/>
      <c r="X86" s="14"/>
      <c r="Y86" s="14"/>
      <c r="Z86" s="15"/>
      <c r="AB86" s="18"/>
      <c r="AC86" s="14"/>
      <c r="AD86" s="14"/>
      <c r="AE86" s="15"/>
      <c r="AG86" s="18"/>
      <c r="AH86" s="14"/>
      <c r="AI86" s="14"/>
      <c r="AJ86" s="15"/>
      <c r="AL86" s="18"/>
      <c r="AM86" s="14"/>
      <c r="AN86" s="14"/>
      <c r="AO86" s="15"/>
      <c r="AQ86" s="2">
        <v>8</v>
      </c>
    </row>
    <row r="87" spans="2:43" ht="18" customHeight="1" x14ac:dyDescent="0.2">
      <c r="B87" s="10">
        <v>87</v>
      </c>
      <c r="C87" s="10">
        <v>3</v>
      </c>
      <c r="D87" s="10">
        <v>11</v>
      </c>
      <c r="E87" s="10">
        <v>31</v>
      </c>
      <c r="F87" s="10" t="s">
        <v>107</v>
      </c>
      <c r="G87" s="10" t="s">
        <v>108</v>
      </c>
      <c r="H87" s="10" t="s">
        <v>108</v>
      </c>
      <c r="I87" s="10" t="s">
        <v>108</v>
      </c>
      <c r="J87" s="10" t="s">
        <v>108</v>
      </c>
      <c r="K87" s="10" t="s">
        <v>116</v>
      </c>
      <c r="L87" s="67" t="s">
        <v>117</v>
      </c>
      <c r="M87" s="11" t="s">
        <v>118</v>
      </c>
      <c r="O87" s="19">
        <v>11</v>
      </c>
      <c r="P87" s="16">
        <v>24</v>
      </c>
      <c r="Q87" s="16">
        <v>16</v>
      </c>
      <c r="R87" s="17">
        <v>8</v>
      </c>
      <c r="T87" s="19">
        <v>0</v>
      </c>
      <c r="U87" s="17">
        <v>0</v>
      </c>
      <c r="W87" s="19"/>
      <c r="X87" s="16"/>
      <c r="Y87" s="16"/>
      <c r="Z87" s="17"/>
      <c r="AB87" s="19"/>
      <c r="AC87" s="16"/>
      <c r="AD87" s="16"/>
      <c r="AE87" s="17"/>
      <c r="AG87" s="19"/>
      <c r="AH87" s="16"/>
      <c r="AI87" s="16"/>
      <c r="AJ87" s="17"/>
      <c r="AL87" s="19"/>
      <c r="AM87" s="16"/>
      <c r="AN87" s="16"/>
      <c r="AO87" s="17"/>
      <c r="AQ87" s="2">
        <v>8</v>
      </c>
    </row>
    <row r="88" spans="2:43" ht="18" customHeight="1" x14ac:dyDescent="0.2">
      <c r="B88" s="8">
        <v>88</v>
      </c>
      <c r="C88" s="8">
        <v>3</v>
      </c>
      <c r="D88" s="8">
        <v>12</v>
      </c>
      <c r="E88" s="8">
        <v>0</v>
      </c>
      <c r="F88" s="84" t="s">
        <v>107</v>
      </c>
      <c r="G88" s="8" t="s">
        <v>165</v>
      </c>
      <c r="H88" s="8" t="s">
        <v>165</v>
      </c>
      <c r="I88" s="8" t="s">
        <v>165</v>
      </c>
      <c r="J88" s="44" t="s">
        <v>108</v>
      </c>
      <c r="K88" s="8" t="s">
        <v>116</v>
      </c>
      <c r="L88" s="9" t="s">
        <v>280</v>
      </c>
      <c r="M88" s="9" t="s">
        <v>281</v>
      </c>
      <c r="O88" s="18">
        <v>11</v>
      </c>
      <c r="P88" s="14">
        <v>24</v>
      </c>
      <c r="Q88" s="14">
        <v>16</v>
      </c>
      <c r="R88" s="15">
        <v>8</v>
      </c>
      <c r="T88" s="18">
        <v>11</v>
      </c>
      <c r="U88" s="15">
        <v>8</v>
      </c>
      <c r="W88" s="18"/>
      <c r="X88" s="14"/>
      <c r="Y88" s="14"/>
      <c r="Z88" s="15"/>
      <c r="AB88" s="18"/>
      <c r="AC88" s="14"/>
      <c r="AD88" s="14"/>
      <c r="AE88" s="15"/>
      <c r="AG88" s="18"/>
      <c r="AH88" s="14"/>
      <c r="AI88" s="14"/>
      <c r="AJ88" s="15"/>
      <c r="AL88" s="18"/>
      <c r="AM88" s="14"/>
      <c r="AN88" s="14"/>
      <c r="AO88" s="15"/>
      <c r="AQ88" s="2">
        <v>8</v>
      </c>
    </row>
    <row r="89" spans="2:43" ht="18" customHeight="1" x14ac:dyDescent="0.2">
      <c r="B89" s="10">
        <v>89</v>
      </c>
      <c r="C89" s="10">
        <v>3</v>
      </c>
      <c r="D89" s="10">
        <v>13</v>
      </c>
      <c r="E89" s="10">
        <v>13</v>
      </c>
      <c r="F89" s="10" t="s">
        <v>107</v>
      </c>
      <c r="G89" s="10" t="s">
        <v>165</v>
      </c>
      <c r="H89" s="10" t="s">
        <v>165</v>
      </c>
      <c r="I89" s="10" t="s">
        <v>108</v>
      </c>
      <c r="J89" s="10" t="s">
        <v>108</v>
      </c>
      <c r="K89" s="10" t="s">
        <v>116</v>
      </c>
      <c r="L89" s="67" t="s">
        <v>139</v>
      </c>
      <c r="M89" s="11" t="s">
        <v>282</v>
      </c>
      <c r="O89" s="19">
        <v>11</v>
      </c>
      <c r="P89" s="16">
        <v>24</v>
      </c>
      <c r="Q89" s="16">
        <v>16</v>
      </c>
      <c r="R89" s="17">
        <v>8</v>
      </c>
      <c r="T89" s="19">
        <v>11</v>
      </c>
      <c r="U89" s="17">
        <v>2</v>
      </c>
      <c r="W89" s="19"/>
      <c r="X89" s="16"/>
      <c r="Y89" s="16"/>
      <c r="Z89" s="17"/>
      <c r="AB89" s="19"/>
      <c r="AC89" s="16"/>
      <c r="AD89" s="16"/>
      <c r="AE89" s="17"/>
      <c r="AG89" s="19"/>
      <c r="AH89" s="16"/>
      <c r="AI89" s="16"/>
      <c r="AJ89" s="17"/>
      <c r="AL89" s="19"/>
      <c r="AM89" s="16"/>
      <c r="AN89" s="16"/>
      <c r="AO89" s="17"/>
      <c r="AQ89" s="2">
        <v>8</v>
      </c>
    </row>
    <row r="90" spans="2:43" ht="18" customHeight="1" x14ac:dyDescent="0.2">
      <c r="B90" s="8">
        <v>90</v>
      </c>
      <c r="C90" s="8">
        <v>3</v>
      </c>
      <c r="D90" s="8">
        <v>14</v>
      </c>
      <c r="E90" s="8">
        <v>0</v>
      </c>
      <c r="F90" s="84" t="s">
        <v>107</v>
      </c>
      <c r="G90" s="8" t="s">
        <v>165</v>
      </c>
      <c r="H90" s="8" t="s">
        <v>165</v>
      </c>
      <c r="I90" s="8" t="s">
        <v>165</v>
      </c>
      <c r="J90" s="44" t="s">
        <v>108</v>
      </c>
      <c r="K90" s="8" t="s">
        <v>116</v>
      </c>
      <c r="L90" s="9" t="s">
        <v>182</v>
      </c>
      <c r="M90" s="9" t="s">
        <v>283</v>
      </c>
      <c r="O90" s="18">
        <v>11</v>
      </c>
      <c r="P90" s="14">
        <v>24</v>
      </c>
      <c r="Q90" s="14">
        <v>16</v>
      </c>
      <c r="R90" s="15">
        <v>8</v>
      </c>
      <c r="T90" s="18">
        <v>11</v>
      </c>
      <c r="U90" s="15">
        <v>8</v>
      </c>
      <c r="W90" s="18"/>
      <c r="X90" s="14"/>
      <c r="Y90" s="14"/>
      <c r="Z90" s="15"/>
      <c r="AB90" s="18"/>
      <c r="AC90" s="14"/>
      <c r="AD90" s="14"/>
      <c r="AE90" s="15"/>
      <c r="AG90" s="18"/>
      <c r="AH90" s="14"/>
      <c r="AI90" s="14"/>
      <c r="AJ90" s="15"/>
      <c r="AL90" s="18"/>
      <c r="AM90" s="14"/>
      <c r="AN90" s="14"/>
      <c r="AO90" s="15"/>
      <c r="AQ90" s="2">
        <v>8</v>
      </c>
    </row>
    <row r="91" spans="2:43" ht="18" customHeight="1" x14ac:dyDescent="0.2">
      <c r="B91" s="10">
        <v>91</v>
      </c>
      <c r="C91" s="10">
        <v>3</v>
      </c>
      <c r="D91" s="10">
        <v>15</v>
      </c>
      <c r="E91" s="10">
        <v>24</v>
      </c>
      <c r="F91" s="10" t="s">
        <v>107</v>
      </c>
      <c r="G91" s="10" t="s">
        <v>108</v>
      </c>
      <c r="H91" s="10" t="s">
        <v>108</v>
      </c>
      <c r="I91" s="10" t="s">
        <v>108</v>
      </c>
      <c r="J91" s="10" t="s">
        <v>165</v>
      </c>
      <c r="K91" s="10" t="s">
        <v>116</v>
      </c>
      <c r="L91" s="67" t="s">
        <v>278</v>
      </c>
      <c r="M91" s="11" t="s">
        <v>284</v>
      </c>
      <c r="O91" s="19">
        <v>11</v>
      </c>
      <c r="P91" s="16">
        <v>24</v>
      </c>
      <c r="Q91" s="16">
        <v>16</v>
      </c>
      <c r="R91" s="17">
        <v>8</v>
      </c>
      <c r="T91" s="19">
        <v>7</v>
      </c>
      <c r="U91" s="17">
        <v>3</v>
      </c>
      <c r="W91" s="19"/>
      <c r="X91" s="16"/>
      <c r="Y91" s="16"/>
      <c r="Z91" s="17"/>
      <c r="AB91" s="19"/>
      <c r="AC91" s="16"/>
      <c r="AD91" s="16"/>
      <c r="AE91" s="17"/>
      <c r="AG91" s="19"/>
      <c r="AH91" s="16"/>
      <c r="AI91" s="16"/>
      <c r="AJ91" s="17"/>
      <c r="AL91" s="19"/>
      <c r="AM91" s="16"/>
      <c r="AN91" s="16"/>
      <c r="AO91" s="17"/>
      <c r="AQ91" s="2">
        <v>8</v>
      </c>
    </row>
    <row r="92" spans="2:43" ht="18" customHeight="1" x14ac:dyDescent="0.2">
      <c r="B92" s="8">
        <v>92</v>
      </c>
      <c r="C92" s="8">
        <v>3</v>
      </c>
      <c r="D92" s="8">
        <v>16</v>
      </c>
      <c r="E92" s="8">
        <v>0</v>
      </c>
      <c r="F92" s="84" t="s">
        <v>241</v>
      </c>
      <c r="G92" s="8" t="s">
        <v>165</v>
      </c>
      <c r="H92" s="8" t="s">
        <v>165</v>
      </c>
      <c r="I92" s="8" t="s">
        <v>165</v>
      </c>
      <c r="J92" s="44" t="s">
        <v>108</v>
      </c>
      <c r="K92" s="8" t="s">
        <v>116</v>
      </c>
      <c r="L92" s="9" t="s">
        <v>242</v>
      </c>
      <c r="M92" s="9" t="s">
        <v>285</v>
      </c>
      <c r="O92" s="18">
        <v>11</v>
      </c>
      <c r="P92" s="14">
        <v>24</v>
      </c>
      <c r="Q92" s="14">
        <v>16</v>
      </c>
      <c r="R92" s="15">
        <v>8</v>
      </c>
      <c r="T92" s="18">
        <v>11</v>
      </c>
      <c r="U92" s="15">
        <v>8</v>
      </c>
      <c r="W92" s="18"/>
      <c r="X92" s="14"/>
      <c r="Y92" s="14"/>
      <c r="Z92" s="15"/>
      <c r="AB92" s="18"/>
      <c r="AC92" s="14"/>
      <c r="AD92" s="14"/>
      <c r="AE92" s="15"/>
      <c r="AG92" s="18"/>
      <c r="AH92" s="14"/>
      <c r="AI92" s="14"/>
      <c r="AJ92" s="15"/>
      <c r="AL92" s="18"/>
      <c r="AM92" s="14"/>
      <c r="AN92" s="14"/>
      <c r="AO92" s="15"/>
      <c r="AQ92" s="2">
        <v>8</v>
      </c>
    </row>
    <row r="93" spans="2:43" ht="18" customHeight="1" x14ac:dyDescent="0.2">
      <c r="B93" s="10">
        <v>93</v>
      </c>
      <c r="C93" s="10">
        <v>3</v>
      </c>
      <c r="D93" s="10">
        <v>17</v>
      </c>
      <c r="E93" s="10">
        <v>30</v>
      </c>
      <c r="F93" s="10" t="s">
        <v>107</v>
      </c>
      <c r="G93" s="10" t="s">
        <v>108</v>
      </c>
      <c r="H93" s="10" t="s">
        <v>165</v>
      </c>
      <c r="I93" s="10" t="s">
        <v>108</v>
      </c>
      <c r="J93" s="10" t="s">
        <v>108</v>
      </c>
      <c r="K93" s="10" t="s">
        <v>116</v>
      </c>
      <c r="L93" s="67" t="s">
        <v>286</v>
      </c>
      <c r="M93" s="11" t="s">
        <v>287</v>
      </c>
      <c r="O93" s="19">
        <v>11</v>
      </c>
      <c r="P93" s="16">
        <v>24</v>
      </c>
      <c r="Q93" s="16">
        <v>16</v>
      </c>
      <c r="R93" s="17">
        <v>8</v>
      </c>
      <c r="T93" s="19">
        <v>0</v>
      </c>
      <c r="U93" s="17">
        <v>0</v>
      </c>
      <c r="W93" s="19"/>
      <c r="X93" s="16"/>
      <c r="Y93" s="16"/>
      <c r="Z93" s="17"/>
      <c r="AB93" s="19"/>
      <c r="AC93" s="16"/>
      <c r="AD93" s="16"/>
      <c r="AE93" s="17"/>
      <c r="AG93" s="19"/>
      <c r="AH93" s="16"/>
      <c r="AI93" s="16"/>
      <c r="AJ93" s="17"/>
      <c r="AL93" s="19"/>
      <c r="AM93" s="16"/>
      <c r="AN93" s="16"/>
      <c r="AO93" s="17"/>
      <c r="AQ93" s="2">
        <v>8</v>
      </c>
    </row>
    <row r="94" spans="2:43" ht="18" customHeight="1" x14ac:dyDescent="0.2">
      <c r="B94" s="8">
        <v>94</v>
      </c>
      <c r="C94" s="8">
        <v>3</v>
      </c>
      <c r="D94" s="8">
        <v>18</v>
      </c>
      <c r="E94" s="8">
        <v>21</v>
      </c>
      <c r="F94" s="84" t="s">
        <v>107</v>
      </c>
      <c r="G94" s="8" t="s">
        <v>165</v>
      </c>
      <c r="H94" s="8" t="s">
        <v>108</v>
      </c>
      <c r="I94" s="8" t="s">
        <v>108</v>
      </c>
      <c r="J94" s="44" t="s">
        <v>108</v>
      </c>
      <c r="K94" s="8" t="s">
        <v>116</v>
      </c>
      <c r="L94" s="9" t="s">
        <v>288</v>
      </c>
      <c r="M94" s="9" t="s">
        <v>289</v>
      </c>
      <c r="O94" s="18">
        <v>11</v>
      </c>
      <c r="P94" s="14">
        <v>24</v>
      </c>
      <c r="Q94" s="14">
        <v>16</v>
      </c>
      <c r="R94" s="15">
        <v>8</v>
      </c>
      <c r="T94" s="18">
        <v>9</v>
      </c>
      <c r="U94" s="15">
        <v>0</v>
      </c>
      <c r="W94" s="18"/>
      <c r="X94" s="14"/>
      <c r="Y94" s="14"/>
      <c r="Z94" s="15"/>
      <c r="AB94" s="18"/>
      <c r="AC94" s="14"/>
      <c r="AD94" s="14"/>
      <c r="AE94" s="15"/>
      <c r="AG94" s="18"/>
      <c r="AH94" s="14"/>
      <c r="AI94" s="14"/>
      <c r="AJ94" s="15"/>
      <c r="AL94" s="18"/>
      <c r="AM94" s="14"/>
      <c r="AN94" s="14"/>
      <c r="AO94" s="15"/>
      <c r="AQ94" s="2">
        <v>8</v>
      </c>
    </row>
    <row r="95" spans="2:43" ht="18" customHeight="1" x14ac:dyDescent="0.2">
      <c r="B95" s="10">
        <v>95</v>
      </c>
      <c r="C95" s="10">
        <v>3</v>
      </c>
      <c r="D95" s="10">
        <v>19</v>
      </c>
      <c r="E95" s="10">
        <v>0</v>
      </c>
      <c r="F95" s="10" t="s">
        <v>107</v>
      </c>
      <c r="G95" s="10" t="s">
        <v>165</v>
      </c>
      <c r="H95" s="10" t="s">
        <v>165</v>
      </c>
      <c r="I95" s="10" t="s">
        <v>165</v>
      </c>
      <c r="J95" s="10" t="s">
        <v>108</v>
      </c>
      <c r="K95" s="10" t="s">
        <v>116</v>
      </c>
      <c r="L95" s="67" t="s">
        <v>214</v>
      </c>
      <c r="M95" s="11" t="s">
        <v>290</v>
      </c>
      <c r="O95" s="19">
        <v>11</v>
      </c>
      <c r="P95" s="16">
        <v>24</v>
      </c>
      <c r="Q95" s="16">
        <v>16</v>
      </c>
      <c r="R95" s="17">
        <v>8</v>
      </c>
      <c r="T95" s="19">
        <v>11</v>
      </c>
      <c r="U95" s="17">
        <v>8</v>
      </c>
      <c r="W95" s="19"/>
      <c r="X95" s="16"/>
      <c r="Y95" s="16"/>
      <c r="Z95" s="17"/>
      <c r="AB95" s="19"/>
      <c r="AC95" s="16"/>
      <c r="AD95" s="16"/>
      <c r="AE95" s="17"/>
      <c r="AG95" s="19"/>
      <c r="AH95" s="16"/>
      <c r="AI95" s="16"/>
      <c r="AJ95" s="17"/>
      <c r="AL95" s="19"/>
      <c r="AM95" s="16"/>
      <c r="AN95" s="16"/>
      <c r="AO95" s="17"/>
      <c r="AQ95" s="2">
        <v>8</v>
      </c>
    </row>
    <row r="96" spans="2:43" ht="18" customHeight="1" x14ac:dyDescent="0.2">
      <c r="B96" s="8">
        <v>96</v>
      </c>
      <c r="C96" s="8">
        <v>3</v>
      </c>
      <c r="D96" s="8">
        <v>20</v>
      </c>
      <c r="E96" s="8">
        <v>20</v>
      </c>
      <c r="F96" s="84" t="s">
        <v>266</v>
      </c>
      <c r="G96" s="8" t="s">
        <v>165</v>
      </c>
      <c r="H96" s="8" t="s">
        <v>108</v>
      </c>
      <c r="I96" s="8" t="s">
        <v>108</v>
      </c>
      <c r="J96" s="44" t="s">
        <v>108</v>
      </c>
      <c r="K96" s="8" t="s">
        <v>116</v>
      </c>
      <c r="L96" s="9" t="s">
        <v>130</v>
      </c>
      <c r="M96" s="9" t="s">
        <v>152</v>
      </c>
      <c r="O96" s="18">
        <v>12</v>
      </c>
      <c r="P96" s="14">
        <v>32</v>
      </c>
      <c r="Q96" s="14">
        <v>20</v>
      </c>
      <c r="R96" s="15">
        <v>8</v>
      </c>
      <c r="T96" s="18">
        <v>4</v>
      </c>
      <c r="U96" s="15">
        <v>0</v>
      </c>
      <c r="W96" s="18"/>
      <c r="X96" s="14"/>
      <c r="Y96" s="14"/>
      <c r="Z96" s="15"/>
      <c r="AB96" s="18"/>
      <c r="AC96" s="14"/>
      <c r="AD96" s="14"/>
      <c r="AE96" s="15"/>
      <c r="AG96" s="18"/>
      <c r="AH96" s="14"/>
      <c r="AI96" s="14"/>
      <c r="AJ96" s="15"/>
      <c r="AL96" s="18"/>
      <c r="AM96" s="14"/>
      <c r="AN96" s="14"/>
      <c r="AO96" s="15"/>
      <c r="AQ96" s="2">
        <v>12</v>
      </c>
    </row>
    <row r="97" spans="2:43" ht="18" customHeight="1" x14ac:dyDescent="0.2">
      <c r="B97" s="10">
        <v>97</v>
      </c>
      <c r="C97" s="10">
        <v>3</v>
      </c>
      <c r="D97" s="10">
        <v>21</v>
      </c>
      <c r="E97" s="10">
        <v>27</v>
      </c>
      <c r="F97" s="10" t="s">
        <v>107</v>
      </c>
      <c r="G97" s="10" t="s">
        <v>165</v>
      </c>
      <c r="H97" s="10" t="s">
        <v>108</v>
      </c>
      <c r="I97" s="10" t="s">
        <v>108</v>
      </c>
      <c r="J97" s="10" t="s">
        <v>108</v>
      </c>
      <c r="K97" s="10" t="s">
        <v>116</v>
      </c>
      <c r="L97" s="67" t="s">
        <v>126</v>
      </c>
      <c r="M97" s="11" t="s">
        <v>291</v>
      </c>
      <c r="O97" s="19">
        <v>12</v>
      </c>
      <c r="P97" s="16">
        <v>32</v>
      </c>
      <c r="Q97" s="16">
        <v>20</v>
      </c>
      <c r="R97" s="17">
        <v>8</v>
      </c>
      <c r="T97" s="19">
        <v>6</v>
      </c>
      <c r="U97" s="17">
        <v>1</v>
      </c>
      <c r="W97" s="19"/>
      <c r="X97" s="16"/>
      <c r="Y97" s="16"/>
      <c r="Z97" s="17"/>
      <c r="AB97" s="19"/>
      <c r="AC97" s="16"/>
      <c r="AD97" s="16"/>
      <c r="AE97" s="17"/>
      <c r="AG97" s="19"/>
      <c r="AH97" s="16"/>
      <c r="AI97" s="16"/>
      <c r="AJ97" s="17"/>
      <c r="AL97" s="19"/>
      <c r="AM97" s="16"/>
      <c r="AN97" s="16"/>
      <c r="AO97" s="17"/>
      <c r="AQ97" s="2">
        <v>12</v>
      </c>
    </row>
    <row r="98" spans="2:43" ht="18" customHeight="1" x14ac:dyDescent="0.2">
      <c r="B98" s="8">
        <v>98</v>
      </c>
      <c r="C98" s="8">
        <v>3</v>
      </c>
      <c r="D98" s="8">
        <v>22</v>
      </c>
      <c r="E98" s="8">
        <v>0</v>
      </c>
      <c r="F98" s="84" t="s">
        <v>241</v>
      </c>
      <c r="G98" s="8" t="s">
        <v>165</v>
      </c>
      <c r="H98" s="8" t="s">
        <v>165</v>
      </c>
      <c r="I98" s="8" t="s">
        <v>165</v>
      </c>
      <c r="J98" s="44" t="s">
        <v>108</v>
      </c>
      <c r="K98" s="8" t="s">
        <v>116</v>
      </c>
      <c r="L98" s="9" t="s">
        <v>242</v>
      </c>
      <c r="M98" s="9" t="s">
        <v>292</v>
      </c>
      <c r="O98" s="18">
        <v>12</v>
      </c>
      <c r="P98" s="14">
        <v>32</v>
      </c>
      <c r="Q98" s="14">
        <v>20</v>
      </c>
      <c r="R98" s="15">
        <v>8</v>
      </c>
      <c r="T98" s="18">
        <v>12</v>
      </c>
      <c r="U98" s="15">
        <v>8</v>
      </c>
      <c r="W98" s="18"/>
      <c r="X98" s="14"/>
      <c r="Y98" s="14"/>
      <c r="Z98" s="15"/>
      <c r="AB98" s="18"/>
      <c r="AC98" s="14"/>
      <c r="AD98" s="14"/>
      <c r="AE98" s="15"/>
      <c r="AG98" s="18"/>
      <c r="AH98" s="14"/>
      <c r="AI98" s="14"/>
      <c r="AJ98" s="15"/>
      <c r="AL98" s="18"/>
      <c r="AM98" s="14"/>
      <c r="AN98" s="14"/>
      <c r="AO98" s="15"/>
      <c r="AQ98" s="2">
        <v>12</v>
      </c>
    </row>
    <row r="99" spans="2:43" ht="18" customHeight="1" x14ac:dyDescent="0.2">
      <c r="B99" s="10">
        <v>99</v>
      </c>
      <c r="C99" s="10">
        <v>3</v>
      </c>
      <c r="D99" s="10">
        <v>23</v>
      </c>
      <c r="E99" s="10">
        <v>18</v>
      </c>
      <c r="F99" s="10" t="s">
        <v>193</v>
      </c>
      <c r="G99" s="10" t="s">
        <v>165</v>
      </c>
      <c r="H99" s="10" t="s">
        <v>108</v>
      </c>
      <c r="I99" s="10" t="s">
        <v>108</v>
      </c>
      <c r="J99" s="10" t="s">
        <v>108</v>
      </c>
      <c r="K99" s="10" t="s">
        <v>116</v>
      </c>
      <c r="L99" s="67" t="s">
        <v>157</v>
      </c>
      <c r="M99" s="11" t="s">
        <v>293</v>
      </c>
      <c r="O99" s="19">
        <v>12</v>
      </c>
      <c r="P99" s="16">
        <v>32</v>
      </c>
      <c r="Q99" s="16">
        <v>20</v>
      </c>
      <c r="R99" s="17">
        <v>8</v>
      </c>
      <c r="T99" s="19">
        <v>8</v>
      </c>
      <c r="U99" s="17">
        <v>3</v>
      </c>
      <c r="W99" s="19"/>
      <c r="X99" s="16"/>
      <c r="Y99" s="16"/>
      <c r="Z99" s="17"/>
      <c r="AB99" s="19"/>
      <c r="AC99" s="16"/>
      <c r="AD99" s="16"/>
      <c r="AE99" s="17"/>
      <c r="AG99" s="19"/>
      <c r="AH99" s="16"/>
      <c r="AI99" s="16"/>
      <c r="AJ99" s="17"/>
      <c r="AL99" s="19"/>
      <c r="AM99" s="16"/>
      <c r="AN99" s="16"/>
      <c r="AO99" s="17"/>
      <c r="AQ99" s="2">
        <v>12</v>
      </c>
    </row>
    <row r="100" spans="2:43" ht="18" customHeight="1" x14ac:dyDescent="0.2">
      <c r="B100" s="8">
        <v>100</v>
      </c>
      <c r="C100" s="8">
        <v>3</v>
      </c>
      <c r="D100" s="8">
        <v>24</v>
      </c>
      <c r="E100" s="8">
        <v>26</v>
      </c>
      <c r="F100" s="84" t="s">
        <v>266</v>
      </c>
      <c r="G100" s="8" t="s">
        <v>165</v>
      </c>
      <c r="H100" s="8" t="s">
        <v>108</v>
      </c>
      <c r="I100" s="8" t="s">
        <v>108</v>
      </c>
      <c r="J100" s="44" t="s">
        <v>108</v>
      </c>
      <c r="K100" s="8" t="s">
        <v>116</v>
      </c>
      <c r="L100" s="9" t="s">
        <v>130</v>
      </c>
      <c r="M100" s="9" t="s">
        <v>294</v>
      </c>
      <c r="O100" s="18">
        <v>12</v>
      </c>
      <c r="P100" s="14">
        <v>32</v>
      </c>
      <c r="Q100" s="14">
        <v>20</v>
      </c>
      <c r="R100" s="15">
        <v>8</v>
      </c>
      <c r="T100" s="18">
        <v>3</v>
      </c>
      <c r="U100" s="15">
        <v>0</v>
      </c>
      <c r="W100" s="18"/>
      <c r="X100" s="14"/>
      <c r="Y100" s="14"/>
      <c r="Z100" s="15"/>
      <c r="AB100" s="18"/>
      <c r="AC100" s="14"/>
      <c r="AD100" s="14"/>
      <c r="AE100" s="15"/>
      <c r="AG100" s="18"/>
      <c r="AH100" s="14"/>
      <c r="AI100" s="14"/>
      <c r="AJ100" s="15"/>
      <c r="AL100" s="18"/>
      <c r="AM100" s="14"/>
      <c r="AN100" s="14"/>
      <c r="AO100" s="15"/>
      <c r="AQ100" s="2">
        <v>12</v>
      </c>
    </row>
    <row r="101" spans="2:43" ht="18" customHeight="1" x14ac:dyDescent="0.2">
      <c r="B101" s="10">
        <v>101</v>
      </c>
      <c r="C101" s="10">
        <v>3</v>
      </c>
      <c r="D101" s="10">
        <v>25</v>
      </c>
      <c r="E101" s="10">
        <v>0</v>
      </c>
      <c r="F101" s="10" t="s">
        <v>109</v>
      </c>
      <c r="G101" s="10" t="s">
        <v>165</v>
      </c>
      <c r="H101" s="10" t="s">
        <v>165</v>
      </c>
      <c r="I101" s="10" t="s">
        <v>165</v>
      </c>
      <c r="J101" s="10" t="s">
        <v>108</v>
      </c>
      <c r="K101" s="10" t="s">
        <v>116</v>
      </c>
      <c r="L101" s="67" t="s">
        <v>169</v>
      </c>
      <c r="M101" s="11" t="s">
        <v>295</v>
      </c>
      <c r="O101" s="19">
        <v>12</v>
      </c>
      <c r="P101" s="16">
        <v>32</v>
      </c>
      <c r="Q101" s="16">
        <v>20</v>
      </c>
      <c r="R101" s="17">
        <v>8</v>
      </c>
      <c r="T101" s="19">
        <v>12</v>
      </c>
      <c r="U101" s="17">
        <v>8</v>
      </c>
      <c r="W101" s="19"/>
      <c r="X101" s="16"/>
      <c r="Y101" s="16"/>
      <c r="Z101" s="17"/>
      <c r="AB101" s="19"/>
      <c r="AC101" s="16"/>
      <c r="AD101" s="16"/>
      <c r="AE101" s="17"/>
      <c r="AG101" s="19"/>
      <c r="AH101" s="16"/>
      <c r="AI101" s="16"/>
      <c r="AJ101" s="17"/>
      <c r="AL101" s="19"/>
      <c r="AM101" s="16"/>
      <c r="AN101" s="16"/>
      <c r="AO101" s="17"/>
      <c r="AQ101" s="2">
        <v>12</v>
      </c>
    </row>
    <row r="102" spans="2:43" ht="18" customHeight="1" x14ac:dyDescent="0.2">
      <c r="B102" s="8">
        <v>102</v>
      </c>
      <c r="C102" s="8">
        <v>3</v>
      </c>
      <c r="D102" s="8">
        <v>26</v>
      </c>
      <c r="E102" s="8">
        <v>7</v>
      </c>
      <c r="F102" s="84" t="s">
        <v>91</v>
      </c>
      <c r="G102" s="8" t="s">
        <v>165</v>
      </c>
      <c r="H102" s="8" t="s">
        <v>165</v>
      </c>
      <c r="I102" s="8" t="s">
        <v>165</v>
      </c>
      <c r="J102" s="44" t="s">
        <v>108</v>
      </c>
      <c r="K102" s="8" t="s">
        <v>116</v>
      </c>
      <c r="L102" s="9" t="s">
        <v>225</v>
      </c>
      <c r="M102" s="9" t="s">
        <v>296</v>
      </c>
      <c r="O102" s="18">
        <v>12</v>
      </c>
      <c r="P102" s="14">
        <v>32</v>
      </c>
      <c r="Q102" s="14">
        <v>20</v>
      </c>
      <c r="R102" s="15">
        <v>8</v>
      </c>
      <c r="T102" s="18">
        <v>12</v>
      </c>
      <c r="U102" s="15">
        <v>8</v>
      </c>
      <c r="W102" s="18"/>
      <c r="X102" s="14"/>
      <c r="Y102" s="14"/>
      <c r="Z102" s="15"/>
      <c r="AB102" s="18"/>
      <c r="AC102" s="14"/>
      <c r="AD102" s="14"/>
      <c r="AE102" s="15"/>
      <c r="AG102" s="18"/>
      <c r="AH102" s="14"/>
      <c r="AI102" s="14"/>
      <c r="AJ102" s="15"/>
      <c r="AL102" s="18"/>
      <c r="AM102" s="14"/>
      <c r="AN102" s="14"/>
      <c r="AO102" s="15"/>
      <c r="AQ102" s="2">
        <v>12</v>
      </c>
    </row>
    <row r="103" spans="2:43" ht="18" customHeight="1" x14ac:dyDescent="0.2">
      <c r="B103" s="10">
        <v>103</v>
      </c>
      <c r="C103" s="10">
        <v>3</v>
      </c>
      <c r="D103" s="10">
        <v>27</v>
      </c>
      <c r="E103" s="10">
        <v>14</v>
      </c>
      <c r="F103" s="10" t="s">
        <v>107</v>
      </c>
      <c r="G103" s="10" t="s">
        <v>165</v>
      </c>
      <c r="H103" s="10" t="s">
        <v>165</v>
      </c>
      <c r="I103" s="10" t="s">
        <v>108</v>
      </c>
      <c r="J103" s="10" t="s">
        <v>108</v>
      </c>
      <c r="K103" s="10" t="s">
        <v>116</v>
      </c>
      <c r="L103" s="67" t="s">
        <v>297</v>
      </c>
      <c r="M103" s="11" t="s">
        <v>298</v>
      </c>
      <c r="O103" s="19">
        <v>12</v>
      </c>
      <c r="P103" s="16">
        <v>32</v>
      </c>
      <c r="Q103" s="16">
        <v>20</v>
      </c>
      <c r="R103" s="17">
        <v>8</v>
      </c>
      <c r="T103" s="19">
        <v>12</v>
      </c>
      <c r="U103" s="17">
        <v>1</v>
      </c>
      <c r="W103" s="19"/>
      <c r="X103" s="16"/>
      <c r="Y103" s="16"/>
      <c r="Z103" s="17"/>
      <c r="AB103" s="19"/>
      <c r="AC103" s="16"/>
      <c r="AD103" s="16"/>
      <c r="AE103" s="17"/>
      <c r="AG103" s="19"/>
      <c r="AH103" s="16"/>
      <c r="AI103" s="16"/>
      <c r="AJ103" s="17"/>
      <c r="AL103" s="19"/>
      <c r="AM103" s="16"/>
      <c r="AN103" s="16"/>
      <c r="AO103" s="17"/>
      <c r="AQ103" s="2">
        <v>12</v>
      </c>
    </row>
    <row r="104" spans="2:43" ht="18" customHeight="1" x14ac:dyDescent="0.2">
      <c r="B104" s="8">
        <v>104</v>
      </c>
      <c r="C104" s="8">
        <v>3</v>
      </c>
      <c r="D104" s="8">
        <v>28</v>
      </c>
      <c r="E104" s="8">
        <v>16</v>
      </c>
      <c r="F104" s="84" t="s">
        <v>107</v>
      </c>
      <c r="G104" s="8" t="s">
        <v>165</v>
      </c>
      <c r="H104" s="8" t="s">
        <v>108</v>
      </c>
      <c r="I104" s="8" t="s">
        <v>108</v>
      </c>
      <c r="J104" s="44" t="s">
        <v>108</v>
      </c>
      <c r="K104" s="8" t="s">
        <v>116</v>
      </c>
      <c r="L104" s="9" t="s">
        <v>119</v>
      </c>
      <c r="M104" s="9" t="s">
        <v>150</v>
      </c>
      <c r="O104" s="18">
        <v>12</v>
      </c>
      <c r="P104" s="14">
        <v>32</v>
      </c>
      <c r="Q104" s="14">
        <v>20</v>
      </c>
      <c r="R104" s="15">
        <v>8</v>
      </c>
      <c r="T104" s="18">
        <v>8</v>
      </c>
      <c r="U104" s="15">
        <v>0</v>
      </c>
      <c r="W104" s="18"/>
      <c r="X104" s="14"/>
      <c r="Y104" s="14"/>
      <c r="Z104" s="15"/>
      <c r="AB104" s="18"/>
      <c r="AC104" s="14"/>
      <c r="AD104" s="14"/>
      <c r="AE104" s="15"/>
      <c r="AG104" s="18"/>
      <c r="AH104" s="14"/>
      <c r="AI104" s="14"/>
      <c r="AJ104" s="15"/>
      <c r="AL104" s="18"/>
      <c r="AM104" s="14"/>
      <c r="AN104" s="14"/>
      <c r="AO104" s="15"/>
      <c r="AQ104" s="2">
        <v>12</v>
      </c>
    </row>
    <row r="105" spans="2:43" ht="18" customHeight="1" x14ac:dyDescent="0.2">
      <c r="B105" s="10">
        <v>105</v>
      </c>
      <c r="C105" s="10">
        <v>3</v>
      </c>
      <c r="D105" s="10">
        <v>29</v>
      </c>
      <c r="E105" s="10">
        <v>0</v>
      </c>
      <c r="F105" s="10" t="s">
        <v>107</v>
      </c>
      <c r="G105" s="10" t="s">
        <v>165</v>
      </c>
      <c r="H105" s="10" t="s">
        <v>165</v>
      </c>
      <c r="I105" s="10" t="s">
        <v>165</v>
      </c>
      <c r="J105" s="10" t="s">
        <v>108</v>
      </c>
      <c r="K105" s="10" t="s">
        <v>116</v>
      </c>
      <c r="L105" s="67" t="s">
        <v>299</v>
      </c>
      <c r="M105" s="11" t="s">
        <v>300</v>
      </c>
      <c r="O105" s="19">
        <v>12</v>
      </c>
      <c r="P105" s="16">
        <v>32</v>
      </c>
      <c r="Q105" s="16">
        <v>20</v>
      </c>
      <c r="R105" s="17">
        <v>8</v>
      </c>
      <c r="T105" s="19">
        <v>12</v>
      </c>
      <c r="U105" s="17">
        <v>8</v>
      </c>
      <c r="W105" s="19"/>
      <c r="X105" s="16"/>
      <c r="Y105" s="16"/>
      <c r="Z105" s="17"/>
      <c r="AB105" s="19"/>
      <c r="AC105" s="16"/>
      <c r="AD105" s="16"/>
      <c r="AE105" s="17"/>
      <c r="AG105" s="19"/>
      <c r="AH105" s="16"/>
      <c r="AI105" s="16"/>
      <c r="AJ105" s="17"/>
      <c r="AL105" s="19"/>
      <c r="AM105" s="16"/>
      <c r="AN105" s="16"/>
      <c r="AO105" s="17"/>
      <c r="AQ105" s="2">
        <v>12</v>
      </c>
    </row>
    <row r="106" spans="2:43" ht="18" customHeight="1" x14ac:dyDescent="0.2">
      <c r="B106" s="8">
        <v>106</v>
      </c>
      <c r="C106" s="8">
        <v>3</v>
      </c>
      <c r="D106" s="8">
        <v>30</v>
      </c>
      <c r="E106" s="8">
        <v>25</v>
      </c>
      <c r="F106" s="84" t="s">
        <v>193</v>
      </c>
      <c r="G106" s="8" t="s">
        <v>165</v>
      </c>
      <c r="H106" s="8" t="s">
        <v>108</v>
      </c>
      <c r="I106" s="8" t="s">
        <v>108</v>
      </c>
      <c r="J106" s="44" t="s">
        <v>108</v>
      </c>
      <c r="K106" s="8" t="s">
        <v>116</v>
      </c>
      <c r="L106" s="9" t="s">
        <v>157</v>
      </c>
      <c r="M106" s="9" t="s">
        <v>301</v>
      </c>
      <c r="O106" s="18">
        <v>12</v>
      </c>
      <c r="P106" s="14">
        <v>32</v>
      </c>
      <c r="Q106" s="14">
        <v>20</v>
      </c>
      <c r="R106" s="15">
        <v>8</v>
      </c>
      <c r="T106" s="18">
        <v>6</v>
      </c>
      <c r="U106" s="15">
        <v>2</v>
      </c>
      <c r="W106" s="18"/>
      <c r="X106" s="14"/>
      <c r="Y106" s="14"/>
      <c r="Z106" s="15"/>
      <c r="AB106" s="18"/>
      <c r="AC106" s="14"/>
      <c r="AD106" s="14"/>
      <c r="AE106" s="15"/>
      <c r="AG106" s="18"/>
      <c r="AH106" s="14"/>
      <c r="AI106" s="14"/>
      <c r="AJ106" s="15"/>
      <c r="AL106" s="18"/>
      <c r="AM106" s="14"/>
      <c r="AN106" s="14"/>
      <c r="AO106" s="15"/>
      <c r="AQ106" s="2">
        <v>12</v>
      </c>
    </row>
    <row r="107" spans="2:43" ht="18" customHeight="1" x14ac:dyDescent="0.2">
      <c r="B107" s="10">
        <v>107</v>
      </c>
      <c r="C107" s="10">
        <v>3</v>
      </c>
      <c r="D107" s="10">
        <v>31</v>
      </c>
      <c r="E107" s="10">
        <v>15</v>
      </c>
      <c r="F107" s="10" t="s">
        <v>241</v>
      </c>
      <c r="G107" s="10" t="s">
        <v>165</v>
      </c>
      <c r="H107" s="10" t="s">
        <v>165</v>
      </c>
      <c r="I107" s="10" t="s">
        <v>108</v>
      </c>
      <c r="J107" s="10" t="s">
        <v>108</v>
      </c>
      <c r="K107" s="10" t="s">
        <v>116</v>
      </c>
      <c r="L107" s="67" t="s">
        <v>242</v>
      </c>
      <c r="M107" s="11" t="s">
        <v>302</v>
      </c>
      <c r="O107" s="19">
        <v>12</v>
      </c>
      <c r="P107" s="16">
        <v>32</v>
      </c>
      <c r="Q107" s="16">
        <v>20</v>
      </c>
      <c r="R107" s="17">
        <v>8</v>
      </c>
      <c r="T107" s="19">
        <v>12</v>
      </c>
      <c r="U107" s="17">
        <v>5</v>
      </c>
      <c r="W107" s="19"/>
      <c r="X107" s="16"/>
      <c r="Y107" s="16"/>
      <c r="Z107" s="17"/>
      <c r="AB107" s="19"/>
      <c r="AC107" s="16"/>
      <c r="AD107" s="16"/>
      <c r="AE107" s="17"/>
      <c r="AG107" s="19"/>
      <c r="AH107" s="16"/>
      <c r="AI107" s="16"/>
      <c r="AJ107" s="17"/>
      <c r="AL107" s="19"/>
      <c r="AM107" s="16"/>
      <c r="AN107" s="16"/>
      <c r="AO107" s="17"/>
      <c r="AQ107" s="2">
        <v>12</v>
      </c>
    </row>
    <row r="108" spans="2:43" ht="18" customHeight="1" x14ac:dyDescent="0.2">
      <c r="B108" s="8">
        <v>108</v>
      </c>
      <c r="C108" s="8">
        <v>3</v>
      </c>
      <c r="D108" s="8">
        <v>32</v>
      </c>
      <c r="E108" s="8">
        <v>23</v>
      </c>
      <c r="F108" s="84" t="s">
        <v>91</v>
      </c>
      <c r="G108" s="8" t="s">
        <v>165</v>
      </c>
      <c r="H108" s="8" t="s">
        <v>108</v>
      </c>
      <c r="I108" s="8" t="s">
        <v>108</v>
      </c>
      <c r="J108" s="44" t="s">
        <v>108</v>
      </c>
      <c r="K108" s="8" t="s">
        <v>116</v>
      </c>
      <c r="L108" s="9" t="s">
        <v>225</v>
      </c>
      <c r="M108" s="9" t="s">
        <v>303</v>
      </c>
      <c r="O108" s="18">
        <v>12</v>
      </c>
      <c r="P108" s="14">
        <v>32</v>
      </c>
      <c r="Q108" s="14">
        <v>20</v>
      </c>
      <c r="R108" s="15">
        <v>8</v>
      </c>
      <c r="T108" s="18">
        <v>8</v>
      </c>
      <c r="U108" s="15">
        <v>3</v>
      </c>
      <c r="W108" s="18"/>
      <c r="X108" s="14"/>
      <c r="Y108" s="14"/>
      <c r="Z108" s="15"/>
      <c r="AB108" s="18"/>
      <c r="AC108" s="14"/>
      <c r="AD108" s="14"/>
      <c r="AE108" s="15"/>
      <c r="AG108" s="18"/>
      <c r="AH108" s="14"/>
      <c r="AI108" s="14"/>
      <c r="AJ108" s="15"/>
      <c r="AL108" s="18"/>
      <c r="AM108" s="14"/>
      <c r="AN108" s="14"/>
      <c r="AO108" s="15"/>
      <c r="AQ108" s="2">
        <v>12</v>
      </c>
    </row>
    <row r="109" spans="2:43" ht="18" customHeight="1" x14ac:dyDescent="0.2">
      <c r="B109" s="10">
        <v>109</v>
      </c>
      <c r="C109" s="10">
        <v>3</v>
      </c>
      <c r="D109" s="10">
        <v>33</v>
      </c>
      <c r="E109" s="10">
        <v>0</v>
      </c>
      <c r="F109" s="10" t="s">
        <v>107</v>
      </c>
      <c r="G109" s="10" t="s">
        <v>165</v>
      </c>
      <c r="H109" s="10" t="s">
        <v>165</v>
      </c>
      <c r="I109" s="10" t="s">
        <v>165</v>
      </c>
      <c r="J109" s="10" t="s">
        <v>108</v>
      </c>
      <c r="K109" s="10" t="s">
        <v>116</v>
      </c>
      <c r="L109" s="67" t="s">
        <v>119</v>
      </c>
      <c r="M109" s="11" t="s">
        <v>108</v>
      </c>
      <c r="O109" s="19">
        <v>12</v>
      </c>
      <c r="P109" s="16">
        <v>32</v>
      </c>
      <c r="Q109" s="16">
        <v>20</v>
      </c>
      <c r="R109" s="17">
        <v>8</v>
      </c>
      <c r="T109" s="19">
        <v>12</v>
      </c>
      <c r="U109" s="17">
        <v>8</v>
      </c>
      <c r="W109" s="19"/>
      <c r="X109" s="16"/>
      <c r="Y109" s="16"/>
      <c r="Z109" s="17"/>
      <c r="AB109" s="19"/>
      <c r="AC109" s="16"/>
      <c r="AD109" s="16"/>
      <c r="AE109" s="17"/>
      <c r="AG109" s="19"/>
      <c r="AH109" s="16"/>
      <c r="AI109" s="16"/>
      <c r="AJ109" s="17"/>
      <c r="AL109" s="19"/>
      <c r="AM109" s="16"/>
      <c r="AN109" s="16"/>
      <c r="AO109" s="17"/>
      <c r="AQ109" s="2">
        <v>12</v>
      </c>
    </row>
    <row r="110" spans="2:43" ht="18" customHeight="1" x14ac:dyDescent="0.2">
      <c r="B110" s="8">
        <v>110</v>
      </c>
      <c r="C110" s="8">
        <v>3</v>
      </c>
      <c r="D110" s="8">
        <v>34</v>
      </c>
      <c r="E110" s="8">
        <v>0</v>
      </c>
      <c r="F110" s="84" t="s">
        <v>107</v>
      </c>
      <c r="G110" s="8" t="s">
        <v>165</v>
      </c>
      <c r="H110" s="8" t="s">
        <v>165</v>
      </c>
      <c r="I110" s="8" t="s">
        <v>108</v>
      </c>
      <c r="J110" s="44" t="s">
        <v>108</v>
      </c>
      <c r="K110" s="8" t="s">
        <v>116</v>
      </c>
      <c r="L110" s="9" t="s">
        <v>110</v>
      </c>
      <c r="M110" s="9" t="s">
        <v>304</v>
      </c>
      <c r="O110" s="18">
        <v>12</v>
      </c>
      <c r="P110" s="14">
        <v>32</v>
      </c>
      <c r="Q110" s="14">
        <v>20</v>
      </c>
      <c r="R110" s="15">
        <v>8</v>
      </c>
      <c r="T110" s="18">
        <v>12</v>
      </c>
      <c r="U110" s="15">
        <v>3</v>
      </c>
      <c r="W110" s="18"/>
      <c r="X110" s="14"/>
      <c r="Y110" s="14"/>
      <c r="Z110" s="15"/>
      <c r="AB110" s="18"/>
      <c r="AC110" s="14"/>
      <c r="AD110" s="14"/>
      <c r="AE110" s="15"/>
      <c r="AG110" s="18"/>
      <c r="AH110" s="14"/>
      <c r="AI110" s="14"/>
      <c r="AJ110" s="15"/>
      <c r="AL110" s="18"/>
      <c r="AM110" s="14"/>
      <c r="AN110" s="14"/>
      <c r="AO110" s="15"/>
      <c r="AQ110" s="2">
        <v>12</v>
      </c>
    </row>
    <row r="111" spans="2:43" ht="18" customHeight="1" x14ac:dyDescent="0.2">
      <c r="B111" s="10">
        <v>111</v>
      </c>
      <c r="C111" s="10">
        <v>3</v>
      </c>
      <c r="D111" s="10">
        <v>35</v>
      </c>
      <c r="E111" s="10">
        <v>8</v>
      </c>
      <c r="F111" s="10" t="s">
        <v>91</v>
      </c>
      <c r="G111" s="10" t="s">
        <v>165</v>
      </c>
      <c r="H111" s="10" t="s">
        <v>165</v>
      </c>
      <c r="I111" s="10" t="s">
        <v>165</v>
      </c>
      <c r="J111" s="10" t="s">
        <v>108</v>
      </c>
      <c r="K111" s="10" t="s">
        <v>116</v>
      </c>
      <c r="L111" s="67" t="s">
        <v>225</v>
      </c>
      <c r="M111" s="11" t="s">
        <v>305</v>
      </c>
      <c r="O111" s="19">
        <v>12</v>
      </c>
      <c r="P111" s="16">
        <v>32</v>
      </c>
      <c r="Q111" s="16">
        <v>20</v>
      </c>
      <c r="R111" s="17">
        <v>8</v>
      </c>
      <c r="T111" s="19">
        <v>12</v>
      </c>
      <c r="U111" s="17">
        <v>8</v>
      </c>
      <c r="W111" s="19"/>
      <c r="X111" s="16"/>
      <c r="Y111" s="16"/>
      <c r="Z111" s="17"/>
      <c r="AB111" s="19"/>
      <c r="AC111" s="16"/>
      <c r="AD111" s="16"/>
      <c r="AE111" s="17"/>
      <c r="AG111" s="19"/>
      <c r="AH111" s="16"/>
      <c r="AI111" s="16"/>
      <c r="AJ111" s="17"/>
      <c r="AL111" s="19"/>
      <c r="AM111" s="16"/>
      <c r="AN111" s="16"/>
      <c r="AO111" s="17"/>
      <c r="AQ111" s="2">
        <v>12</v>
      </c>
    </row>
    <row r="112" spans="2:43" ht="18" customHeight="1" x14ac:dyDescent="0.2">
      <c r="B112" s="8">
        <v>112</v>
      </c>
      <c r="C112" s="8">
        <v>3</v>
      </c>
      <c r="D112" s="8">
        <v>36</v>
      </c>
      <c r="E112" s="8">
        <v>18</v>
      </c>
      <c r="F112" s="84" t="s">
        <v>193</v>
      </c>
      <c r="G112" s="8" t="s">
        <v>165</v>
      </c>
      <c r="H112" s="8" t="s">
        <v>108</v>
      </c>
      <c r="I112" s="8" t="s">
        <v>108</v>
      </c>
      <c r="J112" s="44" t="s">
        <v>108</v>
      </c>
      <c r="K112" s="8" t="s">
        <v>116</v>
      </c>
      <c r="L112" s="9" t="s">
        <v>157</v>
      </c>
      <c r="M112" s="9" t="s">
        <v>306</v>
      </c>
      <c r="O112" s="18">
        <v>12</v>
      </c>
      <c r="P112" s="14">
        <v>32</v>
      </c>
      <c r="Q112" s="14">
        <v>20</v>
      </c>
      <c r="R112" s="15">
        <v>8</v>
      </c>
      <c r="T112" s="18">
        <v>6</v>
      </c>
      <c r="U112" s="15">
        <v>3</v>
      </c>
      <c r="W112" s="18"/>
      <c r="X112" s="14"/>
      <c r="Y112" s="14"/>
      <c r="Z112" s="15"/>
      <c r="AB112" s="18"/>
      <c r="AC112" s="14"/>
      <c r="AD112" s="14"/>
      <c r="AE112" s="15"/>
      <c r="AG112" s="18"/>
      <c r="AH112" s="14"/>
      <c r="AI112" s="14"/>
      <c r="AJ112" s="15"/>
      <c r="AL112" s="18"/>
      <c r="AM112" s="14"/>
      <c r="AN112" s="14"/>
      <c r="AO112" s="15"/>
      <c r="AQ112" s="2">
        <v>12</v>
      </c>
    </row>
    <row r="113" spans="2:43" ht="18" customHeight="1" x14ac:dyDescent="0.2">
      <c r="B113" s="10">
        <v>113</v>
      </c>
      <c r="C113" s="10">
        <v>3</v>
      </c>
      <c r="D113" s="10">
        <v>37</v>
      </c>
      <c r="E113" s="10">
        <v>29</v>
      </c>
      <c r="F113" s="10" t="s">
        <v>266</v>
      </c>
      <c r="G113" s="10" t="s">
        <v>108</v>
      </c>
      <c r="H113" s="10" t="s">
        <v>108</v>
      </c>
      <c r="I113" s="10" t="s">
        <v>108</v>
      </c>
      <c r="J113" s="10" t="s">
        <v>108</v>
      </c>
      <c r="K113" s="10" t="s">
        <v>116</v>
      </c>
      <c r="L113" s="67" t="s">
        <v>130</v>
      </c>
      <c r="M113" s="11" t="s">
        <v>307</v>
      </c>
      <c r="O113" s="19">
        <v>12</v>
      </c>
      <c r="P113" s="16">
        <v>32</v>
      </c>
      <c r="Q113" s="16">
        <v>20</v>
      </c>
      <c r="R113" s="17">
        <v>8</v>
      </c>
      <c r="T113" s="19">
        <v>0</v>
      </c>
      <c r="U113" s="17">
        <v>1</v>
      </c>
      <c r="W113" s="19"/>
      <c r="X113" s="16"/>
      <c r="Y113" s="16"/>
      <c r="Z113" s="17"/>
      <c r="AB113" s="19"/>
      <c r="AC113" s="16"/>
      <c r="AD113" s="16"/>
      <c r="AE113" s="17"/>
      <c r="AG113" s="19"/>
      <c r="AH113" s="16"/>
      <c r="AI113" s="16"/>
      <c r="AJ113" s="17"/>
      <c r="AL113" s="19"/>
      <c r="AM113" s="16"/>
      <c r="AN113" s="16"/>
      <c r="AO113" s="17"/>
      <c r="AQ113" s="2">
        <v>12</v>
      </c>
    </row>
    <row r="114" spans="2:43" ht="18" customHeight="1" x14ac:dyDescent="0.2">
      <c r="B114" s="8">
        <v>114</v>
      </c>
      <c r="C114" s="10">
        <v>3</v>
      </c>
      <c r="D114" s="10">
        <v>38</v>
      </c>
      <c r="E114" s="10">
        <v>32</v>
      </c>
      <c r="F114" s="10" t="s">
        <v>107</v>
      </c>
      <c r="G114" s="10" t="s">
        <v>108</v>
      </c>
      <c r="H114" s="10" t="s">
        <v>108</v>
      </c>
      <c r="I114" s="10" t="s">
        <v>108</v>
      </c>
      <c r="J114" s="10" t="s">
        <v>108</v>
      </c>
      <c r="K114" s="10" t="s">
        <v>116</v>
      </c>
      <c r="L114" s="67" t="s">
        <v>130</v>
      </c>
      <c r="M114" s="11" t="s">
        <v>131</v>
      </c>
      <c r="O114" s="19"/>
      <c r="P114" s="16"/>
      <c r="Q114" s="16"/>
      <c r="R114" s="17"/>
      <c r="T114" s="19"/>
      <c r="U114" s="17"/>
      <c r="W114" s="19"/>
      <c r="X114" s="16"/>
      <c r="Y114" s="16"/>
      <c r="Z114" s="17"/>
      <c r="AB114" s="19"/>
      <c r="AC114" s="16"/>
      <c r="AD114" s="16"/>
      <c r="AE114" s="17"/>
      <c r="AG114" s="19"/>
      <c r="AH114" s="16"/>
      <c r="AI114" s="16"/>
      <c r="AJ114" s="17"/>
      <c r="AL114" s="19"/>
      <c r="AM114" s="16"/>
      <c r="AN114" s="16"/>
      <c r="AO114" s="17"/>
      <c r="AQ114" s="2"/>
    </row>
    <row r="115" spans="2:43" ht="18" customHeight="1" x14ac:dyDescent="0.2">
      <c r="B115" s="10">
        <v>115</v>
      </c>
      <c r="C115" s="8">
        <v>3</v>
      </c>
      <c r="D115" s="8">
        <v>39</v>
      </c>
      <c r="E115" s="8">
        <v>24</v>
      </c>
      <c r="F115" s="84" t="s">
        <v>107</v>
      </c>
      <c r="G115" s="8" t="s">
        <v>165</v>
      </c>
      <c r="H115" s="8" t="s">
        <v>108</v>
      </c>
      <c r="I115" s="8" t="s">
        <v>108</v>
      </c>
      <c r="J115" s="44" t="s">
        <v>108</v>
      </c>
      <c r="K115" s="8" t="s">
        <v>116</v>
      </c>
      <c r="L115" s="9" t="s">
        <v>308</v>
      </c>
      <c r="M115" s="9" t="s">
        <v>309</v>
      </c>
      <c r="O115" s="18">
        <v>12</v>
      </c>
      <c r="P115" s="14">
        <v>32</v>
      </c>
      <c r="Q115" s="14">
        <v>20</v>
      </c>
      <c r="R115" s="15">
        <v>8</v>
      </c>
      <c r="T115" s="18">
        <v>6</v>
      </c>
      <c r="U115" s="15">
        <v>0</v>
      </c>
      <c r="W115" s="18"/>
      <c r="X115" s="14"/>
      <c r="Y115" s="14"/>
      <c r="Z115" s="15"/>
      <c r="AB115" s="18"/>
      <c r="AC115" s="14"/>
      <c r="AD115" s="14"/>
      <c r="AE115" s="15"/>
      <c r="AG115" s="18"/>
      <c r="AH115" s="14"/>
      <c r="AI115" s="14"/>
      <c r="AJ115" s="15"/>
      <c r="AL115" s="18"/>
      <c r="AM115" s="14"/>
      <c r="AN115" s="14"/>
      <c r="AO115" s="15"/>
      <c r="AQ115" s="2">
        <v>12</v>
      </c>
    </row>
    <row r="116" spans="2:43" ht="18" customHeight="1" x14ac:dyDescent="0.2">
      <c r="B116" s="8">
        <v>116</v>
      </c>
      <c r="C116" s="10">
        <v>3</v>
      </c>
      <c r="D116" s="10">
        <v>40</v>
      </c>
      <c r="E116" s="10">
        <v>0</v>
      </c>
      <c r="F116" s="10" t="s">
        <v>193</v>
      </c>
      <c r="G116" s="10" t="s">
        <v>165</v>
      </c>
      <c r="H116" s="10" t="s">
        <v>165</v>
      </c>
      <c r="I116" s="10" t="s">
        <v>165</v>
      </c>
      <c r="J116" s="10" t="s">
        <v>108</v>
      </c>
      <c r="K116" s="10" t="s">
        <v>116</v>
      </c>
      <c r="L116" s="67" t="s">
        <v>157</v>
      </c>
      <c r="M116" s="11" t="s">
        <v>310</v>
      </c>
      <c r="O116" s="19">
        <v>12</v>
      </c>
      <c r="P116" s="16">
        <v>32</v>
      </c>
      <c r="Q116" s="16">
        <v>20</v>
      </c>
      <c r="R116" s="17">
        <v>8</v>
      </c>
      <c r="T116" s="19">
        <v>12</v>
      </c>
      <c r="U116" s="17">
        <v>8</v>
      </c>
      <c r="W116" s="19"/>
      <c r="X116" s="16"/>
      <c r="Y116" s="16"/>
      <c r="Z116" s="17"/>
      <c r="AB116" s="19"/>
      <c r="AC116" s="16"/>
      <c r="AD116" s="16"/>
      <c r="AE116" s="17"/>
      <c r="AG116" s="19"/>
      <c r="AH116" s="16"/>
      <c r="AI116" s="16"/>
      <c r="AJ116" s="17"/>
      <c r="AL116" s="19"/>
      <c r="AM116" s="16"/>
      <c r="AN116" s="16"/>
      <c r="AO116" s="17"/>
      <c r="AQ116" s="2">
        <v>12</v>
      </c>
    </row>
    <row r="117" spans="2:43" ht="18" customHeight="1" x14ac:dyDescent="0.2">
      <c r="B117" s="10">
        <v>117</v>
      </c>
      <c r="C117" s="8">
        <v>3</v>
      </c>
      <c r="D117" s="8">
        <v>41</v>
      </c>
      <c r="E117" s="8">
        <v>11</v>
      </c>
      <c r="F117" s="84" t="s">
        <v>187</v>
      </c>
      <c r="G117" s="8" t="s">
        <v>165</v>
      </c>
      <c r="H117" s="8" t="s">
        <v>108</v>
      </c>
      <c r="I117" s="8" t="s">
        <v>108</v>
      </c>
      <c r="J117" s="44" t="s">
        <v>108</v>
      </c>
      <c r="K117" s="8" t="s">
        <v>116</v>
      </c>
      <c r="L117" s="9" t="s">
        <v>113</v>
      </c>
      <c r="M117" s="9" t="s">
        <v>311</v>
      </c>
      <c r="O117" s="18">
        <v>12</v>
      </c>
      <c r="P117" s="14">
        <v>32</v>
      </c>
      <c r="Q117" s="14">
        <v>20</v>
      </c>
      <c r="R117" s="15">
        <v>8</v>
      </c>
      <c r="T117" s="18">
        <v>10</v>
      </c>
      <c r="U117" s="15">
        <v>3</v>
      </c>
      <c r="W117" s="18"/>
      <c r="X117" s="14"/>
      <c r="Y117" s="14"/>
      <c r="Z117" s="15"/>
      <c r="AB117" s="18"/>
      <c r="AC117" s="14"/>
      <c r="AD117" s="14"/>
      <c r="AE117" s="15"/>
      <c r="AG117" s="18"/>
      <c r="AH117" s="14"/>
      <c r="AI117" s="14"/>
      <c r="AJ117" s="15"/>
      <c r="AL117" s="18"/>
      <c r="AM117" s="14"/>
      <c r="AN117" s="14"/>
      <c r="AO117" s="15"/>
      <c r="AQ117" s="2">
        <v>12</v>
      </c>
    </row>
    <row r="118" spans="2:43" ht="18" customHeight="1" x14ac:dyDescent="0.2">
      <c r="B118" s="8">
        <v>118</v>
      </c>
      <c r="C118" s="10">
        <v>3</v>
      </c>
      <c r="D118" s="10">
        <v>42</v>
      </c>
      <c r="E118" s="10">
        <v>22</v>
      </c>
      <c r="F118" s="10" t="s">
        <v>107</v>
      </c>
      <c r="G118" s="10" t="s">
        <v>165</v>
      </c>
      <c r="H118" s="10" t="s">
        <v>108</v>
      </c>
      <c r="I118" s="10" t="s">
        <v>108</v>
      </c>
      <c r="J118" s="10" t="s">
        <v>108</v>
      </c>
      <c r="K118" s="10" t="s">
        <v>116</v>
      </c>
      <c r="L118" s="67" t="s">
        <v>126</v>
      </c>
      <c r="M118" s="11" t="s">
        <v>312</v>
      </c>
      <c r="O118" s="19">
        <v>12</v>
      </c>
      <c r="P118" s="16">
        <v>32</v>
      </c>
      <c r="Q118" s="16">
        <v>20</v>
      </c>
      <c r="R118" s="17">
        <v>8</v>
      </c>
      <c r="T118" s="19">
        <v>3</v>
      </c>
      <c r="U118" s="17">
        <v>0</v>
      </c>
      <c r="W118" s="19"/>
      <c r="X118" s="16"/>
      <c r="Y118" s="16"/>
      <c r="Z118" s="17"/>
      <c r="AB118" s="19"/>
      <c r="AC118" s="16"/>
      <c r="AD118" s="16"/>
      <c r="AE118" s="17"/>
      <c r="AG118" s="19"/>
      <c r="AH118" s="16"/>
      <c r="AI118" s="16"/>
      <c r="AJ118" s="17"/>
      <c r="AL118" s="19"/>
      <c r="AM118" s="16"/>
      <c r="AN118" s="16"/>
      <c r="AO118" s="17"/>
      <c r="AQ118" s="2">
        <v>12</v>
      </c>
    </row>
    <row r="119" spans="2:43" ht="18" customHeight="1" x14ac:dyDescent="0.2">
      <c r="B119" s="10">
        <v>119</v>
      </c>
      <c r="C119" s="8">
        <v>3</v>
      </c>
      <c r="D119" s="8">
        <v>43</v>
      </c>
      <c r="E119" s="8">
        <v>19</v>
      </c>
      <c r="F119" s="84" t="s">
        <v>107</v>
      </c>
      <c r="G119" s="8" t="s">
        <v>108</v>
      </c>
      <c r="H119" s="8" t="s">
        <v>108</v>
      </c>
      <c r="I119" s="8" t="s">
        <v>108</v>
      </c>
      <c r="J119" s="44" t="s">
        <v>165</v>
      </c>
      <c r="K119" s="8" t="s">
        <v>116</v>
      </c>
      <c r="L119" s="9" t="s">
        <v>313</v>
      </c>
      <c r="M119" s="9" t="s">
        <v>314</v>
      </c>
      <c r="O119" s="18">
        <v>12</v>
      </c>
      <c r="P119" s="14">
        <v>32</v>
      </c>
      <c r="Q119" s="14">
        <v>20</v>
      </c>
      <c r="R119" s="15">
        <v>8</v>
      </c>
      <c r="T119" s="18">
        <v>3</v>
      </c>
      <c r="U119" s="15">
        <v>0</v>
      </c>
      <c r="W119" s="18"/>
      <c r="X119" s="14"/>
      <c r="Y119" s="14"/>
      <c r="Z119" s="15"/>
      <c r="AB119" s="18"/>
      <c r="AC119" s="14"/>
      <c r="AD119" s="14"/>
      <c r="AE119" s="15"/>
      <c r="AG119" s="18"/>
      <c r="AH119" s="14"/>
      <c r="AI119" s="14"/>
      <c r="AJ119" s="15"/>
      <c r="AL119" s="18"/>
      <c r="AM119" s="14"/>
      <c r="AN119" s="14"/>
      <c r="AO119" s="15"/>
      <c r="AQ119" s="2">
        <v>12</v>
      </c>
    </row>
    <row r="120" spans="2:43" ht="18" customHeight="1" x14ac:dyDescent="0.2">
      <c r="B120" s="8">
        <v>120</v>
      </c>
      <c r="C120" s="10">
        <v>3</v>
      </c>
      <c r="D120" s="10">
        <v>44</v>
      </c>
      <c r="E120" s="10">
        <v>25</v>
      </c>
      <c r="F120" s="10" t="s">
        <v>193</v>
      </c>
      <c r="G120" s="10" t="s">
        <v>108</v>
      </c>
      <c r="H120" s="10" t="s">
        <v>108</v>
      </c>
      <c r="I120" s="10" t="s">
        <v>108</v>
      </c>
      <c r="J120" s="10" t="s">
        <v>108</v>
      </c>
      <c r="K120" s="10" t="s">
        <v>116</v>
      </c>
      <c r="L120" s="67" t="s">
        <v>157</v>
      </c>
      <c r="M120" s="11" t="s">
        <v>315</v>
      </c>
      <c r="O120" s="19">
        <v>13</v>
      </c>
      <c r="P120" s="16">
        <v>32</v>
      </c>
      <c r="Q120" s="16">
        <v>20</v>
      </c>
      <c r="R120" s="17">
        <v>12</v>
      </c>
      <c r="T120" s="19">
        <v>0</v>
      </c>
      <c r="U120" s="17">
        <v>1</v>
      </c>
      <c r="W120" s="19"/>
      <c r="X120" s="16"/>
      <c r="Y120" s="16"/>
      <c r="Z120" s="17"/>
      <c r="AB120" s="19"/>
      <c r="AC120" s="16"/>
      <c r="AD120" s="16"/>
      <c r="AE120" s="17"/>
      <c r="AG120" s="19"/>
      <c r="AH120" s="16"/>
      <c r="AI120" s="16"/>
      <c r="AJ120" s="17"/>
      <c r="AL120" s="19"/>
      <c r="AM120" s="16"/>
      <c r="AN120" s="16"/>
      <c r="AO120" s="17"/>
      <c r="AQ120" s="2">
        <v>16</v>
      </c>
    </row>
    <row r="121" spans="2:43" ht="18" customHeight="1" x14ac:dyDescent="0.2">
      <c r="B121" s="10">
        <v>121</v>
      </c>
      <c r="C121" s="8">
        <v>3</v>
      </c>
      <c r="D121" s="8">
        <v>45</v>
      </c>
      <c r="E121" s="8">
        <v>7</v>
      </c>
      <c r="F121" s="84" t="s">
        <v>187</v>
      </c>
      <c r="G121" s="8" t="s">
        <v>165</v>
      </c>
      <c r="H121" s="8" t="s">
        <v>108</v>
      </c>
      <c r="I121" s="8" t="s">
        <v>108</v>
      </c>
      <c r="J121" s="44" t="s">
        <v>108</v>
      </c>
      <c r="K121" s="8" t="s">
        <v>116</v>
      </c>
      <c r="L121" s="9" t="s">
        <v>113</v>
      </c>
      <c r="M121" s="9" t="s">
        <v>316</v>
      </c>
      <c r="O121" s="18">
        <v>13</v>
      </c>
      <c r="P121" s="14">
        <v>32</v>
      </c>
      <c r="Q121" s="14">
        <v>20</v>
      </c>
      <c r="R121" s="15">
        <v>12</v>
      </c>
      <c r="T121" s="18">
        <v>12</v>
      </c>
      <c r="U121" s="15">
        <v>3</v>
      </c>
      <c r="W121" s="18"/>
      <c r="X121" s="14"/>
      <c r="Y121" s="14"/>
      <c r="Z121" s="15"/>
      <c r="AB121" s="18"/>
      <c r="AC121" s="14"/>
      <c r="AD121" s="14"/>
      <c r="AE121" s="15"/>
      <c r="AG121" s="18"/>
      <c r="AH121" s="14"/>
      <c r="AI121" s="14"/>
      <c r="AJ121" s="15"/>
      <c r="AL121" s="18"/>
      <c r="AM121" s="14"/>
      <c r="AN121" s="14"/>
      <c r="AO121" s="15"/>
      <c r="AQ121" s="2">
        <v>16</v>
      </c>
    </row>
    <row r="122" spans="2:43" ht="18" customHeight="1" x14ac:dyDescent="0.2">
      <c r="B122" s="8">
        <v>122</v>
      </c>
      <c r="C122" s="10">
        <v>3</v>
      </c>
      <c r="D122" s="10">
        <v>46</v>
      </c>
      <c r="E122" s="10">
        <v>15</v>
      </c>
      <c r="F122" s="10" t="s">
        <v>241</v>
      </c>
      <c r="G122" s="10" t="s">
        <v>108</v>
      </c>
      <c r="H122" s="10" t="s">
        <v>108</v>
      </c>
      <c r="I122" s="10" t="s">
        <v>108</v>
      </c>
      <c r="J122" s="10" t="s">
        <v>165</v>
      </c>
      <c r="K122" s="10" t="s">
        <v>116</v>
      </c>
      <c r="L122" s="67" t="s">
        <v>242</v>
      </c>
      <c r="M122" s="11" t="s">
        <v>317</v>
      </c>
      <c r="O122" s="19">
        <v>13</v>
      </c>
      <c r="P122" s="16">
        <v>32</v>
      </c>
      <c r="Q122" s="16">
        <v>20</v>
      </c>
      <c r="R122" s="17">
        <v>12</v>
      </c>
      <c r="T122" s="19">
        <v>6</v>
      </c>
      <c r="U122" s="17">
        <v>1</v>
      </c>
      <c r="W122" s="19"/>
      <c r="X122" s="16"/>
      <c r="Y122" s="16"/>
      <c r="Z122" s="17"/>
      <c r="AB122" s="19"/>
      <c r="AC122" s="16"/>
      <c r="AD122" s="16"/>
      <c r="AE122" s="17"/>
      <c r="AG122" s="19"/>
      <c r="AH122" s="16"/>
      <c r="AI122" s="16"/>
      <c r="AJ122" s="17"/>
      <c r="AL122" s="19"/>
      <c r="AM122" s="16"/>
      <c r="AN122" s="16"/>
      <c r="AO122" s="17"/>
      <c r="AQ122" s="2">
        <v>16</v>
      </c>
    </row>
    <row r="123" spans="2:43" ht="18" customHeight="1" x14ac:dyDescent="0.2">
      <c r="B123" s="10">
        <v>123</v>
      </c>
      <c r="C123" s="8">
        <v>3</v>
      </c>
      <c r="D123" s="8">
        <v>47</v>
      </c>
      <c r="E123" s="8">
        <v>31</v>
      </c>
      <c r="F123" s="84" t="s">
        <v>107</v>
      </c>
      <c r="G123" s="8" t="s">
        <v>108</v>
      </c>
      <c r="H123" s="8" t="s">
        <v>108</v>
      </c>
      <c r="I123" s="8" t="s">
        <v>108</v>
      </c>
      <c r="J123" s="44" t="s">
        <v>108</v>
      </c>
      <c r="K123" s="8" t="s">
        <v>116</v>
      </c>
      <c r="L123" s="9" t="s">
        <v>119</v>
      </c>
      <c r="M123" s="9" t="s">
        <v>120</v>
      </c>
      <c r="O123" s="18">
        <v>13</v>
      </c>
      <c r="P123" s="14">
        <v>32</v>
      </c>
      <c r="Q123" s="14">
        <v>20</v>
      </c>
      <c r="R123" s="15">
        <v>12</v>
      </c>
      <c r="T123" s="18">
        <v>0</v>
      </c>
      <c r="U123" s="15">
        <v>0</v>
      </c>
      <c r="W123" s="18"/>
      <c r="X123" s="14"/>
      <c r="Y123" s="14"/>
      <c r="Z123" s="15"/>
      <c r="AB123" s="18"/>
      <c r="AC123" s="14"/>
      <c r="AD123" s="14"/>
      <c r="AE123" s="15"/>
      <c r="AG123" s="18"/>
      <c r="AH123" s="14"/>
      <c r="AI123" s="14"/>
      <c r="AJ123" s="15"/>
      <c r="AL123" s="18"/>
      <c r="AM123" s="14"/>
      <c r="AN123" s="14"/>
      <c r="AO123" s="15"/>
      <c r="AQ123" s="2">
        <v>16</v>
      </c>
    </row>
    <row r="124" spans="2:43" ht="18" customHeight="1" x14ac:dyDescent="0.2">
      <c r="B124" s="8">
        <v>124</v>
      </c>
      <c r="C124" s="10">
        <v>3</v>
      </c>
      <c r="D124" s="10">
        <v>48</v>
      </c>
      <c r="E124" s="10">
        <v>10</v>
      </c>
      <c r="F124" s="10" t="s">
        <v>107</v>
      </c>
      <c r="G124" s="10" t="s">
        <v>165</v>
      </c>
      <c r="H124" s="10" t="s">
        <v>108</v>
      </c>
      <c r="I124" s="10" t="s">
        <v>108</v>
      </c>
      <c r="J124" s="10" t="s">
        <v>108</v>
      </c>
      <c r="K124" s="10" t="s">
        <v>116</v>
      </c>
      <c r="L124" s="67" t="s">
        <v>191</v>
      </c>
      <c r="M124" s="11" t="s">
        <v>318</v>
      </c>
      <c r="O124" s="19">
        <v>13</v>
      </c>
      <c r="P124" s="16">
        <v>32</v>
      </c>
      <c r="Q124" s="16">
        <v>20</v>
      </c>
      <c r="R124" s="17">
        <v>12</v>
      </c>
      <c r="T124" s="19">
        <v>6</v>
      </c>
      <c r="U124" s="17">
        <v>2</v>
      </c>
      <c r="W124" s="19"/>
      <c r="X124" s="16"/>
      <c r="Y124" s="16"/>
      <c r="Z124" s="17"/>
      <c r="AB124" s="19"/>
      <c r="AC124" s="16"/>
      <c r="AD124" s="16"/>
      <c r="AE124" s="17"/>
      <c r="AG124" s="19"/>
      <c r="AH124" s="16"/>
      <c r="AI124" s="16"/>
      <c r="AJ124" s="17"/>
      <c r="AL124" s="19"/>
      <c r="AM124" s="16"/>
      <c r="AN124" s="16"/>
      <c r="AO124" s="17"/>
      <c r="AQ124" s="2">
        <v>16</v>
      </c>
    </row>
    <row r="125" spans="2:43" ht="18" customHeight="1" x14ac:dyDescent="0.2">
      <c r="B125" s="10">
        <v>125</v>
      </c>
      <c r="C125" s="8">
        <v>3</v>
      </c>
      <c r="D125" s="8">
        <v>49</v>
      </c>
      <c r="E125" s="8">
        <v>0</v>
      </c>
      <c r="F125" s="84" t="s">
        <v>266</v>
      </c>
      <c r="G125" s="8" t="s">
        <v>165</v>
      </c>
      <c r="H125" s="8" t="s">
        <v>165</v>
      </c>
      <c r="I125" s="8" t="s">
        <v>108</v>
      </c>
      <c r="J125" s="44" t="s">
        <v>108</v>
      </c>
      <c r="K125" s="8" t="s">
        <v>116</v>
      </c>
      <c r="L125" s="9" t="s">
        <v>130</v>
      </c>
      <c r="M125" s="9" t="s">
        <v>319</v>
      </c>
      <c r="O125" s="18">
        <v>13</v>
      </c>
      <c r="P125" s="14">
        <v>32</v>
      </c>
      <c r="Q125" s="14">
        <v>20</v>
      </c>
      <c r="R125" s="15">
        <v>12</v>
      </c>
      <c r="T125" s="18">
        <v>13</v>
      </c>
      <c r="U125" s="15">
        <v>9</v>
      </c>
      <c r="W125" s="18"/>
      <c r="X125" s="14"/>
      <c r="Y125" s="14"/>
      <c r="Z125" s="15"/>
      <c r="AB125" s="18"/>
      <c r="AC125" s="14"/>
      <c r="AD125" s="14"/>
      <c r="AE125" s="15"/>
      <c r="AG125" s="18"/>
      <c r="AH125" s="14"/>
      <c r="AI125" s="14"/>
      <c r="AJ125" s="15"/>
      <c r="AL125" s="18"/>
      <c r="AM125" s="14"/>
      <c r="AN125" s="14"/>
      <c r="AO125" s="15"/>
      <c r="AQ125" s="2">
        <v>16</v>
      </c>
    </row>
    <row r="126" spans="2:43" ht="18" customHeight="1" x14ac:dyDescent="0.2">
      <c r="B126" s="8">
        <v>126</v>
      </c>
      <c r="C126" s="10">
        <v>3</v>
      </c>
      <c r="D126" s="10">
        <v>50</v>
      </c>
      <c r="E126" s="10">
        <v>19</v>
      </c>
      <c r="F126" s="10" t="s">
        <v>107</v>
      </c>
      <c r="G126" s="10" t="s">
        <v>165</v>
      </c>
      <c r="H126" s="10" t="s">
        <v>165</v>
      </c>
      <c r="I126" s="10" t="s">
        <v>165</v>
      </c>
      <c r="J126" s="10" t="s">
        <v>108</v>
      </c>
      <c r="K126" s="10" t="s">
        <v>116</v>
      </c>
      <c r="L126" s="67" t="s">
        <v>175</v>
      </c>
      <c r="M126" s="11" t="s">
        <v>320</v>
      </c>
      <c r="O126" s="19">
        <v>13</v>
      </c>
      <c r="P126" s="16">
        <v>32</v>
      </c>
      <c r="Q126" s="16">
        <v>20</v>
      </c>
      <c r="R126" s="17">
        <v>12</v>
      </c>
      <c r="T126" s="19">
        <v>13</v>
      </c>
      <c r="U126" s="17">
        <v>12</v>
      </c>
      <c r="W126" s="19"/>
      <c r="X126" s="16"/>
      <c r="Y126" s="16"/>
      <c r="Z126" s="17"/>
      <c r="AB126" s="19"/>
      <c r="AC126" s="16"/>
      <c r="AD126" s="16"/>
      <c r="AE126" s="17"/>
      <c r="AG126" s="19"/>
      <c r="AH126" s="16"/>
      <c r="AI126" s="16"/>
      <c r="AJ126" s="17"/>
      <c r="AL126" s="19"/>
      <c r="AM126" s="16"/>
      <c r="AN126" s="16"/>
      <c r="AO126" s="17"/>
      <c r="AQ126" s="2">
        <v>16</v>
      </c>
    </row>
    <row r="127" spans="2:43" ht="18" customHeight="1" x14ac:dyDescent="0.2">
      <c r="B127" s="10">
        <v>127</v>
      </c>
      <c r="C127" s="8">
        <v>3</v>
      </c>
      <c r="D127" s="8">
        <v>51</v>
      </c>
      <c r="E127" s="8">
        <v>26</v>
      </c>
      <c r="F127" s="84" t="s">
        <v>107</v>
      </c>
      <c r="G127" s="8" t="s">
        <v>108</v>
      </c>
      <c r="H127" s="8" t="s">
        <v>108</v>
      </c>
      <c r="I127" s="8" t="s">
        <v>108</v>
      </c>
      <c r="J127" s="44" t="s">
        <v>108</v>
      </c>
      <c r="K127" s="8" t="s">
        <v>116</v>
      </c>
      <c r="L127" s="9" t="s">
        <v>321</v>
      </c>
      <c r="M127" s="9" t="s">
        <v>322</v>
      </c>
      <c r="O127" s="18">
        <v>13</v>
      </c>
      <c r="P127" s="14">
        <v>32</v>
      </c>
      <c r="Q127" s="14">
        <v>20</v>
      </c>
      <c r="R127" s="15">
        <v>12</v>
      </c>
      <c r="T127" s="18">
        <v>0</v>
      </c>
      <c r="U127" s="15">
        <v>0</v>
      </c>
      <c r="W127" s="18"/>
      <c r="X127" s="14"/>
      <c r="Y127" s="14"/>
      <c r="Z127" s="15"/>
      <c r="AB127" s="18"/>
      <c r="AC127" s="14"/>
      <c r="AD127" s="14"/>
      <c r="AE127" s="15"/>
      <c r="AG127" s="18"/>
      <c r="AH127" s="14"/>
      <c r="AI127" s="14"/>
      <c r="AJ127" s="15"/>
      <c r="AL127" s="18"/>
      <c r="AM127" s="14"/>
      <c r="AN127" s="14"/>
      <c r="AO127" s="15"/>
      <c r="AQ127" s="2">
        <v>16</v>
      </c>
    </row>
    <row r="128" spans="2:43" ht="18" customHeight="1" x14ac:dyDescent="0.2">
      <c r="B128" s="8">
        <v>128</v>
      </c>
      <c r="C128" s="10">
        <v>3</v>
      </c>
      <c r="D128" s="10">
        <v>52</v>
      </c>
      <c r="E128" s="10">
        <v>30</v>
      </c>
      <c r="F128" s="10" t="s">
        <v>193</v>
      </c>
      <c r="G128" s="10" t="s">
        <v>165</v>
      </c>
      <c r="H128" s="10" t="s">
        <v>108</v>
      </c>
      <c r="I128" s="10" t="s">
        <v>108</v>
      </c>
      <c r="J128" s="10" t="s">
        <v>108</v>
      </c>
      <c r="K128" s="10" t="s">
        <v>116</v>
      </c>
      <c r="L128" s="67" t="s">
        <v>157</v>
      </c>
      <c r="M128" s="11" t="s">
        <v>323</v>
      </c>
      <c r="O128" s="19">
        <v>13</v>
      </c>
      <c r="P128" s="16">
        <v>32</v>
      </c>
      <c r="Q128" s="16">
        <v>20</v>
      </c>
      <c r="R128" s="17">
        <v>12</v>
      </c>
      <c r="T128" s="19">
        <v>3</v>
      </c>
      <c r="U128" s="17">
        <v>0</v>
      </c>
      <c r="W128" s="19"/>
      <c r="X128" s="16"/>
      <c r="Y128" s="16"/>
      <c r="Z128" s="17"/>
      <c r="AB128" s="19"/>
      <c r="AC128" s="16"/>
      <c r="AD128" s="16"/>
      <c r="AE128" s="17"/>
      <c r="AG128" s="19"/>
      <c r="AH128" s="16"/>
      <c r="AI128" s="16"/>
      <c r="AJ128" s="17"/>
      <c r="AL128" s="19"/>
      <c r="AM128" s="16"/>
      <c r="AN128" s="16"/>
      <c r="AO128" s="17"/>
      <c r="AQ128" s="2">
        <v>16</v>
      </c>
    </row>
    <row r="129" spans="2:43" ht="18" customHeight="1" x14ac:dyDescent="0.2">
      <c r="B129" s="10">
        <v>129</v>
      </c>
      <c r="C129" s="8">
        <v>4</v>
      </c>
      <c r="D129" s="8">
        <v>1</v>
      </c>
      <c r="E129" s="8">
        <v>0</v>
      </c>
      <c r="F129" s="84" t="s">
        <v>91</v>
      </c>
      <c r="G129" s="8" t="s">
        <v>165</v>
      </c>
      <c r="H129" s="8" t="s">
        <v>165</v>
      </c>
      <c r="I129" s="8" t="s">
        <v>165</v>
      </c>
      <c r="J129" s="44" t="s">
        <v>108</v>
      </c>
      <c r="K129" s="8" t="s">
        <v>121</v>
      </c>
      <c r="L129" s="9" t="s">
        <v>225</v>
      </c>
      <c r="M129" s="9" t="s">
        <v>324</v>
      </c>
      <c r="O129" s="18">
        <v>11</v>
      </c>
      <c r="P129" s="14">
        <v>20</v>
      </c>
      <c r="Q129" s="14">
        <v>20</v>
      </c>
      <c r="R129" s="15">
        <v>8</v>
      </c>
      <c r="T129" s="18">
        <v>11</v>
      </c>
      <c r="U129" s="15">
        <v>8</v>
      </c>
      <c r="W129" s="18"/>
      <c r="X129" s="14"/>
      <c r="Y129" s="14"/>
      <c r="Z129" s="15"/>
      <c r="AB129" s="18"/>
      <c r="AC129" s="14"/>
      <c r="AD129" s="14"/>
      <c r="AE129" s="15"/>
      <c r="AG129" s="18"/>
      <c r="AH129" s="14"/>
      <c r="AI129" s="14"/>
      <c r="AJ129" s="15"/>
      <c r="AL129" s="18"/>
      <c r="AM129" s="14"/>
      <c r="AN129" s="14"/>
      <c r="AO129" s="15"/>
      <c r="AQ129" s="2">
        <v>5</v>
      </c>
    </row>
    <row r="130" spans="2:43" ht="18" customHeight="1" x14ac:dyDescent="0.2">
      <c r="B130" s="8">
        <v>130</v>
      </c>
      <c r="C130" s="10">
        <v>4</v>
      </c>
      <c r="D130" s="10">
        <v>2</v>
      </c>
      <c r="E130" s="10">
        <v>0</v>
      </c>
      <c r="F130" s="10" t="s">
        <v>107</v>
      </c>
      <c r="G130" s="10" t="s">
        <v>165</v>
      </c>
      <c r="H130" s="10" t="s">
        <v>165</v>
      </c>
      <c r="I130" s="10" t="s">
        <v>165</v>
      </c>
      <c r="J130" s="10" t="s">
        <v>108</v>
      </c>
      <c r="K130" s="10" t="s">
        <v>121</v>
      </c>
      <c r="L130" s="67" t="s">
        <v>126</v>
      </c>
      <c r="M130" s="11" t="s">
        <v>325</v>
      </c>
      <c r="O130" s="19">
        <v>11</v>
      </c>
      <c r="P130" s="16">
        <v>20</v>
      </c>
      <c r="Q130" s="16">
        <v>20</v>
      </c>
      <c r="R130" s="17">
        <v>8</v>
      </c>
      <c r="T130" s="19">
        <v>11</v>
      </c>
      <c r="U130" s="17">
        <v>8</v>
      </c>
      <c r="W130" s="19"/>
      <c r="X130" s="16"/>
      <c r="Y130" s="16"/>
      <c r="Z130" s="17"/>
      <c r="AB130" s="19"/>
      <c r="AC130" s="16"/>
      <c r="AD130" s="16"/>
      <c r="AE130" s="17"/>
      <c r="AG130" s="19"/>
      <c r="AH130" s="16"/>
      <c r="AI130" s="16"/>
      <c r="AJ130" s="17"/>
      <c r="AL130" s="19"/>
      <c r="AM130" s="16"/>
      <c r="AN130" s="16"/>
      <c r="AO130" s="17"/>
      <c r="AQ130" s="2">
        <v>5</v>
      </c>
    </row>
    <row r="131" spans="2:43" ht="18" customHeight="1" x14ac:dyDescent="0.2">
      <c r="B131" s="10">
        <v>131</v>
      </c>
      <c r="C131" s="8">
        <v>4</v>
      </c>
      <c r="D131" s="8">
        <v>3</v>
      </c>
      <c r="E131" s="8">
        <v>17</v>
      </c>
      <c r="F131" s="84" t="s">
        <v>107</v>
      </c>
      <c r="G131" s="8" t="s">
        <v>165</v>
      </c>
      <c r="H131" s="8" t="s">
        <v>108</v>
      </c>
      <c r="I131" s="8" t="s">
        <v>108</v>
      </c>
      <c r="J131" s="44" t="s">
        <v>108</v>
      </c>
      <c r="K131" s="8" t="s">
        <v>121</v>
      </c>
      <c r="L131" s="9" t="s">
        <v>326</v>
      </c>
      <c r="M131" s="9" t="s">
        <v>327</v>
      </c>
      <c r="O131" s="18">
        <v>11</v>
      </c>
      <c r="P131" s="14">
        <v>20</v>
      </c>
      <c r="Q131" s="14">
        <v>20</v>
      </c>
      <c r="R131" s="15">
        <v>8</v>
      </c>
      <c r="T131" s="18">
        <v>10</v>
      </c>
      <c r="U131" s="15">
        <v>1</v>
      </c>
      <c r="W131" s="18"/>
      <c r="X131" s="14"/>
      <c r="Y131" s="14"/>
      <c r="Z131" s="15"/>
      <c r="AB131" s="18"/>
      <c r="AC131" s="14"/>
      <c r="AD131" s="14"/>
      <c r="AE131" s="15"/>
      <c r="AG131" s="18"/>
      <c r="AH131" s="14"/>
      <c r="AI131" s="14"/>
      <c r="AJ131" s="15"/>
      <c r="AL131" s="18"/>
      <c r="AM131" s="14"/>
      <c r="AN131" s="14"/>
      <c r="AO131" s="15"/>
      <c r="AQ131" s="2">
        <v>5</v>
      </c>
    </row>
    <row r="132" spans="2:43" ht="18" customHeight="1" x14ac:dyDescent="0.2">
      <c r="B132" s="8">
        <v>132</v>
      </c>
      <c r="C132" s="10">
        <v>4</v>
      </c>
      <c r="D132" s="10">
        <v>4</v>
      </c>
      <c r="E132" s="10">
        <v>0</v>
      </c>
      <c r="F132" s="10" t="s">
        <v>241</v>
      </c>
      <c r="G132" s="10" t="s">
        <v>165</v>
      </c>
      <c r="H132" s="10" t="s">
        <v>165</v>
      </c>
      <c r="I132" s="10" t="s">
        <v>165</v>
      </c>
      <c r="J132" s="10" t="s">
        <v>108</v>
      </c>
      <c r="K132" s="10" t="s">
        <v>121</v>
      </c>
      <c r="L132" s="67" t="s">
        <v>242</v>
      </c>
      <c r="M132" s="11" t="s">
        <v>328</v>
      </c>
      <c r="O132" s="19">
        <v>11</v>
      </c>
      <c r="P132" s="16">
        <v>20</v>
      </c>
      <c r="Q132" s="16">
        <v>20</v>
      </c>
      <c r="R132" s="17">
        <v>8</v>
      </c>
      <c r="T132" s="19">
        <v>11</v>
      </c>
      <c r="U132" s="17">
        <v>8</v>
      </c>
      <c r="W132" s="19"/>
      <c r="X132" s="16"/>
      <c r="Y132" s="16"/>
      <c r="Z132" s="17"/>
      <c r="AB132" s="19"/>
      <c r="AC132" s="16"/>
      <c r="AD132" s="16"/>
      <c r="AE132" s="17"/>
      <c r="AG132" s="19"/>
      <c r="AH132" s="16"/>
      <c r="AI132" s="16"/>
      <c r="AJ132" s="17"/>
      <c r="AL132" s="19"/>
      <c r="AM132" s="16"/>
      <c r="AN132" s="16"/>
      <c r="AO132" s="17"/>
      <c r="AQ132" s="2">
        <v>5</v>
      </c>
    </row>
    <row r="133" spans="2:43" ht="18" customHeight="1" x14ac:dyDescent="0.2">
      <c r="B133" s="10">
        <v>133</v>
      </c>
      <c r="C133" s="8">
        <v>4</v>
      </c>
      <c r="D133" s="8">
        <v>5</v>
      </c>
      <c r="E133" s="8">
        <v>0</v>
      </c>
      <c r="F133" s="84" t="s">
        <v>107</v>
      </c>
      <c r="G133" s="8" t="s">
        <v>165</v>
      </c>
      <c r="H133" s="8" t="s">
        <v>165</v>
      </c>
      <c r="I133" s="8" t="s">
        <v>165</v>
      </c>
      <c r="J133" s="44" t="s">
        <v>108</v>
      </c>
      <c r="K133" s="8" t="s">
        <v>121</v>
      </c>
      <c r="L133" s="9" t="s">
        <v>179</v>
      </c>
      <c r="M133" s="9" t="s">
        <v>329</v>
      </c>
      <c r="O133" s="18">
        <v>11</v>
      </c>
      <c r="P133" s="14">
        <v>20</v>
      </c>
      <c r="Q133" s="14">
        <v>20</v>
      </c>
      <c r="R133" s="15">
        <v>8</v>
      </c>
      <c r="T133" s="18">
        <v>11</v>
      </c>
      <c r="U133" s="15">
        <v>8</v>
      </c>
      <c r="W133" s="18"/>
      <c r="X133" s="14"/>
      <c r="Y133" s="14"/>
      <c r="Z133" s="15"/>
      <c r="AB133" s="18"/>
      <c r="AC133" s="14"/>
      <c r="AD133" s="14"/>
      <c r="AE133" s="15"/>
      <c r="AG133" s="18"/>
      <c r="AH133" s="14"/>
      <c r="AI133" s="14"/>
      <c r="AJ133" s="15"/>
      <c r="AL133" s="18"/>
      <c r="AM133" s="14"/>
      <c r="AN133" s="14"/>
      <c r="AO133" s="15"/>
      <c r="AQ133" s="2">
        <v>5</v>
      </c>
    </row>
    <row r="134" spans="2:43" ht="18" customHeight="1" x14ac:dyDescent="0.2">
      <c r="B134" s="8">
        <v>134</v>
      </c>
      <c r="C134" s="10">
        <v>4</v>
      </c>
      <c r="D134" s="10">
        <v>6</v>
      </c>
      <c r="E134" s="10">
        <v>26</v>
      </c>
      <c r="F134" s="10" t="s">
        <v>107</v>
      </c>
      <c r="G134" s="10" t="s">
        <v>108</v>
      </c>
      <c r="H134" s="10" t="s">
        <v>108</v>
      </c>
      <c r="I134" s="10" t="s">
        <v>108</v>
      </c>
      <c r="J134" s="10" t="s">
        <v>108</v>
      </c>
      <c r="K134" s="10" t="s">
        <v>121</v>
      </c>
      <c r="L134" s="67" t="s">
        <v>207</v>
      </c>
      <c r="M134" s="11" t="s">
        <v>330</v>
      </c>
      <c r="O134" s="19">
        <v>11</v>
      </c>
      <c r="P134" s="16">
        <v>20</v>
      </c>
      <c r="Q134" s="16">
        <v>20</v>
      </c>
      <c r="R134" s="17">
        <v>8</v>
      </c>
      <c r="T134" s="19">
        <v>0</v>
      </c>
      <c r="U134" s="17">
        <v>0</v>
      </c>
      <c r="W134" s="19"/>
      <c r="X134" s="16"/>
      <c r="Y134" s="16"/>
      <c r="Z134" s="17"/>
      <c r="AB134" s="19"/>
      <c r="AC134" s="16"/>
      <c r="AD134" s="16"/>
      <c r="AE134" s="17"/>
      <c r="AG134" s="19"/>
      <c r="AH134" s="16"/>
      <c r="AI134" s="16"/>
      <c r="AJ134" s="17"/>
      <c r="AL134" s="19"/>
      <c r="AM134" s="16"/>
      <c r="AN134" s="16"/>
      <c r="AO134" s="17"/>
      <c r="AQ134" s="2">
        <v>5</v>
      </c>
    </row>
    <row r="135" spans="2:43" ht="18" customHeight="1" x14ac:dyDescent="0.2">
      <c r="B135" s="10">
        <v>135</v>
      </c>
      <c r="C135" s="8">
        <v>4</v>
      </c>
      <c r="D135" s="8">
        <v>7</v>
      </c>
      <c r="E135" s="8">
        <v>0</v>
      </c>
      <c r="F135" s="84" t="s">
        <v>241</v>
      </c>
      <c r="G135" s="8" t="s">
        <v>165</v>
      </c>
      <c r="H135" s="8" t="s">
        <v>165</v>
      </c>
      <c r="I135" s="8" t="s">
        <v>165</v>
      </c>
      <c r="J135" s="44" t="s">
        <v>108</v>
      </c>
      <c r="K135" s="8" t="s">
        <v>121</v>
      </c>
      <c r="L135" s="9" t="s">
        <v>242</v>
      </c>
      <c r="M135" s="9" t="s">
        <v>331</v>
      </c>
      <c r="O135" s="18">
        <v>12</v>
      </c>
      <c r="P135" s="14">
        <v>24</v>
      </c>
      <c r="Q135" s="14">
        <v>20</v>
      </c>
      <c r="R135" s="15">
        <v>12</v>
      </c>
      <c r="T135" s="18">
        <v>12</v>
      </c>
      <c r="U135" s="15">
        <v>12</v>
      </c>
      <c r="W135" s="18"/>
      <c r="X135" s="14"/>
      <c r="Y135" s="14"/>
      <c r="Z135" s="15"/>
      <c r="AB135" s="18"/>
      <c r="AC135" s="14"/>
      <c r="AD135" s="14"/>
      <c r="AE135" s="15"/>
      <c r="AG135" s="18"/>
      <c r="AH135" s="14"/>
      <c r="AI135" s="14"/>
      <c r="AJ135" s="15"/>
      <c r="AL135" s="18"/>
      <c r="AM135" s="14"/>
      <c r="AN135" s="14"/>
      <c r="AO135" s="15"/>
      <c r="AQ135" s="2">
        <v>10</v>
      </c>
    </row>
    <row r="136" spans="2:43" ht="18" customHeight="1" x14ac:dyDescent="0.2">
      <c r="B136" s="8">
        <v>136</v>
      </c>
      <c r="C136" s="10">
        <v>4</v>
      </c>
      <c r="D136" s="10">
        <v>8</v>
      </c>
      <c r="E136" s="10">
        <v>0</v>
      </c>
      <c r="F136" s="10" t="s">
        <v>266</v>
      </c>
      <c r="G136" s="10" t="s">
        <v>165</v>
      </c>
      <c r="H136" s="10" t="s">
        <v>165</v>
      </c>
      <c r="I136" s="10" t="s">
        <v>165</v>
      </c>
      <c r="J136" s="10" t="s">
        <v>108</v>
      </c>
      <c r="K136" s="10" t="s">
        <v>121</v>
      </c>
      <c r="L136" s="67" t="s">
        <v>130</v>
      </c>
      <c r="M136" s="11" t="s">
        <v>332</v>
      </c>
      <c r="O136" s="19">
        <v>12</v>
      </c>
      <c r="P136" s="16">
        <v>24</v>
      </c>
      <c r="Q136" s="16">
        <v>20</v>
      </c>
      <c r="R136" s="17">
        <v>12</v>
      </c>
      <c r="T136" s="19">
        <v>12</v>
      </c>
      <c r="U136" s="17">
        <v>12</v>
      </c>
      <c r="W136" s="19"/>
      <c r="X136" s="16"/>
      <c r="Y136" s="16"/>
      <c r="Z136" s="17"/>
      <c r="AB136" s="19"/>
      <c r="AC136" s="16"/>
      <c r="AD136" s="16"/>
      <c r="AE136" s="17"/>
      <c r="AG136" s="19"/>
      <c r="AH136" s="16"/>
      <c r="AI136" s="16"/>
      <c r="AJ136" s="17"/>
      <c r="AL136" s="19"/>
      <c r="AM136" s="16"/>
      <c r="AN136" s="16"/>
      <c r="AO136" s="17"/>
      <c r="AQ136" s="2">
        <v>10</v>
      </c>
    </row>
    <row r="137" spans="2:43" ht="18" customHeight="1" x14ac:dyDescent="0.2">
      <c r="B137" s="10">
        <v>137</v>
      </c>
      <c r="C137" s="8">
        <v>4</v>
      </c>
      <c r="D137" s="8">
        <v>9</v>
      </c>
      <c r="E137" s="8">
        <v>20</v>
      </c>
      <c r="F137" s="84" t="s">
        <v>107</v>
      </c>
      <c r="G137" s="8" t="s">
        <v>108</v>
      </c>
      <c r="H137" s="8" t="s">
        <v>108</v>
      </c>
      <c r="I137" s="8" t="s">
        <v>108</v>
      </c>
      <c r="J137" s="44" t="s">
        <v>165</v>
      </c>
      <c r="K137" s="8" t="s">
        <v>121</v>
      </c>
      <c r="L137" s="9" t="s">
        <v>321</v>
      </c>
      <c r="M137" s="9" t="s">
        <v>333</v>
      </c>
      <c r="O137" s="18">
        <v>12</v>
      </c>
      <c r="P137" s="14">
        <v>24</v>
      </c>
      <c r="Q137" s="14">
        <v>20</v>
      </c>
      <c r="R137" s="15">
        <v>12</v>
      </c>
      <c r="T137" s="18">
        <v>8</v>
      </c>
      <c r="U137" s="15">
        <v>0</v>
      </c>
      <c r="W137" s="18"/>
      <c r="X137" s="14"/>
      <c r="Y137" s="14"/>
      <c r="Z137" s="15"/>
      <c r="AB137" s="18"/>
      <c r="AC137" s="14"/>
      <c r="AD137" s="14"/>
      <c r="AE137" s="15"/>
      <c r="AG137" s="18"/>
      <c r="AH137" s="14"/>
      <c r="AI137" s="14"/>
      <c r="AJ137" s="15"/>
      <c r="AL137" s="18"/>
      <c r="AM137" s="14"/>
      <c r="AN137" s="14"/>
      <c r="AO137" s="15"/>
      <c r="AQ137" s="2">
        <v>10</v>
      </c>
    </row>
    <row r="138" spans="2:43" ht="18" customHeight="1" x14ac:dyDescent="0.2">
      <c r="B138" s="8">
        <v>138</v>
      </c>
      <c r="C138" s="10">
        <v>4</v>
      </c>
      <c r="D138" s="10">
        <v>10</v>
      </c>
      <c r="E138" s="10">
        <v>0</v>
      </c>
      <c r="F138" s="10" t="s">
        <v>193</v>
      </c>
      <c r="G138" s="10" t="s">
        <v>165</v>
      </c>
      <c r="H138" s="10" t="s">
        <v>165</v>
      </c>
      <c r="I138" s="10" t="s">
        <v>165</v>
      </c>
      <c r="J138" s="10" t="s">
        <v>108</v>
      </c>
      <c r="K138" s="10" t="s">
        <v>121</v>
      </c>
      <c r="L138" s="67" t="s">
        <v>157</v>
      </c>
      <c r="M138" s="11" t="s">
        <v>334</v>
      </c>
      <c r="O138" s="19">
        <v>12</v>
      </c>
      <c r="P138" s="16">
        <v>24</v>
      </c>
      <c r="Q138" s="16">
        <v>20</v>
      </c>
      <c r="R138" s="17">
        <v>12</v>
      </c>
      <c r="T138" s="19">
        <v>12</v>
      </c>
      <c r="U138" s="17">
        <v>12</v>
      </c>
      <c r="W138" s="19"/>
      <c r="X138" s="16"/>
      <c r="Y138" s="16"/>
      <c r="Z138" s="17"/>
      <c r="AB138" s="19"/>
      <c r="AC138" s="16"/>
      <c r="AD138" s="16"/>
      <c r="AE138" s="17"/>
      <c r="AG138" s="19"/>
      <c r="AH138" s="16"/>
      <c r="AI138" s="16"/>
      <c r="AJ138" s="17"/>
      <c r="AL138" s="19"/>
      <c r="AM138" s="16"/>
      <c r="AN138" s="16"/>
      <c r="AO138" s="17"/>
      <c r="AQ138" s="2">
        <v>10</v>
      </c>
    </row>
    <row r="139" spans="2:43" ht="18" customHeight="1" x14ac:dyDescent="0.2">
      <c r="B139" s="10">
        <v>139</v>
      </c>
      <c r="C139" s="8">
        <v>4</v>
      </c>
      <c r="D139" s="8">
        <v>11</v>
      </c>
      <c r="E139" s="8">
        <v>6</v>
      </c>
      <c r="F139" s="84" t="s">
        <v>241</v>
      </c>
      <c r="G139" s="8" t="s">
        <v>165</v>
      </c>
      <c r="H139" s="8" t="s">
        <v>165</v>
      </c>
      <c r="I139" s="8" t="s">
        <v>165</v>
      </c>
      <c r="J139" s="44" t="s">
        <v>108</v>
      </c>
      <c r="K139" s="8" t="s">
        <v>121</v>
      </c>
      <c r="L139" s="9" t="s">
        <v>242</v>
      </c>
      <c r="M139" s="9" t="s">
        <v>335</v>
      </c>
      <c r="O139" s="18">
        <v>12</v>
      </c>
      <c r="P139" s="14">
        <v>24</v>
      </c>
      <c r="Q139" s="14">
        <v>20</v>
      </c>
      <c r="R139" s="15">
        <v>12</v>
      </c>
      <c r="T139" s="18">
        <v>12</v>
      </c>
      <c r="U139" s="15">
        <v>12</v>
      </c>
      <c r="W139" s="18"/>
      <c r="X139" s="14"/>
      <c r="Y139" s="14"/>
      <c r="Z139" s="15"/>
      <c r="AB139" s="18"/>
      <c r="AC139" s="14"/>
      <c r="AD139" s="14"/>
      <c r="AE139" s="15"/>
      <c r="AG139" s="18"/>
      <c r="AH139" s="14"/>
      <c r="AI139" s="14"/>
      <c r="AJ139" s="15"/>
      <c r="AL139" s="18"/>
      <c r="AM139" s="14"/>
      <c r="AN139" s="14"/>
      <c r="AO139" s="15"/>
      <c r="AQ139" s="2">
        <v>10</v>
      </c>
    </row>
    <row r="140" spans="2:43" ht="18" customHeight="1" x14ac:dyDescent="0.2">
      <c r="B140" s="8">
        <v>140</v>
      </c>
      <c r="C140" s="10">
        <v>4</v>
      </c>
      <c r="D140" s="10">
        <v>12</v>
      </c>
      <c r="E140" s="10">
        <v>0</v>
      </c>
      <c r="F140" s="10" t="s">
        <v>109</v>
      </c>
      <c r="G140" s="10" t="s">
        <v>165</v>
      </c>
      <c r="H140" s="10" t="s">
        <v>165</v>
      </c>
      <c r="I140" s="10" t="s">
        <v>108</v>
      </c>
      <c r="J140" s="10" t="s">
        <v>108</v>
      </c>
      <c r="K140" s="10" t="s">
        <v>121</v>
      </c>
      <c r="L140" s="67" t="s">
        <v>169</v>
      </c>
      <c r="M140" s="11" t="s">
        <v>336</v>
      </c>
      <c r="O140" s="19">
        <v>12</v>
      </c>
      <c r="P140" s="16">
        <v>24</v>
      </c>
      <c r="Q140" s="16">
        <v>20</v>
      </c>
      <c r="R140" s="17">
        <v>12</v>
      </c>
      <c r="T140" s="19">
        <v>12</v>
      </c>
      <c r="U140" s="17">
        <v>2</v>
      </c>
      <c r="W140" s="19"/>
      <c r="X140" s="16"/>
      <c r="Y140" s="16"/>
      <c r="Z140" s="17"/>
      <c r="AB140" s="19"/>
      <c r="AC140" s="16"/>
      <c r="AD140" s="16"/>
      <c r="AE140" s="17"/>
      <c r="AG140" s="19"/>
      <c r="AH140" s="16"/>
      <c r="AI140" s="16"/>
      <c r="AJ140" s="17"/>
      <c r="AL140" s="19"/>
      <c r="AM140" s="16"/>
      <c r="AN140" s="16"/>
      <c r="AO140" s="17"/>
      <c r="AQ140" s="2">
        <v>10</v>
      </c>
    </row>
    <row r="141" spans="2:43" ht="18" customHeight="1" x14ac:dyDescent="0.2">
      <c r="B141" s="10">
        <v>141</v>
      </c>
      <c r="C141" s="8">
        <v>4</v>
      </c>
      <c r="D141" s="8">
        <v>13</v>
      </c>
      <c r="E141" s="8">
        <v>14</v>
      </c>
      <c r="F141" s="84" t="s">
        <v>107</v>
      </c>
      <c r="G141" s="8" t="s">
        <v>165</v>
      </c>
      <c r="H141" s="8" t="s">
        <v>108</v>
      </c>
      <c r="I141" s="8" t="s">
        <v>108</v>
      </c>
      <c r="J141" s="44" t="s">
        <v>108</v>
      </c>
      <c r="K141" s="8" t="s">
        <v>121</v>
      </c>
      <c r="L141" s="9" t="s">
        <v>128</v>
      </c>
      <c r="M141" s="9" t="s">
        <v>337</v>
      </c>
      <c r="O141" s="18">
        <v>12</v>
      </c>
      <c r="P141" s="14">
        <v>24</v>
      </c>
      <c r="Q141" s="14">
        <v>20</v>
      </c>
      <c r="R141" s="15">
        <v>12</v>
      </c>
      <c r="T141" s="18">
        <v>3</v>
      </c>
      <c r="U141" s="15">
        <v>1</v>
      </c>
      <c r="W141" s="18"/>
      <c r="X141" s="14"/>
      <c r="Y141" s="14"/>
      <c r="Z141" s="15"/>
      <c r="AB141" s="18"/>
      <c r="AC141" s="14"/>
      <c r="AD141" s="14"/>
      <c r="AE141" s="15"/>
      <c r="AG141" s="18"/>
      <c r="AH141" s="14"/>
      <c r="AI141" s="14"/>
      <c r="AJ141" s="15"/>
      <c r="AL141" s="18"/>
      <c r="AM141" s="14"/>
      <c r="AN141" s="14"/>
      <c r="AO141" s="15"/>
      <c r="AQ141" s="2">
        <v>10</v>
      </c>
    </row>
    <row r="142" spans="2:43" ht="18" customHeight="1" x14ac:dyDescent="0.2">
      <c r="B142" s="8">
        <v>142</v>
      </c>
      <c r="C142" s="10">
        <v>4</v>
      </c>
      <c r="D142" s="10">
        <v>14</v>
      </c>
      <c r="E142" s="10">
        <v>0</v>
      </c>
      <c r="F142" s="10" t="s">
        <v>107</v>
      </c>
      <c r="G142" s="10" t="s">
        <v>165</v>
      </c>
      <c r="H142" s="10" t="s">
        <v>165</v>
      </c>
      <c r="I142" s="10" t="s">
        <v>165</v>
      </c>
      <c r="J142" s="10" t="s">
        <v>108</v>
      </c>
      <c r="K142" s="10" t="s">
        <v>121</v>
      </c>
      <c r="L142" s="67" t="s">
        <v>338</v>
      </c>
      <c r="M142" s="11" t="s">
        <v>339</v>
      </c>
      <c r="O142" s="19">
        <v>12</v>
      </c>
      <c r="P142" s="16">
        <v>24</v>
      </c>
      <c r="Q142" s="16">
        <v>20</v>
      </c>
      <c r="R142" s="17">
        <v>12</v>
      </c>
      <c r="T142" s="19">
        <v>12</v>
      </c>
      <c r="U142" s="17">
        <v>12</v>
      </c>
      <c r="W142" s="19"/>
      <c r="X142" s="16"/>
      <c r="Y142" s="16"/>
      <c r="Z142" s="17"/>
      <c r="AB142" s="19"/>
      <c r="AC142" s="16"/>
      <c r="AD142" s="16"/>
      <c r="AE142" s="17"/>
      <c r="AG142" s="19"/>
      <c r="AH142" s="16"/>
      <c r="AI142" s="16"/>
      <c r="AJ142" s="17"/>
      <c r="AL142" s="19"/>
      <c r="AM142" s="16"/>
      <c r="AN142" s="16"/>
      <c r="AO142" s="17"/>
      <c r="AQ142" s="2">
        <v>10</v>
      </c>
    </row>
    <row r="143" spans="2:43" ht="18" customHeight="1" x14ac:dyDescent="0.2">
      <c r="B143" s="10">
        <v>143</v>
      </c>
      <c r="C143" s="8">
        <v>4</v>
      </c>
      <c r="D143" s="8">
        <v>15</v>
      </c>
      <c r="E143" s="8">
        <v>23</v>
      </c>
      <c r="F143" s="84" t="s">
        <v>266</v>
      </c>
      <c r="G143" s="8" t="s">
        <v>165</v>
      </c>
      <c r="H143" s="8" t="s">
        <v>108</v>
      </c>
      <c r="I143" s="8" t="s">
        <v>108</v>
      </c>
      <c r="J143" s="44" t="s">
        <v>108</v>
      </c>
      <c r="K143" s="8" t="s">
        <v>121</v>
      </c>
      <c r="L143" s="9" t="s">
        <v>130</v>
      </c>
      <c r="M143" s="9" t="s">
        <v>340</v>
      </c>
      <c r="O143" s="18">
        <v>12</v>
      </c>
      <c r="P143" s="14">
        <v>24</v>
      </c>
      <c r="Q143" s="14">
        <v>20</v>
      </c>
      <c r="R143" s="15">
        <v>12</v>
      </c>
      <c r="T143" s="18">
        <v>8</v>
      </c>
      <c r="U143" s="15">
        <v>8</v>
      </c>
      <c r="W143" s="18"/>
      <c r="X143" s="14"/>
      <c r="Y143" s="14"/>
      <c r="Z143" s="15"/>
      <c r="AB143" s="18"/>
      <c r="AC143" s="14"/>
      <c r="AD143" s="14"/>
      <c r="AE143" s="15"/>
      <c r="AG143" s="18"/>
      <c r="AH143" s="14"/>
      <c r="AI143" s="14"/>
      <c r="AJ143" s="15"/>
      <c r="AL143" s="18"/>
      <c r="AM143" s="14"/>
      <c r="AN143" s="14"/>
      <c r="AO143" s="15"/>
      <c r="AQ143" s="2">
        <v>10</v>
      </c>
    </row>
    <row r="144" spans="2:43" ht="18" customHeight="1" x14ac:dyDescent="0.2">
      <c r="B144" s="8">
        <v>144</v>
      </c>
      <c r="C144" s="10">
        <v>4</v>
      </c>
      <c r="D144" s="10">
        <v>16</v>
      </c>
      <c r="E144" s="10">
        <v>20</v>
      </c>
      <c r="F144" s="10" t="s">
        <v>193</v>
      </c>
      <c r="G144" s="10" t="s">
        <v>108</v>
      </c>
      <c r="H144" s="10" t="s">
        <v>108</v>
      </c>
      <c r="I144" s="10" t="s">
        <v>108</v>
      </c>
      <c r="J144" s="10" t="s">
        <v>108</v>
      </c>
      <c r="K144" s="10" t="s">
        <v>121</v>
      </c>
      <c r="L144" s="67" t="s">
        <v>157</v>
      </c>
      <c r="M144" s="11" t="s">
        <v>341</v>
      </c>
      <c r="O144" s="19">
        <v>12</v>
      </c>
      <c r="P144" s="16">
        <v>24</v>
      </c>
      <c r="Q144" s="16">
        <v>20</v>
      </c>
      <c r="R144" s="17">
        <v>12</v>
      </c>
      <c r="T144" s="19">
        <v>0</v>
      </c>
      <c r="U144" s="17">
        <v>0</v>
      </c>
      <c r="W144" s="19"/>
      <c r="X144" s="16"/>
      <c r="Y144" s="16"/>
      <c r="Z144" s="17"/>
      <c r="AB144" s="19"/>
      <c r="AC144" s="16"/>
      <c r="AD144" s="16"/>
      <c r="AE144" s="17"/>
      <c r="AG144" s="19"/>
      <c r="AH144" s="16"/>
      <c r="AI144" s="16"/>
      <c r="AJ144" s="17"/>
      <c r="AL144" s="19"/>
      <c r="AM144" s="16"/>
      <c r="AN144" s="16"/>
      <c r="AO144" s="17"/>
      <c r="AQ144" s="2">
        <v>10</v>
      </c>
    </row>
    <row r="145" spans="2:43" ht="18" customHeight="1" x14ac:dyDescent="0.2">
      <c r="B145" s="10">
        <v>145</v>
      </c>
      <c r="C145" s="8">
        <v>4</v>
      </c>
      <c r="D145" s="8">
        <v>17</v>
      </c>
      <c r="E145" s="8">
        <v>8</v>
      </c>
      <c r="F145" s="84" t="s">
        <v>107</v>
      </c>
      <c r="G145" s="8" t="s">
        <v>165</v>
      </c>
      <c r="H145" s="8" t="s">
        <v>165</v>
      </c>
      <c r="I145" s="8" t="s">
        <v>165</v>
      </c>
      <c r="J145" s="44" t="s">
        <v>108</v>
      </c>
      <c r="K145" s="8" t="s">
        <v>121</v>
      </c>
      <c r="L145" s="9" t="s">
        <v>342</v>
      </c>
      <c r="M145" s="9" t="s">
        <v>343</v>
      </c>
      <c r="O145" s="18">
        <v>13</v>
      </c>
      <c r="P145" s="14">
        <v>24</v>
      </c>
      <c r="Q145" s="14">
        <v>20</v>
      </c>
      <c r="R145" s="15">
        <v>16</v>
      </c>
      <c r="T145" s="18">
        <v>13</v>
      </c>
      <c r="U145" s="15">
        <v>16</v>
      </c>
      <c r="W145" s="18"/>
      <c r="X145" s="14"/>
      <c r="Y145" s="14"/>
      <c r="Z145" s="15"/>
      <c r="AB145" s="18"/>
      <c r="AC145" s="14"/>
      <c r="AD145" s="14"/>
      <c r="AE145" s="15"/>
      <c r="AG145" s="18"/>
      <c r="AH145" s="14"/>
      <c r="AI145" s="14"/>
      <c r="AJ145" s="15"/>
      <c r="AL145" s="18"/>
      <c r="AM145" s="14"/>
      <c r="AN145" s="14"/>
      <c r="AO145" s="15"/>
      <c r="AQ145" s="2">
        <v>14</v>
      </c>
    </row>
    <row r="146" spans="2:43" ht="18" customHeight="1" x14ac:dyDescent="0.2">
      <c r="B146" s="8">
        <v>146</v>
      </c>
      <c r="C146" s="10">
        <v>4</v>
      </c>
      <c r="D146" s="10">
        <v>18</v>
      </c>
      <c r="E146" s="10">
        <v>0</v>
      </c>
      <c r="F146" s="10" t="s">
        <v>187</v>
      </c>
      <c r="G146" s="10" t="s">
        <v>165</v>
      </c>
      <c r="H146" s="10" t="s">
        <v>165</v>
      </c>
      <c r="I146" s="10" t="s">
        <v>165</v>
      </c>
      <c r="J146" s="10" t="s">
        <v>108</v>
      </c>
      <c r="K146" s="10" t="s">
        <v>121</v>
      </c>
      <c r="L146" s="67" t="s">
        <v>113</v>
      </c>
      <c r="M146" s="11" t="s">
        <v>344</v>
      </c>
      <c r="O146" s="19">
        <v>12</v>
      </c>
      <c r="P146" s="16">
        <v>24</v>
      </c>
      <c r="Q146" s="16">
        <v>20</v>
      </c>
      <c r="R146" s="17">
        <v>12</v>
      </c>
      <c r="T146" s="19">
        <v>12</v>
      </c>
      <c r="U146" s="17">
        <v>12</v>
      </c>
      <c r="W146" s="19"/>
      <c r="X146" s="16"/>
      <c r="Y146" s="16"/>
      <c r="Z146" s="17"/>
      <c r="AB146" s="19"/>
      <c r="AC146" s="16"/>
      <c r="AD146" s="16"/>
      <c r="AE146" s="17"/>
      <c r="AG146" s="19"/>
      <c r="AH146" s="16"/>
      <c r="AI146" s="16"/>
      <c r="AJ146" s="17"/>
      <c r="AL146" s="19"/>
      <c r="AM146" s="16"/>
      <c r="AN146" s="16"/>
      <c r="AO146" s="17"/>
      <c r="AQ146" s="2">
        <v>10</v>
      </c>
    </row>
    <row r="147" spans="2:43" ht="18" customHeight="1" x14ac:dyDescent="0.2">
      <c r="B147" s="10">
        <v>147</v>
      </c>
      <c r="C147" s="8">
        <v>4</v>
      </c>
      <c r="D147" s="8">
        <v>19</v>
      </c>
      <c r="E147" s="8">
        <v>28</v>
      </c>
      <c r="F147" s="84" t="s">
        <v>107</v>
      </c>
      <c r="G147" s="8" t="s">
        <v>108</v>
      </c>
      <c r="H147" s="8" t="s">
        <v>108</v>
      </c>
      <c r="I147" s="8" t="s">
        <v>108</v>
      </c>
      <c r="J147" s="44" t="s">
        <v>108</v>
      </c>
      <c r="K147" s="8" t="s">
        <v>121</v>
      </c>
      <c r="L147" s="9" t="s">
        <v>185</v>
      </c>
      <c r="M147" s="9" t="s">
        <v>345</v>
      </c>
      <c r="O147" s="18">
        <v>12</v>
      </c>
      <c r="P147" s="14">
        <v>24</v>
      </c>
      <c r="Q147" s="14">
        <v>20</v>
      </c>
      <c r="R147" s="15">
        <v>12</v>
      </c>
      <c r="T147" s="18">
        <v>0</v>
      </c>
      <c r="U147" s="15">
        <v>0</v>
      </c>
      <c r="W147" s="18"/>
      <c r="X147" s="14"/>
      <c r="Y147" s="14"/>
      <c r="Z147" s="15"/>
      <c r="AB147" s="18"/>
      <c r="AC147" s="14"/>
      <c r="AD147" s="14"/>
      <c r="AE147" s="15"/>
      <c r="AG147" s="18"/>
      <c r="AH147" s="14"/>
      <c r="AI147" s="14"/>
      <c r="AJ147" s="15"/>
      <c r="AL147" s="18"/>
      <c r="AM147" s="14"/>
      <c r="AN147" s="14"/>
      <c r="AO147" s="15"/>
      <c r="AQ147" s="2">
        <v>10</v>
      </c>
    </row>
    <row r="148" spans="2:43" ht="18" customHeight="1" x14ac:dyDescent="0.2">
      <c r="B148" s="8">
        <v>148</v>
      </c>
      <c r="C148" s="10">
        <v>4</v>
      </c>
      <c r="D148" s="10">
        <v>20</v>
      </c>
      <c r="E148" s="10">
        <v>0</v>
      </c>
      <c r="F148" s="10" t="s">
        <v>266</v>
      </c>
      <c r="G148" s="10" t="s">
        <v>165</v>
      </c>
      <c r="H148" s="10" t="s">
        <v>165</v>
      </c>
      <c r="I148" s="10" t="s">
        <v>165</v>
      </c>
      <c r="J148" s="10" t="s">
        <v>108</v>
      </c>
      <c r="K148" s="10" t="s">
        <v>121</v>
      </c>
      <c r="L148" s="67" t="s">
        <v>130</v>
      </c>
      <c r="M148" s="11" t="s">
        <v>346</v>
      </c>
      <c r="O148" s="19">
        <v>13</v>
      </c>
      <c r="P148" s="16">
        <v>24</v>
      </c>
      <c r="Q148" s="16">
        <v>20</v>
      </c>
      <c r="R148" s="17">
        <v>16</v>
      </c>
      <c r="T148" s="19">
        <v>13</v>
      </c>
      <c r="U148" s="17">
        <v>16</v>
      </c>
      <c r="W148" s="19"/>
      <c r="X148" s="16"/>
      <c r="Y148" s="16"/>
      <c r="Z148" s="17"/>
      <c r="AB148" s="19"/>
      <c r="AC148" s="16"/>
      <c r="AD148" s="16"/>
      <c r="AE148" s="17"/>
      <c r="AG148" s="19"/>
      <c r="AH148" s="16"/>
      <c r="AI148" s="16"/>
      <c r="AJ148" s="17"/>
      <c r="AL148" s="19"/>
      <c r="AM148" s="16"/>
      <c r="AN148" s="16"/>
      <c r="AO148" s="17"/>
      <c r="AQ148" s="2">
        <v>14</v>
      </c>
    </row>
    <row r="149" spans="2:43" ht="18" customHeight="1" x14ac:dyDescent="0.2">
      <c r="B149" s="10">
        <v>149</v>
      </c>
      <c r="C149" s="8">
        <v>4</v>
      </c>
      <c r="D149" s="8">
        <v>21</v>
      </c>
      <c r="E149" s="8">
        <v>0</v>
      </c>
      <c r="F149" s="84" t="s">
        <v>193</v>
      </c>
      <c r="G149" s="8" t="s">
        <v>165</v>
      </c>
      <c r="H149" s="8" t="s">
        <v>165</v>
      </c>
      <c r="I149" s="8" t="s">
        <v>165</v>
      </c>
      <c r="J149" s="44" t="s">
        <v>108</v>
      </c>
      <c r="K149" s="8" t="s">
        <v>121</v>
      </c>
      <c r="L149" s="9" t="s">
        <v>157</v>
      </c>
      <c r="M149" s="9" t="s">
        <v>347</v>
      </c>
      <c r="O149" s="18">
        <v>12</v>
      </c>
      <c r="P149" s="14">
        <v>24</v>
      </c>
      <c r="Q149" s="14">
        <v>20</v>
      </c>
      <c r="R149" s="15">
        <v>12</v>
      </c>
      <c r="T149" s="18">
        <v>12</v>
      </c>
      <c r="U149" s="15">
        <v>12</v>
      </c>
      <c r="W149" s="18"/>
      <c r="X149" s="14"/>
      <c r="Y149" s="14"/>
      <c r="Z149" s="15"/>
      <c r="AB149" s="18"/>
      <c r="AC149" s="14"/>
      <c r="AD149" s="14"/>
      <c r="AE149" s="15"/>
      <c r="AG149" s="18"/>
      <c r="AH149" s="14"/>
      <c r="AI149" s="14"/>
      <c r="AJ149" s="15"/>
      <c r="AL149" s="18"/>
      <c r="AM149" s="14"/>
      <c r="AN149" s="14"/>
      <c r="AO149" s="15"/>
      <c r="AQ149" s="2">
        <v>10</v>
      </c>
    </row>
    <row r="150" spans="2:43" ht="18" customHeight="1" x14ac:dyDescent="0.2">
      <c r="B150" s="8">
        <v>150</v>
      </c>
      <c r="C150" s="10">
        <v>4</v>
      </c>
      <c r="D150" s="10">
        <v>22</v>
      </c>
      <c r="E150" s="10">
        <v>16</v>
      </c>
      <c r="F150" s="10" t="s">
        <v>107</v>
      </c>
      <c r="G150" s="10" t="s">
        <v>165</v>
      </c>
      <c r="H150" s="10" t="s">
        <v>108</v>
      </c>
      <c r="I150" s="10" t="s">
        <v>108</v>
      </c>
      <c r="J150" s="10" t="s">
        <v>108</v>
      </c>
      <c r="K150" s="10" t="s">
        <v>121</v>
      </c>
      <c r="L150" s="67" t="s">
        <v>185</v>
      </c>
      <c r="M150" s="11" t="s">
        <v>348</v>
      </c>
      <c r="O150" s="19">
        <v>13</v>
      </c>
      <c r="P150" s="16">
        <v>24</v>
      </c>
      <c r="Q150" s="16">
        <v>20</v>
      </c>
      <c r="R150" s="17">
        <v>16</v>
      </c>
      <c r="T150" s="19">
        <v>12</v>
      </c>
      <c r="U150" s="17">
        <v>1</v>
      </c>
      <c r="W150" s="19"/>
      <c r="X150" s="16"/>
      <c r="Y150" s="16"/>
      <c r="Z150" s="17"/>
      <c r="AB150" s="19"/>
      <c r="AC150" s="16"/>
      <c r="AD150" s="16"/>
      <c r="AE150" s="17"/>
      <c r="AG150" s="19"/>
      <c r="AH150" s="16"/>
      <c r="AI150" s="16"/>
      <c r="AJ150" s="17"/>
      <c r="AL150" s="19"/>
      <c r="AM150" s="16"/>
      <c r="AN150" s="16"/>
      <c r="AO150" s="17"/>
      <c r="AQ150" s="2">
        <v>14</v>
      </c>
    </row>
    <row r="151" spans="2:43" ht="18" customHeight="1" x14ac:dyDescent="0.2">
      <c r="B151" s="10">
        <v>151</v>
      </c>
      <c r="C151" s="8">
        <v>4</v>
      </c>
      <c r="D151" s="8">
        <v>23</v>
      </c>
      <c r="E151" s="8">
        <v>22</v>
      </c>
      <c r="F151" s="84" t="s">
        <v>107</v>
      </c>
      <c r="G151" s="8" t="s">
        <v>108</v>
      </c>
      <c r="H151" s="8" t="s">
        <v>108</v>
      </c>
      <c r="I151" s="8" t="s">
        <v>108</v>
      </c>
      <c r="J151" s="44" t="s">
        <v>108</v>
      </c>
      <c r="K151" s="8" t="s">
        <v>121</v>
      </c>
      <c r="L151" s="9" t="s">
        <v>321</v>
      </c>
      <c r="M151" s="9" t="s">
        <v>349</v>
      </c>
      <c r="O151" s="18">
        <v>13</v>
      </c>
      <c r="P151" s="14">
        <v>24</v>
      </c>
      <c r="Q151" s="14">
        <v>20</v>
      </c>
      <c r="R151" s="15">
        <v>16</v>
      </c>
      <c r="T151" s="18">
        <v>0</v>
      </c>
      <c r="U151" s="15">
        <v>2</v>
      </c>
      <c r="W151" s="18"/>
      <c r="X151" s="14"/>
      <c r="Y151" s="14"/>
      <c r="Z151" s="15"/>
      <c r="AB151" s="18"/>
      <c r="AC151" s="14"/>
      <c r="AD151" s="14"/>
      <c r="AE151" s="15"/>
      <c r="AG151" s="18"/>
      <c r="AH151" s="14"/>
      <c r="AI151" s="14"/>
      <c r="AJ151" s="15"/>
      <c r="AL151" s="18"/>
      <c r="AM151" s="14"/>
      <c r="AN151" s="14"/>
      <c r="AO151" s="15"/>
      <c r="AQ151" s="2">
        <v>14</v>
      </c>
    </row>
    <row r="152" spans="2:43" ht="18" customHeight="1" x14ac:dyDescent="0.2">
      <c r="B152" s="8">
        <v>152</v>
      </c>
      <c r="C152" s="10">
        <v>4</v>
      </c>
      <c r="D152" s="10">
        <v>24</v>
      </c>
      <c r="E152" s="10">
        <v>22</v>
      </c>
      <c r="F152" s="10" t="s">
        <v>107</v>
      </c>
      <c r="G152" s="10" t="s">
        <v>108</v>
      </c>
      <c r="H152" s="10" t="s">
        <v>108</v>
      </c>
      <c r="I152" s="10" t="s">
        <v>108</v>
      </c>
      <c r="J152" s="10" t="s">
        <v>108</v>
      </c>
      <c r="K152" s="10" t="s">
        <v>121</v>
      </c>
      <c r="L152" s="67" t="s">
        <v>214</v>
      </c>
      <c r="M152" s="11" t="s">
        <v>350</v>
      </c>
      <c r="O152" s="19">
        <v>13</v>
      </c>
      <c r="P152" s="16">
        <v>24</v>
      </c>
      <c r="Q152" s="16">
        <v>20</v>
      </c>
      <c r="R152" s="17">
        <v>16</v>
      </c>
      <c r="T152" s="19">
        <v>0</v>
      </c>
      <c r="U152" s="17">
        <v>5</v>
      </c>
      <c r="W152" s="19"/>
      <c r="X152" s="16"/>
      <c r="Y152" s="16"/>
      <c r="Z152" s="17"/>
      <c r="AB152" s="19"/>
      <c r="AC152" s="16"/>
      <c r="AD152" s="16"/>
      <c r="AE152" s="17"/>
      <c r="AG152" s="19"/>
      <c r="AH152" s="16"/>
      <c r="AI152" s="16"/>
      <c r="AJ152" s="17"/>
      <c r="AL152" s="19"/>
      <c r="AM152" s="16"/>
      <c r="AN152" s="16"/>
      <c r="AO152" s="17"/>
      <c r="AQ152" s="2">
        <v>14</v>
      </c>
    </row>
    <row r="153" spans="2:43" ht="18" customHeight="1" x14ac:dyDescent="0.2">
      <c r="B153" s="10">
        <v>153</v>
      </c>
      <c r="C153" s="8">
        <v>4</v>
      </c>
      <c r="D153" s="8">
        <v>25</v>
      </c>
      <c r="E153" s="8">
        <v>16</v>
      </c>
      <c r="F153" s="84" t="s">
        <v>107</v>
      </c>
      <c r="G153" s="8" t="s">
        <v>165</v>
      </c>
      <c r="H153" s="8" t="s">
        <v>108</v>
      </c>
      <c r="I153" s="8" t="s">
        <v>108</v>
      </c>
      <c r="J153" s="44" t="s">
        <v>108</v>
      </c>
      <c r="K153" s="8" t="s">
        <v>121</v>
      </c>
      <c r="L153" s="9" t="s">
        <v>351</v>
      </c>
      <c r="M153" s="9" t="s">
        <v>352</v>
      </c>
      <c r="O153" s="18">
        <v>13</v>
      </c>
      <c r="P153" s="14">
        <v>24</v>
      </c>
      <c r="Q153" s="14">
        <v>20</v>
      </c>
      <c r="R153" s="15">
        <v>16</v>
      </c>
      <c r="T153" s="18">
        <v>3</v>
      </c>
      <c r="U153" s="15">
        <v>0</v>
      </c>
      <c r="W153" s="18"/>
      <c r="X153" s="14"/>
      <c r="Y153" s="14"/>
      <c r="Z153" s="15"/>
      <c r="AB153" s="18"/>
      <c r="AC153" s="14"/>
      <c r="AD153" s="14"/>
      <c r="AE153" s="15"/>
      <c r="AG153" s="18"/>
      <c r="AH153" s="14"/>
      <c r="AI153" s="14"/>
      <c r="AJ153" s="15"/>
      <c r="AL153" s="18"/>
      <c r="AM153" s="14"/>
      <c r="AN153" s="14"/>
      <c r="AO153" s="15"/>
      <c r="AQ153" s="2">
        <v>14</v>
      </c>
    </row>
    <row r="154" spans="2:43" ht="18" customHeight="1" x14ac:dyDescent="0.2">
      <c r="B154" s="8">
        <v>154</v>
      </c>
      <c r="C154" s="10">
        <v>4</v>
      </c>
      <c r="D154" s="10">
        <v>26</v>
      </c>
      <c r="E154" s="10">
        <v>31</v>
      </c>
      <c r="F154" s="10" t="s">
        <v>107</v>
      </c>
      <c r="G154" s="10" t="s">
        <v>108</v>
      </c>
      <c r="H154" s="10" t="s">
        <v>108</v>
      </c>
      <c r="I154" s="10" t="s">
        <v>108</v>
      </c>
      <c r="J154" s="10" t="s">
        <v>108</v>
      </c>
      <c r="K154" s="10" t="s">
        <v>121</v>
      </c>
      <c r="L154" s="67" t="s">
        <v>113</v>
      </c>
      <c r="M154" s="11" t="s">
        <v>122</v>
      </c>
      <c r="O154" s="19">
        <v>13</v>
      </c>
      <c r="P154" s="16">
        <v>24</v>
      </c>
      <c r="Q154" s="16">
        <v>20</v>
      </c>
      <c r="R154" s="17">
        <v>16</v>
      </c>
      <c r="T154" s="19">
        <v>0</v>
      </c>
      <c r="U154" s="17">
        <v>0</v>
      </c>
      <c r="W154" s="19"/>
      <c r="X154" s="16"/>
      <c r="Y154" s="16"/>
      <c r="Z154" s="17"/>
      <c r="AB154" s="19"/>
      <c r="AC154" s="16"/>
      <c r="AD154" s="16"/>
      <c r="AE154" s="17"/>
      <c r="AG154" s="19"/>
      <c r="AH154" s="16"/>
      <c r="AI154" s="16"/>
      <c r="AJ154" s="17"/>
      <c r="AL154" s="19"/>
      <c r="AM154" s="16"/>
      <c r="AN154" s="16"/>
      <c r="AO154" s="17"/>
      <c r="AQ154" s="2">
        <v>14</v>
      </c>
    </row>
    <row r="155" spans="2:43" ht="18" customHeight="1" x14ac:dyDescent="0.2">
      <c r="B155" s="10">
        <v>155</v>
      </c>
      <c r="C155" s="8">
        <v>4</v>
      </c>
      <c r="D155" s="8">
        <v>27</v>
      </c>
      <c r="E155" s="8">
        <v>19</v>
      </c>
      <c r="F155" s="84" t="s">
        <v>91</v>
      </c>
      <c r="G155" s="8" t="s">
        <v>165</v>
      </c>
      <c r="H155" s="8" t="s">
        <v>108</v>
      </c>
      <c r="I155" s="8" t="s">
        <v>108</v>
      </c>
      <c r="J155" s="44" t="s">
        <v>108</v>
      </c>
      <c r="K155" s="8" t="s">
        <v>121</v>
      </c>
      <c r="L155" s="9" t="s">
        <v>225</v>
      </c>
      <c r="M155" s="9" t="s">
        <v>353</v>
      </c>
      <c r="O155" s="18">
        <v>13</v>
      </c>
      <c r="P155" s="14">
        <v>24</v>
      </c>
      <c r="Q155" s="14">
        <v>20</v>
      </c>
      <c r="R155" s="15">
        <v>16</v>
      </c>
      <c r="T155" s="18">
        <v>6</v>
      </c>
      <c r="U155" s="15">
        <v>1</v>
      </c>
      <c r="W155" s="18"/>
      <c r="X155" s="14"/>
      <c r="Y155" s="14"/>
      <c r="Z155" s="15"/>
      <c r="AB155" s="18"/>
      <c r="AC155" s="14"/>
      <c r="AD155" s="14"/>
      <c r="AE155" s="15"/>
      <c r="AG155" s="18"/>
      <c r="AH155" s="14"/>
      <c r="AI155" s="14"/>
      <c r="AJ155" s="15"/>
      <c r="AL155" s="18"/>
      <c r="AM155" s="14"/>
      <c r="AN155" s="14"/>
      <c r="AO155" s="15"/>
      <c r="AQ155" s="2">
        <v>14</v>
      </c>
    </row>
    <row r="156" spans="2:43" ht="18" customHeight="1" x14ac:dyDescent="0.2">
      <c r="B156" s="8">
        <v>156</v>
      </c>
      <c r="C156" s="10">
        <v>4</v>
      </c>
      <c r="D156" s="10">
        <v>28</v>
      </c>
      <c r="E156" s="10">
        <v>11</v>
      </c>
      <c r="F156" s="10" t="s">
        <v>187</v>
      </c>
      <c r="G156" s="10" t="s">
        <v>165</v>
      </c>
      <c r="H156" s="10" t="s">
        <v>165</v>
      </c>
      <c r="I156" s="10" t="s">
        <v>108</v>
      </c>
      <c r="J156" s="10" t="s">
        <v>108</v>
      </c>
      <c r="K156" s="10" t="s">
        <v>121</v>
      </c>
      <c r="L156" s="67" t="s">
        <v>113</v>
      </c>
      <c r="M156" s="11" t="s">
        <v>354</v>
      </c>
      <c r="O156" s="19">
        <v>13</v>
      </c>
      <c r="P156" s="16">
        <v>24</v>
      </c>
      <c r="Q156" s="16">
        <v>20</v>
      </c>
      <c r="R156" s="17">
        <v>16</v>
      </c>
      <c r="T156" s="19">
        <v>13</v>
      </c>
      <c r="U156" s="17">
        <v>11</v>
      </c>
      <c r="W156" s="19"/>
      <c r="X156" s="16"/>
      <c r="Y156" s="16"/>
      <c r="Z156" s="17"/>
      <c r="AB156" s="19"/>
      <c r="AC156" s="16"/>
      <c r="AD156" s="16"/>
      <c r="AE156" s="17"/>
      <c r="AG156" s="19"/>
      <c r="AH156" s="16"/>
      <c r="AI156" s="16"/>
      <c r="AJ156" s="17"/>
      <c r="AL156" s="19"/>
      <c r="AM156" s="16"/>
      <c r="AN156" s="16"/>
      <c r="AO156" s="17"/>
      <c r="AQ156" s="2">
        <v>14</v>
      </c>
    </row>
    <row r="157" spans="2:43" ht="18" customHeight="1" x14ac:dyDescent="0.2">
      <c r="B157" s="10">
        <v>157</v>
      </c>
      <c r="C157" s="8">
        <v>4</v>
      </c>
      <c r="D157" s="8">
        <v>29</v>
      </c>
      <c r="E157" s="8">
        <v>0</v>
      </c>
      <c r="F157" s="84" t="s">
        <v>107</v>
      </c>
      <c r="G157" s="8" t="s">
        <v>165</v>
      </c>
      <c r="H157" s="8" t="s">
        <v>165</v>
      </c>
      <c r="I157" s="8" t="s">
        <v>165</v>
      </c>
      <c r="J157" s="44" t="s">
        <v>108</v>
      </c>
      <c r="K157" s="8" t="s">
        <v>121</v>
      </c>
      <c r="L157" s="9" t="s">
        <v>321</v>
      </c>
      <c r="M157" s="9" t="s">
        <v>355</v>
      </c>
      <c r="O157" s="18">
        <v>13</v>
      </c>
      <c r="P157" s="14">
        <v>24</v>
      </c>
      <c r="Q157" s="14">
        <v>20</v>
      </c>
      <c r="R157" s="15">
        <v>16</v>
      </c>
      <c r="T157" s="18">
        <v>13</v>
      </c>
      <c r="U157" s="15">
        <v>16</v>
      </c>
      <c r="W157" s="18"/>
      <c r="X157" s="14"/>
      <c r="Y157" s="14"/>
      <c r="Z157" s="15"/>
      <c r="AB157" s="18"/>
      <c r="AC157" s="14"/>
      <c r="AD157" s="14"/>
      <c r="AE157" s="15"/>
      <c r="AG157" s="18"/>
      <c r="AH157" s="14"/>
      <c r="AI157" s="14"/>
      <c r="AJ157" s="15"/>
      <c r="AL157" s="18"/>
      <c r="AM157" s="14"/>
      <c r="AN157" s="14"/>
      <c r="AO157" s="15"/>
      <c r="AQ157" s="2">
        <v>14</v>
      </c>
    </row>
    <row r="158" spans="2:43" ht="18" customHeight="1" x14ac:dyDescent="0.2">
      <c r="B158" s="8">
        <v>158</v>
      </c>
      <c r="C158" s="10">
        <v>4</v>
      </c>
      <c r="D158" s="10">
        <v>30</v>
      </c>
      <c r="E158" s="10">
        <v>28</v>
      </c>
      <c r="F158" s="10" t="s">
        <v>266</v>
      </c>
      <c r="G158" s="10" t="s">
        <v>108</v>
      </c>
      <c r="H158" s="10" t="s">
        <v>108</v>
      </c>
      <c r="I158" s="10" t="s">
        <v>108</v>
      </c>
      <c r="J158" s="10" t="s">
        <v>108</v>
      </c>
      <c r="K158" s="10" t="s">
        <v>121</v>
      </c>
      <c r="L158" s="67" t="s">
        <v>130</v>
      </c>
      <c r="M158" s="11" t="s">
        <v>356</v>
      </c>
      <c r="O158" s="19">
        <v>13</v>
      </c>
      <c r="P158" s="16">
        <v>24</v>
      </c>
      <c r="Q158" s="16">
        <v>20</v>
      </c>
      <c r="R158" s="17">
        <v>16</v>
      </c>
      <c r="T158" s="19">
        <v>0</v>
      </c>
      <c r="U158" s="17">
        <v>0</v>
      </c>
      <c r="W158" s="19"/>
      <c r="X158" s="16"/>
      <c r="Y158" s="16"/>
      <c r="Z158" s="17"/>
      <c r="AB158" s="19"/>
      <c r="AC158" s="16"/>
      <c r="AD158" s="16"/>
      <c r="AE158" s="17"/>
      <c r="AG158" s="19"/>
      <c r="AH158" s="16"/>
      <c r="AI158" s="16"/>
      <c r="AJ158" s="17"/>
      <c r="AL158" s="19"/>
      <c r="AM158" s="16"/>
      <c r="AN158" s="16"/>
      <c r="AO158" s="17"/>
      <c r="AQ158" s="2">
        <v>14</v>
      </c>
    </row>
    <row r="159" spans="2:43" ht="18" customHeight="1" x14ac:dyDescent="0.2">
      <c r="B159" s="10">
        <v>159</v>
      </c>
      <c r="C159" s="8">
        <v>4</v>
      </c>
      <c r="D159" s="8">
        <v>31</v>
      </c>
      <c r="E159" s="8">
        <v>12</v>
      </c>
      <c r="F159" s="84" t="s">
        <v>193</v>
      </c>
      <c r="G159" s="8" t="s">
        <v>165</v>
      </c>
      <c r="H159" s="8" t="s">
        <v>108</v>
      </c>
      <c r="I159" s="8" t="s">
        <v>108</v>
      </c>
      <c r="J159" s="44" t="s">
        <v>108</v>
      </c>
      <c r="K159" s="8" t="s">
        <v>121</v>
      </c>
      <c r="L159" s="9" t="s">
        <v>157</v>
      </c>
      <c r="M159" s="9" t="s">
        <v>357</v>
      </c>
      <c r="O159" s="18">
        <v>13</v>
      </c>
      <c r="P159" s="14">
        <v>24</v>
      </c>
      <c r="Q159" s="14">
        <v>20</v>
      </c>
      <c r="R159" s="15">
        <v>16</v>
      </c>
      <c r="T159" s="18">
        <v>8</v>
      </c>
      <c r="U159" s="15">
        <v>3</v>
      </c>
      <c r="W159" s="18"/>
      <c r="X159" s="14"/>
      <c r="Y159" s="14"/>
      <c r="Z159" s="15"/>
      <c r="AB159" s="18"/>
      <c r="AC159" s="14"/>
      <c r="AD159" s="14"/>
      <c r="AE159" s="15"/>
      <c r="AG159" s="18"/>
      <c r="AH159" s="14"/>
      <c r="AI159" s="14"/>
      <c r="AJ159" s="15"/>
      <c r="AL159" s="18"/>
      <c r="AM159" s="14"/>
      <c r="AN159" s="14"/>
      <c r="AO159" s="15"/>
      <c r="AQ159" s="2">
        <v>14</v>
      </c>
    </row>
    <row r="160" spans="2:43" ht="18" customHeight="1" x14ac:dyDescent="0.2">
      <c r="B160" s="8">
        <v>160</v>
      </c>
      <c r="C160" s="10">
        <v>4</v>
      </c>
      <c r="D160" s="10">
        <v>32</v>
      </c>
      <c r="E160" s="10">
        <v>6</v>
      </c>
      <c r="F160" s="10" t="s">
        <v>241</v>
      </c>
      <c r="G160" s="10" t="s">
        <v>165</v>
      </c>
      <c r="H160" s="10" t="s">
        <v>165</v>
      </c>
      <c r="I160" s="10" t="s">
        <v>165</v>
      </c>
      <c r="J160" s="10" t="s">
        <v>108</v>
      </c>
      <c r="K160" s="10" t="s">
        <v>121</v>
      </c>
      <c r="L160" s="67" t="s">
        <v>242</v>
      </c>
      <c r="M160" s="11" t="s">
        <v>358</v>
      </c>
      <c r="O160" s="19">
        <v>13</v>
      </c>
      <c r="P160" s="16">
        <v>24</v>
      </c>
      <c r="Q160" s="16">
        <v>20</v>
      </c>
      <c r="R160" s="17">
        <v>16</v>
      </c>
      <c r="T160" s="19">
        <v>13</v>
      </c>
      <c r="U160" s="17">
        <v>16</v>
      </c>
      <c r="W160" s="19"/>
      <c r="X160" s="16"/>
      <c r="Y160" s="16"/>
      <c r="Z160" s="17"/>
      <c r="AB160" s="19"/>
      <c r="AC160" s="16"/>
      <c r="AD160" s="16"/>
      <c r="AE160" s="17"/>
      <c r="AG160" s="19"/>
      <c r="AH160" s="16"/>
      <c r="AI160" s="16"/>
      <c r="AJ160" s="17"/>
      <c r="AL160" s="19"/>
      <c r="AM160" s="16"/>
      <c r="AN160" s="16"/>
      <c r="AO160" s="17"/>
      <c r="AQ160" s="2">
        <v>14</v>
      </c>
    </row>
    <row r="161" spans="2:43" ht="18" customHeight="1" x14ac:dyDescent="0.2">
      <c r="B161" s="10">
        <v>161</v>
      </c>
      <c r="C161" s="8">
        <v>4</v>
      </c>
      <c r="D161" s="8">
        <v>33</v>
      </c>
      <c r="E161" s="8">
        <v>15</v>
      </c>
      <c r="F161" s="84" t="s">
        <v>241</v>
      </c>
      <c r="G161" s="8" t="s">
        <v>108</v>
      </c>
      <c r="H161" s="8" t="s">
        <v>108</v>
      </c>
      <c r="I161" s="8" t="s">
        <v>108</v>
      </c>
      <c r="J161" s="44" t="s">
        <v>108</v>
      </c>
      <c r="K161" s="8" t="s">
        <v>121</v>
      </c>
      <c r="L161" s="9" t="s">
        <v>242</v>
      </c>
      <c r="M161" s="9" t="s">
        <v>359</v>
      </c>
      <c r="O161" s="18">
        <v>13</v>
      </c>
      <c r="P161" s="14">
        <v>24</v>
      </c>
      <c r="Q161" s="14">
        <v>20</v>
      </c>
      <c r="R161" s="15">
        <v>16</v>
      </c>
      <c r="T161" s="18">
        <v>0</v>
      </c>
      <c r="U161" s="15">
        <v>4</v>
      </c>
      <c r="W161" s="18"/>
      <c r="X161" s="14"/>
      <c r="Y161" s="14"/>
      <c r="Z161" s="15"/>
      <c r="AB161" s="18"/>
      <c r="AC161" s="14"/>
      <c r="AD161" s="14"/>
      <c r="AE161" s="15"/>
      <c r="AG161" s="18"/>
      <c r="AH161" s="14"/>
      <c r="AI161" s="14"/>
      <c r="AJ161" s="15"/>
      <c r="AL161" s="18"/>
      <c r="AM161" s="14"/>
      <c r="AN161" s="14"/>
      <c r="AO161" s="15"/>
      <c r="AQ161" s="2">
        <v>14</v>
      </c>
    </row>
    <row r="162" spans="2:43" ht="18" customHeight="1" x14ac:dyDescent="0.2">
      <c r="B162" s="8">
        <v>162</v>
      </c>
      <c r="C162" s="10">
        <v>4</v>
      </c>
      <c r="D162" s="10">
        <v>34</v>
      </c>
      <c r="E162" s="10">
        <v>20</v>
      </c>
      <c r="F162" s="10" t="s">
        <v>193</v>
      </c>
      <c r="G162" s="10" t="s">
        <v>108</v>
      </c>
      <c r="H162" s="10" t="s">
        <v>108</v>
      </c>
      <c r="I162" s="10" t="s">
        <v>108</v>
      </c>
      <c r="J162" s="10" t="s">
        <v>108</v>
      </c>
      <c r="K162" s="10" t="s">
        <v>121</v>
      </c>
      <c r="L162" s="67" t="s">
        <v>157</v>
      </c>
      <c r="M162" s="11" t="s">
        <v>360</v>
      </c>
      <c r="O162" s="19">
        <v>13</v>
      </c>
      <c r="P162" s="16">
        <v>24</v>
      </c>
      <c r="Q162" s="16">
        <v>20</v>
      </c>
      <c r="R162" s="17">
        <v>16</v>
      </c>
      <c r="T162" s="19">
        <v>6</v>
      </c>
      <c r="U162" s="17">
        <v>2</v>
      </c>
      <c r="W162" s="19"/>
      <c r="X162" s="16"/>
      <c r="Y162" s="16"/>
      <c r="Z162" s="17"/>
      <c r="AB162" s="19"/>
      <c r="AC162" s="16"/>
      <c r="AD162" s="16"/>
      <c r="AE162" s="17"/>
      <c r="AG162" s="19"/>
      <c r="AH162" s="16"/>
      <c r="AI162" s="16"/>
      <c r="AJ162" s="17"/>
      <c r="AL162" s="19"/>
      <c r="AM162" s="16"/>
      <c r="AN162" s="16"/>
      <c r="AO162" s="17"/>
      <c r="AQ162" s="2">
        <v>14</v>
      </c>
    </row>
    <row r="163" spans="2:43" ht="18" customHeight="1" x14ac:dyDescent="0.2">
      <c r="B163" s="10">
        <v>163</v>
      </c>
      <c r="C163" s="8">
        <v>4</v>
      </c>
      <c r="D163" s="8">
        <v>35</v>
      </c>
      <c r="E163" s="8">
        <v>0</v>
      </c>
      <c r="F163" s="84" t="s">
        <v>107</v>
      </c>
      <c r="G163" s="8" t="s">
        <v>165</v>
      </c>
      <c r="H163" s="8" t="s">
        <v>165</v>
      </c>
      <c r="I163" s="8" t="s">
        <v>165</v>
      </c>
      <c r="J163" s="44" t="s">
        <v>108</v>
      </c>
      <c r="K163" s="8" t="s">
        <v>121</v>
      </c>
      <c r="L163" s="9" t="s">
        <v>361</v>
      </c>
      <c r="M163" s="9" t="s">
        <v>362</v>
      </c>
      <c r="O163" s="18">
        <v>13</v>
      </c>
      <c r="P163" s="14">
        <v>24</v>
      </c>
      <c r="Q163" s="14">
        <v>20</v>
      </c>
      <c r="R163" s="15">
        <v>16</v>
      </c>
      <c r="T163" s="18">
        <v>13</v>
      </c>
      <c r="U163" s="15">
        <v>16</v>
      </c>
      <c r="W163" s="18"/>
      <c r="X163" s="14"/>
      <c r="Y163" s="14"/>
      <c r="Z163" s="15"/>
      <c r="AB163" s="18"/>
      <c r="AC163" s="14"/>
      <c r="AD163" s="14"/>
      <c r="AE163" s="15"/>
      <c r="AG163" s="18"/>
      <c r="AH163" s="14"/>
      <c r="AI163" s="14"/>
      <c r="AJ163" s="15"/>
      <c r="AL163" s="18"/>
      <c r="AM163" s="14"/>
      <c r="AN163" s="14"/>
      <c r="AO163" s="15"/>
      <c r="AQ163" s="2">
        <v>14</v>
      </c>
    </row>
    <row r="164" spans="2:43" ht="18" customHeight="1" x14ac:dyDescent="0.2">
      <c r="B164" s="8">
        <v>164</v>
      </c>
      <c r="C164" s="10">
        <v>4</v>
      </c>
      <c r="D164" s="10">
        <v>36</v>
      </c>
      <c r="E164" s="10">
        <v>0</v>
      </c>
      <c r="F164" s="10" t="s">
        <v>107</v>
      </c>
      <c r="G164" s="10" t="s">
        <v>165</v>
      </c>
      <c r="H164" s="10" t="s">
        <v>108</v>
      </c>
      <c r="I164" s="10" t="s">
        <v>108</v>
      </c>
      <c r="J164" s="10" t="s">
        <v>108</v>
      </c>
      <c r="K164" s="10" t="s">
        <v>121</v>
      </c>
      <c r="L164" s="67" t="s">
        <v>363</v>
      </c>
      <c r="M164" s="11" t="s">
        <v>364</v>
      </c>
      <c r="O164" s="19">
        <v>13</v>
      </c>
      <c r="P164" s="16">
        <v>24</v>
      </c>
      <c r="Q164" s="16">
        <v>20</v>
      </c>
      <c r="R164" s="17">
        <v>16</v>
      </c>
      <c r="T164" s="19">
        <v>8</v>
      </c>
      <c r="U164" s="17">
        <v>6</v>
      </c>
      <c r="W164" s="19"/>
      <c r="X164" s="16"/>
      <c r="Y164" s="16"/>
      <c r="Z164" s="17"/>
      <c r="AB164" s="19"/>
      <c r="AC164" s="16"/>
      <c r="AD164" s="16"/>
      <c r="AE164" s="17"/>
      <c r="AG164" s="19"/>
      <c r="AH164" s="16"/>
      <c r="AI164" s="16"/>
      <c r="AJ164" s="17"/>
      <c r="AL164" s="19"/>
      <c r="AM164" s="16"/>
      <c r="AN164" s="16"/>
      <c r="AO164" s="17"/>
      <c r="AQ164" s="2">
        <v>14</v>
      </c>
    </row>
    <row r="165" spans="2:43" ht="18" customHeight="1" x14ac:dyDescent="0.2">
      <c r="B165" s="10">
        <v>165</v>
      </c>
      <c r="C165" s="10">
        <v>4</v>
      </c>
      <c r="D165" s="10">
        <v>37</v>
      </c>
      <c r="E165" s="10">
        <v>32</v>
      </c>
      <c r="F165" s="10" t="s">
        <v>107</v>
      </c>
      <c r="G165" s="10" t="s">
        <v>108</v>
      </c>
      <c r="H165" s="10" t="s">
        <v>108</v>
      </c>
      <c r="I165" s="10" t="s">
        <v>108</v>
      </c>
      <c r="J165" s="10" t="s">
        <v>108</v>
      </c>
      <c r="K165" s="10" t="s">
        <v>121</v>
      </c>
      <c r="L165" s="67" t="s">
        <v>132</v>
      </c>
      <c r="M165" s="11" t="s">
        <v>133</v>
      </c>
      <c r="O165" s="19"/>
      <c r="P165" s="16"/>
      <c r="Q165" s="16"/>
      <c r="R165" s="17"/>
      <c r="T165" s="19"/>
      <c r="U165" s="17"/>
      <c r="W165" s="19"/>
      <c r="X165" s="16"/>
      <c r="Y165" s="16"/>
      <c r="Z165" s="17"/>
      <c r="AB165" s="19"/>
      <c r="AC165" s="16"/>
      <c r="AD165" s="16"/>
      <c r="AE165" s="17"/>
      <c r="AG165" s="19"/>
      <c r="AH165" s="16"/>
      <c r="AI165" s="16"/>
      <c r="AJ165" s="17"/>
      <c r="AL165" s="19"/>
      <c r="AM165" s="16"/>
      <c r="AN165" s="16"/>
      <c r="AO165" s="17"/>
      <c r="AQ165" s="2"/>
    </row>
    <row r="166" spans="2:43" ht="18" customHeight="1" x14ac:dyDescent="0.2">
      <c r="B166" s="8">
        <v>166</v>
      </c>
      <c r="C166" s="8">
        <v>4</v>
      </c>
      <c r="D166" s="8">
        <v>38</v>
      </c>
      <c r="E166" s="8">
        <v>21</v>
      </c>
      <c r="F166" s="84" t="s">
        <v>107</v>
      </c>
      <c r="G166" s="8" t="s">
        <v>165</v>
      </c>
      <c r="H166" s="8" t="s">
        <v>108</v>
      </c>
      <c r="I166" s="8" t="s">
        <v>108</v>
      </c>
      <c r="J166" s="44" t="s">
        <v>108</v>
      </c>
      <c r="K166" s="8" t="s">
        <v>121</v>
      </c>
      <c r="L166" s="9" t="s">
        <v>41</v>
      </c>
      <c r="M166" s="9" t="s">
        <v>365</v>
      </c>
      <c r="O166" s="18">
        <v>13</v>
      </c>
      <c r="P166" s="14">
        <v>24</v>
      </c>
      <c r="Q166" s="14">
        <v>20</v>
      </c>
      <c r="R166" s="15">
        <v>16</v>
      </c>
      <c r="T166" s="18">
        <v>3</v>
      </c>
      <c r="U166" s="15">
        <v>2</v>
      </c>
      <c r="W166" s="18"/>
      <c r="X166" s="14"/>
      <c r="Y166" s="14"/>
      <c r="Z166" s="15"/>
      <c r="AB166" s="18"/>
      <c r="AC166" s="14"/>
      <c r="AD166" s="14"/>
      <c r="AE166" s="15"/>
      <c r="AG166" s="18"/>
      <c r="AH166" s="14"/>
      <c r="AI166" s="14"/>
      <c r="AJ166" s="15"/>
      <c r="AL166" s="18"/>
      <c r="AM166" s="14"/>
      <c r="AN166" s="14"/>
      <c r="AO166" s="15"/>
      <c r="AQ166" s="2">
        <v>14</v>
      </c>
    </row>
    <row r="167" spans="2:43" ht="18" customHeight="1" x14ac:dyDescent="0.2">
      <c r="B167" s="10">
        <v>167</v>
      </c>
      <c r="C167" s="10">
        <v>4</v>
      </c>
      <c r="D167" s="10">
        <v>39</v>
      </c>
      <c r="E167" s="10">
        <v>14</v>
      </c>
      <c r="F167" s="10" t="s">
        <v>91</v>
      </c>
      <c r="G167" s="10" t="s">
        <v>165</v>
      </c>
      <c r="H167" s="10" t="s">
        <v>165</v>
      </c>
      <c r="I167" s="10" t="s">
        <v>108</v>
      </c>
      <c r="J167" s="10" t="s">
        <v>108</v>
      </c>
      <c r="K167" s="10" t="s">
        <v>121</v>
      </c>
      <c r="L167" s="67" t="s">
        <v>225</v>
      </c>
      <c r="M167" s="11" t="s">
        <v>366</v>
      </c>
      <c r="O167" s="19">
        <v>13</v>
      </c>
      <c r="P167" s="16">
        <v>24</v>
      </c>
      <c r="Q167" s="16">
        <v>20</v>
      </c>
      <c r="R167" s="17">
        <v>16</v>
      </c>
      <c r="T167" s="19">
        <v>13</v>
      </c>
      <c r="U167" s="17">
        <v>10</v>
      </c>
      <c r="W167" s="19"/>
      <c r="X167" s="16"/>
      <c r="Y167" s="16"/>
      <c r="Z167" s="17"/>
      <c r="AB167" s="19"/>
      <c r="AC167" s="16"/>
      <c r="AD167" s="16"/>
      <c r="AE167" s="17"/>
      <c r="AG167" s="19"/>
      <c r="AH167" s="16"/>
      <c r="AI167" s="16"/>
      <c r="AJ167" s="17"/>
      <c r="AL167" s="19"/>
      <c r="AM167" s="16"/>
      <c r="AN167" s="16"/>
      <c r="AO167" s="17"/>
      <c r="AQ167" s="2">
        <v>14</v>
      </c>
    </row>
    <row r="168" spans="2:43" ht="18" customHeight="1" x14ac:dyDescent="0.2">
      <c r="B168" s="8">
        <v>168</v>
      </c>
      <c r="C168" s="8">
        <v>4</v>
      </c>
      <c r="D168" s="8">
        <v>40</v>
      </c>
      <c r="E168" s="8">
        <v>18</v>
      </c>
      <c r="F168" s="84" t="s">
        <v>107</v>
      </c>
      <c r="G168" s="8" t="s">
        <v>165</v>
      </c>
      <c r="H168" s="8" t="s">
        <v>108</v>
      </c>
      <c r="I168" s="8" t="s">
        <v>108</v>
      </c>
      <c r="J168" s="44" t="s">
        <v>108</v>
      </c>
      <c r="K168" s="8" t="s">
        <v>121</v>
      </c>
      <c r="L168" s="9" t="s">
        <v>321</v>
      </c>
      <c r="M168" s="9" t="s">
        <v>367</v>
      </c>
      <c r="O168" s="18">
        <v>13</v>
      </c>
      <c r="P168" s="14">
        <v>24</v>
      </c>
      <c r="Q168" s="14">
        <v>20</v>
      </c>
      <c r="R168" s="15">
        <v>16</v>
      </c>
      <c r="T168" s="18">
        <v>0</v>
      </c>
      <c r="U168" s="15">
        <v>5</v>
      </c>
      <c r="W168" s="18"/>
      <c r="X168" s="14"/>
      <c r="Y168" s="14"/>
      <c r="Z168" s="15"/>
      <c r="AB168" s="18"/>
      <c r="AC168" s="14"/>
      <c r="AD168" s="14"/>
      <c r="AE168" s="15"/>
      <c r="AG168" s="18"/>
      <c r="AH168" s="14"/>
      <c r="AI168" s="14"/>
      <c r="AJ168" s="15"/>
      <c r="AL168" s="18"/>
      <c r="AM168" s="14"/>
      <c r="AN168" s="14"/>
      <c r="AO168" s="15"/>
      <c r="AQ168" s="2">
        <v>14</v>
      </c>
    </row>
    <row r="169" spans="2:43" ht="18" customHeight="1" x14ac:dyDescent="0.2">
      <c r="B169" s="10">
        <v>169</v>
      </c>
      <c r="C169" s="10">
        <v>4</v>
      </c>
      <c r="D169" s="10">
        <v>41</v>
      </c>
      <c r="E169" s="10">
        <v>30</v>
      </c>
      <c r="F169" s="10" t="s">
        <v>107</v>
      </c>
      <c r="G169" s="10" t="s">
        <v>108</v>
      </c>
      <c r="H169" s="10" t="s">
        <v>108</v>
      </c>
      <c r="I169" s="10" t="s">
        <v>108</v>
      </c>
      <c r="J169" s="10" t="s">
        <v>108</v>
      </c>
      <c r="K169" s="10" t="s">
        <v>121</v>
      </c>
      <c r="L169" s="67" t="s">
        <v>128</v>
      </c>
      <c r="M169" s="11" t="s">
        <v>368</v>
      </c>
      <c r="O169" s="19">
        <v>13</v>
      </c>
      <c r="P169" s="16">
        <v>24</v>
      </c>
      <c r="Q169" s="16">
        <v>20</v>
      </c>
      <c r="R169" s="17">
        <v>16</v>
      </c>
      <c r="T169" s="19">
        <v>0</v>
      </c>
      <c r="U169" s="17">
        <v>0</v>
      </c>
      <c r="W169" s="19"/>
      <c r="X169" s="16"/>
      <c r="Y169" s="16"/>
      <c r="Z169" s="17"/>
      <c r="AB169" s="19"/>
      <c r="AC169" s="16"/>
      <c r="AD169" s="16"/>
      <c r="AE169" s="17"/>
      <c r="AG169" s="19"/>
      <c r="AH169" s="16"/>
      <c r="AI169" s="16"/>
      <c r="AJ169" s="17"/>
      <c r="AL169" s="19"/>
      <c r="AM169" s="16"/>
      <c r="AN169" s="16"/>
      <c r="AO169" s="17"/>
      <c r="AQ169" s="2">
        <v>14</v>
      </c>
    </row>
    <row r="170" spans="2:43" ht="18" customHeight="1" x14ac:dyDescent="0.2">
      <c r="B170" s="8">
        <v>170</v>
      </c>
      <c r="C170" s="8">
        <v>4</v>
      </c>
      <c r="D170" s="8">
        <v>42</v>
      </c>
      <c r="E170" s="8">
        <v>25</v>
      </c>
      <c r="F170" s="84" t="s">
        <v>193</v>
      </c>
      <c r="G170" s="8" t="s">
        <v>108</v>
      </c>
      <c r="H170" s="8" t="s">
        <v>108</v>
      </c>
      <c r="I170" s="8" t="s">
        <v>108</v>
      </c>
      <c r="J170" s="44" t="s">
        <v>108</v>
      </c>
      <c r="K170" s="8" t="s">
        <v>121</v>
      </c>
      <c r="L170" s="9" t="s">
        <v>157</v>
      </c>
      <c r="M170" s="9" t="s">
        <v>369</v>
      </c>
      <c r="O170" s="18">
        <v>13</v>
      </c>
      <c r="P170" s="14">
        <v>24</v>
      </c>
      <c r="Q170" s="14">
        <v>20</v>
      </c>
      <c r="R170" s="15">
        <v>16</v>
      </c>
      <c r="T170" s="18">
        <v>0</v>
      </c>
      <c r="U170" s="15">
        <v>0</v>
      </c>
      <c r="W170" s="18"/>
      <c r="X170" s="14"/>
      <c r="Y170" s="14"/>
      <c r="Z170" s="15"/>
      <c r="AB170" s="18"/>
      <c r="AC170" s="14"/>
      <c r="AD170" s="14"/>
      <c r="AE170" s="15"/>
      <c r="AG170" s="18"/>
      <c r="AH170" s="14"/>
      <c r="AI170" s="14"/>
      <c r="AJ170" s="15"/>
      <c r="AL170" s="18"/>
      <c r="AM170" s="14"/>
      <c r="AN170" s="14"/>
      <c r="AO170" s="15"/>
      <c r="AQ170" s="2">
        <v>14</v>
      </c>
    </row>
    <row r="171" spans="2:43" ht="18" customHeight="1" x14ac:dyDescent="0.2">
      <c r="B171" s="10">
        <v>171</v>
      </c>
      <c r="C171" s="10">
        <v>4</v>
      </c>
      <c r="D171" s="10">
        <v>43</v>
      </c>
      <c r="E171" s="10">
        <v>31</v>
      </c>
      <c r="F171" s="10" t="s">
        <v>107</v>
      </c>
      <c r="G171" s="10" t="s">
        <v>108</v>
      </c>
      <c r="H171" s="10" t="s">
        <v>108</v>
      </c>
      <c r="I171" s="10" t="s">
        <v>108</v>
      </c>
      <c r="J171" s="10" t="s">
        <v>108</v>
      </c>
      <c r="K171" s="10" t="s">
        <v>121</v>
      </c>
      <c r="L171" s="67" t="s">
        <v>123</v>
      </c>
      <c r="M171" s="11" t="s">
        <v>124</v>
      </c>
      <c r="O171" s="19">
        <v>13</v>
      </c>
      <c r="P171" s="16">
        <v>24</v>
      </c>
      <c r="Q171" s="16">
        <v>20</v>
      </c>
      <c r="R171" s="17">
        <v>16</v>
      </c>
      <c r="T171" s="19">
        <v>0</v>
      </c>
      <c r="U171" s="17">
        <v>0</v>
      </c>
      <c r="W171" s="19"/>
      <c r="X171" s="16"/>
      <c r="Y171" s="16"/>
      <c r="Z171" s="17"/>
      <c r="AB171" s="19"/>
      <c r="AC171" s="16"/>
      <c r="AD171" s="16"/>
      <c r="AE171" s="17"/>
      <c r="AG171" s="19"/>
      <c r="AH171" s="16"/>
      <c r="AI171" s="16"/>
      <c r="AJ171" s="17"/>
      <c r="AL171" s="19"/>
      <c r="AM171" s="16"/>
      <c r="AN171" s="16"/>
      <c r="AO171" s="17"/>
      <c r="AQ171" s="2">
        <v>14</v>
      </c>
    </row>
    <row r="172" spans="2:43" ht="18" customHeight="1" x14ac:dyDescent="0.2">
      <c r="B172" s="8">
        <v>172</v>
      </c>
      <c r="C172" s="8">
        <v>4</v>
      </c>
      <c r="D172" s="8">
        <v>99</v>
      </c>
      <c r="E172" s="8">
        <v>20</v>
      </c>
      <c r="F172" s="84" t="s">
        <v>107</v>
      </c>
      <c r="G172" s="8" t="s">
        <v>108</v>
      </c>
      <c r="H172" s="8" t="s">
        <v>108</v>
      </c>
      <c r="I172" s="8" t="s">
        <v>108</v>
      </c>
      <c r="J172" s="44" t="s">
        <v>108</v>
      </c>
      <c r="K172" s="8" t="s">
        <v>121</v>
      </c>
      <c r="L172" s="9" t="s">
        <v>370</v>
      </c>
      <c r="M172" s="9" t="s">
        <v>340</v>
      </c>
      <c r="O172" s="18">
        <v>13</v>
      </c>
      <c r="P172" s="14">
        <v>24</v>
      </c>
      <c r="Q172" s="14">
        <v>20</v>
      </c>
      <c r="R172" s="15">
        <v>16</v>
      </c>
      <c r="T172" s="18">
        <v>0</v>
      </c>
      <c r="U172" s="15">
        <v>0</v>
      </c>
      <c r="W172" s="18"/>
      <c r="X172" s="14"/>
      <c r="Y172" s="14"/>
      <c r="Z172" s="15"/>
      <c r="AB172" s="18"/>
      <c r="AC172" s="14"/>
      <c r="AD172" s="14"/>
      <c r="AE172" s="15"/>
      <c r="AG172" s="18"/>
      <c r="AH172" s="14"/>
      <c r="AI172" s="14"/>
      <c r="AJ172" s="15"/>
      <c r="AL172" s="18"/>
      <c r="AM172" s="14"/>
      <c r="AN172" s="14"/>
      <c r="AO172" s="15"/>
      <c r="AQ172" s="2">
        <v>14</v>
      </c>
    </row>
    <row r="173" spans="2:43" ht="18" customHeight="1" x14ac:dyDescent="0.2">
      <c r="B173" s="10">
        <v>173</v>
      </c>
      <c r="C173" s="10">
        <v>5</v>
      </c>
      <c r="D173" s="10">
        <v>1</v>
      </c>
      <c r="E173" s="10">
        <v>0</v>
      </c>
      <c r="F173" s="10" t="s">
        <v>193</v>
      </c>
      <c r="G173" s="10" t="s">
        <v>165</v>
      </c>
      <c r="H173" s="10" t="s">
        <v>165</v>
      </c>
      <c r="I173" s="10" t="s">
        <v>165</v>
      </c>
      <c r="J173" s="10" t="s">
        <v>108</v>
      </c>
      <c r="K173" s="10" t="s">
        <v>134</v>
      </c>
      <c r="L173" s="67" t="s">
        <v>157</v>
      </c>
      <c r="M173" s="11" t="s">
        <v>371</v>
      </c>
      <c r="O173" s="19">
        <v>12</v>
      </c>
      <c r="P173" s="16">
        <v>28</v>
      </c>
      <c r="Q173" s="16">
        <v>20</v>
      </c>
      <c r="R173" s="17">
        <v>12</v>
      </c>
      <c r="T173" s="19">
        <v>12</v>
      </c>
      <c r="U173" s="17">
        <v>12</v>
      </c>
      <c r="W173" s="19"/>
      <c r="X173" s="16"/>
      <c r="Y173" s="16"/>
      <c r="Z173" s="17"/>
      <c r="AB173" s="19"/>
      <c r="AC173" s="16"/>
      <c r="AD173" s="16"/>
      <c r="AE173" s="17"/>
      <c r="AG173" s="19"/>
      <c r="AH173" s="16"/>
      <c r="AI173" s="16"/>
      <c r="AJ173" s="17"/>
      <c r="AL173" s="19"/>
      <c r="AM173" s="16"/>
      <c r="AN173" s="16"/>
      <c r="AO173" s="17"/>
      <c r="AQ173" s="2">
        <v>11</v>
      </c>
    </row>
    <row r="174" spans="2:43" ht="18" customHeight="1" x14ac:dyDescent="0.2">
      <c r="B174" s="8">
        <v>174</v>
      </c>
      <c r="C174" s="8">
        <v>5</v>
      </c>
      <c r="D174" s="8">
        <v>2</v>
      </c>
      <c r="E174" s="8">
        <v>0</v>
      </c>
      <c r="F174" s="84" t="s">
        <v>241</v>
      </c>
      <c r="G174" s="8" t="s">
        <v>165</v>
      </c>
      <c r="H174" s="8" t="s">
        <v>165</v>
      </c>
      <c r="I174" s="8" t="s">
        <v>165</v>
      </c>
      <c r="J174" s="44" t="s">
        <v>108</v>
      </c>
      <c r="K174" s="8" t="s">
        <v>134</v>
      </c>
      <c r="L174" s="9" t="s">
        <v>242</v>
      </c>
      <c r="M174" s="9" t="s">
        <v>372</v>
      </c>
      <c r="O174" s="18">
        <v>12</v>
      </c>
      <c r="P174" s="14">
        <v>28</v>
      </c>
      <c r="Q174" s="14">
        <v>20</v>
      </c>
      <c r="R174" s="15">
        <v>12</v>
      </c>
      <c r="T174" s="18">
        <v>12</v>
      </c>
      <c r="U174" s="15">
        <v>12</v>
      </c>
      <c r="W174" s="18"/>
      <c r="X174" s="14"/>
      <c r="Y174" s="14"/>
      <c r="Z174" s="15"/>
      <c r="AB174" s="18"/>
      <c r="AC174" s="14"/>
      <c r="AD174" s="14"/>
      <c r="AE174" s="15"/>
      <c r="AG174" s="18"/>
      <c r="AH174" s="14"/>
      <c r="AI174" s="14"/>
      <c r="AJ174" s="15"/>
      <c r="AL174" s="18"/>
      <c r="AM174" s="14"/>
      <c r="AN174" s="14"/>
      <c r="AO174" s="15"/>
      <c r="AQ174" s="2">
        <v>11</v>
      </c>
    </row>
    <row r="175" spans="2:43" ht="18" customHeight="1" x14ac:dyDescent="0.2">
      <c r="B175" s="10">
        <v>175</v>
      </c>
      <c r="C175" s="10">
        <v>5</v>
      </c>
      <c r="D175" s="10">
        <v>3</v>
      </c>
      <c r="E175" s="10">
        <v>0</v>
      </c>
      <c r="F175" s="10" t="s">
        <v>107</v>
      </c>
      <c r="G175" s="10" t="s">
        <v>165</v>
      </c>
      <c r="H175" s="10" t="s">
        <v>165</v>
      </c>
      <c r="I175" s="10" t="s">
        <v>165</v>
      </c>
      <c r="J175" s="10" t="s">
        <v>108</v>
      </c>
      <c r="K175" s="10" t="s">
        <v>134</v>
      </c>
      <c r="L175" s="67" t="s">
        <v>373</v>
      </c>
      <c r="M175" s="11" t="s">
        <v>374</v>
      </c>
      <c r="O175" s="19">
        <v>12</v>
      </c>
      <c r="P175" s="16">
        <v>28</v>
      </c>
      <c r="Q175" s="16">
        <v>20</v>
      </c>
      <c r="R175" s="17">
        <v>12</v>
      </c>
      <c r="T175" s="19">
        <v>12</v>
      </c>
      <c r="U175" s="17">
        <v>12</v>
      </c>
      <c r="W175" s="19"/>
      <c r="X175" s="16"/>
      <c r="Y175" s="16"/>
      <c r="Z175" s="17"/>
      <c r="AB175" s="19"/>
      <c r="AC175" s="16"/>
      <c r="AD175" s="16"/>
      <c r="AE175" s="17"/>
      <c r="AG175" s="19"/>
      <c r="AH175" s="16"/>
      <c r="AI175" s="16"/>
      <c r="AJ175" s="17"/>
      <c r="AL175" s="19"/>
      <c r="AM175" s="16"/>
      <c r="AN175" s="16"/>
      <c r="AO175" s="17"/>
      <c r="AQ175" s="2">
        <v>11</v>
      </c>
    </row>
    <row r="176" spans="2:43" ht="18" customHeight="1" x14ac:dyDescent="0.2">
      <c r="B176" s="8">
        <v>176</v>
      </c>
      <c r="C176" s="8">
        <v>5</v>
      </c>
      <c r="D176" s="8">
        <v>4</v>
      </c>
      <c r="E176" s="8">
        <v>0</v>
      </c>
      <c r="F176" s="84" t="s">
        <v>107</v>
      </c>
      <c r="G176" s="8" t="s">
        <v>165</v>
      </c>
      <c r="H176" s="8" t="s">
        <v>165</v>
      </c>
      <c r="I176" s="8" t="s">
        <v>165</v>
      </c>
      <c r="J176" s="44" t="s">
        <v>108</v>
      </c>
      <c r="K176" s="8" t="s">
        <v>134</v>
      </c>
      <c r="L176" s="9" t="s">
        <v>375</v>
      </c>
      <c r="M176" s="9" t="s">
        <v>376</v>
      </c>
      <c r="O176" s="18">
        <v>12</v>
      </c>
      <c r="P176" s="14">
        <v>28</v>
      </c>
      <c r="Q176" s="14">
        <v>20</v>
      </c>
      <c r="R176" s="15">
        <v>12</v>
      </c>
      <c r="T176" s="18">
        <v>12</v>
      </c>
      <c r="U176" s="15">
        <v>12</v>
      </c>
      <c r="W176" s="18"/>
      <c r="X176" s="14"/>
      <c r="Y176" s="14"/>
      <c r="Z176" s="15"/>
      <c r="AB176" s="18"/>
      <c r="AC176" s="14"/>
      <c r="AD176" s="14"/>
      <c r="AE176" s="15"/>
      <c r="AG176" s="18"/>
      <c r="AH176" s="14"/>
      <c r="AI176" s="14"/>
      <c r="AJ176" s="15"/>
      <c r="AL176" s="18"/>
      <c r="AM176" s="14"/>
      <c r="AN176" s="14"/>
      <c r="AO176" s="15"/>
      <c r="AQ176" s="2">
        <v>11</v>
      </c>
    </row>
    <row r="177" spans="2:43" ht="18" customHeight="1" x14ac:dyDescent="0.2">
      <c r="B177" s="10">
        <v>177</v>
      </c>
      <c r="C177" s="10">
        <v>5</v>
      </c>
      <c r="D177" s="10">
        <v>5</v>
      </c>
      <c r="E177" s="10">
        <v>21</v>
      </c>
      <c r="F177" s="10" t="s">
        <v>107</v>
      </c>
      <c r="G177" s="10" t="s">
        <v>108</v>
      </c>
      <c r="H177" s="10" t="s">
        <v>108</v>
      </c>
      <c r="I177" s="10" t="s">
        <v>108</v>
      </c>
      <c r="J177" s="10" t="s">
        <v>108</v>
      </c>
      <c r="K177" s="10" t="s">
        <v>134</v>
      </c>
      <c r="L177" s="67" t="s">
        <v>377</v>
      </c>
      <c r="M177" s="11" t="s">
        <v>378</v>
      </c>
      <c r="O177" s="19">
        <v>13</v>
      </c>
      <c r="P177" s="16">
        <v>28</v>
      </c>
      <c r="Q177" s="16">
        <v>20</v>
      </c>
      <c r="R177" s="17">
        <v>16</v>
      </c>
      <c r="T177" s="19">
        <v>6</v>
      </c>
      <c r="U177" s="17">
        <v>2</v>
      </c>
      <c r="W177" s="19"/>
      <c r="X177" s="16"/>
      <c r="Y177" s="16"/>
      <c r="Z177" s="17"/>
      <c r="AB177" s="19"/>
      <c r="AC177" s="16"/>
      <c r="AD177" s="16"/>
      <c r="AE177" s="17"/>
      <c r="AG177" s="19"/>
      <c r="AH177" s="16"/>
      <c r="AI177" s="16"/>
      <c r="AJ177" s="17"/>
      <c r="AL177" s="19"/>
      <c r="AM177" s="16"/>
      <c r="AN177" s="16"/>
      <c r="AO177" s="17"/>
      <c r="AQ177" s="2">
        <v>15</v>
      </c>
    </row>
    <row r="178" spans="2:43" ht="18" customHeight="1" x14ac:dyDescent="0.2">
      <c r="B178" s="8">
        <v>178</v>
      </c>
      <c r="C178" s="8">
        <v>5</v>
      </c>
      <c r="D178" s="8">
        <v>6</v>
      </c>
      <c r="E178" s="8">
        <v>12</v>
      </c>
      <c r="F178" s="84" t="s">
        <v>193</v>
      </c>
      <c r="G178" s="8" t="s">
        <v>165</v>
      </c>
      <c r="H178" s="8" t="s">
        <v>165</v>
      </c>
      <c r="I178" s="8" t="s">
        <v>165</v>
      </c>
      <c r="J178" s="44" t="s">
        <v>108</v>
      </c>
      <c r="K178" s="8" t="s">
        <v>134</v>
      </c>
      <c r="L178" s="9" t="s">
        <v>157</v>
      </c>
      <c r="M178" s="9" t="s">
        <v>379</v>
      </c>
      <c r="O178" s="18">
        <v>13</v>
      </c>
      <c r="P178" s="14">
        <v>28</v>
      </c>
      <c r="Q178" s="14">
        <v>20</v>
      </c>
      <c r="R178" s="15">
        <v>16</v>
      </c>
      <c r="T178" s="18">
        <v>13</v>
      </c>
      <c r="U178" s="15">
        <v>3</v>
      </c>
      <c r="W178" s="18"/>
      <c r="X178" s="14"/>
      <c r="Y178" s="14"/>
      <c r="Z178" s="15"/>
      <c r="AB178" s="18"/>
      <c r="AC178" s="14"/>
      <c r="AD178" s="14"/>
      <c r="AE178" s="15"/>
      <c r="AG178" s="18"/>
      <c r="AH178" s="14"/>
      <c r="AI178" s="14"/>
      <c r="AJ178" s="15"/>
      <c r="AL178" s="18"/>
      <c r="AM178" s="14"/>
      <c r="AN178" s="14"/>
      <c r="AO178" s="15"/>
      <c r="AQ178" s="2">
        <v>15</v>
      </c>
    </row>
    <row r="179" spans="2:43" ht="18" customHeight="1" x14ac:dyDescent="0.2">
      <c r="B179" s="10">
        <v>179</v>
      </c>
      <c r="C179" s="10">
        <v>5</v>
      </c>
      <c r="D179" s="10">
        <v>7</v>
      </c>
      <c r="E179" s="10">
        <v>23</v>
      </c>
      <c r="F179" s="10" t="s">
        <v>107</v>
      </c>
      <c r="G179" s="10" t="s">
        <v>108</v>
      </c>
      <c r="H179" s="10" t="s">
        <v>108</v>
      </c>
      <c r="I179" s="10" t="s">
        <v>108</v>
      </c>
      <c r="J179" s="10" t="s">
        <v>108</v>
      </c>
      <c r="K179" s="10" t="s">
        <v>134</v>
      </c>
      <c r="L179" s="67" t="s">
        <v>128</v>
      </c>
      <c r="M179" s="11" t="s">
        <v>380</v>
      </c>
      <c r="O179" s="19">
        <v>13</v>
      </c>
      <c r="P179" s="16">
        <v>28</v>
      </c>
      <c r="Q179" s="16">
        <v>20</v>
      </c>
      <c r="R179" s="17">
        <v>16</v>
      </c>
      <c r="T179" s="19">
        <v>6</v>
      </c>
      <c r="U179" s="17">
        <v>2</v>
      </c>
      <c r="W179" s="19"/>
      <c r="X179" s="16"/>
      <c r="Y179" s="16"/>
      <c r="Z179" s="17"/>
      <c r="AB179" s="19"/>
      <c r="AC179" s="16"/>
      <c r="AD179" s="16"/>
      <c r="AE179" s="17"/>
      <c r="AG179" s="19"/>
      <c r="AH179" s="16"/>
      <c r="AI179" s="16"/>
      <c r="AJ179" s="17"/>
      <c r="AL179" s="19"/>
      <c r="AM179" s="16"/>
      <c r="AN179" s="16"/>
      <c r="AO179" s="17"/>
      <c r="AQ179" s="2">
        <v>15</v>
      </c>
    </row>
    <row r="180" spans="2:43" ht="18" customHeight="1" x14ac:dyDescent="0.2">
      <c r="B180" s="8">
        <v>180</v>
      </c>
      <c r="C180" s="8">
        <v>5</v>
      </c>
      <c r="D180" s="8">
        <v>8</v>
      </c>
      <c r="E180" s="8">
        <v>0</v>
      </c>
      <c r="F180" s="84" t="s">
        <v>193</v>
      </c>
      <c r="G180" s="8" t="s">
        <v>165</v>
      </c>
      <c r="H180" s="8" t="s">
        <v>165</v>
      </c>
      <c r="I180" s="8" t="s">
        <v>165</v>
      </c>
      <c r="J180" s="44" t="s">
        <v>108</v>
      </c>
      <c r="K180" s="8" t="s">
        <v>134</v>
      </c>
      <c r="L180" s="9" t="s">
        <v>157</v>
      </c>
      <c r="M180" s="9" t="s">
        <v>381</v>
      </c>
      <c r="O180" s="18">
        <v>13</v>
      </c>
      <c r="P180" s="14">
        <v>28</v>
      </c>
      <c r="Q180" s="14">
        <v>20</v>
      </c>
      <c r="R180" s="15">
        <v>16</v>
      </c>
      <c r="T180" s="18">
        <v>13</v>
      </c>
      <c r="U180" s="15">
        <v>16</v>
      </c>
      <c r="W180" s="18"/>
      <c r="X180" s="14"/>
      <c r="Y180" s="14"/>
      <c r="Z180" s="15"/>
      <c r="AB180" s="18"/>
      <c r="AC180" s="14"/>
      <c r="AD180" s="14"/>
      <c r="AE180" s="15"/>
      <c r="AG180" s="18"/>
      <c r="AH180" s="14"/>
      <c r="AI180" s="14"/>
      <c r="AJ180" s="15"/>
      <c r="AL180" s="18"/>
      <c r="AM180" s="14"/>
      <c r="AN180" s="14"/>
      <c r="AO180" s="15"/>
      <c r="AQ180" s="2">
        <v>15</v>
      </c>
    </row>
    <row r="181" spans="2:43" ht="18" customHeight="1" x14ac:dyDescent="0.2">
      <c r="B181" s="10">
        <v>181</v>
      </c>
      <c r="C181" s="10">
        <v>5</v>
      </c>
      <c r="D181" s="10">
        <v>9</v>
      </c>
      <c r="E181" s="10">
        <v>28</v>
      </c>
      <c r="F181" s="10" t="s">
        <v>107</v>
      </c>
      <c r="G181" s="10" t="s">
        <v>108</v>
      </c>
      <c r="H181" s="10" t="s">
        <v>108</v>
      </c>
      <c r="I181" s="10" t="s">
        <v>108</v>
      </c>
      <c r="J181" s="10" t="s">
        <v>108</v>
      </c>
      <c r="K181" s="10" t="s">
        <v>134</v>
      </c>
      <c r="L181" s="67" t="s">
        <v>382</v>
      </c>
      <c r="M181" s="11" t="s">
        <v>383</v>
      </c>
      <c r="O181" s="19">
        <v>13</v>
      </c>
      <c r="P181" s="16">
        <v>28</v>
      </c>
      <c r="Q181" s="16">
        <v>20</v>
      </c>
      <c r="R181" s="17">
        <v>16</v>
      </c>
      <c r="T181" s="19">
        <v>0</v>
      </c>
      <c r="U181" s="17">
        <v>1</v>
      </c>
      <c r="W181" s="19"/>
      <c r="X181" s="16"/>
      <c r="Y181" s="16"/>
      <c r="Z181" s="17"/>
      <c r="AB181" s="19"/>
      <c r="AC181" s="16"/>
      <c r="AD181" s="16"/>
      <c r="AE181" s="17"/>
      <c r="AG181" s="19"/>
      <c r="AH181" s="16"/>
      <c r="AI181" s="16"/>
      <c r="AJ181" s="17"/>
      <c r="AL181" s="19"/>
      <c r="AM181" s="16"/>
      <c r="AN181" s="16"/>
      <c r="AO181" s="17"/>
      <c r="AQ181" s="2">
        <v>15</v>
      </c>
    </row>
    <row r="182" spans="2:43" ht="18" customHeight="1" x14ac:dyDescent="0.2">
      <c r="B182" s="8">
        <v>182</v>
      </c>
      <c r="C182" s="8">
        <v>5</v>
      </c>
      <c r="D182" s="8">
        <v>10</v>
      </c>
      <c r="E182" s="8">
        <v>0</v>
      </c>
      <c r="F182" s="84" t="s">
        <v>107</v>
      </c>
      <c r="G182" s="8" t="s">
        <v>165</v>
      </c>
      <c r="H182" s="8" t="s">
        <v>165</v>
      </c>
      <c r="I182" s="8" t="s">
        <v>165</v>
      </c>
      <c r="J182" s="44" t="s">
        <v>108</v>
      </c>
      <c r="K182" s="8" t="s">
        <v>134</v>
      </c>
      <c r="L182" s="9" t="s">
        <v>384</v>
      </c>
      <c r="M182" s="9" t="s">
        <v>385</v>
      </c>
      <c r="O182" s="18">
        <v>13</v>
      </c>
      <c r="P182" s="14">
        <v>28</v>
      </c>
      <c r="Q182" s="14">
        <v>20</v>
      </c>
      <c r="R182" s="15">
        <v>16</v>
      </c>
      <c r="T182" s="18">
        <v>13</v>
      </c>
      <c r="U182" s="15">
        <v>16</v>
      </c>
      <c r="W182" s="18"/>
      <c r="X182" s="14"/>
      <c r="Y182" s="14"/>
      <c r="Z182" s="15"/>
      <c r="AB182" s="18"/>
      <c r="AC182" s="14"/>
      <c r="AD182" s="14"/>
      <c r="AE182" s="15"/>
      <c r="AG182" s="18"/>
      <c r="AH182" s="14"/>
      <c r="AI182" s="14"/>
      <c r="AJ182" s="15"/>
      <c r="AL182" s="18"/>
      <c r="AM182" s="14"/>
      <c r="AN182" s="14"/>
      <c r="AO182" s="15"/>
      <c r="AQ182" s="2">
        <v>15</v>
      </c>
    </row>
    <row r="183" spans="2:43" ht="18" customHeight="1" x14ac:dyDescent="0.2">
      <c r="B183" s="10">
        <v>183</v>
      </c>
      <c r="C183" s="10">
        <v>5</v>
      </c>
      <c r="D183" s="10">
        <v>11</v>
      </c>
      <c r="E183" s="10">
        <v>29</v>
      </c>
      <c r="F183" s="10" t="s">
        <v>107</v>
      </c>
      <c r="G183" s="10" t="s">
        <v>108</v>
      </c>
      <c r="H183" s="10" t="s">
        <v>108</v>
      </c>
      <c r="I183" s="10" t="s">
        <v>108</v>
      </c>
      <c r="J183" s="10" t="s">
        <v>108</v>
      </c>
      <c r="K183" s="10" t="s">
        <v>134</v>
      </c>
      <c r="L183" s="67" t="s">
        <v>386</v>
      </c>
      <c r="M183" s="11" t="s">
        <v>387</v>
      </c>
      <c r="O183" s="19">
        <v>13</v>
      </c>
      <c r="P183" s="16">
        <v>28</v>
      </c>
      <c r="Q183" s="16">
        <v>20</v>
      </c>
      <c r="R183" s="17">
        <v>16</v>
      </c>
      <c r="T183" s="19">
        <v>0</v>
      </c>
      <c r="U183" s="17">
        <v>0</v>
      </c>
      <c r="W183" s="19"/>
      <c r="X183" s="16"/>
      <c r="Y183" s="16"/>
      <c r="Z183" s="17"/>
      <c r="AB183" s="19"/>
      <c r="AC183" s="16"/>
      <c r="AD183" s="16"/>
      <c r="AE183" s="17"/>
      <c r="AG183" s="19"/>
      <c r="AH183" s="16"/>
      <c r="AI183" s="16"/>
      <c r="AJ183" s="17"/>
      <c r="AL183" s="19"/>
      <c r="AM183" s="16"/>
      <c r="AN183" s="16"/>
      <c r="AO183" s="17"/>
      <c r="AQ183" s="2">
        <v>15</v>
      </c>
    </row>
    <row r="184" spans="2:43" ht="18" customHeight="1" x14ac:dyDescent="0.2">
      <c r="B184" s="8">
        <v>184</v>
      </c>
      <c r="C184" s="8">
        <v>5</v>
      </c>
      <c r="D184" s="8">
        <v>12</v>
      </c>
      <c r="E184" s="8">
        <v>15</v>
      </c>
      <c r="F184" s="84" t="s">
        <v>241</v>
      </c>
      <c r="G184" s="8" t="s">
        <v>165</v>
      </c>
      <c r="H184" s="8" t="s">
        <v>108</v>
      </c>
      <c r="I184" s="8" t="s">
        <v>108</v>
      </c>
      <c r="J184" s="44" t="s">
        <v>108</v>
      </c>
      <c r="K184" s="8" t="s">
        <v>134</v>
      </c>
      <c r="L184" s="9" t="s">
        <v>242</v>
      </c>
      <c r="M184" s="9" t="s">
        <v>388</v>
      </c>
      <c r="O184" s="18">
        <v>13</v>
      </c>
      <c r="P184" s="14">
        <v>28</v>
      </c>
      <c r="Q184" s="14">
        <v>20</v>
      </c>
      <c r="R184" s="15">
        <v>16</v>
      </c>
      <c r="T184" s="18">
        <v>6</v>
      </c>
      <c r="U184" s="15">
        <v>6</v>
      </c>
      <c r="W184" s="18"/>
      <c r="X184" s="14"/>
      <c r="Y184" s="14"/>
      <c r="Z184" s="15"/>
      <c r="AB184" s="18"/>
      <c r="AC184" s="14"/>
      <c r="AD184" s="14"/>
      <c r="AE184" s="15"/>
      <c r="AG184" s="18"/>
      <c r="AH184" s="14"/>
      <c r="AI184" s="14"/>
      <c r="AJ184" s="15"/>
      <c r="AL184" s="18"/>
      <c r="AM184" s="14"/>
      <c r="AN184" s="14"/>
      <c r="AO184" s="15"/>
      <c r="AQ184" s="2">
        <v>15</v>
      </c>
    </row>
    <row r="185" spans="2:43" ht="18" customHeight="1" x14ac:dyDescent="0.2">
      <c r="B185" s="10">
        <v>185</v>
      </c>
      <c r="C185" s="10">
        <v>5</v>
      </c>
      <c r="D185" s="10">
        <v>13</v>
      </c>
      <c r="E185" s="10">
        <v>30</v>
      </c>
      <c r="F185" s="10" t="s">
        <v>107</v>
      </c>
      <c r="G185" s="10" t="s">
        <v>108</v>
      </c>
      <c r="H185" s="10" t="s">
        <v>108</v>
      </c>
      <c r="I185" s="10" t="s">
        <v>108</v>
      </c>
      <c r="J185" s="10" t="s">
        <v>108</v>
      </c>
      <c r="K185" s="10" t="s">
        <v>134</v>
      </c>
      <c r="L185" s="67" t="s">
        <v>389</v>
      </c>
      <c r="M185" s="11" t="s">
        <v>390</v>
      </c>
      <c r="O185" s="19">
        <v>13</v>
      </c>
      <c r="P185" s="16">
        <v>28</v>
      </c>
      <c r="Q185" s="16">
        <v>20</v>
      </c>
      <c r="R185" s="17">
        <v>16</v>
      </c>
      <c r="T185" s="19">
        <v>0</v>
      </c>
      <c r="U185" s="17">
        <v>0</v>
      </c>
      <c r="W185" s="19"/>
      <c r="X185" s="16"/>
      <c r="Y185" s="16"/>
      <c r="Z185" s="17"/>
      <c r="AB185" s="19"/>
      <c r="AC185" s="16"/>
      <c r="AD185" s="16"/>
      <c r="AE185" s="17"/>
      <c r="AG185" s="19"/>
      <c r="AH185" s="16"/>
      <c r="AI185" s="16"/>
      <c r="AJ185" s="17"/>
      <c r="AL185" s="19"/>
      <c r="AM185" s="16"/>
      <c r="AN185" s="16"/>
      <c r="AO185" s="17"/>
      <c r="AQ185" s="2">
        <v>15</v>
      </c>
    </row>
    <row r="186" spans="2:43" ht="18" customHeight="1" x14ac:dyDescent="0.2">
      <c r="B186" s="8">
        <v>186</v>
      </c>
      <c r="C186" s="8">
        <v>5</v>
      </c>
      <c r="D186" s="8">
        <v>14</v>
      </c>
      <c r="E186" s="8">
        <v>7</v>
      </c>
      <c r="F186" s="84" t="s">
        <v>266</v>
      </c>
      <c r="G186" s="8" t="s">
        <v>165</v>
      </c>
      <c r="H186" s="8" t="s">
        <v>108</v>
      </c>
      <c r="I186" s="8" t="s">
        <v>108</v>
      </c>
      <c r="J186" s="44" t="s">
        <v>108</v>
      </c>
      <c r="K186" s="8" t="s">
        <v>134</v>
      </c>
      <c r="L186" s="9" t="s">
        <v>130</v>
      </c>
      <c r="M186" s="9" t="s">
        <v>391</v>
      </c>
      <c r="O186" s="18">
        <v>13</v>
      </c>
      <c r="P186" s="14">
        <v>28</v>
      </c>
      <c r="Q186" s="14">
        <v>20</v>
      </c>
      <c r="R186" s="15">
        <v>16</v>
      </c>
      <c r="T186" s="18">
        <v>12</v>
      </c>
      <c r="U186" s="15">
        <v>5</v>
      </c>
      <c r="W186" s="18"/>
      <c r="X186" s="14"/>
      <c r="Y186" s="14"/>
      <c r="Z186" s="15"/>
      <c r="AB186" s="18"/>
      <c r="AC186" s="14"/>
      <c r="AD186" s="14"/>
      <c r="AE186" s="15"/>
      <c r="AG186" s="18"/>
      <c r="AH186" s="14"/>
      <c r="AI186" s="14"/>
      <c r="AJ186" s="15"/>
      <c r="AL186" s="18"/>
      <c r="AM186" s="14"/>
      <c r="AN186" s="14"/>
      <c r="AO186" s="15"/>
      <c r="AQ186" s="2">
        <v>15</v>
      </c>
    </row>
    <row r="187" spans="2:43" ht="18" customHeight="1" x14ac:dyDescent="0.2">
      <c r="B187" s="10">
        <v>187</v>
      </c>
      <c r="C187" s="10">
        <v>5</v>
      </c>
      <c r="D187" s="10">
        <v>15</v>
      </c>
      <c r="E187" s="10">
        <v>20</v>
      </c>
      <c r="F187" s="10" t="s">
        <v>116</v>
      </c>
      <c r="G187" s="10" t="s">
        <v>108</v>
      </c>
      <c r="H187" s="10" t="s">
        <v>108</v>
      </c>
      <c r="I187" s="10" t="s">
        <v>108</v>
      </c>
      <c r="J187" s="10" t="s">
        <v>108</v>
      </c>
      <c r="K187" s="10" t="s">
        <v>134</v>
      </c>
      <c r="L187" s="67" t="s">
        <v>144</v>
      </c>
      <c r="M187" s="11" t="s">
        <v>392</v>
      </c>
      <c r="O187" s="19">
        <v>13</v>
      </c>
      <c r="P187" s="16">
        <v>28</v>
      </c>
      <c r="Q187" s="16">
        <v>20</v>
      </c>
      <c r="R187" s="17">
        <v>16</v>
      </c>
      <c r="T187" s="19">
        <v>0</v>
      </c>
      <c r="U187" s="17">
        <v>5</v>
      </c>
      <c r="W187" s="19"/>
      <c r="X187" s="16"/>
      <c r="Y187" s="16"/>
      <c r="Z187" s="17"/>
      <c r="AB187" s="19"/>
      <c r="AC187" s="16"/>
      <c r="AD187" s="16"/>
      <c r="AE187" s="17"/>
      <c r="AG187" s="19"/>
      <c r="AH187" s="16"/>
      <c r="AI187" s="16"/>
      <c r="AJ187" s="17"/>
      <c r="AL187" s="19"/>
      <c r="AM187" s="16"/>
      <c r="AN187" s="16"/>
      <c r="AO187" s="17"/>
      <c r="AQ187" s="2">
        <v>15</v>
      </c>
    </row>
    <row r="188" spans="2:43" ht="18" customHeight="1" x14ac:dyDescent="0.2">
      <c r="B188" s="8">
        <v>188</v>
      </c>
      <c r="C188" s="8">
        <v>5</v>
      </c>
      <c r="D188" s="8">
        <v>16</v>
      </c>
      <c r="E188" s="8">
        <v>0</v>
      </c>
      <c r="F188" s="84" t="s">
        <v>193</v>
      </c>
      <c r="G188" s="8" t="s">
        <v>165</v>
      </c>
      <c r="H188" s="8" t="s">
        <v>165</v>
      </c>
      <c r="I188" s="8" t="s">
        <v>165</v>
      </c>
      <c r="J188" s="44" t="s">
        <v>108</v>
      </c>
      <c r="K188" s="8" t="s">
        <v>134</v>
      </c>
      <c r="L188" s="9" t="s">
        <v>157</v>
      </c>
      <c r="M188" s="9" t="s">
        <v>393</v>
      </c>
      <c r="O188" s="18">
        <v>13</v>
      </c>
      <c r="P188" s="14">
        <v>28</v>
      </c>
      <c r="Q188" s="14">
        <v>20</v>
      </c>
      <c r="R188" s="15">
        <v>16</v>
      </c>
      <c r="T188" s="18">
        <v>13</v>
      </c>
      <c r="U188" s="15">
        <v>16</v>
      </c>
      <c r="W188" s="18"/>
      <c r="X188" s="14"/>
      <c r="Y188" s="14"/>
      <c r="Z188" s="15"/>
      <c r="AB188" s="18"/>
      <c r="AC188" s="14"/>
      <c r="AD188" s="14"/>
      <c r="AE188" s="15"/>
      <c r="AG188" s="18"/>
      <c r="AH188" s="14"/>
      <c r="AI188" s="14"/>
      <c r="AJ188" s="15"/>
      <c r="AL188" s="18"/>
      <c r="AM188" s="14"/>
      <c r="AN188" s="14"/>
      <c r="AO188" s="15"/>
      <c r="AQ188" s="2">
        <v>15</v>
      </c>
    </row>
    <row r="189" spans="2:43" ht="18" customHeight="1" x14ac:dyDescent="0.2">
      <c r="B189" s="10">
        <v>189</v>
      </c>
      <c r="C189" s="10">
        <v>5</v>
      </c>
      <c r="D189" s="10">
        <v>17</v>
      </c>
      <c r="E189" s="10">
        <v>24</v>
      </c>
      <c r="F189" s="10" t="s">
        <v>107</v>
      </c>
      <c r="G189" s="10" t="s">
        <v>165</v>
      </c>
      <c r="H189" s="10" t="s">
        <v>108</v>
      </c>
      <c r="I189" s="10" t="s">
        <v>108</v>
      </c>
      <c r="J189" s="10" t="s">
        <v>108</v>
      </c>
      <c r="K189" s="10" t="s">
        <v>134</v>
      </c>
      <c r="L189" s="67" t="s">
        <v>394</v>
      </c>
      <c r="M189" s="11">
        <v>1789</v>
      </c>
      <c r="O189" s="19">
        <v>13</v>
      </c>
      <c r="P189" s="16">
        <v>28</v>
      </c>
      <c r="Q189" s="16">
        <v>20</v>
      </c>
      <c r="R189" s="17">
        <v>16</v>
      </c>
      <c r="T189" s="19">
        <v>8</v>
      </c>
      <c r="U189" s="17">
        <v>1</v>
      </c>
      <c r="W189" s="19"/>
      <c r="X189" s="16"/>
      <c r="Y189" s="16"/>
      <c r="Z189" s="17"/>
      <c r="AB189" s="19"/>
      <c r="AC189" s="16"/>
      <c r="AD189" s="16"/>
      <c r="AE189" s="17"/>
      <c r="AG189" s="19"/>
      <c r="AH189" s="16"/>
      <c r="AI189" s="16"/>
      <c r="AJ189" s="17"/>
      <c r="AL189" s="19"/>
      <c r="AM189" s="16"/>
      <c r="AN189" s="16"/>
      <c r="AO189" s="17"/>
      <c r="AQ189" s="2">
        <v>15</v>
      </c>
    </row>
    <row r="190" spans="2:43" ht="18" customHeight="1" x14ac:dyDescent="0.2">
      <c r="B190" s="8">
        <v>190</v>
      </c>
      <c r="C190" s="8">
        <v>5</v>
      </c>
      <c r="D190" s="8">
        <v>18</v>
      </c>
      <c r="E190" s="8">
        <v>0</v>
      </c>
      <c r="F190" s="84" t="s">
        <v>107</v>
      </c>
      <c r="G190" s="8" t="s">
        <v>165</v>
      </c>
      <c r="H190" s="8" t="s">
        <v>165</v>
      </c>
      <c r="I190" s="8" t="s">
        <v>108</v>
      </c>
      <c r="J190" s="44" t="s">
        <v>108</v>
      </c>
      <c r="K190" s="8" t="s">
        <v>134</v>
      </c>
      <c r="L190" s="9" t="s">
        <v>375</v>
      </c>
      <c r="M190" s="9" t="s">
        <v>395</v>
      </c>
      <c r="O190" s="18">
        <v>13</v>
      </c>
      <c r="P190" s="14">
        <v>28</v>
      </c>
      <c r="Q190" s="14">
        <v>20</v>
      </c>
      <c r="R190" s="15">
        <v>16</v>
      </c>
      <c r="T190" s="18">
        <v>13</v>
      </c>
      <c r="U190" s="15">
        <v>8</v>
      </c>
      <c r="W190" s="18"/>
      <c r="X190" s="14"/>
      <c r="Y190" s="14"/>
      <c r="Z190" s="15"/>
      <c r="AB190" s="18"/>
      <c r="AC190" s="14"/>
      <c r="AD190" s="14"/>
      <c r="AE190" s="15"/>
      <c r="AG190" s="18"/>
      <c r="AH190" s="14"/>
      <c r="AI190" s="14"/>
      <c r="AJ190" s="15"/>
      <c r="AL190" s="18"/>
      <c r="AM190" s="14"/>
      <c r="AN190" s="14"/>
      <c r="AO190" s="15"/>
      <c r="AQ190" s="2">
        <v>15</v>
      </c>
    </row>
    <row r="191" spans="2:43" ht="18" customHeight="1" x14ac:dyDescent="0.2">
      <c r="B191" s="10">
        <v>191</v>
      </c>
      <c r="C191" s="10">
        <v>5</v>
      </c>
      <c r="D191" s="10">
        <v>19</v>
      </c>
      <c r="E191" s="10">
        <v>19</v>
      </c>
      <c r="F191" s="10" t="s">
        <v>91</v>
      </c>
      <c r="G191" s="10" t="s">
        <v>108</v>
      </c>
      <c r="H191" s="10" t="s">
        <v>108</v>
      </c>
      <c r="I191" s="10" t="s">
        <v>108</v>
      </c>
      <c r="J191" s="10" t="s">
        <v>108</v>
      </c>
      <c r="K191" s="10" t="s">
        <v>134</v>
      </c>
      <c r="L191" s="67" t="s">
        <v>225</v>
      </c>
      <c r="M191" s="11" t="s">
        <v>396</v>
      </c>
      <c r="O191" s="19">
        <v>13</v>
      </c>
      <c r="P191" s="16">
        <v>28</v>
      </c>
      <c r="Q191" s="16">
        <v>20</v>
      </c>
      <c r="R191" s="17">
        <v>16</v>
      </c>
      <c r="T191" s="19">
        <v>0</v>
      </c>
      <c r="U191" s="17">
        <v>3</v>
      </c>
      <c r="W191" s="19"/>
      <c r="X191" s="16"/>
      <c r="Y191" s="16"/>
      <c r="Z191" s="17"/>
      <c r="AB191" s="19"/>
      <c r="AC191" s="16"/>
      <c r="AD191" s="16"/>
      <c r="AE191" s="17"/>
      <c r="AG191" s="19"/>
      <c r="AH191" s="16"/>
      <c r="AI191" s="16"/>
      <c r="AJ191" s="17"/>
      <c r="AL191" s="19"/>
      <c r="AM191" s="16"/>
      <c r="AN191" s="16"/>
      <c r="AO191" s="17"/>
      <c r="AQ191" s="2">
        <v>15</v>
      </c>
    </row>
    <row r="192" spans="2:43" ht="18" customHeight="1" x14ac:dyDescent="0.2">
      <c r="B192" s="8">
        <v>192</v>
      </c>
      <c r="C192" s="8">
        <v>5</v>
      </c>
      <c r="D192" s="8">
        <v>20</v>
      </c>
      <c r="E192" s="8">
        <v>0</v>
      </c>
      <c r="F192" s="84" t="s">
        <v>107</v>
      </c>
      <c r="G192" s="8" t="s">
        <v>165</v>
      </c>
      <c r="H192" s="8" t="s">
        <v>165</v>
      </c>
      <c r="I192" s="8" t="s">
        <v>108</v>
      </c>
      <c r="J192" s="44" t="s">
        <v>108</v>
      </c>
      <c r="K192" s="8" t="s">
        <v>134</v>
      </c>
      <c r="L192" s="9" t="s">
        <v>313</v>
      </c>
      <c r="M192" s="9" t="s">
        <v>397</v>
      </c>
      <c r="O192" s="18">
        <v>13</v>
      </c>
      <c r="P192" s="14">
        <v>28</v>
      </c>
      <c r="Q192" s="14">
        <v>20</v>
      </c>
      <c r="R192" s="15">
        <v>16</v>
      </c>
      <c r="T192" s="18">
        <v>13</v>
      </c>
      <c r="U192" s="15">
        <v>6</v>
      </c>
      <c r="W192" s="18"/>
      <c r="X192" s="14"/>
      <c r="Y192" s="14"/>
      <c r="Z192" s="15"/>
      <c r="AB192" s="18"/>
      <c r="AC192" s="14"/>
      <c r="AD192" s="14"/>
      <c r="AE192" s="15"/>
      <c r="AG192" s="18"/>
      <c r="AH192" s="14"/>
      <c r="AI192" s="14"/>
      <c r="AJ192" s="15"/>
      <c r="AL192" s="18"/>
      <c r="AM192" s="14"/>
      <c r="AN192" s="14"/>
      <c r="AO192" s="15"/>
      <c r="AQ192" s="2">
        <v>15</v>
      </c>
    </row>
    <row r="193" spans="2:43" ht="18" customHeight="1" x14ac:dyDescent="0.2">
      <c r="B193" s="10">
        <v>193</v>
      </c>
      <c r="C193" s="10">
        <v>5</v>
      </c>
      <c r="D193" s="10">
        <v>21</v>
      </c>
      <c r="E193" s="10">
        <v>8</v>
      </c>
      <c r="F193" s="10" t="s">
        <v>107</v>
      </c>
      <c r="G193" s="10" t="s">
        <v>165</v>
      </c>
      <c r="H193" s="10" t="s">
        <v>108</v>
      </c>
      <c r="I193" s="10" t="s">
        <v>108</v>
      </c>
      <c r="J193" s="10" t="s">
        <v>108</v>
      </c>
      <c r="K193" s="10" t="s">
        <v>134</v>
      </c>
      <c r="L193" s="67" t="s">
        <v>398</v>
      </c>
      <c r="M193" s="11" t="s">
        <v>399</v>
      </c>
      <c r="O193" s="19">
        <v>13</v>
      </c>
      <c r="P193" s="16">
        <v>28</v>
      </c>
      <c r="Q193" s="16">
        <v>20</v>
      </c>
      <c r="R193" s="17">
        <v>16</v>
      </c>
      <c r="T193" s="19">
        <v>10</v>
      </c>
      <c r="U193" s="17">
        <v>11</v>
      </c>
      <c r="W193" s="19"/>
      <c r="X193" s="16"/>
      <c r="Y193" s="16"/>
      <c r="Z193" s="17"/>
      <c r="AB193" s="19"/>
      <c r="AC193" s="16"/>
      <c r="AD193" s="16"/>
      <c r="AE193" s="17"/>
      <c r="AG193" s="19"/>
      <c r="AH193" s="16"/>
      <c r="AI193" s="16"/>
      <c r="AJ193" s="17"/>
      <c r="AL193" s="19"/>
      <c r="AM193" s="16"/>
      <c r="AN193" s="16"/>
      <c r="AO193" s="17"/>
      <c r="AQ193" s="2">
        <v>15</v>
      </c>
    </row>
    <row r="194" spans="2:43" ht="18" customHeight="1" x14ac:dyDescent="0.2">
      <c r="B194" s="8">
        <v>194</v>
      </c>
      <c r="C194" s="8">
        <v>5</v>
      </c>
      <c r="D194" s="8">
        <v>22</v>
      </c>
      <c r="E194" s="8">
        <v>22</v>
      </c>
      <c r="F194" s="84" t="s">
        <v>107</v>
      </c>
      <c r="G194" s="8" t="s">
        <v>108</v>
      </c>
      <c r="H194" s="8" t="s">
        <v>108</v>
      </c>
      <c r="I194" s="8" t="s">
        <v>108</v>
      </c>
      <c r="J194" s="44" t="s">
        <v>108</v>
      </c>
      <c r="K194" s="8" t="s">
        <v>134</v>
      </c>
      <c r="L194" s="9" t="s">
        <v>400</v>
      </c>
      <c r="M194" s="9" t="s">
        <v>401</v>
      </c>
      <c r="O194" s="18">
        <v>13</v>
      </c>
      <c r="P194" s="14">
        <v>28</v>
      </c>
      <c r="Q194" s="14">
        <v>20</v>
      </c>
      <c r="R194" s="15">
        <v>16</v>
      </c>
      <c r="T194" s="18">
        <v>0</v>
      </c>
      <c r="U194" s="15">
        <v>1</v>
      </c>
      <c r="W194" s="18"/>
      <c r="X194" s="14"/>
      <c r="Y194" s="14"/>
      <c r="Z194" s="15"/>
      <c r="AB194" s="18"/>
      <c r="AC194" s="14"/>
      <c r="AD194" s="14"/>
      <c r="AE194" s="15"/>
      <c r="AG194" s="18"/>
      <c r="AH194" s="14"/>
      <c r="AI194" s="14"/>
      <c r="AJ194" s="15"/>
      <c r="AL194" s="18"/>
      <c r="AM194" s="14"/>
      <c r="AN194" s="14"/>
      <c r="AO194" s="15"/>
      <c r="AQ194" s="2">
        <v>15</v>
      </c>
    </row>
    <row r="195" spans="2:43" ht="18" customHeight="1" x14ac:dyDescent="0.2">
      <c r="B195" s="10">
        <v>195</v>
      </c>
      <c r="C195" s="10">
        <v>5</v>
      </c>
      <c r="D195" s="10">
        <v>23</v>
      </c>
      <c r="E195" s="10">
        <v>14</v>
      </c>
      <c r="F195" s="10" t="s">
        <v>266</v>
      </c>
      <c r="G195" s="10" t="s">
        <v>165</v>
      </c>
      <c r="H195" s="10" t="s">
        <v>108</v>
      </c>
      <c r="I195" s="10" t="s">
        <v>108</v>
      </c>
      <c r="J195" s="10" t="s">
        <v>108</v>
      </c>
      <c r="K195" s="10" t="s">
        <v>134</v>
      </c>
      <c r="L195" s="67" t="s">
        <v>130</v>
      </c>
      <c r="M195" s="11" t="s">
        <v>402</v>
      </c>
      <c r="O195" s="19">
        <v>13</v>
      </c>
      <c r="P195" s="16">
        <v>28</v>
      </c>
      <c r="Q195" s="16">
        <v>20</v>
      </c>
      <c r="R195" s="17">
        <v>16</v>
      </c>
      <c r="T195" s="19">
        <v>12</v>
      </c>
      <c r="U195" s="17">
        <v>3</v>
      </c>
      <c r="W195" s="19"/>
      <c r="X195" s="16"/>
      <c r="Y195" s="16"/>
      <c r="Z195" s="17"/>
      <c r="AB195" s="19"/>
      <c r="AC195" s="16"/>
      <c r="AD195" s="16"/>
      <c r="AE195" s="17"/>
      <c r="AG195" s="19"/>
      <c r="AH195" s="16"/>
      <c r="AI195" s="16"/>
      <c r="AJ195" s="17"/>
      <c r="AL195" s="19"/>
      <c r="AM195" s="16"/>
      <c r="AN195" s="16"/>
      <c r="AO195" s="17"/>
      <c r="AQ195" s="2">
        <v>15</v>
      </c>
    </row>
    <row r="196" spans="2:43" ht="18" customHeight="1" x14ac:dyDescent="0.2">
      <c r="B196" s="8">
        <v>196</v>
      </c>
      <c r="C196" s="8">
        <v>5</v>
      </c>
      <c r="D196" s="8">
        <v>24</v>
      </c>
      <c r="E196" s="8">
        <v>28</v>
      </c>
      <c r="F196" s="84" t="s">
        <v>107</v>
      </c>
      <c r="G196" s="8" t="s">
        <v>108</v>
      </c>
      <c r="H196" s="8" t="s">
        <v>108</v>
      </c>
      <c r="I196" s="8" t="s">
        <v>108</v>
      </c>
      <c r="J196" s="44" t="s">
        <v>108</v>
      </c>
      <c r="K196" s="8" t="s">
        <v>134</v>
      </c>
      <c r="L196" s="9" t="s">
        <v>403</v>
      </c>
      <c r="M196" s="9" t="s">
        <v>404</v>
      </c>
      <c r="O196" s="18">
        <v>13</v>
      </c>
      <c r="P196" s="14">
        <v>28</v>
      </c>
      <c r="Q196" s="14">
        <v>20</v>
      </c>
      <c r="R196" s="15">
        <v>16</v>
      </c>
      <c r="T196" s="18">
        <v>0</v>
      </c>
      <c r="U196" s="15">
        <v>0</v>
      </c>
      <c r="W196" s="18"/>
      <c r="X196" s="14"/>
      <c r="Y196" s="14"/>
      <c r="Z196" s="15"/>
      <c r="AB196" s="18"/>
      <c r="AC196" s="14"/>
      <c r="AD196" s="14"/>
      <c r="AE196" s="15"/>
      <c r="AG196" s="18"/>
      <c r="AH196" s="14"/>
      <c r="AI196" s="14"/>
      <c r="AJ196" s="15"/>
      <c r="AL196" s="18"/>
      <c r="AM196" s="14"/>
      <c r="AN196" s="14"/>
      <c r="AO196" s="15"/>
      <c r="AQ196" s="2">
        <v>15</v>
      </c>
    </row>
    <row r="197" spans="2:43" ht="18" customHeight="1" x14ac:dyDescent="0.2">
      <c r="B197" s="10">
        <v>197</v>
      </c>
      <c r="C197" s="10">
        <v>5</v>
      </c>
      <c r="D197" s="10">
        <v>25</v>
      </c>
      <c r="E197" s="10">
        <v>0</v>
      </c>
      <c r="F197" s="10" t="s">
        <v>107</v>
      </c>
      <c r="G197" s="10" t="s">
        <v>165</v>
      </c>
      <c r="H197" s="10" t="s">
        <v>165</v>
      </c>
      <c r="I197" s="10" t="s">
        <v>165</v>
      </c>
      <c r="J197" s="10" t="s">
        <v>108</v>
      </c>
      <c r="K197" s="10" t="s">
        <v>134</v>
      </c>
      <c r="L197" s="67" t="s">
        <v>137</v>
      </c>
      <c r="M197" s="11" t="s">
        <v>405</v>
      </c>
      <c r="O197" s="19">
        <v>13</v>
      </c>
      <c r="P197" s="16">
        <v>28</v>
      </c>
      <c r="Q197" s="16">
        <v>20</v>
      </c>
      <c r="R197" s="17">
        <v>16</v>
      </c>
      <c r="T197" s="19">
        <v>13</v>
      </c>
      <c r="U197" s="17">
        <v>16</v>
      </c>
      <c r="W197" s="19"/>
      <c r="X197" s="16"/>
      <c r="Y197" s="16"/>
      <c r="Z197" s="17"/>
      <c r="AB197" s="19"/>
      <c r="AC197" s="16"/>
      <c r="AD197" s="16"/>
      <c r="AE197" s="17"/>
      <c r="AG197" s="19"/>
      <c r="AH197" s="16"/>
      <c r="AI197" s="16"/>
      <c r="AJ197" s="17"/>
      <c r="AL197" s="19"/>
      <c r="AM197" s="16"/>
      <c r="AN197" s="16"/>
      <c r="AO197" s="17"/>
      <c r="AQ197" s="2">
        <v>15</v>
      </c>
    </row>
    <row r="198" spans="2:43" ht="18" customHeight="1" x14ac:dyDescent="0.2">
      <c r="B198" s="8">
        <v>198</v>
      </c>
      <c r="C198" s="10">
        <v>5</v>
      </c>
      <c r="D198" s="10">
        <v>26</v>
      </c>
      <c r="E198" s="10">
        <v>32</v>
      </c>
      <c r="F198" s="10" t="s">
        <v>107</v>
      </c>
      <c r="G198" s="10" t="s">
        <v>108</v>
      </c>
      <c r="H198" s="10" t="s">
        <v>108</v>
      </c>
      <c r="I198" s="10" t="s">
        <v>108</v>
      </c>
      <c r="J198" s="10" t="s">
        <v>108</v>
      </c>
      <c r="K198" s="10" t="s">
        <v>134</v>
      </c>
      <c r="L198" s="67" t="s">
        <v>135</v>
      </c>
      <c r="M198" s="11" t="s">
        <v>136</v>
      </c>
      <c r="O198" s="19"/>
      <c r="P198" s="16"/>
      <c r="Q198" s="16"/>
      <c r="R198" s="17"/>
      <c r="T198" s="19"/>
      <c r="U198" s="17"/>
      <c r="W198" s="19"/>
      <c r="X198" s="16"/>
      <c r="Y198" s="16"/>
      <c r="Z198" s="17"/>
      <c r="AB198" s="19"/>
      <c r="AC198" s="16"/>
      <c r="AD198" s="16"/>
      <c r="AE198" s="17"/>
      <c r="AG198" s="19"/>
      <c r="AH198" s="16"/>
      <c r="AI198" s="16"/>
      <c r="AJ198" s="17"/>
      <c r="AL198" s="19"/>
      <c r="AM198" s="16"/>
      <c r="AN198" s="16"/>
      <c r="AO198" s="17"/>
      <c r="AQ198" s="2"/>
    </row>
    <row r="199" spans="2:43" ht="18" customHeight="1" x14ac:dyDescent="0.2">
      <c r="B199" s="10">
        <v>199</v>
      </c>
      <c r="C199" s="8">
        <v>5</v>
      </c>
      <c r="D199" s="8">
        <v>27</v>
      </c>
      <c r="E199" s="8">
        <v>23</v>
      </c>
      <c r="F199" s="84" t="s">
        <v>107</v>
      </c>
      <c r="G199" s="8" t="s">
        <v>108</v>
      </c>
      <c r="H199" s="8" t="s">
        <v>108</v>
      </c>
      <c r="I199" s="8" t="s">
        <v>108</v>
      </c>
      <c r="J199" s="44" t="s">
        <v>108</v>
      </c>
      <c r="K199" s="8" t="s">
        <v>134</v>
      </c>
      <c r="L199" s="9" t="s">
        <v>406</v>
      </c>
      <c r="M199" s="9" t="s">
        <v>407</v>
      </c>
      <c r="O199" s="18">
        <v>13</v>
      </c>
      <c r="P199" s="14">
        <v>28</v>
      </c>
      <c r="Q199" s="14">
        <v>20</v>
      </c>
      <c r="R199" s="15">
        <v>16</v>
      </c>
      <c r="T199" s="18">
        <v>6</v>
      </c>
      <c r="U199" s="15">
        <v>6</v>
      </c>
      <c r="W199" s="18"/>
      <c r="X199" s="14"/>
      <c r="Y199" s="14"/>
      <c r="Z199" s="15"/>
      <c r="AB199" s="18"/>
      <c r="AC199" s="14"/>
      <c r="AD199" s="14"/>
      <c r="AE199" s="15"/>
      <c r="AG199" s="18"/>
      <c r="AH199" s="14"/>
      <c r="AI199" s="14"/>
      <c r="AJ199" s="15"/>
      <c r="AL199" s="18"/>
      <c r="AM199" s="14"/>
      <c r="AN199" s="14"/>
      <c r="AO199" s="15"/>
      <c r="AQ199" s="2">
        <v>15</v>
      </c>
    </row>
    <row r="200" spans="2:43" ht="18" customHeight="1" x14ac:dyDescent="0.2">
      <c r="B200" s="8">
        <v>200</v>
      </c>
      <c r="C200" s="10">
        <v>5</v>
      </c>
      <c r="D200" s="10">
        <v>28</v>
      </c>
      <c r="E200" s="10">
        <v>12</v>
      </c>
      <c r="F200" s="10" t="s">
        <v>193</v>
      </c>
      <c r="G200" s="10" t="s">
        <v>108</v>
      </c>
      <c r="H200" s="10" t="s">
        <v>108</v>
      </c>
      <c r="I200" s="10" t="s">
        <v>108</v>
      </c>
      <c r="J200" s="10" t="s">
        <v>108</v>
      </c>
      <c r="K200" s="10" t="s">
        <v>134</v>
      </c>
      <c r="L200" s="67" t="s">
        <v>157</v>
      </c>
      <c r="M200" s="11" t="s">
        <v>158</v>
      </c>
      <c r="O200" s="19">
        <v>13</v>
      </c>
      <c r="P200" s="16">
        <v>28</v>
      </c>
      <c r="Q200" s="16">
        <v>20</v>
      </c>
      <c r="R200" s="17">
        <v>16</v>
      </c>
      <c r="T200" s="19">
        <v>0</v>
      </c>
      <c r="U200" s="17">
        <v>2</v>
      </c>
      <c r="W200" s="19"/>
      <c r="X200" s="16"/>
      <c r="Y200" s="16"/>
      <c r="Z200" s="17"/>
      <c r="AB200" s="19"/>
      <c r="AC200" s="16"/>
      <c r="AD200" s="16"/>
      <c r="AE200" s="17"/>
      <c r="AG200" s="19"/>
      <c r="AH200" s="16"/>
      <c r="AI200" s="16"/>
      <c r="AJ200" s="17"/>
      <c r="AL200" s="19"/>
      <c r="AM200" s="16"/>
      <c r="AN200" s="16"/>
      <c r="AO200" s="17"/>
      <c r="AQ200" s="2">
        <v>15</v>
      </c>
    </row>
    <row r="201" spans="2:43" ht="18" customHeight="1" x14ac:dyDescent="0.2">
      <c r="B201" s="10">
        <v>201</v>
      </c>
      <c r="C201" s="8">
        <v>5</v>
      </c>
      <c r="D201" s="8">
        <v>29</v>
      </c>
      <c r="E201" s="8">
        <v>27</v>
      </c>
      <c r="F201" s="84" t="s">
        <v>107</v>
      </c>
      <c r="G201" s="8" t="s">
        <v>108</v>
      </c>
      <c r="H201" s="8" t="s">
        <v>108</v>
      </c>
      <c r="I201" s="8" t="s">
        <v>108</v>
      </c>
      <c r="J201" s="44" t="s">
        <v>108</v>
      </c>
      <c r="K201" s="8" t="s">
        <v>134</v>
      </c>
      <c r="L201" s="9" t="s">
        <v>59</v>
      </c>
      <c r="M201" s="9" t="s">
        <v>60</v>
      </c>
      <c r="O201" s="18">
        <v>13</v>
      </c>
      <c r="P201" s="14">
        <v>28</v>
      </c>
      <c r="Q201" s="14">
        <v>20</v>
      </c>
      <c r="R201" s="15">
        <v>16</v>
      </c>
      <c r="T201" s="18">
        <v>0</v>
      </c>
      <c r="U201" s="15">
        <v>0</v>
      </c>
      <c r="W201" s="18"/>
      <c r="X201" s="14"/>
      <c r="Y201" s="14"/>
      <c r="Z201" s="15"/>
      <c r="AB201" s="18"/>
      <c r="AC201" s="14"/>
      <c r="AD201" s="14"/>
      <c r="AE201" s="15"/>
      <c r="AG201" s="18"/>
      <c r="AH201" s="14"/>
      <c r="AI201" s="14"/>
      <c r="AJ201" s="15"/>
      <c r="AL201" s="18"/>
      <c r="AM201" s="14"/>
      <c r="AN201" s="14"/>
      <c r="AO201" s="15"/>
      <c r="AQ201" s="2">
        <v>15</v>
      </c>
    </row>
    <row r="202" spans="2:43" ht="18" customHeight="1" x14ac:dyDescent="0.2">
      <c r="B202" s="8">
        <v>202</v>
      </c>
      <c r="C202" s="10">
        <v>5</v>
      </c>
      <c r="D202" s="10">
        <v>30</v>
      </c>
      <c r="E202" s="10">
        <v>17</v>
      </c>
      <c r="F202" s="10" t="s">
        <v>107</v>
      </c>
      <c r="G202" s="10" t="s">
        <v>165</v>
      </c>
      <c r="H202" s="10" t="s">
        <v>108</v>
      </c>
      <c r="I202" s="10" t="s">
        <v>108</v>
      </c>
      <c r="J202" s="10" t="s">
        <v>108</v>
      </c>
      <c r="K202" s="10" t="s">
        <v>134</v>
      </c>
      <c r="L202" s="67" t="s">
        <v>408</v>
      </c>
      <c r="M202" s="11" t="s">
        <v>409</v>
      </c>
      <c r="O202" s="19">
        <v>13</v>
      </c>
      <c r="P202" s="16">
        <v>28</v>
      </c>
      <c r="Q202" s="16">
        <v>20</v>
      </c>
      <c r="R202" s="17">
        <v>16</v>
      </c>
      <c r="T202" s="19">
        <v>8</v>
      </c>
      <c r="U202" s="17">
        <v>6</v>
      </c>
      <c r="W202" s="19"/>
      <c r="X202" s="16"/>
      <c r="Y202" s="16"/>
      <c r="Z202" s="17"/>
      <c r="AB202" s="19"/>
      <c r="AC202" s="16"/>
      <c r="AD202" s="16"/>
      <c r="AE202" s="17"/>
      <c r="AG202" s="19"/>
      <c r="AH202" s="16"/>
      <c r="AI202" s="16"/>
      <c r="AJ202" s="17"/>
      <c r="AL202" s="19"/>
      <c r="AM202" s="16"/>
      <c r="AN202" s="16"/>
      <c r="AO202" s="17"/>
      <c r="AQ202" s="2">
        <v>15</v>
      </c>
    </row>
    <row r="203" spans="2:43" ht="18" customHeight="1" x14ac:dyDescent="0.2">
      <c r="B203" s="10">
        <v>203</v>
      </c>
      <c r="C203" s="8">
        <v>5</v>
      </c>
      <c r="D203" s="8">
        <v>31</v>
      </c>
      <c r="E203" s="8">
        <v>29</v>
      </c>
      <c r="F203" s="84" t="s">
        <v>107</v>
      </c>
      <c r="G203" s="8" t="s">
        <v>108</v>
      </c>
      <c r="H203" s="8" t="s">
        <v>108</v>
      </c>
      <c r="I203" s="8" t="s">
        <v>108</v>
      </c>
      <c r="J203" s="44" t="s">
        <v>108</v>
      </c>
      <c r="K203" s="8" t="s">
        <v>134</v>
      </c>
      <c r="L203" s="9" t="s">
        <v>410</v>
      </c>
      <c r="M203" s="9" t="s">
        <v>411</v>
      </c>
      <c r="O203" s="18">
        <v>13</v>
      </c>
      <c r="P203" s="14">
        <v>28</v>
      </c>
      <c r="Q203" s="14">
        <v>20</v>
      </c>
      <c r="R203" s="15">
        <v>16</v>
      </c>
      <c r="T203" s="18">
        <v>0</v>
      </c>
      <c r="U203" s="15">
        <v>0</v>
      </c>
      <c r="W203" s="18"/>
      <c r="X203" s="14"/>
      <c r="Y203" s="14"/>
      <c r="Z203" s="15"/>
      <c r="AB203" s="18"/>
      <c r="AC203" s="14"/>
      <c r="AD203" s="14"/>
      <c r="AE203" s="15"/>
      <c r="AG203" s="18"/>
      <c r="AH203" s="14"/>
      <c r="AI203" s="14"/>
      <c r="AJ203" s="15"/>
      <c r="AL203" s="18"/>
      <c r="AM203" s="14"/>
      <c r="AN203" s="14"/>
      <c r="AO203" s="15"/>
      <c r="AQ203" s="2">
        <v>15</v>
      </c>
    </row>
    <row r="204" spans="2:43" ht="18" customHeight="1" x14ac:dyDescent="0.2">
      <c r="B204" s="8">
        <v>204</v>
      </c>
      <c r="C204" s="10">
        <v>5</v>
      </c>
      <c r="D204" s="10">
        <v>32</v>
      </c>
      <c r="E204" s="10">
        <v>0</v>
      </c>
      <c r="F204" s="10" t="s">
        <v>116</v>
      </c>
      <c r="G204" s="10" t="s">
        <v>165</v>
      </c>
      <c r="H204" s="10" t="s">
        <v>165</v>
      </c>
      <c r="I204" s="10" t="s">
        <v>165</v>
      </c>
      <c r="J204" s="10" t="s">
        <v>108</v>
      </c>
      <c r="K204" s="10" t="s">
        <v>134</v>
      </c>
      <c r="L204" s="67" t="s">
        <v>144</v>
      </c>
      <c r="M204" s="11" t="s">
        <v>412</v>
      </c>
      <c r="O204" s="19">
        <v>13</v>
      </c>
      <c r="P204" s="16">
        <v>28</v>
      </c>
      <c r="Q204" s="16">
        <v>20</v>
      </c>
      <c r="R204" s="17">
        <v>16</v>
      </c>
      <c r="T204" s="19">
        <v>13</v>
      </c>
      <c r="U204" s="17">
        <v>16</v>
      </c>
      <c r="W204" s="19"/>
      <c r="X204" s="16"/>
      <c r="Y204" s="16"/>
      <c r="Z204" s="17"/>
      <c r="AB204" s="19"/>
      <c r="AC204" s="16"/>
      <c r="AD204" s="16"/>
      <c r="AE204" s="17"/>
      <c r="AG204" s="19"/>
      <c r="AH204" s="16"/>
      <c r="AI204" s="16"/>
      <c r="AJ204" s="17"/>
      <c r="AL204" s="19"/>
      <c r="AM204" s="16"/>
      <c r="AN204" s="16"/>
      <c r="AO204" s="17"/>
      <c r="AQ204" s="2">
        <v>15</v>
      </c>
    </row>
    <row r="205" spans="2:43" ht="18" customHeight="1" x14ac:dyDescent="0.2">
      <c r="B205" s="10">
        <v>205</v>
      </c>
      <c r="C205" s="8">
        <v>5</v>
      </c>
      <c r="D205" s="8">
        <v>33</v>
      </c>
      <c r="E205" s="8">
        <v>13</v>
      </c>
      <c r="F205" s="84" t="s">
        <v>107</v>
      </c>
      <c r="G205" s="8" t="s">
        <v>165</v>
      </c>
      <c r="H205" s="8" t="s">
        <v>165</v>
      </c>
      <c r="I205" s="8" t="s">
        <v>108</v>
      </c>
      <c r="J205" s="44" t="s">
        <v>108</v>
      </c>
      <c r="K205" s="8" t="s">
        <v>134</v>
      </c>
      <c r="L205" s="9" t="s">
        <v>413</v>
      </c>
      <c r="M205" s="9" t="s">
        <v>414</v>
      </c>
      <c r="O205" s="18">
        <v>13</v>
      </c>
      <c r="P205" s="14">
        <v>28</v>
      </c>
      <c r="Q205" s="14">
        <v>20</v>
      </c>
      <c r="R205" s="15">
        <v>16</v>
      </c>
      <c r="T205" s="18">
        <v>13</v>
      </c>
      <c r="U205" s="15">
        <v>12</v>
      </c>
      <c r="W205" s="18"/>
      <c r="X205" s="14"/>
      <c r="Y205" s="14"/>
      <c r="Z205" s="15"/>
      <c r="AB205" s="18"/>
      <c r="AC205" s="14"/>
      <c r="AD205" s="14"/>
      <c r="AE205" s="15"/>
      <c r="AG205" s="18"/>
      <c r="AH205" s="14"/>
      <c r="AI205" s="14"/>
      <c r="AJ205" s="15"/>
      <c r="AL205" s="18"/>
      <c r="AM205" s="14"/>
      <c r="AN205" s="14"/>
      <c r="AO205" s="15"/>
      <c r="AQ205" s="2">
        <v>15</v>
      </c>
    </row>
    <row r="206" spans="2:43" ht="18" customHeight="1" x14ac:dyDescent="0.2">
      <c r="B206" s="8">
        <v>206</v>
      </c>
      <c r="C206" s="10">
        <v>5</v>
      </c>
      <c r="D206" s="10">
        <v>34</v>
      </c>
      <c r="E206" s="10">
        <v>16</v>
      </c>
      <c r="F206" s="10" t="s">
        <v>116</v>
      </c>
      <c r="G206" s="10" t="s">
        <v>108</v>
      </c>
      <c r="H206" s="10" t="s">
        <v>108</v>
      </c>
      <c r="I206" s="10" t="s">
        <v>108</v>
      </c>
      <c r="J206" s="10" t="s">
        <v>108</v>
      </c>
      <c r="K206" s="10" t="s">
        <v>134</v>
      </c>
      <c r="L206" s="67" t="s">
        <v>144</v>
      </c>
      <c r="M206" s="11" t="s">
        <v>415</v>
      </c>
      <c r="O206" s="19">
        <v>13</v>
      </c>
      <c r="P206" s="16">
        <v>28</v>
      </c>
      <c r="Q206" s="16">
        <v>20</v>
      </c>
      <c r="R206" s="17">
        <v>16</v>
      </c>
      <c r="T206" s="19">
        <v>0</v>
      </c>
      <c r="U206" s="17">
        <v>1</v>
      </c>
      <c r="W206" s="19"/>
      <c r="X206" s="16"/>
      <c r="Y206" s="16"/>
      <c r="Z206" s="17"/>
      <c r="AB206" s="19"/>
      <c r="AC206" s="16"/>
      <c r="AD206" s="16"/>
      <c r="AE206" s="17"/>
      <c r="AG206" s="19"/>
      <c r="AH206" s="16"/>
      <c r="AI206" s="16"/>
      <c r="AJ206" s="17"/>
      <c r="AL206" s="19"/>
      <c r="AM206" s="16"/>
      <c r="AN206" s="16"/>
      <c r="AO206" s="17"/>
      <c r="AQ206" s="2">
        <v>15</v>
      </c>
    </row>
    <row r="207" spans="2:43" ht="18" customHeight="1" x14ac:dyDescent="0.2">
      <c r="B207" s="10">
        <v>207</v>
      </c>
      <c r="C207" s="8">
        <v>5</v>
      </c>
      <c r="D207" s="8">
        <v>35</v>
      </c>
      <c r="E207" s="8">
        <v>24</v>
      </c>
      <c r="F207" s="84" t="s">
        <v>107</v>
      </c>
      <c r="G207" s="8" t="s">
        <v>108</v>
      </c>
      <c r="H207" s="8" t="s">
        <v>108</v>
      </c>
      <c r="I207" s="8" t="s">
        <v>108</v>
      </c>
      <c r="J207" s="44" t="s">
        <v>108</v>
      </c>
      <c r="K207" s="8" t="s">
        <v>134</v>
      </c>
      <c r="L207" s="9" t="s">
        <v>416</v>
      </c>
      <c r="M207" s="9" t="s">
        <v>417</v>
      </c>
      <c r="O207" s="18">
        <v>13</v>
      </c>
      <c r="P207" s="14">
        <v>28</v>
      </c>
      <c r="Q207" s="14">
        <v>20</v>
      </c>
      <c r="R207" s="15">
        <v>16</v>
      </c>
      <c r="T207" s="18">
        <v>0</v>
      </c>
      <c r="U207" s="15">
        <v>0</v>
      </c>
      <c r="W207" s="18"/>
      <c r="X207" s="14"/>
      <c r="Y207" s="14"/>
      <c r="Z207" s="15"/>
      <c r="AB207" s="18"/>
      <c r="AC207" s="14"/>
      <c r="AD207" s="14"/>
      <c r="AE207" s="15"/>
      <c r="AG207" s="18"/>
      <c r="AH207" s="14"/>
      <c r="AI207" s="14"/>
      <c r="AJ207" s="15"/>
      <c r="AL207" s="18"/>
      <c r="AM207" s="14"/>
      <c r="AN207" s="14"/>
      <c r="AO207" s="15"/>
      <c r="AQ207" s="2">
        <v>15</v>
      </c>
    </row>
    <row r="208" spans="2:43" ht="18" customHeight="1" x14ac:dyDescent="0.2">
      <c r="B208" s="8">
        <v>208</v>
      </c>
      <c r="C208" s="10">
        <v>5</v>
      </c>
      <c r="D208" s="10">
        <v>36</v>
      </c>
      <c r="E208" s="10">
        <v>18</v>
      </c>
      <c r="F208" s="10" t="s">
        <v>107</v>
      </c>
      <c r="G208" s="10" t="s">
        <v>108</v>
      </c>
      <c r="H208" s="10" t="s">
        <v>108</v>
      </c>
      <c r="I208" s="10" t="s">
        <v>108</v>
      </c>
      <c r="J208" s="10" t="s">
        <v>108</v>
      </c>
      <c r="K208" s="10" t="s">
        <v>134</v>
      </c>
      <c r="L208" s="67" t="s">
        <v>418</v>
      </c>
      <c r="M208" s="11" t="s">
        <v>419</v>
      </c>
      <c r="O208" s="19">
        <v>13</v>
      </c>
      <c r="P208" s="16">
        <v>28</v>
      </c>
      <c r="Q208" s="16">
        <v>20</v>
      </c>
      <c r="R208" s="17">
        <v>16</v>
      </c>
      <c r="T208" s="19">
        <v>0</v>
      </c>
      <c r="U208" s="17">
        <v>7</v>
      </c>
      <c r="W208" s="19"/>
      <c r="X208" s="16"/>
      <c r="Y208" s="16"/>
      <c r="Z208" s="17"/>
      <c r="AB208" s="19"/>
      <c r="AC208" s="16"/>
      <c r="AD208" s="16"/>
      <c r="AE208" s="17"/>
      <c r="AG208" s="19"/>
      <c r="AH208" s="16"/>
      <c r="AI208" s="16"/>
      <c r="AJ208" s="17"/>
      <c r="AL208" s="19"/>
      <c r="AM208" s="16"/>
      <c r="AN208" s="16"/>
      <c r="AO208" s="17"/>
      <c r="AQ208" s="2">
        <v>15</v>
      </c>
    </row>
    <row r="209" spans="2:43" ht="18" customHeight="1" x14ac:dyDescent="0.2">
      <c r="B209" s="10">
        <v>209</v>
      </c>
      <c r="C209" s="8">
        <v>5</v>
      </c>
      <c r="D209" s="8">
        <v>37</v>
      </c>
      <c r="E209" s="8">
        <v>21</v>
      </c>
      <c r="F209" s="84" t="s">
        <v>420</v>
      </c>
      <c r="G209" s="8" t="s">
        <v>108</v>
      </c>
      <c r="H209" s="8" t="s">
        <v>108</v>
      </c>
      <c r="I209" s="8" t="s">
        <v>108</v>
      </c>
      <c r="J209" s="44" t="s">
        <v>108</v>
      </c>
      <c r="K209" s="8" t="s">
        <v>134</v>
      </c>
      <c r="L209" s="9" t="s">
        <v>57</v>
      </c>
      <c r="M209" s="9" t="s">
        <v>58</v>
      </c>
      <c r="O209" s="18">
        <v>13</v>
      </c>
      <c r="P209" s="14">
        <v>28</v>
      </c>
      <c r="Q209" s="14">
        <v>20</v>
      </c>
      <c r="R209" s="15">
        <v>16</v>
      </c>
      <c r="T209" s="18">
        <v>0</v>
      </c>
      <c r="U209" s="15">
        <v>1</v>
      </c>
      <c r="W209" s="18"/>
      <c r="X209" s="14"/>
      <c r="Y209" s="14"/>
      <c r="Z209" s="15"/>
      <c r="AB209" s="18"/>
      <c r="AC209" s="14"/>
      <c r="AD209" s="14"/>
      <c r="AE209" s="15"/>
      <c r="AG209" s="18"/>
      <c r="AH209" s="14"/>
      <c r="AI209" s="14"/>
      <c r="AJ209" s="15"/>
      <c r="AL209" s="18"/>
      <c r="AM209" s="14"/>
      <c r="AN209" s="14"/>
      <c r="AO209" s="15"/>
      <c r="AQ209" s="2">
        <v>15</v>
      </c>
    </row>
    <row r="210" spans="2:43" ht="18" customHeight="1" x14ac:dyDescent="0.2">
      <c r="B210" s="8">
        <v>210</v>
      </c>
      <c r="C210" s="10">
        <v>5</v>
      </c>
      <c r="D210" s="10">
        <v>38</v>
      </c>
      <c r="E210" s="10">
        <v>27</v>
      </c>
      <c r="F210" s="10" t="s">
        <v>107</v>
      </c>
      <c r="G210" s="10" t="s">
        <v>108</v>
      </c>
      <c r="H210" s="10" t="s">
        <v>108</v>
      </c>
      <c r="I210" s="10" t="s">
        <v>108</v>
      </c>
      <c r="J210" s="10" t="s">
        <v>108</v>
      </c>
      <c r="K210" s="10" t="s">
        <v>134</v>
      </c>
      <c r="L210" s="67" t="s">
        <v>408</v>
      </c>
      <c r="M210" s="11" t="s">
        <v>421</v>
      </c>
      <c r="O210" s="19">
        <v>13</v>
      </c>
      <c r="P210" s="16">
        <v>28</v>
      </c>
      <c r="Q210" s="16">
        <v>20</v>
      </c>
      <c r="R210" s="17">
        <v>16</v>
      </c>
      <c r="T210" s="19">
        <v>0</v>
      </c>
      <c r="U210" s="17">
        <v>0</v>
      </c>
      <c r="W210" s="19"/>
      <c r="X210" s="16"/>
      <c r="Y210" s="16"/>
      <c r="Z210" s="17"/>
      <c r="AB210" s="19"/>
      <c r="AC210" s="16"/>
      <c r="AD210" s="16"/>
      <c r="AE210" s="17"/>
      <c r="AG210" s="19"/>
      <c r="AH210" s="16"/>
      <c r="AI210" s="16"/>
      <c r="AJ210" s="17"/>
      <c r="AL210" s="19"/>
      <c r="AM210" s="16"/>
      <c r="AN210" s="16"/>
      <c r="AO210" s="17"/>
      <c r="AQ210" s="2">
        <v>15</v>
      </c>
    </row>
    <row r="211" spans="2:43" ht="18" customHeight="1" x14ac:dyDescent="0.2">
      <c r="B211" s="10">
        <v>211</v>
      </c>
      <c r="C211" s="8">
        <v>5</v>
      </c>
      <c r="D211" s="8">
        <v>39</v>
      </c>
      <c r="E211" s="8">
        <v>6</v>
      </c>
      <c r="F211" s="84" t="s">
        <v>107</v>
      </c>
      <c r="G211" s="8" t="s">
        <v>108</v>
      </c>
      <c r="H211" s="8" t="s">
        <v>165</v>
      </c>
      <c r="I211" s="8" t="s">
        <v>108</v>
      </c>
      <c r="J211" s="44" t="s">
        <v>108</v>
      </c>
      <c r="K211" s="8" t="s">
        <v>134</v>
      </c>
      <c r="L211" s="9" t="s">
        <v>137</v>
      </c>
      <c r="M211" s="9" t="s">
        <v>422</v>
      </c>
      <c r="O211" s="18">
        <v>13</v>
      </c>
      <c r="P211" s="14">
        <v>28</v>
      </c>
      <c r="Q211" s="14">
        <v>20</v>
      </c>
      <c r="R211" s="15">
        <v>16</v>
      </c>
      <c r="T211" s="18">
        <v>13</v>
      </c>
      <c r="U211" s="15">
        <v>2</v>
      </c>
      <c r="W211" s="18"/>
      <c r="X211" s="14"/>
      <c r="Y211" s="14"/>
      <c r="Z211" s="15"/>
      <c r="AB211" s="18"/>
      <c r="AC211" s="14"/>
      <c r="AD211" s="14"/>
      <c r="AE211" s="15"/>
      <c r="AG211" s="18"/>
      <c r="AH211" s="14"/>
      <c r="AI211" s="14"/>
      <c r="AJ211" s="15"/>
      <c r="AL211" s="18"/>
      <c r="AM211" s="14"/>
      <c r="AN211" s="14"/>
      <c r="AO211" s="15"/>
      <c r="AQ211" s="2">
        <v>15</v>
      </c>
    </row>
    <row r="212" spans="2:43" ht="18" customHeight="1" x14ac:dyDescent="0.2">
      <c r="B212" s="8">
        <v>212</v>
      </c>
      <c r="C212" s="10">
        <v>5</v>
      </c>
      <c r="D212" s="10">
        <v>40</v>
      </c>
      <c r="E212" s="10">
        <v>26</v>
      </c>
      <c r="F212" s="10" t="s">
        <v>116</v>
      </c>
      <c r="G212" s="10" t="s">
        <v>108</v>
      </c>
      <c r="H212" s="10" t="s">
        <v>108</v>
      </c>
      <c r="I212" s="10" t="s">
        <v>108</v>
      </c>
      <c r="J212" s="10" t="s">
        <v>108</v>
      </c>
      <c r="K212" s="10" t="s">
        <v>134</v>
      </c>
      <c r="L212" s="67" t="s">
        <v>144</v>
      </c>
      <c r="M212" s="11" t="s">
        <v>423</v>
      </c>
      <c r="O212" s="19">
        <v>13</v>
      </c>
      <c r="P212" s="16">
        <v>28</v>
      </c>
      <c r="Q212" s="16">
        <v>20</v>
      </c>
      <c r="R212" s="17">
        <v>16</v>
      </c>
      <c r="T212" s="19">
        <v>3</v>
      </c>
      <c r="U212" s="17">
        <v>0</v>
      </c>
      <c r="W212" s="19"/>
      <c r="X212" s="16"/>
      <c r="Y212" s="16"/>
      <c r="Z212" s="17"/>
      <c r="AB212" s="19"/>
      <c r="AC212" s="16"/>
      <c r="AD212" s="16"/>
      <c r="AE212" s="17"/>
      <c r="AG212" s="19"/>
      <c r="AH212" s="16"/>
      <c r="AI212" s="16"/>
      <c r="AJ212" s="17"/>
      <c r="AL212" s="19"/>
      <c r="AM212" s="16"/>
      <c r="AN212" s="16"/>
      <c r="AO212" s="17"/>
      <c r="AQ212" s="2">
        <v>15</v>
      </c>
    </row>
    <row r="213" spans="2:43" ht="18" customHeight="1" x14ac:dyDescent="0.2">
      <c r="B213" s="10">
        <v>213</v>
      </c>
      <c r="C213" s="8">
        <v>5</v>
      </c>
      <c r="D213" s="8">
        <v>41</v>
      </c>
      <c r="E213" s="8">
        <v>17</v>
      </c>
      <c r="F213" s="84" t="s">
        <v>107</v>
      </c>
      <c r="G213" s="8" t="s">
        <v>108</v>
      </c>
      <c r="H213" s="8" t="s">
        <v>108</v>
      </c>
      <c r="I213" s="8" t="s">
        <v>108</v>
      </c>
      <c r="J213" s="44" t="s">
        <v>108</v>
      </c>
      <c r="K213" s="8" t="s">
        <v>134</v>
      </c>
      <c r="L213" s="9" t="s">
        <v>424</v>
      </c>
      <c r="M213" s="9" t="s">
        <v>425</v>
      </c>
      <c r="O213" s="18">
        <v>13</v>
      </c>
      <c r="P213" s="14">
        <v>28</v>
      </c>
      <c r="Q213" s="14">
        <v>20</v>
      </c>
      <c r="R213" s="15">
        <v>16</v>
      </c>
      <c r="T213" s="18">
        <v>0</v>
      </c>
      <c r="U213" s="15">
        <v>1</v>
      </c>
      <c r="W213" s="18"/>
      <c r="X213" s="14"/>
      <c r="Y213" s="14"/>
      <c r="Z213" s="15"/>
      <c r="AB213" s="18"/>
      <c r="AC213" s="14"/>
      <c r="AD213" s="14"/>
      <c r="AE213" s="15"/>
      <c r="AG213" s="18"/>
      <c r="AH213" s="14"/>
      <c r="AI213" s="14"/>
      <c r="AJ213" s="15"/>
      <c r="AL213" s="18"/>
      <c r="AM213" s="14"/>
      <c r="AN213" s="14"/>
      <c r="AO213" s="15"/>
      <c r="AQ213" s="2">
        <v>15</v>
      </c>
    </row>
    <row r="214" spans="2:43" ht="18" customHeight="1" x14ac:dyDescent="0.2">
      <c r="B214" s="8">
        <v>214</v>
      </c>
      <c r="C214" s="10">
        <v>5</v>
      </c>
      <c r="D214" s="10">
        <v>42</v>
      </c>
      <c r="E214" s="10">
        <v>0</v>
      </c>
      <c r="F214" s="10" t="s">
        <v>107</v>
      </c>
      <c r="G214" s="10" t="s">
        <v>108</v>
      </c>
      <c r="H214" s="10" t="s">
        <v>108</v>
      </c>
      <c r="I214" s="10" t="s">
        <v>108</v>
      </c>
      <c r="J214" s="10" t="s">
        <v>108</v>
      </c>
      <c r="K214" s="10" t="s">
        <v>134</v>
      </c>
      <c r="L214" s="67" t="s">
        <v>41</v>
      </c>
      <c r="M214" s="11" t="s">
        <v>42</v>
      </c>
      <c r="O214" s="19">
        <v>13</v>
      </c>
      <c r="P214" s="16">
        <v>28</v>
      </c>
      <c r="Q214" s="16">
        <v>20</v>
      </c>
      <c r="R214" s="17">
        <v>16</v>
      </c>
      <c r="T214" s="19">
        <v>6</v>
      </c>
      <c r="U214" s="17">
        <v>1</v>
      </c>
      <c r="W214" s="19"/>
      <c r="X214" s="16"/>
      <c r="Y214" s="16"/>
      <c r="Z214" s="17"/>
      <c r="AB214" s="19"/>
      <c r="AC214" s="16"/>
      <c r="AD214" s="16"/>
      <c r="AE214" s="17"/>
      <c r="AG214" s="19"/>
      <c r="AH214" s="16"/>
      <c r="AI214" s="16"/>
      <c r="AJ214" s="17"/>
      <c r="AL214" s="19"/>
      <c r="AM214" s="16"/>
      <c r="AN214" s="16"/>
      <c r="AO214" s="17"/>
      <c r="AQ214" s="2">
        <v>15</v>
      </c>
    </row>
    <row r="215" spans="2:43" ht="18" customHeight="1" x14ac:dyDescent="0.2">
      <c r="B215" s="10">
        <v>215</v>
      </c>
      <c r="C215" s="8">
        <v>5</v>
      </c>
      <c r="D215" s="8">
        <v>43</v>
      </c>
      <c r="E215" s="8">
        <v>27</v>
      </c>
      <c r="F215" s="84" t="s">
        <v>107</v>
      </c>
      <c r="G215" s="8" t="s">
        <v>108</v>
      </c>
      <c r="H215" s="8" t="s">
        <v>108</v>
      </c>
      <c r="I215" s="8" t="s">
        <v>108</v>
      </c>
      <c r="J215" s="44" t="s">
        <v>108</v>
      </c>
      <c r="K215" s="8" t="s">
        <v>134</v>
      </c>
      <c r="L215" s="9" t="s">
        <v>137</v>
      </c>
      <c r="M215" s="9" t="s">
        <v>426</v>
      </c>
      <c r="O215" s="18">
        <v>13</v>
      </c>
      <c r="P215" s="14">
        <v>28</v>
      </c>
      <c r="Q215" s="14">
        <v>20</v>
      </c>
      <c r="R215" s="15">
        <v>16</v>
      </c>
      <c r="T215" s="18">
        <v>0</v>
      </c>
      <c r="U215" s="15">
        <v>0</v>
      </c>
      <c r="W215" s="18"/>
      <c r="X215" s="14"/>
      <c r="Y215" s="14"/>
      <c r="Z215" s="15"/>
      <c r="AB215" s="18"/>
      <c r="AC215" s="14"/>
      <c r="AD215" s="14"/>
      <c r="AE215" s="15"/>
      <c r="AG215" s="18"/>
      <c r="AH215" s="14"/>
      <c r="AI215" s="14"/>
      <c r="AJ215" s="15"/>
      <c r="AL215" s="18"/>
      <c r="AM215" s="14"/>
      <c r="AN215" s="14"/>
      <c r="AO215" s="15"/>
      <c r="AQ215" s="2">
        <v>15</v>
      </c>
    </row>
    <row r="216" spans="2:43" ht="18" customHeight="1" x14ac:dyDescent="0.2">
      <c r="B216" s="8">
        <v>216</v>
      </c>
      <c r="C216" s="10">
        <v>5</v>
      </c>
      <c r="D216" s="10">
        <v>44</v>
      </c>
      <c r="E216" s="10">
        <v>13</v>
      </c>
      <c r="F216" s="10" t="s">
        <v>107</v>
      </c>
      <c r="G216" s="10" t="s">
        <v>108</v>
      </c>
      <c r="H216" s="10" t="s">
        <v>165</v>
      </c>
      <c r="I216" s="10" t="s">
        <v>108</v>
      </c>
      <c r="J216" s="10" t="s">
        <v>108</v>
      </c>
      <c r="K216" s="10" t="s">
        <v>134</v>
      </c>
      <c r="L216" s="67" t="s">
        <v>427</v>
      </c>
      <c r="M216" s="11" t="s">
        <v>428</v>
      </c>
      <c r="O216" s="19">
        <v>13</v>
      </c>
      <c r="P216" s="16">
        <v>28</v>
      </c>
      <c r="Q216" s="16">
        <v>20</v>
      </c>
      <c r="R216" s="17">
        <v>16</v>
      </c>
      <c r="T216" s="19">
        <v>13</v>
      </c>
      <c r="U216" s="17">
        <v>11</v>
      </c>
      <c r="W216" s="19"/>
      <c r="X216" s="16"/>
      <c r="Y216" s="16"/>
      <c r="Z216" s="17"/>
      <c r="AB216" s="19"/>
      <c r="AC216" s="16"/>
      <c r="AD216" s="16"/>
      <c r="AE216" s="17"/>
      <c r="AG216" s="19"/>
      <c r="AH216" s="16"/>
      <c r="AI216" s="16"/>
      <c r="AJ216" s="17"/>
      <c r="AL216" s="19"/>
      <c r="AM216" s="16"/>
      <c r="AN216" s="16"/>
      <c r="AO216" s="17"/>
      <c r="AQ216" s="2">
        <v>15</v>
      </c>
    </row>
    <row r="217" spans="2:43" ht="18" customHeight="1" x14ac:dyDescent="0.2">
      <c r="B217" s="10">
        <v>217</v>
      </c>
      <c r="C217" s="8">
        <v>5</v>
      </c>
      <c r="D217" s="8">
        <v>45</v>
      </c>
      <c r="E217" s="8">
        <v>30</v>
      </c>
      <c r="F217" s="84" t="s">
        <v>107</v>
      </c>
      <c r="G217" s="8" t="s">
        <v>108</v>
      </c>
      <c r="H217" s="8" t="s">
        <v>108</v>
      </c>
      <c r="I217" s="8" t="s">
        <v>108</v>
      </c>
      <c r="J217" s="44" t="s">
        <v>108</v>
      </c>
      <c r="K217" s="8" t="s">
        <v>134</v>
      </c>
      <c r="L217" s="9" t="s">
        <v>137</v>
      </c>
      <c r="M217" s="9" t="s">
        <v>429</v>
      </c>
      <c r="O217" s="18">
        <v>13</v>
      </c>
      <c r="P217" s="14">
        <v>28</v>
      </c>
      <c r="Q217" s="14">
        <v>20</v>
      </c>
      <c r="R217" s="15">
        <v>16</v>
      </c>
      <c r="T217" s="18">
        <v>0</v>
      </c>
      <c r="U217" s="15">
        <v>0</v>
      </c>
      <c r="W217" s="18"/>
      <c r="X217" s="14"/>
      <c r="Y217" s="14"/>
      <c r="Z217" s="15"/>
      <c r="AB217" s="18"/>
      <c r="AC217" s="14"/>
      <c r="AD217" s="14"/>
      <c r="AE217" s="15"/>
      <c r="AG217" s="18"/>
      <c r="AH217" s="14"/>
      <c r="AI217" s="14"/>
      <c r="AJ217" s="15"/>
      <c r="AL217" s="18"/>
      <c r="AM217" s="14"/>
      <c r="AN217" s="14"/>
      <c r="AO217" s="15"/>
      <c r="AQ217" s="2">
        <v>15</v>
      </c>
    </row>
    <row r="218" spans="2:43" ht="18" customHeight="1" x14ac:dyDescent="0.2">
      <c r="B218" s="8">
        <v>218</v>
      </c>
      <c r="C218" s="10">
        <v>5</v>
      </c>
      <c r="D218" s="10">
        <v>46</v>
      </c>
      <c r="E218" s="10">
        <v>16</v>
      </c>
      <c r="F218" s="10" t="s">
        <v>116</v>
      </c>
      <c r="G218" s="10" t="s">
        <v>108</v>
      </c>
      <c r="H218" s="10" t="s">
        <v>108</v>
      </c>
      <c r="I218" s="10" t="s">
        <v>108</v>
      </c>
      <c r="J218" s="10" t="s">
        <v>108</v>
      </c>
      <c r="K218" s="10" t="s">
        <v>134</v>
      </c>
      <c r="L218" s="67" t="s">
        <v>144</v>
      </c>
      <c r="M218" s="11" t="s">
        <v>430</v>
      </c>
      <c r="O218" s="19">
        <v>13</v>
      </c>
      <c r="P218" s="16">
        <v>28</v>
      </c>
      <c r="Q218" s="16">
        <v>20</v>
      </c>
      <c r="R218" s="17">
        <v>16</v>
      </c>
      <c r="T218" s="19">
        <v>3</v>
      </c>
      <c r="U218" s="17">
        <v>1</v>
      </c>
      <c r="W218" s="19"/>
      <c r="X218" s="16"/>
      <c r="Y218" s="16"/>
      <c r="Z218" s="17"/>
      <c r="AB218" s="19"/>
      <c r="AC218" s="16"/>
      <c r="AD218" s="16"/>
      <c r="AE218" s="17"/>
      <c r="AG218" s="19"/>
      <c r="AH218" s="16"/>
      <c r="AI218" s="16"/>
      <c r="AJ218" s="17"/>
      <c r="AL218" s="19"/>
      <c r="AM218" s="16"/>
      <c r="AN218" s="16"/>
      <c r="AO218" s="17"/>
      <c r="AQ218" s="2">
        <v>15</v>
      </c>
    </row>
    <row r="219" spans="2:43" ht="18" customHeight="1" x14ac:dyDescent="0.2">
      <c r="B219" s="10">
        <v>219</v>
      </c>
      <c r="C219" s="8">
        <v>5</v>
      </c>
      <c r="D219" s="8">
        <v>47</v>
      </c>
      <c r="E219" s="8">
        <v>22</v>
      </c>
      <c r="F219" s="84" t="s">
        <v>107</v>
      </c>
      <c r="G219" s="8" t="s">
        <v>108</v>
      </c>
      <c r="H219" s="8" t="s">
        <v>108</v>
      </c>
      <c r="I219" s="8" t="s">
        <v>108</v>
      </c>
      <c r="J219" s="44" t="s">
        <v>108</v>
      </c>
      <c r="K219" s="8" t="s">
        <v>134</v>
      </c>
      <c r="L219" s="9" t="s">
        <v>137</v>
      </c>
      <c r="M219" s="9" t="s">
        <v>431</v>
      </c>
      <c r="O219" s="18">
        <v>13</v>
      </c>
      <c r="P219" s="14">
        <v>28</v>
      </c>
      <c r="Q219" s="14">
        <v>20</v>
      </c>
      <c r="R219" s="15">
        <v>16</v>
      </c>
      <c r="T219" s="18">
        <v>0</v>
      </c>
      <c r="U219" s="15">
        <v>3</v>
      </c>
      <c r="W219" s="18"/>
      <c r="X219" s="14"/>
      <c r="Y219" s="14"/>
      <c r="Z219" s="15"/>
      <c r="AB219" s="18"/>
      <c r="AC219" s="14"/>
      <c r="AD219" s="14"/>
      <c r="AE219" s="15"/>
      <c r="AG219" s="18"/>
      <c r="AH219" s="14"/>
      <c r="AI219" s="14"/>
      <c r="AJ219" s="15"/>
      <c r="AL219" s="18"/>
      <c r="AM219" s="14"/>
      <c r="AN219" s="14"/>
      <c r="AO219" s="15"/>
      <c r="AQ219" s="2">
        <v>15</v>
      </c>
    </row>
    <row r="220" spans="2:43" ht="18" customHeight="1" x14ac:dyDescent="0.2">
      <c r="B220" s="8">
        <v>220</v>
      </c>
      <c r="C220" s="10">
        <v>5</v>
      </c>
      <c r="D220" s="10">
        <v>48</v>
      </c>
      <c r="E220" s="10">
        <v>20</v>
      </c>
      <c r="F220" s="10" t="s">
        <v>420</v>
      </c>
      <c r="G220" s="10" t="s">
        <v>108</v>
      </c>
      <c r="H220" s="10" t="s">
        <v>108</v>
      </c>
      <c r="I220" s="10" t="s">
        <v>108</v>
      </c>
      <c r="J220" s="10" t="s">
        <v>108</v>
      </c>
      <c r="K220" s="10" t="s">
        <v>134</v>
      </c>
      <c r="L220" s="67" t="s">
        <v>39</v>
      </c>
      <c r="M220" s="11" t="s">
        <v>40</v>
      </c>
      <c r="O220" s="19">
        <v>13</v>
      </c>
      <c r="P220" s="16">
        <v>28</v>
      </c>
      <c r="Q220" s="16">
        <v>20</v>
      </c>
      <c r="R220" s="17">
        <v>16</v>
      </c>
      <c r="T220" s="19">
        <v>0</v>
      </c>
      <c r="U220" s="17">
        <v>1</v>
      </c>
      <c r="W220" s="19"/>
      <c r="X220" s="16"/>
      <c r="Y220" s="16"/>
      <c r="Z220" s="17"/>
      <c r="AB220" s="19"/>
      <c r="AC220" s="16"/>
      <c r="AD220" s="16"/>
      <c r="AE220" s="17"/>
      <c r="AG220" s="19"/>
      <c r="AH220" s="16"/>
      <c r="AI220" s="16"/>
      <c r="AJ220" s="17"/>
      <c r="AL220" s="19"/>
      <c r="AM220" s="16"/>
      <c r="AN220" s="16"/>
      <c r="AO220" s="17"/>
      <c r="AQ220" s="2">
        <v>15</v>
      </c>
    </row>
    <row r="221" spans="2:43" ht="18" customHeight="1" x14ac:dyDescent="0.2">
      <c r="B221" s="10">
        <v>221</v>
      </c>
      <c r="C221" s="10">
        <v>5</v>
      </c>
      <c r="D221" s="10">
        <v>49</v>
      </c>
      <c r="E221" s="10">
        <v>32</v>
      </c>
      <c r="F221" s="10" t="s">
        <v>107</v>
      </c>
      <c r="G221" s="10" t="s">
        <v>108</v>
      </c>
      <c r="H221" s="10" t="s">
        <v>108</v>
      </c>
      <c r="I221" s="10" t="s">
        <v>108</v>
      </c>
      <c r="J221" s="10" t="s">
        <v>108</v>
      </c>
      <c r="K221" s="10" t="s">
        <v>134</v>
      </c>
      <c r="L221" s="67" t="s">
        <v>137</v>
      </c>
      <c r="M221" s="11" t="s">
        <v>138</v>
      </c>
      <c r="O221" s="19"/>
      <c r="P221" s="16"/>
      <c r="Q221" s="16"/>
      <c r="R221" s="17"/>
      <c r="T221" s="19"/>
      <c r="U221" s="17"/>
      <c r="W221" s="19"/>
      <c r="X221" s="16"/>
      <c r="Y221" s="16"/>
      <c r="Z221" s="17"/>
      <c r="AB221" s="19"/>
      <c r="AC221" s="16"/>
      <c r="AD221" s="16"/>
      <c r="AE221" s="17"/>
      <c r="AG221" s="19"/>
      <c r="AH221" s="16"/>
      <c r="AI221" s="16"/>
      <c r="AJ221" s="17"/>
      <c r="AL221" s="19"/>
      <c r="AM221" s="16"/>
      <c r="AN221" s="16"/>
      <c r="AO221" s="17"/>
      <c r="AQ221" s="2"/>
    </row>
    <row r="222" spans="2:43" ht="18" customHeight="1" x14ac:dyDescent="0.2">
      <c r="B222" s="8">
        <v>222</v>
      </c>
      <c r="C222" s="8">
        <v>5</v>
      </c>
      <c r="D222" s="8">
        <v>50</v>
      </c>
      <c r="E222" s="8">
        <v>28</v>
      </c>
      <c r="F222" s="84" t="s">
        <v>116</v>
      </c>
      <c r="G222" s="8" t="s">
        <v>108</v>
      </c>
      <c r="H222" s="8" t="s">
        <v>108</v>
      </c>
      <c r="I222" s="8" t="s">
        <v>108</v>
      </c>
      <c r="J222" s="44" t="s">
        <v>108</v>
      </c>
      <c r="K222" s="8" t="s">
        <v>134</v>
      </c>
      <c r="L222" s="9" t="s">
        <v>144</v>
      </c>
      <c r="M222" s="9" t="s">
        <v>432</v>
      </c>
      <c r="O222" s="18">
        <v>13</v>
      </c>
      <c r="P222" s="14">
        <v>28</v>
      </c>
      <c r="Q222" s="14">
        <v>20</v>
      </c>
      <c r="R222" s="15">
        <v>16</v>
      </c>
      <c r="T222" s="18">
        <v>0</v>
      </c>
      <c r="U222" s="15">
        <v>0</v>
      </c>
      <c r="W222" s="18"/>
      <c r="X222" s="14"/>
      <c r="Y222" s="14"/>
      <c r="Z222" s="15"/>
      <c r="AB222" s="18"/>
      <c r="AC222" s="14"/>
      <c r="AD222" s="14"/>
      <c r="AE222" s="15"/>
      <c r="AG222" s="18"/>
      <c r="AH222" s="14"/>
      <c r="AI222" s="14"/>
      <c r="AJ222" s="15"/>
      <c r="AL222" s="18"/>
      <c r="AM222" s="14"/>
      <c r="AN222" s="14"/>
      <c r="AO222" s="15"/>
      <c r="AQ222" s="2">
        <v>15</v>
      </c>
    </row>
    <row r="223" spans="2:43" ht="18" customHeight="1" x14ac:dyDescent="0.2">
      <c r="B223" s="10">
        <v>223</v>
      </c>
      <c r="C223" s="10">
        <v>5</v>
      </c>
      <c r="D223" s="10">
        <v>99</v>
      </c>
      <c r="E223" s="10">
        <v>0</v>
      </c>
      <c r="F223" s="10" t="s">
        <v>107</v>
      </c>
      <c r="G223" s="10" t="s">
        <v>108</v>
      </c>
      <c r="H223" s="10" t="s">
        <v>108</v>
      </c>
      <c r="I223" s="10" t="s">
        <v>108</v>
      </c>
      <c r="J223" s="10" t="s">
        <v>108</v>
      </c>
      <c r="K223" s="10" t="s">
        <v>134</v>
      </c>
      <c r="L223" s="67" t="s">
        <v>41</v>
      </c>
      <c r="M223" s="11" t="s">
        <v>433</v>
      </c>
      <c r="O223" s="19">
        <v>13</v>
      </c>
      <c r="P223" s="16">
        <v>28</v>
      </c>
      <c r="Q223" s="16">
        <v>20</v>
      </c>
      <c r="R223" s="17">
        <v>16</v>
      </c>
      <c r="T223" s="19">
        <v>4</v>
      </c>
      <c r="U223" s="17">
        <v>0</v>
      </c>
      <c r="W223" s="19"/>
      <c r="X223" s="16"/>
      <c r="Y223" s="16"/>
      <c r="Z223" s="17"/>
      <c r="AB223" s="19"/>
      <c r="AC223" s="16"/>
      <c r="AD223" s="16"/>
      <c r="AE223" s="17"/>
      <c r="AG223" s="19"/>
      <c r="AH223" s="16"/>
      <c r="AI223" s="16"/>
      <c r="AJ223" s="17"/>
      <c r="AL223" s="19"/>
      <c r="AM223" s="16"/>
      <c r="AN223" s="16"/>
      <c r="AO223" s="17"/>
      <c r="AQ223" s="2">
        <v>15</v>
      </c>
    </row>
  </sheetData>
  <autoFilter ref="E1:L223"/>
  <sortState ref="C2:AR218">
    <sortCondition ref="C2:C218"/>
    <sortCondition ref="D2:D218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AK223"/>
  <sheetViews>
    <sheetView showGridLines="0" workbookViewId="0">
      <pane ySplit="1" topLeftCell="A2" activePane="bottomLeft" state="frozenSplit"/>
      <selection activeCell="A221" sqref="A221:XFD221"/>
      <selection pane="bottomLeft" activeCell="A2" sqref="A2"/>
    </sheetView>
  </sheetViews>
  <sheetFormatPr baseColWidth="10" defaultColWidth="3.7109375" defaultRowHeight="18" customHeight="1" x14ac:dyDescent="0.2"/>
  <cols>
    <col min="2" max="11" width="3.7109375" style="2" customWidth="1"/>
    <col min="12" max="12" width="25.7109375" style="1" customWidth="1"/>
    <col min="13" max="13" width="30.7109375" style="1" customWidth="1"/>
    <col min="14" max="14" width="3.7109375" style="2" customWidth="1"/>
    <col min="15" max="21" width="4.7109375" style="2" customWidth="1"/>
    <col min="22" max="22" width="3.7109375" style="2"/>
    <col min="23" max="29" width="4.7109375" style="2" customWidth="1"/>
    <col min="30" max="30" width="3.7109375" style="2"/>
    <col min="31" max="37" width="4.7109375" style="2" customWidth="1"/>
  </cols>
  <sheetData>
    <row r="1" spans="2:37" s="2" customFormat="1" ht="50.1" customHeight="1" x14ac:dyDescent="0.2">
      <c r="B1" s="7" t="s">
        <v>94</v>
      </c>
      <c r="C1" s="7" t="s">
        <v>95</v>
      </c>
      <c r="D1" s="7" t="s">
        <v>96</v>
      </c>
      <c r="E1" s="7" t="s">
        <v>97</v>
      </c>
      <c r="F1" s="7" t="s">
        <v>98</v>
      </c>
      <c r="G1" s="7" t="s">
        <v>65</v>
      </c>
      <c r="H1" s="7" t="s">
        <v>66</v>
      </c>
      <c r="I1" s="7" t="s">
        <v>67</v>
      </c>
      <c r="J1" s="7" t="s">
        <v>99</v>
      </c>
      <c r="K1" s="6" t="s">
        <v>100</v>
      </c>
      <c r="L1" s="6" t="s">
        <v>101</v>
      </c>
      <c r="M1" s="6" t="s">
        <v>102</v>
      </c>
      <c r="N1" s="5"/>
      <c r="O1" s="6" t="s">
        <v>434</v>
      </c>
      <c r="P1" s="6" t="s">
        <v>435</v>
      </c>
      <c r="Q1" s="6" t="s">
        <v>436</v>
      </c>
      <c r="R1" s="6" t="s">
        <v>437</v>
      </c>
      <c r="S1" s="6" t="s">
        <v>438</v>
      </c>
      <c r="T1" s="6" t="s">
        <v>439</v>
      </c>
      <c r="U1" s="7" t="s">
        <v>72</v>
      </c>
      <c r="V1" s="5"/>
      <c r="W1" s="6" t="s">
        <v>434</v>
      </c>
      <c r="X1" s="6" t="s">
        <v>435</v>
      </c>
      <c r="Y1" s="6" t="s">
        <v>436</v>
      </c>
      <c r="Z1" s="6" t="s">
        <v>437</v>
      </c>
      <c r="AA1" s="6" t="s">
        <v>438</v>
      </c>
      <c r="AB1" s="6" t="s">
        <v>439</v>
      </c>
      <c r="AC1" s="7" t="s">
        <v>440</v>
      </c>
      <c r="AD1" s="5"/>
      <c r="AE1" s="6" t="s">
        <v>434</v>
      </c>
      <c r="AF1" s="6" t="s">
        <v>435</v>
      </c>
      <c r="AG1" s="6" t="s">
        <v>436</v>
      </c>
      <c r="AH1" s="6" t="s">
        <v>437</v>
      </c>
      <c r="AI1" s="6" t="s">
        <v>438</v>
      </c>
      <c r="AJ1" s="6" t="s">
        <v>439</v>
      </c>
      <c r="AK1" s="7" t="s">
        <v>441</v>
      </c>
    </row>
    <row r="2" spans="2:37" ht="18" customHeight="1" x14ac:dyDescent="0.2">
      <c r="B2" s="8">
        <f>garage!B2</f>
        <v>2</v>
      </c>
      <c r="C2" s="8">
        <f>garage!C2</f>
        <v>1</v>
      </c>
      <c r="D2" s="8">
        <f>garage!D2</f>
        <v>1</v>
      </c>
      <c r="E2" s="8">
        <f>garage!E2</f>
        <v>0</v>
      </c>
      <c r="F2" s="8" t="str">
        <f>garage!F2</f>
        <v>--</v>
      </c>
      <c r="G2" s="8" t="str">
        <f>garage!G2</f>
        <v>O</v>
      </c>
      <c r="H2" s="8" t="str">
        <f>garage!H2</f>
        <v>O</v>
      </c>
      <c r="I2" s="8" t="str">
        <f>garage!I2</f>
        <v>O</v>
      </c>
      <c r="J2" s="8" t="str">
        <f>garage!J2</f>
        <v>N</v>
      </c>
      <c r="K2" s="8" t="str">
        <f>garage!K2</f>
        <v>D</v>
      </c>
      <c r="L2" s="9" t="str">
        <f>garage!L2</f>
        <v>Mitsubishi</v>
      </c>
      <c r="M2" s="9" t="str">
        <f>garage!M2</f>
        <v>Lancer Evolution</v>
      </c>
      <c r="O2" s="18">
        <v>5</v>
      </c>
      <c r="P2" s="14">
        <v>12</v>
      </c>
      <c r="Q2" s="14">
        <v>30</v>
      </c>
      <c r="R2" s="14"/>
      <c r="S2" s="14"/>
      <c r="T2" s="15"/>
      <c r="U2" s="60">
        <f t="shared" ref="U2:U7" si="0">SUM(O2:T2)</f>
        <v>47</v>
      </c>
      <c r="W2" s="30">
        <v>5</v>
      </c>
      <c r="X2" s="31">
        <v>12</v>
      </c>
      <c r="Y2" s="31">
        <v>30</v>
      </c>
      <c r="Z2" s="31"/>
      <c r="AA2" s="31"/>
      <c r="AB2" s="32"/>
      <c r="AC2" s="32">
        <f>SUM(W2:AB2)</f>
        <v>47</v>
      </c>
      <c r="AE2" s="36"/>
      <c r="AF2" s="37"/>
      <c r="AG2" s="37"/>
      <c r="AH2" s="37"/>
      <c r="AI2" s="37"/>
      <c r="AJ2" s="38"/>
      <c r="AK2" s="38"/>
    </row>
    <row r="3" spans="2:37" ht="18" customHeight="1" x14ac:dyDescent="0.2">
      <c r="B3" s="10">
        <f>garage!B3</f>
        <v>3</v>
      </c>
      <c r="C3" s="10">
        <f>garage!C3</f>
        <v>1</v>
      </c>
      <c r="D3" s="10">
        <f>garage!D3</f>
        <v>2</v>
      </c>
      <c r="E3" s="10">
        <f>garage!E3</f>
        <v>0</v>
      </c>
      <c r="F3" s="10" t="str">
        <f>garage!F3</f>
        <v>--</v>
      </c>
      <c r="G3" s="10" t="str">
        <f>garage!G3</f>
        <v>O</v>
      </c>
      <c r="H3" s="10" t="str">
        <f>garage!H3</f>
        <v>O</v>
      </c>
      <c r="I3" s="10" t="str">
        <f>garage!I3</f>
        <v>O</v>
      </c>
      <c r="J3" s="10" t="str">
        <f>garage!J3</f>
        <v>N</v>
      </c>
      <c r="K3" s="10" t="str">
        <f>garage!K3</f>
        <v>D</v>
      </c>
      <c r="L3" s="11" t="str">
        <f>garage!L3</f>
        <v>BMW</v>
      </c>
      <c r="M3" s="11" t="str">
        <f>garage!M3</f>
        <v>Z4 LCI E89</v>
      </c>
      <c r="O3" s="19">
        <v>5</v>
      </c>
      <c r="P3" s="16">
        <v>12</v>
      </c>
      <c r="Q3" s="16">
        <v>45</v>
      </c>
      <c r="R3" s="16"/>
      <c r="S3" s="16"/>
      <c r="T3" s="17"/>
      <c r="U3" s="61">
        <f t="shared" si="0"/>
        <v>62</v>
      </c>
      <c r="W3" s="33">
        <v>5</v>
      </c>
      <c r="X3" s="34">
        <v>12</v>
      </c>
      <c r="Y3" s="34">
        <v>45</v>
      </c>
      <c r="Z3" s="34"/>
      <c r="AA3" s="34"/>
      <c r="AB3" s="35"/>
      <c r="AC3" s="35">
        <f>SUM(W3:AB3)</f>
        <v>62</v>
      </c>
      <c r="AE3" s="39"/>
      <c r="AF3" s="40"/>
      <c r="AG3" s="40"/>
      <c r="AH3" s="40"/>
      <c r="AI3" s="40"/>
      <c r="AJ3" s="41"/>
      <c r="AK3" s="41"/>
    </row>
    <row r="4" spans="2:37" ht="18" customHeight="1" x14ac:dyDescent="0.2">
      <c r="B4" s="8">
        <f>garage!B4</f>
        <v>4</v>
      </c>
      <c r="C4" s="8">
        <f>garage!C4</f>
        <v>1</v>
      </c>
      <c r="D4" s="8">
        <f>garage!D4</f>
        <v>3</v>
      </c>
      <c r="E4" s="8">
        <f>garage!E4</f>
        <v>0</v>
      </c>
      <c r="F4" s="8" t="str">
        <f>garage!F4</f>
        <v>C</v>
      </c>
      <c r="G4" s="8" t="str">
        <f>garage!G4</f>
        <v>O</v>
      </c>
      <c r="H4" s="8" t="str">
        <f>garage!H4</f>
        <v>O</v>
      </c>
      <c r="I4" s="8" t="str">
        <f>garage!I4</f>
        <v>O</v>
      </c>
      <c r="J4" s="8" t="str">
        <f>garage!J4</f>
        <v>N</v>
      </c>
      <c r="K4" s="8" t="str">
        <f>garage!K4</f>
        <v>D</v>
      </c>
      <c r="L4" s="9" t="str">
        <f>garage!L4</f>
        <v>Chevrolet</v>
      </c>
      <c r="M4" s="9" t="str">
        <f>garage!M4</f>
        <v>Camaro LT</v>
      </c>
      <c r="O4" s="18">
        <v>5</v>
      </c>
      <c r="P4" s="14">
        <v>12</v>
      </c>
      <c r="Q4" s="14">
        <v>30</v>
      </c>
      <c r="R4" s="14"/>
      <c r="S4" s="14"/>
      <c r="T4" s="15"/>
      <c r="U4" s="60">
        <f t="shared" si="0"/>
        <v>47</v>
      </c>
      <c r="W4" s="30">
        <v>5</v>
      </c>
      <c r="X4" s="31">
        <v>12</v>
      </c>
      <c r="Y4" s="31">
        <v>30</v>
      </c>
      <c r="Z4" s="31"/>
      <c r="AA4" s="31"/>
      <c r="AB4" s="32"/>
      <c r="AC4" s="32">
        <f>SUM(W4:AB4)</f>
        <v>47</v>
      </c>
      <c r="AE4" s="36"/>
      <c r="AF4" s="37"/>
      <c r="AG4" s="37"/>
      <c r="AH4" s="37"/>
      <c r="AI4" s="37"/>
      <c r="AJ4" s="38"/>
      <c r="AK4" s="38"/>
    </row>
    <row r="5" spans="2:37" ht="18" customHeight="1" x14ac:dyDescent="0.2">
      <c r="B5" s="10">
        <f>garage!B5</f>
        <v>5</v>
      </c>
      <c r="C5" s="10">
        <f>garage!C5</f>
        <v>1</v>
      </c>
      <c r="D5" s="10">
        <f>garage!D5</f>
        <v>4</v>
      </c>
      <c r="E5" s="10">
        <f>garage!E5</f>
        <v>0</v>
      </c>
      <c r="F5" s="10" t="str">
        <f>garage!F5</f>
        <v>--</v>
      </c>
      <c r="G5" s="10" t="str">
        <f>garage!G5</f>
        <v>O</v>
      </c>
      <c r="H5" s="10" t="str">
        <f>garage!H5</f>
        <v>O</v>
      </c>
      <c r="I5" s="10" t="str">
        <f>garage!I5</f>
        <v>O</v>
      </c>
      <c r="J5" s="10" t="str">
        <f>garage!J5</f>
        <v>N</v>
      </c>
      <c r="K5" s="10" t="str">
        <f>garage!K5</f>
        <v>D</v>
      </c>
      <c r="L5" s="11" t="str">
        <f>garage!L5</f>
        <v>Nissan</v>
      </c>
      <c r="M5" s="11" t="str">
        <f>garage!M5</f>
        <v>Leaf Nismo RC</v>
      </c>
      <c r="O5" s="19">
        <v>15</v>
      </c>
      <c r="P5" s="16">
        <v>25</v>
      </c>
      <c r="Q5" s="16">
        <v>55</v>
      </c>
      <c r="R5" s="16"/>
      <c r="S5" s="16"/>
      <c r="T5" s="17"/>
      <c r="U5" s="61">
        <f t="shared" si="0"/>
        <v>95</v>
      </c>
      <c r="W5" s="33">
        <v>15</v>
      </c>
      <c r="X5" s="34">
        <v>25</v>
      </c>
      <c r="Y5" s="34">
        <v>55</v>
      </c>
      <c r="Z5" s="34"/>
      <c r="AA5" s="34"/>
      <c r="AB5" s="35"/>
      <c r="AC5" s="35">
        <f>SUM(W5:AB5)</f>
        <v>95</v>
      </c>
      <c r="AE5" s="39"/>
      <c r="AF5" s="40"/>
      <c r="AG5" s="40"/>
      <c r="AH5" s="40"/>
      <c r="AI5" s="40"/>
      <c r="AJ5" s="41"/>
      <c r="AK5" s="41"/>
    </row>
    <row r="6" spans="2:37" ht="18" customHeight="1" x14ac:dyDescent="0.2">
      <c r="B6" s="8">
        <f>garage!B6</f>
        <v>6</v>
      </c>
      <c r="C6" s="8">
        <f>garage!C6</f>
        <v>1</v>
      </c>
      <c r="D6" s="8">
        <f>garage!D6</f>
        <v>5</v>
      </c>
      <c r="E6" s="8">
        <f>garage!E6</f>
        <v>0</v>
      </c>
      <c r="F6" s="8" t="str">
        <f>garage!F6</f>
        <v>--</v>
      </c>
      <c r="G6" s="8" t="str">
        <f>garage!G6</f>
        <v>O</v>
      </c>
      <c r="H6" s="8" t="str">
        <f>garage!H6</f>
        <v>O</v>
      </c>
      <c r="I6" s="8" t="str">
        <f>garage!I6</f>
        <v>O</v>
      </c>
      <c r="J6" s="8" t="str">
        <f>garage!J6</f>
        <v>N</v>
      </c>
      <c r="K6" s="8" t="str">
        <f>garage!K6</f>
        <v>D</v>
      </c>
      <c r="L6" s="9" t="str">
        <f>garage!L6</f>
        <v>Nissan</v>
      </c>
      <c r="M6" s="9" t="str">
        <f>garage!M6</f>
        <v>37OZ Nismo</v>
      </c>
      <c r="O6" s="18">
        <v>10</v>
      </c>
      <c r="P6" s="14">
        <v>20</v>
      </c>
      <c r="Q6" s="14">
        <v>30</v>
      </c>
      <c r="R6" s="14"/>
      <c r="S6" s="14"/>
      <c r="T6" s="15"/>
      <c r="U6" s="60">
        <f t="shared" si="0"/>
        <v>60</v>
      </c>
      <c r="W6" s="30">
        <v>10</v>
      </c>
      <c r="X6" s="31">
        <v>20</v>
      </c>
      <c r="Y6" s="31">
        <v>30</v>
      </c>
      <c r="Z6" s="31"/>
      <c r="AA6" s="31"/>
      <c r="AB6" s="32"/>
      <c r="AC6" s="32">
        <f>SUM(W6:AB6)</f>
        <v>60</v>
      </c>
      <c r="AE6" s="36"/>
      <c r="AF6" s="37"/>
      <c r="AG6" s="37"/>
      <c r="AH6" s="37"/>
      <c r="AI6" s="37"/>
      <c r="AJ6" s="38"/>
      <c r="AK6" s="38"/>
    </row>
    <row r="7" spans="2:37" ht="18" customHeight="1" x14ac:dyDescent="0.2">
      <c r="B7" s="10">
        <f>garage!B7</f>
        <v>7</v>
      </c>
      <c r="C7" s="10">
        <f>garage!C7</f>
        <v>1</v>
      </c>
      <c r="D7" s="10">
        <f>garage!D7</f>
        <v>6</v>
      </c>
      <c r="E7" s="10">
        <f>garage!E7</f>
        <v>30</v>
      </c>
      <c r="F7" s="10" t="str">
        <f>garage!F7</f>
        <v>--</v>
      </c>
      <c r="G7" s="10" t="str">
        <f>garage!G7</f>
        <v>O</v>
      </c>
      <c r="H7" s="10" t="str">
        <f>garage!H7</f>
        <v>O</v>
      </c>
      <c r="I7" s="10" t="str">
        <f>garage!I7</f>
        <v>N</v>
      </c>
      <c r="J7" s="10" t="str">
        <f>garage!J7</f>
        <v>N</v>
      </c>
      <c r="K7" s="10" t="str">
        <f>garage!K7</f>
        <v>D</v>
      </c>
      <c r="L7" s="11" t="str">
        <f>garage!L7</f>
        <v>KTM</v>
      </c>
      <c r="M7" s="11" t="str">
        <f>garage!M7</f>
        <v>X-Bow GTX</v>
      </c>
      <c r="O7" s="19">
        <v>30</v>
      </c>
      <c r="P7" s="16">
        <v>23</v>
      </c>
      <c r="Q7" s="16">
        <v>54</v>
      </c>
      <c r="R7" s="16"/>
      <c r="S7" s="16"/>
      <c r="T7" s="17"/>
      <c r="U7" s="61">
        <f t="shared" si="0"/>
        <v>107</v>
      </c>
      <c r="W7" s="33">
        <v>30</v>
      </c>
      <c r="X7" s="34">
        <v>23</v>
      </c>
      <c r="Y7" s="34"/>
      <c r="Z7" s="34"/>
      <c r="AA7" s="34"/>
      <c r="AB7" s="35"/>
      <c r="AC7" s="35"/>
      <c r="AE7" s="39"/>
      <c r="AF7" s="40"/>
      <c r="AG7" s="40">
        <f>Q7-Y7</f>
        <v>54</v>
      </c>
      <c r="AH7" s="40"/>
      <c r="AI7" s="40"/>
      <c r="AJ7" s="41"/>
      <c r="AK7" s="41">
        <f>SUM(AE7:AJ7)</f>
        <v>54</v>
      </c>
    </row>
    <row r="8" spans="2:37" ht="18" customHeight="1" x14ac:dyDescent="0.2">
      <c r="B8" s="8">
        <f>garage!B8</f>
        <v>8</v>
      </c>
      <c r="C8" s="8">
        <f>garage!C8</f>
        <v>1</v>
      </c>
      <c r="D8" s="8">
        <f>garage!D8</f>
        <v>7</v>
      </c>
      <c r="E8" s="8">
        <f>garage!E8</f>
        <v>0</v>
      </c>
      <c r="F8" s="8" t="str">
        <f>garage!F8</f>
        <v>--</v>
      </c>
      <c r="G8" s="8" t="str">
        <f>garage!G8</f>
        <v>O</v>
      </c>
      <c r="H8" s="8" t="str">
        <f>garage!H8</f>
        <v>O</v>
      </c>
      <c r="I8" s="8" t="str">
        <f>garage!I8</f>
        <v>O</v>
      </c>
      <c r="J8" s="8" t="str">
        <f>garage!J8</f>
        <v>N</v>
      </c>
      <c r="K8" s="8" t="str">
        <f>garage!K8</f>
        <v>D</v>
      </c>
      <c r="L8" s="9" t="str">
        <f>garage!L8</f>
        <v>Volkswagen</v>
      </c>
      <c r="M8" s="9" t="str">
        <f>garage!M8</f>
        <v>XL Sport Concept</v>
      </c>
      <c r="O8" s="18">
        <v>20</v>
      </c>
      <c r="P8" s="14">
        <v>12</v>
      </c>
      <c r="Q8" s="14">
        <v>30</v>
      </c>
      <c r="R8" s="14"/>
      <c r="S8" s="14"/>
      <c r="T8" s="15"/>
      <c r="U8" s="60">
        <f t="shared" ref="U8:U40" si="1">SUM(O8:T8)</f>
        <v>62</v>
      </c>
      <c r="W8" s="30">
        <v>20</v>
      </c>
      <c r="X8" s="31">
        <v>12</v>
      </c>
      <c r="Y8" s="31">
        <v>30</v>
      </c>
      <c r="Z8" s="31"/>
      <c r="AA8" s="31"/>
      <c r="AB8" s="32"/>
      <c r="AC8" s="32">
        <f t="shared" ref="AC8:AC13" si="2">SUM(W8:AB8)</f>
        <v>62</v>
      </c>
      <c r="AE8" s="36"/>
      <c r="AF8" s="37"/>
      <c r="AG8" s="37"/>
      <c r="AH8" s="37"/>
      <c r="AI8" s="37"/>
      <c r="AJ8" s="38"/>
      <c r="AK8" s="38"/>
    </row>
    <row r="9" spans="2:37" ht="18" customHeight="1" x14ac:dyDescent="0.2">
      <c r="B9" s="10">
        <f>garage!B9</f>
        <v>9</v>
      </c>
      <c r="C9" s="10">
        <f>garage!C9</f>
        <v>1</v>
      </c>
      <c r="D9" s="10">
        <f>garage!D9</f>
        <v>8</v>
      </c>
      <c r="E9" s="10">
        <f>garage!E9</f>
        <v>0</v>
      </c>
      <c r="F9" s="10" t="str">
        <f>garage!F9</f>
        <v>--</v>
      </c>
      <c r="G9" s="10" t="str">
        <f>garage!G9</f>
        <v>O</v>
      </c>
      <c r="H9" s="10" t="str">
        <f>garage!H9</f>
        <v>O</v>
      </c>
      <c r="I9" s="10" t="str">
        <f>garage!I9</f>
        <v>O</v>
      </c>
      <c r="J9" s="10" t="str">
        <f>garage!J9</f>
        <v>N</v>
      </c>
      <c r="K9" s="10" t="str">
        <f>garage!K9</f>
        <v>D</v>
      </c>
      <c r="L9" s="11" t="str">
        <f>garage!L9</f>
        <v>DS Automobiles</v>
      </c>
      <c r="M9" s="11" t="str">
        <f>garage!M9</f>
        <v>DS E-Tense</v>
      </c>
      <c r="O9" s="19">
        <v>20</v>
      </c>
      <c r="P9" s="16">
        <v>12</v>
      </c>
      <c r="Q9" s="16">
        <v>30</v>
      </c>
      <c r="R9" s="16"/>
      <c r="S9" s="16"/>
      <c r="T9" s="17"/>
      <c r="U9" s="61">
        <f t="shared" si="1"/>
        <v>62</v>
      </c>
      <c r="W9" s="33">
        <v>20</v>
      </c>
      <c r="X9" s="34">
        <v>12</v>
      </c>
      <c r="Y9" s="34">
        <v>30</v>
      </c>
      <c r="Z9" s="34"/>
      <c r="AA9" s="34"/>
      <c r="AB9" s="35"/>
      <c r="AC9" s="35">
        <f t="shared" si="2"/>
        <v>62</v>
      </c>
      <c r="AE9" s="39"/>
      <c r="AF9" s="40"/>
      <c r="AG9" s="40"/>
      <c r="AH9" s="40"/>
      <c r="AI9" s="40"/>
      <c r="AJ9" s="41"/>
      <c r="AK9" s="41"/>
    </row>
    <row r="10" spans="2:37" ht="18" customHeight="1" x14ac:dyDescent="0.2">
      <c r="B10" s="8">
        <f>garage!B10</f>
        <v>10</v>
      </c>
      <c r="C10" s="8">
        <f>garage!C10</f>
        <v>1</v>
      </c>
      <c r="D10" s="8">
        <f>garage!D10</f>
        <v>9</v>
      </c>
      <c r="E10" s="8">
        <f>garage!E10</f>
        <v>0</v>
      </c>
      <c r="F10" s="8" t="str">
        <f>garage!F10</f>
        <v>--</v>
      </c>
      <c r="G10" s="8" t="str">
        <f>garage!G10</f>
        <v>O</v>
      </c>
      <c r="H10" s="8" t="str">
        <f>garage!H10</f>
        <v>O</v>
      </c>
      <c r="I10" s="8" t="str">
        <f>garage!I10</f>
        <v>O</v>
      </c>
      <c r="J10" s="8" t="str">
        <f>garage!J10</f>
        <v>N</v>
      </c>
      <c r="K10" s="8" t="str">
        <f>garage!K10</f>
        <v>D</v>
      </c>
      <c r="L10" s="9" t="str">
        <f>garage!L10</f>
        <v>Dodge</v>
      </c>
      <c r="M10" s="9" t="str">
        <f>garage!M10</f>
        <v>Pack Challenger 392 Hemi Scat</v>
      </c>
      <c r="O10" s="18">
        <v>20</v>
      </c>
      <c r="P10" s="14">
        <v>12</v>
      </c>
      <c r="Q10" s="14">
        <v>30</v>
      </c>
      <c r="R10" s="14"/>
      <c r="S10" s="14"/>
      <c r="T10" s="15"/>
      <c r="U10" s="60">
        <f t="shared" si="1"/>
        <v>62</v>
      </c>
      <c r="W10" s="30">
        <v>20</v>
      </c>
      <c r="X10" s="31">
        <v>12</v>
      </c>
      <c r="Y10" s="31">
        <v>30</v>
      </c>
      <c r="Z10" s="31"/>
      <c r="AA10" s="31"/>
      <c r="AB10" s="32"/>
      <c r="AC10" s="32">
        <f t="shared" si="2"/>
        <v>62</v>
      </c>
      <c r="AE10" s="36"/>
      <c r="AF10" s="37"/>
      <c r="AG10" s="37"/>
      <c r="AH10" s="37"/>
      <c r="AI10" s="37"/>
      <c r="AJ10" s="38"/>
      <c r="AK10" s="38"/>
    </row>
    <row r="11" spans="2:37" ht="18" customHeight="1" x14ac:dyDescent="0.2">
      <c r="B11" s="10">
        <f>garage!B11</f>
        <v>11</v>
      </c>
      <c r="C11" s="10">
        <f>garage!C11</f>
        <v>1</v>
      </c>
      <c r="D11" s="10">
        <f>garage!D11</f>
        <v>10</v>
      </c>
      <c r="E11" s="10">
        <f>garage!E11</f>
        <v>26</v>
      </c>
      <c r="F11" s="10" t="str">
        <f>garage!F11</f>
        <v>--</v>
      </c>
      <c r="G11" s="10" t="str">
        <f>garage!G11</f>
        <v>O</v>
      </c>
      <c r="H11" s="10" t="str">
        <f>garage!H11</f>
        <v>N</v>
      </c>
      <c r="I11" s="10" t="str">
        <f>garage!I11</f>
        <v>N</v>
      </c>
      <c r="J11" s="10" t="str">
        <f>garage!J11</f>
        <v>O</v>
      </c>
      <c r="K11" s="10" t="str">
        <f>garage!K11</f>
        <v>D</v>
      </c>
      <c r="L11" s="11" t="str">
        <f>garage!L11</f>
        <v>Renault</v>
      </c>
      <c r="M11" s="11" t="str">
        <f>garage!M11</f>
        <v>Dezir</v>
      </c>
      <c r="O11" s="19">
        <v>30</v>
      </c>
      <c r="P11" s="16">
        <v>23</v>
      </c>
      <c r="Q11" s="16">
        <v>33</v>
      </c>
      <c r="R11" s="16">
        <v>42</v>
      </c>
      <c r="S11" s="16"/>
      <c r="T11" s="17"/>
      <c r="U11" s="61">
        <f t="shared" si="1"/>
        <v>128</v>
      </c>
      <c r="W11" s="33">
        <v>30</v>
      </c>
      <c r="X11" s="34">
        <v>23</v>
      </c>
      <c r="Y11" s="34">
        <v>33</v>
      </c>
      <c r="Z11" s="34">
        <v>8</v>
      </c>
      <c r="AA11" s="34"/>
      <c r="AB11" s="35"/>
      <c r="AC11" s="35">
        <f t="shared" si="2"/>
        <v>94</v>
      </c>
      <c r="AE11" s="39"/>
      <c r="AF11" s="40"/>
      <c r="AG11" s="40"/>
      <c r="AH11" s="40">
        <f>R11-Z11</f>
        <v>34</v>
      </c>
      <c r="AI11" s="40"/>
      <c r="AJ11" s="41"/>
      <c r="AK11" s="41">
        <f>SUM(AE11:AJ11)</f>
        <v>34</v>
      </c>
    </row>
    <row r="12" spans="2:37" ht="18" customHeight="1" x14ac:dyDescent="0.2">
      <c r="B12" s="8">
        <f>garage!B12</f>
        <v>12</v>
      </c>
      <c r="C12" s="8">
        <f>garage!C12</f>
        <v>1</v>
      </c>
      <c r="D12" s="8">
        <f>garage!D12</f>
        <v>11</v>
      </c>
      <c r="E12" s="8">
        <f>garage!E12</f>
        <v>18</v>
      </c>
      <c r="F12" s="8" t="str">
        <f>garage!F12</f>
        <v>--</v>
      </c>
      <c r="G12" s="8" t="str">
        <f>garage!G12</f>
        <v>N</v>
      </c>
      <c r="H12" s="8" t="str">
        <f>garage!H12</f>
        <v>N</v>
      </c>
      <c r="I12" s="8" t="str">
        <f>garage!I12</f>
        <v>N</v>
      </c>
      <c r="J12" s="8" t="str">
        <f>garage!J12</f>
        <v>N</v>
      </c>
      <c r="K12" s="8" t="str">
        <f>garage!K12</f>
        <v>D</v>
      </c>
      <c r="L12" s="9" t="str">
        <f>garage!L12</f>
        <v>Italdesign</v>
      </c>
      <c r="M12" s="9" t="str">
        <f>garage!M12</f>
        <v>DaVinci</v>
      </c>
      <c r="O12" s="18">
        <v>30</v>
      </c>
      <c r="P12" s="14">
        <v>23</v>
      </c>
      <c r="Q12" s="14">
        <v>33</v>
      </c>
      <c r="R12" s="14">
        <v>42</v>
      </c>
      <c r="S12" s="14"/>
      <c r="T12" s="15"/>
      <c r="U12" s="60">
        <f t="shared" si="1"/>
        <v>128</v>
      </c>
      <c r="W12" s="30">
        <v>21</v>
      </c>
      <c r="X12" s="31"/>
      <c r="Y12" s="31"/>
      <c r="Z12" s="31"/>
      <c r="AA12" s="31"/>
      <c r="AB12" s="32"/>
      <c r="AC12" s="32">
        <f t="shared" si="2"/>
        <v>21</v>
      </c>
      <c r="AE12" s="36">
        <f>O12-W12</f>
        <v>9</v>
      </c>
      <c r="AF12" s="37">
        <f>P12-X12</f>
        <v>23</v>
      </c>
      <c r="AG12" s="37">
        <f>Q12-Y12</f>
        <v>33</v>
      </c>
      <c r="AH12" s="37">
        <f>R12-Z12</f>
        <v>42</v>
      </c>
      <c r="AI12" s="37"/>
      <c r="AJ12" s="38"/>
      <c r="AK12" s="38">
        <f>SUM(AE12:AJ12)</f>
        <v>107</v>
      </c>
    </row>
    <row r="13" spans="2:37" ht="18" customHeight="1" x14ac:dyDescent="0.2">
      <c r="B13" s="10">
        <f>garage!B13</f>
        <v>13</v>
      </c>
      <c r="C13" s="10">
        <f>garage!C13</f>
        <v>1</v>
      </c>
      <c r="D13" s="10">
        <f>garage!D13</f>
        <v>12</v>
      </c>
      <c r="E13" s="10">
        <f>garage!E13</f>
        <v>16</v>
      </c>
      <c r="F13" s="10" t="str">
        <f>garage!F13</f>
        <v>--</v>
      </c>
      <c r="G13" s="10" t="str">
        <f>garage!G13</f>
        <v>O</v>
      </c>
      <c r="H13" s="10" t="str">
        <f>garage!H13</f>
        <v>N</v>
      </c>
      <c r="I13" s="10" t="str">
        <f>garage!I13</f>
        <v>N</v>
      </c>
      <c r="J13" s="10" t="str">
        <f>garage!J13</f>
        <v>O</v>
      </c>
      <c r="K13" s="10" t="str">
        <f>garage!K13</f>
        <v>D</v>
      </c>
      <c r="L13" s="11" t="str">
        <f>garage!L13</f>
        <v>BMW</v>
      </c>
      <c r="M13" s="11" t="str">
        <f>garage!M13</f>
        <v>I8 Roadster</v>
      </c>
      <c r="O13" s="19">
        <v>30</v>
      </c>
      <c r="P13" s="16">
        <v>23</v>
      </c>
      <c r="Q13" s="16">
        <v>33</v>
      </c>
      <c r="R13" s="16">
        <v>42</v>
      </c>
      <c r="S13" s="16"/>
      <c r="T13" s="17"/>
      <c r="U13" s="61">
        <f t="shared" si="1"/>
        <v>128</v>
      </c>
      <c r="W13" s="33">
        <v>30</v>
      </c>
      <c r="X13" s="34">
        <v>23</v>
      </c>
      <c r="Y13" s="34">
        <v>33</v>
      </c>
      <c r="Z13" s="34"/>
      <c r="AA13" s="34"/>
      <c r="AB13" s="35"/>
      <c r="AC13" s="35">
        <f t="shared" si="2"/>
        <v>86</v>
      </c>
      <c r="AE13" s="39"/>
      <c r="AF13" s="40"/>
      <c r="AG13" s="40"/>
      <c r="AH13" s="40">
        <f>R13-Z13</f>
        <v>42</v>
      </c>
      <c r="AI13" s="40"/>
      <c r="AJ13" s="41"/>
      <c r="AK13" s="41">
        <f>SUM(AE13:AJ13)</f>
        <v>42</v>
      </c>
    </row>
    <row r="14" spans="2:37" ht="18" customHeight="1" x14ac:dyDescent="0.2">
      <c r="B14" s="8">
        <f>garage!B14</f>
        <v>14</v>
      </c>
      <c r="C14" s="8">
        <f>garage!C14</f>
        <v>1</v>
      </c>
      <c r="D14" s="8">
        <f>garage!D14</f>
        <v>13</v>
      </c>
      <c r="E14" s="8">
        <f>garage!E14</f>
        <v>27</v>
      </c>
      <c r="F14" s="8" t="str">
        <f>garage!F14</f>
        <v>--</v>
      </c>
      <c r="G14" s="8" t="str">
        <f>garage!G14</f>
        <v>O</v>
      </c>
      <c r="H14" s="8" t="str">
        <f>garage!H14</f>
        <v>N</v>
      </c>
      <c r="I14" s="8" t="str">
        <f>garage!I14</f>
        <v>N</v>
      </c>
      <c r="J14" s="8" t="str">
        <f>garage!J14</f>
        <v>N</v>
      </c>
      <c r="K14" s="8" t="str">
        <f>garage!K14</f>
        <v>D</v>
      </c>
      <c r="L14" s="9" t="str">
        <f>garage!L14</f>
        <v>Peugeot</v>
      </c>
      <c r="M14" s="9" t="str">
        <f>garage!M14</f>
        <v>SR1</v>
      </c>
      <c r="O14" s="18">
        <v>30</v>
      </c>
      <c r="P14" s="14">
        <v>23</v>
      </c>
      <c r="Q14" s="14">
        <v>33</v>
      </c>
      <c r="R14" s="14">
        <v>42</v>
      </c>
      <c r="S14" s="14"/>
      <c r="T14" s="15"/>
      <c r="U14" s="60">
        <f t="shared" si="1"/>
        <v>128</v>
      </c>
      <c r="W14" s="30">
        <v>30</v>
      </c>
      <c r="X14" s="31">
        <v>3</v>
      </c>
      <c r="Y14" s="31"/>
      <c r="Z14" s="31"/>
      <c r="AA14" s="31"/>
      <c r="AB14" s="32"/>
      <c r="AC14" s="32"/>
      <c r="AE14" s="36"/>
      <c r="AF14" s="37">
        <f>P14-X14</f>
        <v>20</v>
      </c>
      <c r="AG14" s="37">
        <f>Q14-Y14</f>
        <v>33</v>
      </c>
      <c r="AH14" s="37">
        <f>R14-Z14</f>
        <v>42</v>
      </c>
      <c r="AI14" s="37"/>
      <c r="AJ14" s="38"/>
      <c r="AK14" s="38">
        <f>SUM(AE14:AJ14)</f>
        <v>95</v>
      </c>
    </row>
    <row r="15" spans="2:37" ht="18" customHeight="1" x14ac:dyDescent="0.2">
      <c r="B15" s="10">
        <f>garage!B15</f>
        <v>15</v>
      </c>
      <c r="C15" s="10">
        <f>garage!C15</f>
        <v>1</v>
      </c>
      <c r="D15" s="10">
        <f>garage!D15</f>
        <v>14</v>
      </c>
      <c r="E15" s="10">
        <f>garage!E15</f>
        <v>0</v>
      </c>
      <c r="F15" s="10" t="str">
        <f>garage!F15</f>
        <v>P</v>
      </c>
      <c r="G15" s="10" t="str">
        <f>garage!G15</f>
        <v>O</v>
      </c>
      <c r="H15" s="10" t="str">
        <f>garage!H15</f>
        <v>O</v>
      </c>
      <c r="I15" s="10" t="str">
        <f>garage!I15</f>
        <v>O</v>
      </c>
      <c r="J15" s="10" t="str">
        <f>garage!J15</f>
        <v>N</v>
      </c>
      <c r="K15" s="10" t="str">
        <f>garage!K15</f>
        <v>D</v>
      </c>
      <c r="L15" s="11" t="str">
        <f>garage!L15</f>
        <v>Porsche</v>
      </c>
      <c r="M15" s="11" t="str">
        <f>garage!M15</f>
        <v>718 Cayman</v>
      </c>
      <c r="O15" s="19">
        <v>25</v>
      </c>
      <c r="P15" s="16">
        <v>8</v>
      </c>
      <c r="Q15" s="16">
        <v>14</v>
      </c>
      <c r="R15" s="16">
        <v>28</v>
      </c>
      <c r="S15" s="16"/>
      <c r="T15" s="17"/>
      <c r="U15" s="61">
        <f t="shared" si="1"/>
        <v>75</v>
      </c>
      <c r="W15" s="33">
        <v>25</v>
      </c>
      <c r="X15" s="34">
        <v>8</v>
      </c>
      <c r="Y15" s="34">
        <v>14</v>
      </c>
      <c r="Z15" s="34">
        <v>28</v>
      </c>
      <c r="AA15" s="34"/>
      <c r="AB15" s="35"/>
      <c r="AC15" s="35">
        <f t="shared" ref="AC15:AC58" si="3">SUM(W15:AB15)</f>
        <v>75</v>
      </c>
      <c r="AE15" s="39"/>
      <c r="AF15" s="40"/>
      <c r="AG15" s="40"/>
      <c r="AH15" s="40"/>
      <c r="AI15" s="40"/>
      <c r="AJ15" s="41"/>
      <c r="AK15" s="41"/>
    </row>
    <row r="16" spans="2:37" ht="18" customHeight="1" x14ac:dyDescent="0.2">
      <c r="B16" s="8">
        <f>garage!B16</f>
        <v>16</v>
      </c>
      <c r="C16" s="8">
        <f>garage!C16</f>
        <v>1</v>
      </c>
      <c r="D16" s="8">
        <f>garage!D16</f>
        <v>15</v>
      </c>
      <c r="E16" s="8">
        <f>garage!E16</f>
        <v>17</v>
      </c>
      <c r="F16" s="8" t="str">
        <f>garage!F16</f>
        <v>--</v>
      </c>
      <c r="G16" s="8" t="str">
        <f>garage!G16</f>
        <v>O</v>
      </c>
      <c r="H16" s="8" t="str">
        <f>garage!H16</f>
        <v>O</v>
      </c>
      <c r="I16" s="8" t="str">
        <f>garage!I16</f>
        <v>N</v>
      </c>
      <c r="J16" s="8" t="str">
        <f>garage!J16</f>
        <v>N</v>
      </c>
      <c r="K16" s="8" t="str">
        <f>garage!K16</f>
        <v>D</v>
      </c>
      <c r="L16" s="9" t="str">
        <f>garage!L16</f>
        <v>Infiniti</v>
      </c>
      <c r="M16" s="9" t="str">
        <f>garage!M16</f>
        <v>Projet Black S</v>
      </c>
      <c r="O16" s="18">
        <v>30</v>
      </c>
      <c r="P16" s="14">
        <v>23</v>
      </c>
      <c r="Q16" s="14">
        <v>33</v>
      </c>
      <c r="R16" s="14">
        <v>42</v>
      </c>
      <c r="S16" s="14"/>
      <c r="T16" s="15"/>
      <c r="U16" s="60">
        <f t="shared" si="1"/>
        <v>128</v>
      </c>
      <c r="W16" s="30">
        <v>30</v>
      </c>
      <c r="X16" s="31">
        <v>23</v>
      </c>
      <c r="Y16" s="31">
        <v>33</v>
      </c>
      <c r="Z16" s="31">
        <v>42</v>
      </c>
      <c r="AA16" s="31"/>
      <c r="AB16" s="32"/>
      <c r="AC16" s="32">
        <f t="shared" si="3"/>
        <v>128</v>
      </c>
      <c r="AE16" s="36"/>
      <c r="AF16" s="37"/>
      <c r="AG16" s="37"/>
      <c r="AH16" s="37"/>
      <c r="AI16" s="37"/>
      <c r="AJ16" s="38"/>
      <c r="AK16" s="38"/>
    </row>
    <row r="17" spans="2:37" ht="18" customHeight="1" x14ac:dyDescent="0.2">
      <c r="B17" s="10">
        <f>garage!B17</f>
        <v>17</v>
      </c>
      <c r="C17" s="10">
        <f>garage!C17</f>
        <v>1</v>
      </c>
      <c r="D17" s="10">
        <f>garage!D17</f>
        <v>16</v>
      </c>
      <c r="E17" s="10">
        <f>garage!E17</f>
        <v>0</v>
      </c>
      <c r="F17" s="10" t="str">
        <f>garage!F17</f>
        <v>--</v>
      </c>
      <c r="G17" s="10" t="str">
        <f>garage!G17</f>
        <v>O</v>
      </c>
      <c r="H17" s="10" t="str">
        <f>garage!H17</f>
        <v>O</v>
      </c>
      <c r="I17" s="10" t="str">
        <f>garage!I17</f>
        <v>O</v>
      </c>
      <c r="J17" s="10" t="str">
        <f>garage!J17</f>
        <v>N</v>
      </c>
      <c r="K17" s="10" t="str">
        <f>garage!K17</f>
        <v>D</v>
      </c>
      <c r="L17" s="11" t="str">
        <f>garage!L17</f>
        <v>Lotus</v>
      </c>
      <c r="M17" s="11" t="str">
        <f>garage!M17</f>
        <v>Elise Sprint 220</v>
      </c>
      <c r="O17" s="19">
        <v>25</v>
      </c>
      <c r="P17" s="16">
        <v>12</v>
      </c>
      <c r="Q17" s="16">
        <v>18</v>
      </c>
      <c r="R17" s="16">
        <v>28</v>
      </c>
      <c r="S17" s="16"/>
      <c r="T17" s="17"/>
      <c r="U17" s="61">
        <f t="shared" si="1"/>
        <v>83</v>
      </c>
      <c r="W17" s="33">
        <v>25</v>
      </c>
      <c r="X17" s="34">
        <v>12</v>
      </c>
      <c r="Y17" s="34">
        <v>18</v>
      </c>
      <c r="Z17" s="34">
        <v>28</v>
      </c>
      <c r="AA17" s="34"/>
      <c r="AB17" s="35"/>
      <c r="AC17" s="35">
        <f t="shared" si="3"/>
        <v>83</v>
      </c>
      <c r="AE17" s="39"/>
      <c r="AF17" s="40"/>
      <c r="AG17" s="40"/>
      <c r="AH17" s="40"/>
      <c r="AI17" s="40"/>
      <c r="AJ17" s="41"/>
      <c r="AK17" s="41"/>
    </row>
    <row r="18" spans="2:37" ht="18" customHeight="1" x14ac:dyDescent="0.2">
      <c r="B18" s="8">
        <f>garage!B18</f>
        <v>18</v>
      </c>
      <c r="C18" s="8">
        <f>garage!C18</f>
        <v>1</v>
      </c>
      <c r="D18" s="8">
        <f>garage!D18</f>
        <v>17</v>
      </c>
      <c r="E18" s="8">
        <f>garage!E18</f>
        <v>25</v>
      </c>
      <c r="F18" s="8" t="str">
        <f>garage!F18</f>
        <v>L</v>
      </c>
      <c r="G18" s="8" t="str">
        <f>garage!G18</f>
        <v>O</v>
      </c>
      <c r="H18" s="8" t="str">
        <f>garage!H18</f>
        <v>N</v>
      </c>
      <c r="I18" s="8" t="str">
        <f>garage!I18</f>
        <v>N</v>
      </c>
      <c r="J18" s="8" t="str">
        <f>garage!J18</f>
        <v>O</v>
      </c>
      <c r="K18" s="8" t="str">
        <f>garage!K18</f>
        <v>D</v>
      </c>
      <c r="L18" s="9" t="str">
        <f>garage!L18</f>
        <v>Lamborghini</v>
      </c>
      <c r="M18" s="9" t="str">
        <f>garage!M18</f>
        <v>Countach 25th Anniversary</v>
      </c>
      <c r="O18" s="18">
        <v>30</v>
      </c>
      <c r="P18" s="14">
        <v>23</v>
      </c>
      <c r="Q18" s="14">
        <v>33</v>
      </c>
      <c r="R18" s="14">
        <v>42</v>
      </c>
      <c r="S18" s="14"/>
      <c r="T18" s="15"/>
      <c r="U18" s="60">
        <f t="shared" si="1"/>
        <v>128</v>
      </c>
      <c r="W18" s="30">
        <v>30</v>
      </c>
      <c r="X18" s="31">
        <v>23</v>
      </c>
      <c r="Y18" s="31">
        <v>11</v>
      </c>
      <c r="Z18" s="31"/>
      <c r="AA18" s="31"/>
      <c r="AB18" s="32"/>
      <c r="AC18" s="32">
        <f t="shared" si="3"/>
        <v>64</v>
      </c>
      <c r="AE18" s="36"/>
      <c r="AF18" s="37"/>
      <c r="AG18" s="37">
        <f>Q18-Y18</f>
        <v>22</v>
      </c>
      <c r="AH18" s="37">
        <f>R18-Z18</f>
        <v>42</v>
      </c>
      <c r="AI18" s="37"/>
      <c r="AJ18" s="38"/>
      <c r="AK18" s="38">
        <f>SUM(AE18:AJ18)</f>
        <v>64</v>
      </c>
    </row>
    <row r="19" spans="2:37" ht="18" customHeight="1" x14ac:dyDescent="0.2">
      <c r="B19" s="10">
        <f>garage!B19</f>
        <v>19</v>
      </c>
      <c r="C19" s="10">
        <f>garage!C19</f>
        <v>1</v>
      </c>
      <c r="D19" s="10">
        <f>garage!D19</f>
        <v>18</v>
      </c>
      <c r="E19" s="10">
        <f>garage!E19</f>
        <v>0</v>
      </c>
      <c r="F19" s="10" t="str">
        <f>garage!F19</f>
        <v>--</v>
      </c>
      <c r="G19" s="10" t="str">
        <f>garage!G19</f>
        <v>O</v>
      </c>
      <c r="H19" s="10" t="str">
        <f>garage!H19</f>
        <v>O</v>
      </c>
      <c r="I19" s="10" t="str">
        <f>garage!I19</f>
        <v>O</v>
      </c>
      <c r="J19" s="10" t="str">
        <f>garage!J19</f>
        <v>N</v>
      </c>
      <c r="K19" s="10" t="str">
        <f>garage!K19</f>
        <v>D</v>
      </c>
      <c r="L19" s="11" t="str">
        <f>garage!L19</f>
        <v>Ford</v>
      </c>
      <c r="M19" s="11" t="str">
        <f>garage!M19</f>
        <v>Shelby GT350R</v>
      </c>
      <c r="O19" s="19">
        <v>20</v>
      </c>
      <c r="P19" s="16">
        <v>8</v>
      </c>
      <c r="Q19" s="16">
        <v>14</v>
      </c>
      <c r="R19" s="16">
        <v>28</v>
      </c>
      <c r="S19" s="16"/>
      <c r="T19" s="17"/>
      <c r="U19" s="61">
        <f t="shared" si="1"/>
        <v>70</v>
      </c>
      <c r="W19" s="33">
        <v>20</v>
      </c>
      <c r="X19" s="34">
        <v>8</v>
      </c>
      <c r="Y19" s="34">
        <v>14</v>
      </c>
      <c r="Z19" s="34">
        <v>28</v>
      </c>
      <c r="AA19" s="34"/>
      <c r="AB19" s="35"/>
      <c r="AC19" s="35">
        <f t="shared" si="3"/>
        <v>70</v>
      </c>
      <c r="AE19" s="39"/>
      <c r="AF19" s="40"/>
      <c r="AG19" s="40"/>
      <c r="AH19" s="40"/>
      <c r="AI19" s="40"/>
      <c r="AJ19" s="41"/>
      <c r="AK19" s="41"/>
    </row>
    <row r="20" spans="2:37" ht="18" customHeight="1" x14ac:dyDescent="0.2">
      <c r="B20" s="8">
        <f>garage!B20</f>
        <v>20</v>
      </c>
      <c r="C20" s="8">
        <f>garage!C20</f>
        <v>1</v>
      </c>
      <c r="D20" s="8">
        <f>garage!D20</f>
        <v>19</v>
      </c>
      <c r="E20" s="8">
        <f>garage!E20</f>
        <v>6</v>
      </c>
      <c r="F20" s="8" t="str">
        <f>garage!F20</f>
        <v>P</v>
      </c>
      <c r="G20" s="8" t="str">
        <f>garage!G20</f>
        <v>O</v>
      </c>
      <c r="H20" s="8" t="str">
        <f>garage!H20</f>
        <v>O</v>
      </c>
      <c r="I20" s="8" t="str">
        <f>garage!I20</f>
        <v>O</v>
      </c>
      <c r="J20" s="8" t="str">
        <f>garage!J20</f>
        <v>N</v>
      </c>
      <c r="K20" s="8" t="str">
        <f>garage!K20</f>
        <v>D</v>
      </c>
      <c r="L20" s="9" t="str">
        <f>garage!L20</f>
        <v>Porsche</v>
      </c>
      <c r="M20" s="9" t="str">
        <f>garage!M20</f>
        <v>911 Targa 4S</v>
      </c>
      <c r="O20" s="18">
        <v>30</v>
      </c>
      <c r="P20" s="14">
        <v>23</v>
      </c>
      <c r="Q20" s="14">
        <v>33</v>
      </c>
      <c r="R20" s="14">
        <v>42</v>
      </c>
      <c r="S20" s="14"/>
      <c r="T20" s="15"/>
      <c r="U20" s="60">
        <f t="shared" si="1"/>
        <v>128</v>
      </c>
      <c r="W20" s="30">
        <v>30</v>
      </c>
      <c r="X20" s="31">
        <v>23</v>
      </c>
      <c r="Y20" s="31">
        <v>33</v>
      </c>
      <c r="Z20" s="31">
        <v>42</v>
      </c>
      <c r="AA20" s="31"/>
      <c r="AB20" s="32"/>
      <c r="AC20" s="32">
        <f t="shared" si="3"/>
        <v>128</v>
      </c>
      <c r="AE20" s="36"/>
      <c r="AF20" s="37"/>
      <c r="AG20" s="37"/>
      <c r="AH20" s="37"/>
      <c r="AI20" s="37"/>
      <c r="AJ20" s="38"/>
      <c r="AK20" s="38"/>
    </row>
    <row r="21" spans="2:37" ht="18" customHeight="1" x14ac:dyDescent="0.2">
      <c r="B21" s="10">
        <f>garage!B21</f>
        <v>21</v>
      </c>
      <c r="C21" s="10">
        <f>garage!C21</f>
        <v>1</v>
      </c>
      <c r="D21" s="10">
        <f>garage!D21</f>
        <v>20</v>
      </c>
      <c r="E21" s="10">
        <f>garage!E21</f>
        <v>23</v>
      </c>
      <c r="F21" s="10" t="str">
        <f>garage!F21</f>
        <v>--</v>
      </c>
      <c r="G21" s="10" t="str">
        <f>garage!G21</f>
        <v>O</v>
      </c>
      <c r="H21" s="10" t="str">
        <f>garage!H21</f>
        <v>O</v>
      </c>
      <c r="I21" s="10" t="str">
        <f>garage!I21</f>
        <v>N</v>
      </c>
      <c r="J21" s="10" t="str">
        <f>garage!J21</f>
        <v>N</v>
      </c>
      <c r="K21" s="10" t="str">
        <f>garage!K21</f>
        <v>D</v>
      </c>
      <c r="L21" s="11" t="str">
        <f>garage!L21</f>
        <v>Lotus</v>
      </c>
      <c r="M21" s="11" t="str">
        <f>garage!M21</f>
        <v>Emira</v>
      </c>
      <c r="O21" s="19">
        <v>30</v>
      </c>
      <c r="P21" s="16">
        <v>23</v>
      </c>
      <c r="Q21" s="16">
        <v>33</v>
      </c>
      <c r="R21" s="16">
        <v>42</v>
      </c>
      <c r="S21" s="16"/>
      <c r="T21" s="17"/>
      <c r="U21" s="61">
        <f t="shared" si="1"/>
        <v>128</v>
      </c>
      <c r="W21" s="33">
        <v>30</v>
      </c>
      <c r="X21" s="34">
        <v>23</v>
      </c>
      <c r="Y21" s="34">
        <v>33</v>
      </c>
      <c r="Z21" s="34">
        <v>42</v>
      </c>
      <c r="AA21" s="34"/>
      <c r="AB21" s="35"/>
      <c r="AC21" s="35">
        <f t="shared" si="3"/>
        <v>128</v>
      </c>
      <c r="AE21" s="39"/>
      <c r="AF21" s="40"/>
      <c r="AG21" s="40"/>
      <c r="AH21" s="40"/>
      <c r="AI21" s="40"/>
      <c r="AJ21" s="41"/>
      <c r="AK21" s="41"/>
    </row>
    <row r="22" spans="2:37" ht="18" customHeight="1" x14ac:dyDescent="0.2">
      <c r="B22" s="8">
        <f>garage!B22</f>
        <v>22</v>
      </c>
      <c r="C22" s="8">
        <f>garage!C22</f>
        <v>1</v>
      </c>
      <c r="D22" s="8">
        <f>garage!D22</f>
        <v>21</v>
      </c>
      <c r="E22" s="8">
        <f>garage!E22</f>
        <v>28</v>
      </c>
      <c r="F22" s="8" t="str">
        <f>garage!F22</f>
        <v>--</v>
      </c>
      <c r="G22" s="8" t="str">
        <f>garage!G22</f>
        <v>O</v>
      </c>
      <c r="H22" s="8" t="str">
        <f>garage!H22</f>
        <v>N</v>
      </c>
      <c r="I22" s="8" t="str">
        <f>garage!I22</f>
        <v>N</v>
      </c>
      <c r="J22" s="8" t="str">
        <f>garage!J22</f>
        <v>N</v>
      </c>
      <c r="K22" s="8" t="str">
        <f>garage!K22</f>
        <v>D</v>
      </c>
      <c r="L22" s="9" t="str">
        <f>garage!L22</f>
        <v>Prague</v>
      </c>
      <c r="M22" s="9" t="str">
        <f>garage!M22</f>
        <v>R1</v>
      </c>
      <c r="O22" s="18">
        <v>30</v>
      </c>
      <c r="P22" s="14">
        <v>23</v>
      </c>
      <c r="Q22" s="14">
        <v>33</v>
      </c>
      <c r="R22" s="14">
        <v>42</v>
      </c>
      <c r="S22" s="14"/>
      <c r="T22" s="15"/>
      <c r="U22" s="60">
        <f t="shared" si="1"/>
        <v>128</v>
      </c>
      <c r="W22" s="30">
        <v>30</v>
      </c>
      <c r="X22" s="31">
        <v>23</v>
      </c>
      <c r="Y22" s="31">
        <v>33</v>
      </c>
      <c r="Z22" s="31"/>
      <c r="AA22" s="31"/>
      <c r="AB22" s="32"/>
      <c r="AC22" s="32">
        <f t="shared" si="3"/>
        <v>86</v>
      </c>
      <c r="AE22" s="36"/>
      <c r="AF22" s="37"/>
      <c r="AG22" s="37"/>
      <c r="AH22" s="37">
        <f>R22-Z22</f>
        <v>42</v>
      </c>
      <c r="AI22" s="37"/>
      <c r="AJ22" s="38"/>
      <c r="AK22" s="38">
        <f>SUM(AE22:AJ22)</f>
        <v>42</v>
      </c>
    </row>
    <row r="23" spans="2:37" ht="18" customHeight="1" x14ac:dyDescent="0.2">
      <c r="B23" s="10">
        <f>garage!B23</f>
        <v>23</v>
      </c>
      <c r="C23" s="10">
        <f>garage!C23</f>
        <v>1</v>
      </c>
      <c r="D23" s="10">
        <f>garage!D23</f>
        <v>22</v>
      </c>
      <c r="E23" s="10">
        <f>garage!E23</f>
        <v>6</v>
      </c>
      <c r="F23" s="10" t="str">
        <f>garage!F23</f>
        <v>--</v>
      </c>
      <c r="G23" s="10" t="str">
        <f>garage!G23</f>
        <v>O</v>
      </c>
      <c r="H23" s="10" t="str">
        <f>garage!H23</f>
        <v>O</v>
      </c>
      <c r="I23" s="10" t="str">
        <f>garage!I23</f>
        <v>O</v>
      </c>
      <c r="J23" s="10" t="str">
        <f>garage!J23</f>
        <v>N</v>
      </c>
      <c r="K23" s="10" t="str">
        <f>garage!K23</f>
        <v>D</v>
      </c>
      <c r="L23" s="11" t="str">
        <f>garage!L23</f>
        <v>Ginetta</v>
      </c>
      <c r="M23" s="11" t="str">
        <f>garage!M23</f>
        <v>G60</v>
      </c>
      <c r="O23" s="19">
        <v>30</v>
      </c>
      <c r="P23" s="16">
        <v>23</v>
      </c>
      <c r="Q23" s="16">
        <v>33</v>
      </c>
      <c r="R23" s="16">
        <v>42</v>
      </c>
      <c r="S23" s="16"/>
      <c r="T23" s="17"/>
      <c r="U23" s="61">
        <f t="shared" si="1"/>
        <v>128</v>
      </c>
      <c r="W23" s="33">
        <v>30</v>
      </c>
      <c r="X23" s="34">
        <v>23</v>
      </c>
      <c r="Y23" s="34">
        <v>33</v>
      </c>
      <c r="Z23" s="34">
        <v>42</v>
      </c>
      <c r="AA23" s="34"/>
      <c r="AB23" s="35"/>
      <c r="AC23" s="35">
        <f t="shared" si="3"/>
        <v>128</v>
      </c>
      <c r="AE23" s="39"/>
      <c r="AF23" s="40"/>
      <c r="AG23" s="40"/>
      <c r="AH23" s="40"/>
      <c r="AI23" s="40"/>
      <c r="AJ23" s="41"/>
      <c r="AK23" s="41"/>
    </row>
    <row r="24" spans="2:37" ht="18" customHeight="1" x14ac:dyDescent="0.2">
      <c r="B24" s="8">
        <f>garage!B24</f>
        <v>24</v>
      </c>
      <c r="C24" s="8">
        <f>garage!C24</f>
        <v>1</v>
      </c>
      <c r="D24" s="8">
        <f>garage!D24</f>
        <v>23</v>
      </c>
      <c r="E24" s="8">
        <f>garage!E24</f>
        <v>21</v>
      </c>
      <c r="F24" s="8" t="str">
        <f>garage!F24</f>
        <v>--</v>
      </c>
      <c r="G24" s="8" t="str">
        <f>garage!G24</f>
        <v>O</v>
      </c>
      <c r="H24" s="8" t="str">
        <f>garage!H24</f>
        <v>N</v>
      </c>
      <c r="I24" s="8" t="str">
        <f>garage!I24</f>
        <v>N</v>
      </c>
      <c r="J24" s="8" t="str">
        <f>garage!J24</f>
        <v>N</v>
      </c>
      <c r="K24" s="8" t="str">
        <f>garage!K24</f>
        <v>D</v>
      </c>
      <c r="L24" s="9" t="str">
        <f>garage!L24</f>
        <v>Renault</v>
      </c>
      <c r="M24" s="9" t="str">
        <f>garage!M24</f>
        <v>TreZor</v>
      </c>
      <c r="O24" s="18">
        <v>30</v>
      </c>
      <c r="P24" s="14">
        <v>23</v>
      </c>
      <c r="Q24" s="14">
        <v>33</v>
      </c>
      <c r="R24" s="14">
        <v>42</v>
      </c>
      <c r="S24" s="14"/>
      <c r="T24" s="15"/>
      <c r="U24" s="60">
        <f t="shared" si="1"/>
        <v>128</v>
      </c>
      <c r="W24" s="30">
        <v>30</v>
      </c>
      <c r="X24" s="31">
        <v>23</v>
      </c>
      <c r="Y24" s="31">
        <v>8</v>
      </c>
      <c r="Z24" s="31"/>
      <c r="AA24" s="31"/>
      <c r="AB24" s="32"/>
      <c r="AC24" s="32">
        <f t="shared" si="3"/>
        <v>61</v>
      </c>
      <c r="AE24" s="36"/>
      <c r="AF24" s="37"/>
      <c r="AG24" s="37">
        <f>Q24-Y24</f>
        <v>25</v>
      </c>
      <c r="AH24" s="37">
        <f>R24-Z24</f>
        <v>42</v>
      </c>
      <c r="AI24" s="37"/>
      <c r="AJ24" s="38"/>
      <c r="AK24" s="38">
        <f>SUM(AE24:AJ24)</f>
        <v>67</v>
      </c>
    </row>
    <row r="25" spans="2:37" ht="18" customHeight="1" x14ac:dyDescent="0.2">
      <c r="B25" s="8">
        <f>garage!B25</f>
        <v>25</v>
      </c>
      <c r="C25" s="8">
        <f>garage!C25</f>
        <v>1</v>
      </c>
      <c r="D25" s="8">
        <f>garage!D25</f>
        <v>24</v>
      </c>
      <c r="E25" s="8">
        <f>garage!E25</f>
        <v>32</v>
      </c>
      <c r="F25" s="8" t="str">
        <f>garage!F25</f>
        <v>--</v>
      </c>
      <c r="G25" s="8" t="str">
        <f>garage!G25</f>
        <v>N</v>
      </c>
      <c r="H25" s="8" t="str">
        <f>garage!H25</f>
        <v>N</v>
      </c>
      <c r="I25" s="8" t="str">
        <f>garage!I25</f>
        <v>N</v>
      </c>
      <c r="J25" s="8" t="str">
        <f>garage!J25</f>
        <v>N</v>
      </c>
      <c r="K25" s="8" t="str">
        <f>garage!K25</f>
        <v>D</v>
      </c>
      <c r="L25" s="9" t="str">
        <f>garage!L25</f>
        <v>Nissan</v>
      </c>
      <c r="M25" s="9" t="str">
        <f>garage!M25</f>
        <v>370Z Édition Néon</v>
      </c>
      <c r="O25" s="18">
        <v>30</v>
      </c>
      <c r="P25" s="14">
        <v>23</v>
      </c>
      <c r="Q25" s="14">
        <v>33</v>
      </c>
      <c r="R25" s="14">
        <v>42</v>
      </c>
      <c r="S25" s="14" t="s">
        <v>107</v>
      </c>
      <c r="T25" s="15" t="s">
        <v>107</v>
      </c>
      <c r="U25" s="60"/>
      <c r="W25" s="30"/>
      <c r="X25" s="31"/>
      <c r="Y25" s="31"/>
      <c r="Z25" s="31"/>
      <c r="AA25" s="31"/>
      <c r="AB25" s="32"/>
      <c r="AC25" s="32"/>
      <c r="AE25" s="36"/>
      <c r="AF25" s="37"/>
      <c r="AG25" s="37"/>
      <c r="AH25" s="37"/>
      <c r="AI25" s="37"/>
      <c r="AJ25" s="38"/>
      <c r="AK25" s="38"/>
    </row>
    <row r="26" spans="2:37" ht="18" customHeight="1" x14ac:dyDescent="0.2">
      <c r="B26" s="10">
        <f>garage!B26</f>
        <v>26</v>
      </c>
      <c r="C26" s="10">
        <f>garage!C26</f>
        <v>1</v>
      </c>
      <c r="D26" s="10">
        <f>garage!D26</f>
        <v>25</v>
      </c>
      <c r="E26" s="10">
        <f>garage!E26</f>
        <v>10</v>
      </c>
      <c r="F26" s="10" t="str">
        <f>garage!F26</f>
        <v>--</v>
      </c>
      <c r="G26" s="10" t="str">
        <f>garage!G26</f>
        <v>O</v>
      </c>
      <c r="H26" s="10" t="str">
        <f>garage!H26</f>
        <v>O</v>
      </c>
      <c r="I26" s="10" t="str">
        <f>garage!I26</f>
        <v>N</v>
      </c>
      <c r="J26" s="10" t="str">
        <f>garage!J26</f>
        <v>N</v>
      </c>
      <c r="K26" s="10" t="str">
        <f>garage!K26</f>
        <v>D</v>
      </c>
      <c r="L26" s="11" t="str">
        <f>garage!L26</f>
        <v>Honda</v>
      </c>
      <c r="M26" s="11" t="str">
        <f>garage!M26</f>
        <v>Civic Type-R</v>
      </c>
      <c r="O26" s="19">
        <v>30</v>
      </c>
      <c r="P26" s="16">
        <v>23</v>
      </c>
      <c r="Q26" s="16">
        <v>33</v>
      </c>
      <c r="R26" s="16">
        <v>42</v>
      </c>
      <c r="S26" s="16"/>
      <c r="T26" s="17"/>
      <c r="U26" s="61">
        <f t="shared" si="1"/>
        <v>128</v>
      </c>
      <c r="W26" s="33">
        <v>30</v>
      </c>
      <c r="X26" s="34">
        <v>23</v>
      </c>
      <c r="Y26" s="34">
        <v>33</v>
      </c>
      <c r="Z26" s="34">
        <v>42</v>
      </c>
      <c r="AA26" s="34"/>
      <c r="AB26" s="35"/>
      <c r="AC26" s="35">
        <f t="shared" si="3"/>
        <v>128</v>
      </c>
      <c r="AE26" s="39"/>
      <c r="AF26" s="40"/>
      <c r="AG26" s="40"/>
      <c r="AH26" s="40"/>
      <c r="AI26" s="40"/>
      <c r="AJ26" s="41"/>
      <c r="AK26" s="41"/>
    </row>
    <row r="27" spans="2:37" ht="18" customHeight="1" x14ac:dyDescent="0.2">
      <c r="B27" s="8">
        <f>garage!B27</f>
        <v>27</v>
      </c>
      <c r="C27" s="8">
        <f>garage!C27</f>
        <v>1</v>
      </c>
      <c r="D27" s="8">
        <f>garage!D27</f>
        <v>26</v>
      </c>
      <c r="E27" s="8">
        <f>garage!E27</f>
        <v>11</v>
      </c>
      <c r="F27" s="8" t="str">
        <f>garage!F27</f>
        <v>P</v>
      </c>
      <c r="G27" s="8" t="str">
        <f>garage!G27</f>
        <v>O</v>
      </c>
      <c r="H27" s="8" t="str">
        <f>garage!H27</f>
        <v>O</v>
      </c>
      <c r="I27" s="8" t="str">
        <f>garage!I27</f>
        <v>O</v>
      </c>
      <c r="J27" s="8" t="str">
        <f>garage!J27</f>
        <v>N</v>
      </c>
      <c r="K27" s="8" t="str">
        <f>garage!K27</f>
        <v>D</v>
      </c>
      <c r="L27" s="9" t="str">
        <f>garage!L27</f>
        <v>Porsche</v>
      </c>
      <c r="M27" s="9" t="str">
        <f>garage!M27</f>
        <v>Taycan Turbo S</v>
      </c>
      <c r="O27" s="18">
        <v>30</v>
      </c>
      <c r="P27" s="14">
        <v>23</v>
      </c>
      <c r="Q27" s="14">
        <v>33</v>
      </c>
      <c r="R27" s="14">
        <v>42</v>
      </c>
      <c r="S27" s="14"/>
      <c r="T27" s="15"/>
      <c r="U27" s="60">
        <f t="shared" si="1"/>
        <v>128</v>
      </c>
      <c r="W27" s="30">
        <v>30</v>
      </c>
      <c r="X27" s="31">
        <v>23</v>
      </c>
      <c r="Y27" s="31">
        <v>33</v>
      </c>
      <c r="Z27" s="31">
        <v>42</v>
      </c>
      <c r="AA27" s="31"/>
      <c r="AB27" s="32"/>
      <c r="AC27" s="32">
        <f t="shared" si="3"/>
        <v>128</v>
      </c>
      <c r="AE27" s="36"/>
      <c r="AF27" s="37"/>
      <c r="AG27" s="37"/>
      <c r="AH27" s="37"/>
      <c r="AI27" s="37"/>
      <c r="AJ27" s="38"/>
      <c r="AK27" s="38"/>
    </row>
    <row r="28" spans="2:37" ht="18" customHeight="1" x14ac:dyDescent="0.2">
      <c r="B28" s="10">
        <f>garage!B28</f>
        <v>28</v>
      </c>
      <c r="C28" s="10">
        <f>garage!C28</f>
        <v>1</v>
      </c>
      <c r="D28" s="10">
        <f>garage!D28</f>
        <v>27</v>
      </c>
      <c r="E28" s="10">
        <f>garage!E28</f>
        <v>7</v>
      </c>
      <c r="F28" s="10" t="str">
        <f>garage!F28</f>
        <v>--</v>
      </c>
      <c r="G28" s="10" t="str">
        <f>garage!G28</f>
        <v>O</v>
      </c>
      <c r="H28" s="10" t="str">
        <f>garage!H28</f>
        <v>O</v>
      </c>
      <c r="I28" s="10" t="str">
        <f>garage!I28</f>
        <v>O</v>
      </c>
      <c r="J28" s="10" t="str">
        <f>garage!J28</f>
        <v>N</v>
      </c>
      <c r="K28" s="10" t="str">
        <f>garage!K28</f>
        <v>D</v>
      </c>
      <c r="L28" s="11" t="str">
        <f>garage!L28</f>
        <v>TVR</v>
      </c>
      <c r="M28" s="11" t="str">
        <f>garage!M28</f>
        <v>Griffith</v>
      </c>
      <c r="O28" s="19">
        <v>30</v>
      </c>
      <c r="P28" s="16">
        <v>23</v>
      </c>
      <c r="Q28" s="16">
        <v>33</v>
      </c>
      <c r="R28" s="16">
        <v>42</v>
      </c>
      <c r="S28" s="16"/>
      <c r="T28" s="17"/>
      <c r="U28" s="61">
        <f t="shared" si="1"/>
        <v>128</v>
      </c>
      <c r="W28" s="33">
        <v>30</v>
      </c>
      <c r="X28" s="34">
        <v>23</v>
      </c>
      <c r="Y28" s="34">
        <v>33</v>
      </c>
      <c r="Z28" s="34">
        <v>42</v>
      </c>
      <c r="AA28" s="34"/>
      <c r="AB28" s="35"/>
      <c r="AC28" s="35">
        <f t="shared" si="3"/>
        <v>128</v>
      </c>
      <c r="AE28" s="39"/>
      <c r="AF28" s="40"/>
      <c r="AG28" s="40"/>
      <c r="AH28" s="40"/>
      <c r="AI28" s="40"/>
      <c r="AJ28" s="41"/>
      <c r="AK28" s="41"/>
    </row>
    <row r="29" spans="2:37" ht="18" customHeight="1" x14ac:dyDescent="0.2">
      <c r="B29" s="8">
        <f>garage!B29</f>
        <v>29</v>
      </c>
      <c r="C29" s="8">
        <f>garage!C29</f>
        <v>1</v>
      </c>
      <c r="D29" s="8">
        <f>garage!D29</f>
        <v>28</v>
      </c>
      <c r="E29" s="8">
        <f>garage!E29</f>
        <v>14</v>
      </c>
      <c r="F29" s="8" t="str">
        <f>garage!F29</f>
        <v>--</v>
      </c>
      <c r="G29" s="8" t="str">
        <f>garage!G29</f>
        <v>O</v>
      </c>
      <c r="H29" s="8" t="str">
        <f>garage!H29</f>
        <v>O</v>
      </c>
      <c r="I29" s="8" t="str">
        <f>garage!I29</f>
        <v>N</v>
      </c>
      <c r="J29" s="8" t="str">
        <f>garage!J29</f>
        <v>N</v>
      </c>
      <c r="K29" s="8" t="str">
        <f>garage!K29</f>
        <v>D</v>
      </c>
      <c r="L29" s="9" t="str">
        <f>garage!L29</f>
        <v>Bentley</v>
      </c>
      <c r="M29" s="9" t="str">
        <f>garage!M29</f>
        <v>Continental GT3</v>
      </c>
      <c r="O29" s="18" t="s">
        <v>115</v>
      </c>
      <c r="P29" s="14">
        <v>26</v>
      </c>
      <c r="Q29" s="14">
        <v>38</v>
      </c>
      <c r="R29" s="14">
        <v>64</v>
      </c>
      <c r="S29" s="14"/>
      <c r="T29" s="15"/>
      <c r="U29" s="60">
        <f t="shared" si="1"/>
        <v>128</v>
      </c>
      <c r="W29" s="30" t="s">
        <v>115</v>
      </c>
      <c r="X29" s="31">
        <v>26</v>
      </c>
      <c r="Y29" s="31">
        <v>38</v>
      </c>
      <c r="Z29" s="31">
        <v>64</v>
      </c>
      <c r="AA29" s="31"/>
      <c r="AB29" s="32"/>
      <c r="AC29" s="32">
        <f t="shared" si="3"/>
        <v>128</v>
      </c>
      <c r="AE29" s="36"/>
      <c r="AF29" s="37"/>
      <c r="AG29" s="37"/>
      <c r="AH29" s="37"/>
      <c r="AI29" s="37"/>
      <c r="AJ29" s="38"/>
      <c r="AK29" s="38"/>
    </row>
    <row r="30" spans="2:37" ht="18" customHeight="1" x14ac:dyDescent="0.2">
      <c r="B30" s="10">
        <f>garage!B30</f>
        <v>30</v>
      </c>
      <c r="C30" s="10">
        <f>garage!C30</f>
        <v>1</v>
      </c>
      <c r="D30" s="10">
        <f>garage!D30</f>
        <v>29</v>
      </c>
      <c r="E30" s="10">
        <f>garage!E30</f>
        <v>0</v>
      </c>
      <c r="F30" s="10" t="str">
        <f>garage!F30</f>
        <v>--</v>
      </c>
      <c r="G30" s="10" t="str">
        <f>garage!G30</f>
        <v>O</v>
      </c>
      <c r="H30" s="10" t="str">
        <f>garage!H30</f>
        <v>O</v>
      </c>
      <c r="I30" s="10" t="str">
        <f>garage!I30</f>
        <v>O</v>
      </c>
      <c r="J30" s="10" t="str">
        <f>garage!J30</f>
        <v>N</v>
      </c>
      <c r="K30" s="10" t="str">
        <f>garage!K30</f>
        <v>D</v>
      </c>
      <c r="L30" s="11" t="str">
        <f>garage!L30</f>
        <v>Mazda</v>
      </c>
      <c r="M30" s="11" t="str">
        <f>garage!M30</f>
        <v>Furai</v>
      </c>
      <c r="O30" s="19">
        <v>30</v>
      </c>
      <c r="P30" s="16">
        <v>23</v>
      </c>
      <c r="Q30" s="16">
        <v>33</v>
      </c>
      <c r="R30" s="16">
        <v>42</v>
      </c>
      <c r="S30" s="16"/>
      <c r="T30" s="17"/>
      <c r="U30" s="61">
        <f t="shared" si="1"/>
        <v>128</v>
      </c>
      <c r="W30" s="33">
        <v>30</v>
      </c>
      <c r="X30" s="34">
        <v>23</v>
      </c>
      <c r="Y30" s="34">
        <v>33</v>
      </c>
      <c r="Z30" s="34">
        <v>42</v>
      </c>
      <c r="AA30" s="34"/>
      <c r="AB30" s="35"/>
      <c r="AC30" s="35">
        <f t="shared" si="3"/>
        <v>128</v>
      </c>
      <c r="AE30" s="39"/>
      <c r="AF30" s="40"/>
      <c r="AG30" s="40"/>
      <c r="AH30" s="40"/>
      <c r="AI30" s="40"/>
      <c r="AJ30" s="41"/>
      <c r="AK30" s="41"/>
    </row>
    <row r="31" spans="2:37" ht="18" customHeight="1" x14ac:dyDescent="0.2">
      <c r="B31" s="8">
        <f>garage!B31</f>
        <v>31</v>
      </c>
      <c r="C31" s="8">
        <f>garage!C31</f>
        <v>1</v>
      </c>
      <c r="D31" s="8">
        <f>garage!D31</f>
        <v>30</v>
      </c>
      <c r="E31" s="8">
        <f>garage!E31</f>
        <v>13</v>
      </c>
      <c r="F31" s="8" t="str">
        <f>garage!F31</f>
        <v>C</v>
      </c>
      <c r="G31" s="8" t="str">
        <f>garage!G31</f>
        <v>O</v>
      </c>
      <c r="H31" s="8" t="str">
        <f>garage!H31</f>
        <v>O</v>
      </c>
      <c r="I31" s="8" t="str">
        <f>garage!I31</f>
        <v>N</v>
      </c>
      <c r="J31" s="8" t="str">
        <f>garage!J31</f>
        <v>N</v>
      </c>
      <c r="K31" s="8" t="str">
        <f>garage!K31</f>
        <v>D</v>
      </c>
      <c r="L31" s="9" t="str">
        <f>garage!L31</f>
        <v>Chevrolet</v>
      </c>
      <c r="M31" s="9" t="str">
        <f>garage!M31</f>
        <v>Corvette C7.R</v>
      </c>
      <c r="O31" s="18" t="s">
        <v>115</v>
      </c>
      <c r="P31" s="14">
        <v>22</v>
      </c>
      <c r="Q31" s="14">
        <v>30</v>
      </c>
      <c r="R31" s="14">
        <v>35</v>
      </c>
      <c r="S31" s="14">
        <v>38</v>
      </c>
      <c r="T31" s="15"/>
      <c r="U31" s="60">
        <f t="shared" si="1"/>
        <v>125</v>
      </c>
      <c r="W31" s="30" t="s">
        <v>115</v>
      </c>
      <c r="X31" s="31">
        <v>22</v>
      </c>
      <c r="Y31" s="31">
        <v>30</v>
      </c>
      <c r="Z31" s="31">
        <v>35</v>
      </c>
      <c r="AA31" s="31">
        <v>38</v>
      </c>
      <c r="AB31" s="32"/>
      <c r="AC31" s="32">
        <f t="shared" si="3"/>
        <v>125</v>
      </c>
      <c r="AE31" s="36"/>
      <c r="AF31" s="37"/>
      <c r="AG31" s="37"/>
      <c r="AH31" s="37"/>
      <c r="AI31" s="37"/>
      <c r="AJ31" s="38"/>
      <c r="AK31" s="38"/>
    </row>
    <row r="32" spans="2:37" ht="18" customHeight="1" x14ac:dyDescent="0.2">
      <c r="B32" s="10">
        <f>garage!B32</f>
        <v>32</v>
      </c>
      <c r="C32" s="10">
        <f>garage!C32</f>
        <v>1</v>
      </c>
      <c r="D32" s="10">
        <f>garage!D32</f>
        <v>31</v>
      </c>
      <c r="E32" s="10">
        <f>garage!E32</f>
        <v>16</v>
      </c>
      <c r="F32" s="10" t="str">
        <f>garage!F32</f>
        <v>L</v>
      </c>
      <c r="G32" s="10" t="str">
        <f>garage!G32</f>
        <v>N</v>
      </c>
      <c r="H32" s="10" t="str">
        <f>garage!H32</f>
        <v>N</v>
      </c>
      <c r="I32" s="10" t="str">
        <f>garage!I32</f>
        <v>N</v>
      </c>
      <c r="J32" s="10" t="str">
        <f>garage!J32</f>
        <v>N</v>
      </c>
      <c r="K32" s="10" t="str">
        <f>garage!K32</f>
        <v>D</v>
      </c>
      <c r="L32" s="11" t="str">
        <f>garage!L32</f>
        <v>Lamborghini</v>
      </c>
      <c r="M32" s="11" t="str">
        <f>garage!M32</f>
        <v>Huracan Super Trofeo Evo</v>
      </c>
      <c r="O32" s="19" t="s">
        <v>115</v>
      </c>
      <c r="P32" s="16">
        <v>22</v>
      </c>
      <c r="Q32" s="16">
        <v>30</v>
      </c>
      <c r="R32" s="16">
        <v>35</v>
      </c>
      <c r="S32" s="16">
        <v>38</v>
      </c>
      <c r="T32" s="17"/>
      <c r="U32" s="61">
        <f t="shared" si="1"/>
        <v>125</v>
      </c>
      <c r="W32" s="33"/>
      <c r="X32" s="34">
        <v>22</v>
      </c>
      <c r="Y32" s="34">
        <v>30</v>
      </c>
      <c r="Z32" s="34">
        <v>4</v>
      </c>
      <c r="AA32" s="34"/>
      <c r="AB32" s="35"/>
      <c r="AC32" s="35">
        <f t="shared" si="3"/>
        <v>56</v>
      </c>
      <c r="AE32" s="39" t="s">
        <v>115</v>
      </c>
      <c r="AF32" s="40"/>
      <c r="AG32" s="40"/>
      <c r="AH32" s="40">
        <f t="shared" ref="AH32:AI34" si="4">R32-Z32</f>
        <v>31</v>
      </c>
      <c r="AI32" s="40">
        <f t="shared" si="4"/>
        <v>38</v>
      </c>
      <c r="AJ32" s="41"/>
      <c r="AK32" s="41">
        <f>SUM(AF32:AJ32)</f>
        <v>69</v>
      </c>
    </row>
    <row r="33" spans="2:37" ht="18" customHeight="1" x14ac:dyDescent="0.2">
      <c r="B33" s="8">
        <f>garage!B33</f>
        <v>33</v>
      </c>
      <c r="C33" s="8">
        <f>garage!C33</f>
        <v>1</v>
      </c>
      <c r="D33" s="8">
        <f>garage!D33</f>
        <v>32</v>
      </c>
      <c r="E33" s="8">
        <f>garage!E33</f>
        <v>21</v>
      </c>
      <c r="F33" s="8" t="str">
        <f>garage!F33</f>
        <v>--</v>
      </c>
      <c r="G33" s="8" t="str">
        <f>garage!G33</f>
        <v>N</v>
      </c>
      <c r="H33" s="8" t="str">
        <f>garage!H33</f>
        <v>N</v>
      </c>
      <c r="I33" s="8" t="str">
        <f>garage!I33</f>
        <v>N</v>
      </c>
      <c r="J33" s="8" t="str">
        <f>garage!J33</f>
        <v>N</v>
      </c>
      <c r="K33" s="8" t="str">
        <f>garage!K33</f>
        <v>D</v>
      </c>
      <c r="L33" s="9" t="str">
        <f>garage!L33</f>
        <v>Volkswagen</v>
      </c>
      <c r="M33" s="9" t="str">
        <f>garage!M33</f>
        <v>Electric R</v>
      </c>
      <c r="O33" s="18" t="s">
        <v>115</v>
      </c>
      <c r="P33" s="14">
        <v>22</v>
      </c>
      <c r="Q33" s="14">
        <v>30</v>
      </c>
      <c r="R33" s="14">
        <v>35</v>
      </c>
      <c r="S33" s="14">
        <v>38</v>
      </c>
      <c r="T33" s="15"/>
      <c r="U33" s="60">
        <f t="shared" si="1"/>
        <v>125</v>
      </c>
      <c r="W33" s="30"/>
      <c r="X33" s="31">
        <v>22</v>
      </c>
      <c r="Y33" s="31">
        <v>21</v>
      </c>
      <c r="Z33" s="31"/>
      <c r="AA33" s="31"/>
      <c r="AB33" s="32"/>
      <c r="AC33" s="32">
        <f t="shared" si="3"/>
        <v>43</v>
      </c>
      <c r="AE33" s="36" t="s">
        <v>115</v>
      </c>
      <c r="AF33" s="37"/>
      <c r="AG33" s="37">
        <f t="shared" ref="AG33:AG34" si="5">Q33-Y33</f>
        <v>9</v>
      </c>
      <c r="AH33" s="37">
        <f t="shared" si="4"/>
        <v>35</v>
      </c>
      <c r="AI33" s="37">
        <f t="shared" si="4"/>
        <v>38</v>
      </c>
      <c r="AJ33" s="38"/>
      <c r="AK33" s="38">
        <f>SUM(AF33:AJ33)</f>
        <v>82</v>
      </c>
    </row>
    <row r="34" spans="2:37" ht="18" customHeight="1" x14ac:dyDescent="0.2">
      <c r="B34" s="10">
        <f>garage!B34</f>
        <v>34</v>
      </c>
      <c r="C34" s="10">
        <f>garage!C34</f>
        <v>1</v>
      </c>
      <c r="D34" s="10">
        <f>garage!D34</f>
        <v>33</v>
      </c>
      <c r="E34" s="10">
        <f>garage!E34</f>
        <v>27</v>
      </c>
      <c r="F34" s="10" t="str">
        <f>garage!F34</f>
        <v>--</v>
      </c>
      <c r="G34" s="10" t="str">
        <f>garage!G34</f>
        <v>N</v>
      </c>
      <c r="H34" s="10" t="str">
        <f>garage!H34</f>
        <v>N</v>
      </c>
      <c r="I34" s="10" t="str">
        <f>garage!I34</f>
        <v>N</v>
      </c>
      <c r="J34" s="10" t="str">
        <f>garage!J34</f>
        <v>N</v>
      </c>
      <c r="K34" s="10" t="str">
        <f>garage!K34</f>
        <v>D</v>
      </c>
      <c r="L34" s="11" t="str">
        <f>garage!L34</f>
        <v>Glickhaus</v>
      </c>
      <c r="M34" s="11" t="str">
        <f>garage!M34</f>
        <v>004C</v>
      </c>
      <c r="O34" s="19" t="s">
        <v>115</v>
      </c>
      <c r="P34" s="16">
        <v>22</v>
      </c>
      <c r="Q34" s="16">
        <v>30</v>
      </c>
      <c r="R34" s="16">
        <v>35</v>
      </c>
      <c r="S34" s="16">
        <v>38</v>
      </c>
      <c r="T34" s="17"/>
      <c r="U34" s="61">
        <f t="shared" si="1"/>
        <v>125</v>
      </c>
      <c r="W34" s="33">
        <v>0</v>
      </c>
      <c r="X34" s="34">
        <v>22</v>
      </c>
      <c r="Y34" s="34">
        <v>1</v>
      </c>
      <c r="Z34" s="34"/>
      <c r="AA34" s="34"/>
      <c r="AB34" s="35"/>
      <c r="AC34" s="35">
        <f t="shared" si="3"/>
        <v>23</v>
      </c>
      <c r="AE34" s="39" t="s">
        <v>115</v>
      </c>
      <c r="AF34" s="40"/>
      <c r="AG34" s="40">
        <f t="shared" si="5"/>
        <v>29</v>
      </c>
      <c r="AH34" s="40">
        <f t="shared" si="4"/>
        <v>35</v>
      </c>
      <c r="AI34" s="40">
        <f t="shared" si="4"/>
        <v>38</v>
      </c>
      <c r="AJ34" s="41"/>
      <c r="AK34" s="41">
        <f>SUM(AE34:AJ34)</f>
        <v>102</v>
      </c>
    </row>
    <row r="35" spans="2:37" ht="18" customHeight="1" x14ac:dyDescent="0.2">
      <c r="B35" s="8">
        <f>garage!B35</f>
        <v>35</v>
      </c>
      <c r="C35" s="8">
        <f>garage!C35</f>
        <v>2</v>
      </c>
      <c r="D35" s="8">
        <f>garage!D35</f>
        <v>1</v>
      </c>
      <c r="E35" s="8">
        <f>garage!E35</f>
        <v>0</v>
      </c>
      <c r="F35" s="8" t="str">
        <f>garage!F35</f>
        <v>--</v>
      </c>
      <c r="G35" s="8" t="str">
        <f>garage!G35</f>
        <v>O</v>
      </c>
      <c r="H35" s="8" t="str">
        <f>garage!H35</f>
        <v>O</v>
      </c>
      <c r="I35" s="8" t="str">
        <f>garage!I35</f>
        <v>O</v>
      </c>
      <c r="J35" s="8" t="str">
        <f>garage!J35</f>
        <v>N</v>
      </c>
      <c r="K35" s="8" t="str">
        <f>garage!K35</f>
        <v>C</v>
      </c>
      <c r="L35" s="9" t="str">
        <f>garage!L35</f>
        <v>Dodge</v>
      </c>
      <c r="M35" s="9" t="str">
        <f>garage!M35</f>
        <v>Challenger SRT8</v>
      </c>
      <c r="O35" s="18">
        <v>15</v>
      </c>
      <c r="P35" s="14">
        <v>20</v>
      </c>
      <c r="Q35" s="14">
        <v>50</v>
      </c>
      <c r="R35" s="14"/>
      <c r="S35" s="14"/>
      <c r="T35" s="15"/>
      <c r="U35" s="60">
        <f t="shared" si="1"/>
        <v>85</v>
      </c>
      <c r="W35" s="30">
        <v>15</v>
      </c>
      <c r="X35" s="31">
        <v>20</v>
      </c>
      <c r="Y35" s="31">
        <v>50</v>
      </c>
      <c r="Z35" s="31"/>
      <c r="AA35" s="31"/>
      <c r="AB35" s="32"/>
      <c r="AC35" s="32">
        <f t="shared" si="3"/>
        <v>85</v>
      </c>
      <c r="AE35" s="36"/>
      <c r="AF35" s="37"/>
      <c r="AG35" s="37"/>
      <c r="AH35" s="37"/>
      <c r="AI35" s="37"/>
      <c r="AJ35" s="38"/>
      <c r="AK35" s="38"/>
    </row>
    <row r="36" spans="2:37" ht="18" customHeight="1" x14ac:dyDescent="0.2">
      <c r="B36" s="10">
        <f>garage!B36</f>
        <v>36</v>
      </c>
      <c r="C36" s="10">
        <f>garage!C36</f>
        <v>2</v>
      </c>
      <c r="D36" s="10">
        <f>garage!D36</f>
        <v>2</v>
      </c>
      <c r="E36" s="10">
        <f>garage!E36</f>
        <v>0</v>
      </c>
      <c r="F36" s="10" t="str">
        <f>garage!F36</f>
        <v>--</v>
      </c>
      <c r="G36" s="10" t="str">
        <f>garage!G36</f>
        <v>O</v>
      </c>
      <c r="H36" s="10" t="str">
        <f>garage!H36</f>
        <v>O</v>
      </c>
      <c r="I36" s="10" t="str">
        <f>garage!I36</f>
        <v>O</v>
      </c>
      <c r="J36" s="10" t="str">
        <f>garage!J36</f>
        <v>N</v>
      </c>
      <c r="K36" s="10" t="str">
        <f>garage!K36</f>
        <v>C</v>
      </c>
      <c r="L36" s="11" t="str">
        <f>garage!L36</f>
        <v>BMW</v>
      </c>
      <c r="M36" s="11" t="str">
        <f>garage!M36</f>
        <v>3.0 CSL Hommage</v>
      </c>
      <c r="O36" s="19">
        <v>20</v>
      </c>
      <c r="P36" s="16">
        <v>20</v>
      </c>
      <c r="Q36" s="16">
        <v>50</v>
      </c>
      <c r="R36" s="16"/>
      <c r="S36" s="16"/>
      <c r="T36" s="17"/>
      <c r="U36" s="61">
        <f t="shared" si="1"/>
        <v>90</v>
      </c>
      <c r="W36" s="33">
        <v>20</v>
      </c>
      <c r="X36" s="34">
        <v>20</v>
      </c>
      <c r="Y36" s="34">
        <v>50</v>
      </c>
      <c r="Z36" s="34"/>
      <c r="AA36" s="34"/>
      <c r="AB36" s="35"/>
      <c r="AC36" s="35">
        <f t="shared" si="3"/>
        <v>90</v>
      </c>
      <c r="AE36" s="39"/>
      <c r="AF36" s="40"/>
      <c r="AG36" s="40"/>
      <c r="AH36" s="40"/>
      <c r="AI36" s="40"/>
      <c r="AJ36" s="41"/>
      <c r="AK36" s="41"/>
    </row>
    <row r="37" spans="2:37" ht="18" customHeight="1" x14ac:dyDescent="0.2">
      <c r="B37" s="8">
        <f>garage!B37</f>
        <v>37</v>
      </c>
      <c r="C37" s="8">
        <f>garage!C37</f>
        <v>2</v>
      </c>
      <c r="D37" s="8">
        <f>garage!D37</f>
        <v>3</v>
      </c>
      <c r="E37" s="8">
        <f>garage!E37</f>
        <v>28</v>
      </c>
      <c r="F37" s="8" t="str">
        <f>garage!F37</f>
        <v>P</v>
      </c>
      <c r="G37" s="8" t="str">
        <f>garage!G37</f>
        <v>O</v>
      </c>
      <c r="H37" s="8" t="str">
        <f>garage!H37</f>
        <v>O</v>
      </c>
      <c r="I37" s="8" t="str">
        <f>garage!I37</f>
        <v>N</v>
      </c>
      <c r="J37" s="8" t="str">
        <f>garage!J37</f>
        <v>N</v>
      </c>
      <c r="K37" s="8" t="str">
        <f>garage!K37</f>
        <v>C</v>
      </c>
      <c r="L37" s="9" t="str">
        <f>garage!L37</f>
        <v>Porsche</v>
      </c>
      <c r="M37" s="9" t="str">
        <f>garage!M37</f>
        <v>Boxster 25th</v>
      </c>
      <c r="O37" s="18">
        <v>55</v>
      </c>
      <c r="P37" s="14">
        <v>38</v>
      </c>
      <c r="Q37" s="14">
        <v>90</v>
      </c>
      <c r="R37" s="14"/>
      <c r="S37" s="14"/>
      <c r="T37" s="15"/>
      <c r="U37" s="60">
        <f t="shared" si="1"/>
        <v>183</v>
      </c>
      <c r="W37" s="30">
        <v>55</v>
      </c>
      <c r="X37" s="31">
        <v>38</v>
      </c>
      <c r="Y37" s="31">
        <v>90</v>
      </c>
      <c r="Z37" s="31"/>
      <c r="AA37" s="31"/>
      <c r="AB37" s="32"/>
      <c r="AC37" s="32">
        <f t="shared" si="3"/>
        <v>183</v>
      </c>
      <c r="AE37" s="36"/>
      <c r="AF37" s="37"/>
      <c r="AG37" s="37"/>
      <c r="AH37" s="37"/>
      <c r="AI37" s="37"/>
      <c r="AJ37" s="38"/>
      <c r="AK37" s="38"/>
    </row>
    <row r="38" spans="2:37" ht="18" customHeight="1" x14ac:dyDescent="0.2">
      <c r="B38" s="10">
        <f>garage!B38</f>
        <v>38</v>
      </c>
      <c r="C38" s="10">
        <f>garage!C38</f>
        <v>2</v>
      </c>
      <c r="D38" s="10">
        <f>garage!D38</f>
        <v>4</v>
      </c>
      <c r="E38" s="10">
        <f>garage!E38</f>
        <v>0</v>
      </c>
      <c r="F38" s="10" t="str">
        <f>garage!F38</f>
        <v>C</v>
      </c>
      <c r="G38" s="10" t="str">
        <f>garage!G38</f>
        <v>O</v>
      </c>
      <c r="H38" s="10" t="str">
        <f>garage!H38</f>
        <v>O</v>
      </c>
      <c r="I38" s="10" t="str">
        <f>garage!I38</f>
        <v>O</v>
      </c>
      <c r="J38" s="10" t="str">
        <f>garage!J38</f>
        <v>N</v>
      </c>
      <c r="K38" s="10" t="str">
        <f>garage!K38</f>
        <v>C</v>
      </c>
      <c r="L38" s="11" t="str">
        <f>garage!L38</f>
        <v>Chevrolet</v>
      </c>
      <c r="M38" s="11" t="str">
        <f>garage!M38</f>
        <v>Camaro ZL1 50th Edition</v>
      </c>
      <c r="O38" s="19">
        <v>25</v>
      </c>
      <c r="P38" s="16">
        <v>20</v>
      </c>
      <c r="Q38" s="16">
        <v>50</v>
      </c>
      <c r="R38" s="16"/>
      <c r="S38" s="16"/>
      <c r="T38" s="17"/>
      <c r="U38" s="61">
        <f t="shared" si="1"/>
        <v>95</v>
      </c>
      <c r="W38" s="33">
        <v>25</v>
      </c>
      <c r="X38" s="34">
        <v>20</v>
      </c>
      <c r="Y38" s="34">
        <v>50</v>
      </c>
      <c r="Z38" s="34"/>
      <c r="AA38" s="34"/>
      <c r="AB38" s="35"/>
      <c r="AC38" s="35">
        <f t="shared" si="3"/>
        <v>95</v>
      </c>
      <c r="AE38" s="39"/>
      <c r="AF38" s="40"/>
      <c r="AG38" s="40"/>
      <c r="AH38" s="40"/>
      <c r="AI38" s="40"/>
      <c r="AJ38" s="41"/>
      <c r="AK38" s="41"/>
    </row>
    <row r="39" spans="2:37" ht="18" customHeight="1" x14ac:dyDescent="0.2">
      <c r="B39" s="8">
        <f>garage!B39</f>
        <v>39</v>
      </c>
      <c r="C39" s="8">
        <f>garage!C39</f>
        <v>2</v>
      </c>
      <c r="D39" s="8">
        <f>garage!D39</f>
        <v>5</v>
      </c>
      <c r="E39" s="8">
        <f>garage!E39</f>
        <v>0</v>
      </c>
      <c r="F39" s="8" t="str">
        <f>garage!F39</f>
        <v>--</v>
      </c>
      <c r="G39" s="8" t="str">
        <f>garage!G39</f>
        <v>O</v>
      </c>
      <c r="H39" s="8" t="str">
        <f>garage!H39</f>
        <v>O</v>
      </c>
      <c r="I39" s="8" t="str">
        <f>garage!I39</f>
        <v>O</v>
      </c>
      <c r="J39" s="8" t="str">
        <f>garage!J39</f>
        <v>N</v>
      </c>
      <c r="K39" s="8" t="str">
        <f>garage!K39</f>
        <v>C</v>
      </c>
      <c r="L39" s="9" t="str">
        <f>garage!L39</f>
        <v>Lotus</v>
      </c>
      <c r="M39" s="9" t="str">
        <f>garage!M39</f>
        <v>Evora Sport 410</v>
      </c>
      <c r="O39" s="18">
        <v>20</v>
      </c>
      <c r="P39" s="14">
        <v>20</v>
      </c>
      <c r="Q39" s="14">
        <v>50</v>
      </c>
      <c r="R39" s="14"/>
      <c r="S39" s="14"/>
      <c r="T39" s="15"/>
      <c r="U39" s="60">
        <f t="shared" si="1"/>
        <v>90</v>
      </c>
      <c r="W39" s="30">
        <v>20</v>
      </c>
      <c r="X39" s="31">
        <v>20</v>
      </c>
      <c r="Y39" s="31">
        <v>50</v>
      </c>
      <c r="Z39" s="31"/>
      <c r="AA39" s="31"/>
      <c r="AB39" s="32"/>
      <c r="AC39" s="32">
        <f t="shared" si="3"/>
        <v>90</v>
      </c>
      <c r="AE39" s="36"/>
      <c r="AF39" s="37"/>
      <c r="AG39" s="37"/>
      <c r="AH39" s="37"/>
      <c r="AI39" s="37"/>
      <c r="AJ39" s="38"/>
      <c r="AK39" s="38"/>
    </row>
    <row r="40" spans="2:37" ht="18" customHeight="1" x14ac:dyDescent="0.2">
      <c r="B40" s="10">
        <f>garage!B40</f>
        <v>40</v>
      </c>
      <c r="C40" s="10">
        <f>garage!C40</f>
        <v>2</v>
      </c>
      <c r="D40" s="10">
        <f>garage!D40</f>
        <v>6</v>
      </c>
      <c r="E40" s="10">
        <f>garage!E40</f>
        <v>0</v>
      </c>
      <c r="F40" s="10" t="str">
        <f>garage!F40</f>
        <v>--</v>
      </c>
      <c r="G40" s="10" t="str">
        <f>garage!G40</f>
        <v>O</v>
      </c>
      <c r="H40" s="10" t="str">
        <f>garage!H40</f>
        <v>O</v>
      </c>
      <c r="I40" s="10" t="str">
        <f>garage!I40</f>
        <v>O</v>
      </c>
      <c r="J40" s="10" t="str">
        <f>garage!J40</f>
        <v>N</v>
      </c>
      <c r="K40" s="10" t="str">
        <f>garage!K40</f>
        <v>C</v>
      </c>
      <c r="L40" s="11" t="str">
        <f>garage!L40</f>
        <v>Mercedes-Benz</v>
      </c>
      <c r="M40" s="11" t="str">
        <f>garage!M40</f>
        <v>AMG GT S</v>
      </c>
      <c r="O40" s="19">
        <v>30</v>
      </c>
      <c r="P40" s="16">
        <v>20</v>
      </c>
      <c r="Q40" s="16">
        <v>50</v>
      </c>
      <c r="R40" s="16"/>
      <c r="S40" s="16"/>
      <c r="T40" s="17"/>
      <c r="U40" s="61">
        <f t="shared" si="1"/>
        <v>100</v>
      </c>
      <c r="W40" s="33">
        <v>30</v>
      </c>
      <c r="X40" s="34">
        <v>20</v>
      </c>
      <c r="Y40" s="34">
        <v>50</v>
      </c>
      <c r="Z40" s="34"/>
      <c r="AA40" s="34"/>
      <c r="AB40" s="35"/>
      <c r="AC40" s="35">
        <f t="shared" si="3"/>
        <v>100</v>
      </c>
      <c r="AE40" s="39"/>
      <c r="AF40" s="40"/>
      <c r="AG40" s="40"/>
      <c r="AH40" s="40"/>
      <c r="AI40" s="40"/>
      <c r="AJ40" s="41"/>
      <c r="AK40" s="41"/>
    </row>
    <row r="41" spans="2:37" ht="18" customHeight="1" x14ac:dyDescent="0.2">
      <c r="B41" s="8">
        <f>garage!B41</f>
        <v>41</v>
      </c>
      <c r="C41" s="8">
        <f>garage!C41</f>
        <v>2</v>
      </c>
      <c r="D41" s="8">
        <f>garage!D41</f>
        <v>7</v>
      </c>
      <c r="E41" s="8">
        <f>garage!E41</f>
        <v>0</v>
      </c>
      <c r="F41" s="8" t="str">
        <f>garage!F41</f>
        <v>--</v>
      </c>
      <c r="G41" s="8" t="str">
        <f>garage!G41</f>
        <v>O</v>
      </c>
      <c r="H41" s="8" t="str">
        <f>garage!H41</f>
        <v>O</v>
      </c>
      <c r="I41" s="8" t="str">
        <f>garage!I41</f>
        <v>O</v>
      </c>
      <c r="J41" s="8" t="str">
        <f>garage!J41</f>
        <v>N</v>
      </c>
      <c r="K41" s="8" t="str">
        <f>garage!K41</f>
        <v>C</v>
      </c>
      <c r="L41" s="9" t="str">
        <f>garage!L41</f>
        <v>BMW</v>
      </c>
      <c r="M41" s="9" t="str">
        <f>garage!M41</f>
        <v>M4 GTS</v>
      </c>
      <c r="O41" s="18">
        <v>40</v>
      </c>
      <c r="P41" s="14">
        <v>20</v>
      </c>
      <c r="Q41" s="14">
        <v>50</v>
      </c>
      <c r="R41" s="14"/>
      <c r="S41" s="14"/>
      <c r="T41" s="15"/>
      <c r="U41" s="60">
        <f t="shared" ref="U41:U59" si="6">SUM(O41:T41)</f>
        <v>110</v>
      </c>
      <c r="W41" s="30">
        <v>40</v>
      </c>
      <c r="X41" s="31">
        <v>20</v>
      </c>
      <c r="Y41" s="31">
        <v>50</v>
      </c>
      <c r="Z41" s="31"/>
      <c r="AA41" s="31"/>
      <c r="AB41" s="32"/>
      <c r="AC41" s="32">
        <f t="shared" si="3"/>
        <v>110</v>
      </c>
      <c r="AE41" s="36"/>
      <c r="AF41" s="37"/>
      <c r="AG41" s="37"/>
      <c r="AH41" s="37"/>
      <c r="AI41" s="37"/>
      <c r="AJ41" s="38"/>
      <c r="AK41" s="38"/>
    </row>
    <row r="42" spans="2:37" ht="18" customHeight="1" x14ac:dyDescent="0.2">
      <c r="B42" s="10">
        <f>garage!B42</f>
        <v>42</v>
      </c>
      <c r="C42" s="10">
        <f>garage!C42</f>
        <v>2</v>
      </c>
      <c r="D42" s="10">
        <f>garage!D42</f>
        <v>8</v>
      </c>
      <c r="E42" s="10">
        <f>garage!E42</f>
        <v>0</v>
      </c>
      <c r="F42" s="10" t="str">
        <f>garage!F42</f>
        <v>--</v>
      </c>
      <c r="G42" s="10" t="str">
        <f>garage!G42</f>
        <v>O</v>
      </c>
      <c r="H42" s="10" t="str">
        <f>garage!H42</f>
        <v>O</v>
      </c>
      <c r="I42" s="10" t="str">
        <f>garage!I42</f>
        <v>O</v>
      </c>
      <c r="J42" s="10" t="str">
        <f>garage!J42</f>
        <v>N</v>
      </c>
      <c r="K42" s="10" t="str">
        <f>garage!K42</f>
        <v>C</v>
      </c>
      <c r="L42" s="11" t="str">
        <f>garage!L42</f>
        <v>Rezvani</v>
      </c>
      <c r="M42" s="11" t="str">
        <f>garage!M42</f>
        <v>Beast X</v>
      </c>
      <c r="O42" s="19">
        <v>35</v>
      </c>
      <c r="P42" s="16">
        <v>15</v>
      </c>
      <c r="Q42" s="16">
        <v>21</v>
      </c>
      <c r="R42" s="16">
        <v>32</v>
      </c>
      <c r="S42" s="16"/>
      <c r="T42" s="17"/>
      <c r="U42" s="61">
        <f t="shared" si="6"/>
        <v>103</v>
      </c>
      <c r="W42" s="33">
        <v>35</v>
      </c>
      <c r="X42" s="34">
        <v>15</v>
      </c>
      <c r="Y42" s="34">
        <v>21</v>
      </c>
      <c r="Z42" s="34">
        <v>32</v>
      </c>
      <c r="AA42" s="34"/>
      <c r="AB42" s="35"/>
      <c r="AC42" s="35">
        <f t="shared" si="3"/>
        <v>103</v>
      </c>
      <c r="AE42" s="39"/>
      <c r="AF42" s="40"/>
      <c r="AG42" s="40"/>
      <c r="AH42" s="40"/>
      <c r="AI42" s="40"/>
      <c r="AJ42" s="41"/>
      <c r="AK42" s="41"/>
    </row>
    <row r="43" spans="2:37" ht="18" customHeight="1" x14ac:dyDescent="0.2">
      <c r="B43" s="8">
        <f>garage!B43</f>
        <v>43</v>
      </c>
      <c r="C43" s="8">
        <f>garage!C43</f>
        <v>2</v>
      </c>
      <c r="D43" s="8">
        <f>garage!D43</f>
        <v>9</v>
      </c>
      <c r="E43" s="8">
        <f>garage!E43</f>
        <v>20</v>
      </c>
      <c r="F43" s="8" t="str">
        <f>garage!F43</f>
        <v>AM</v>
      </c>
      <c r="G43" s="8" t="str">
        <f>garage!G43</f>
        <v>O</v>
      </c>
      <c r="H43" s="8" t="str">
        <f>garage!H43</f>
        <v>N</v>
      </c>
      <c r="I43" s="8" t="str">
        <f>garage!I43</f>
        <v>N</v>
      </c>
      <c r="J43" s="8" t="str">
        <f>garage!J43</f>
        <v>N</v>
      </c>
      <c r="K43" s="8" t="str">
        <f>garage!K43</f>
        <v>C</v>
      </c>
      <c r="L43" s="9" t="str">
        <f>garage!L43</f>
        <v>Aston Martin</v>
      </c>
      <c r="M43" s="9" t="str">
        <f>garage!M43</f>
        <v>V12 Speedster</v>
      </c>
      <c r="O43" s="18">
        <v>50</v>
      </c>
      <c r="P43" s="14">
        <v>29</v>
      </c>
      <c r="Q43" s="14">
        <v>38</v>
      </c>
      <c r="R43" s="14">
        <v>48</v>
      </c>
      <c r="S43" s="14"/>
      <c r="T43" s="15"/>
      <c r="U43" s="60">
        <f t="shared" si="6"/>
        <v>165</v>
      </c>
      <c r="W43" s="30">
        <v>50</v>
      </c>
      <c r="X43" s="31">
        <v>29</v>
      </c>
      <c r="Y43" s="31">
        <v>27</v>
      </c>
      <c r="Z43" s="31"/>
      <c r="AA43" s="31"/>
      <c r="AB43" s="32"/>
      <c r="AC43" s="32">
        <f t="shared" si="3"/>
        <v>106</v>
      </c>
      <c r="AE43" s="36"/>
      <c r="AF43" s="37"/>
      <c r="AG43" s="37">
        <f>Q43-Y43</f>
        <v>11</v>
      </c>
      <c r="AH43" s="37">
        <f>R43-Z43</f>
        <v>48</v>
      </c>
      <c r="AI43" s="37"/>
      <c r="AJ43" s="38"/>
      <c r="AK43" s="38">
        <f>SUM(AE43:AJ43)</f>
        <v>59</v>
      </c>
    </row>
    <row r="44" spans="2:37" ht="18" customHeight="1" x14ac:dyDescent="0.2">
      <c r="B44" s="10">
        <f>garage!B44</f>
        <v>44</v>
      </c>
      <c r="C44" s="10">
        <f>garage!C44</f>
        <v>2</v>
      </c>
      <c r="D44" s="10">
        <f>garage!D44</f>
        <v>10</v>
      </c>
      <c r="E44" s="10">
        <f>garage!E44</f>
        <v>29</v>
      </c>
      <c r="F44" s="10" t="str">
        <f>garage!F44</f>
        <v>--</v>
      </c>
      <c r="G44" s="10" t="str">
        <f>garage!G44</f>
        <v>O</v>
      </c>
      <c r="H44" s="10" t="str">
        <f>garage!H44</f>
        <v>N</v>
      </c>
      <c r="I44" s="10" t="str">
        <f>garage!I44</f>
        <v>N</v>
      </c>
      <c r="J44" s="10" t="str">
        <f>garage!J44</f>
        <v>N</v>
      </c>
      <c r="K44" s="10" t="str">
        <f>garage!K44</f>
        <v>C</v>
      </c>
      <c r="L44" s="11" t="str">
        <f>garage!L44</f>
        <v>Donkervoort</v>
      </c>
      <c r="M44" s="11" t="str">
        <f>garage!M44</f>
        <v>D8 GTO</v>
      </c>
      <c r="O44" s="19">
        <v>50</v>
      </c>
      <c r="P44" s="16">
        <v>29</v>
      </c>
      <c r="Q44" s="16">
        <v>38</v>
      </c>
      <c r="R44" s="16">
        <v>48</v>
      </c>
      <c r="S44" s="16"/>
      <c r="T44" s="17"/>
      <c r="U44" s="61">
        <f t="shared" si="6"/>
        <v>165</v>
      </c>
      <c r="W44" s="33">
        <v>50</v>
      </c>
      <c r="X44" s="34">
        <v>29</v>
      </c>
      <c r="Y44" s="34"/>
      <c r="Z44" s="34"/>
      <c r="AA44" s="34"/>
      <c r="AB44" s="35"/>
      <c r="AC44" s="35">
        <f t="shared" si="3"/>
        <v>79</v>
      </c>
      <c r="AE44" s="39"/>
      <c r="AF44" s="40"/>
      <c r="AG44" s="40">
        <f>Q44-Y44</f>
        <v>38</v>
      </c>
      <c r="AH44" s="40">
        <f>R44-Z44</f>
        <v>48</v>
      </c>
      <c r="AI44" s="40"/>
      <c r="AJ44" s="41"/>
      <c r="AK44" s="41">
        <f>SUM(AE44:AJ44)</f>
        <v>86</v>
      </c>
    </row>
    <row r="45" spans="2:37" ht="18" customHeight="1" x14ac:dyDescent="0.2">
      <c r="B45" s="8">
        <f>garage!B45</f>
        <v>45</v>
      </c>
      <c r="C45" s="8">
        <f>garage!C45</f>
        <v>2</v>
      </c>
      <c r="D45" s="8">
        <f>garage!D45</f>
        <v>11</v>
      </c>
      <c r="E45" s="8">
        <f>garage!E45</f>
        <v>0</v>
      </c>
      <c r="F45" s="8" t="str">
        <f>garage!F45</f>
        <v>--</v>
      </c>
      <c r="G45" s="8" t="str">
        <f>garage!G45</f>
        <v>O</v>
      </c>
      <c r="H45" s="8" t="str">
        <f>garage!H45</f>
        <v>O</v>
      </c>
      <c r="I45" s="8" t="str">
        <f>garage!I45</f>
        <v>O</v>
      </c>
      <c r="J45" s="8" t="str">
        <f>garage!J45</f>
        <v>N</v>
      </c>
      <c r="K45" s="8" t="str">
        <f>garage!K45</f>
        <v>C</v>
      </c>
      <c r="L45" s="9" t="str">
        <f>garage!L45</f>
        <v>Dodge</v>
      </c>
      <c r="M45" s="9" t="str">
        <f>garage!M45</f>
        <v>Viper ACR</v>
      </c>
      <c r="O45" s="18">
        <v>35</v>
      </c>
      <c r="P45" s="14">
        <v>15</v>
      </c>
      <c r="Q45" s="14">
        <v>21</v>
      </c>
      <c r="R45" s="14">
        <v>32</v>
      </c>
      <c r="S45" s="14"/>
      <c r="T45" s="15"/>
      <c r="U45" s="60">
        <f t="shared" si="6"/>
        <v>103</v>
      </c>
      <c r="W45" s="30">
        <v>35</v>
      </c>
      <c r="X45" s="31">
        <v>15</v>
      </c>
      <c r="Y45" s="31">
        <v>21</v>
      </c>
      <c r="Z45" s="31">
        <v>32</v>
      </c>
      <c r="AA45" s="31"/>
      <c r="AB45" s="32"/>
      <c r="AC45" s="32">
        <f t="shared" si="3"/>
        <v>103</v>
      </c>
      <c r="AE45" s="36"/>
      <c r="AF45" s="37"/>
      <c r="AG45" s="37"/>
      <c r="AH45" s="37"/>
      <c r="AI45" s="37"/>
      <c r="AJ45" s="38"/>
      <c r="AK45" s="38"/>
    </row>
    <row r="46" spans="2:37" ht="18" customHeight="1" x14ac:dyDescent="0.2">
      <c r="B46" s="10">
        <f>garage!B46</f>
        <v>46</v>
      </c>
      <c r="C46" s="10">
        <f>garage!C46</f>
        <v>2</v>
      </c>
      <c r="D46" s="10">
        <f>garage!D46</f>
        <v>12</v>
      </c>
      <c r="E46" s="10">
        <f>garage!E46</f>
        <v>24</v>
      </c>
      <c r="F46" s="10" t="str">
        <f>garage!F46</f>
        <v>--</v>
      </c>
      <c r="G46" s="10" t="str">
        <f>garage!G46</f>
        <v>O</v>
      </c>
      <c r="H46" s="10" t="str">
        <f>garage!H46</f>
        <v>N</v>
      </c>
      <c r="I46" s="10" t="str">
        <f>garage!I46</f>
        <v>N</v>
      </c>
      <c r="J46" s="10" t="str">
        <f>garage!J46</f>
        <v>O</v>
      </c>
      <c r="K46" s="10" t="str">
        <f>garage!K46</f>
        <v>C</v>
      </c>
      <c r="L46" s="11" t="str">
        <f>garage!L46</f>
        <v>Bolwell</v>
      </c>
      <c r="M46" s="11" t="str">
        <f>garage!M46</f>
        <v>MK X Nagari 500</v>
      </c>
      <c r="O46" s="19">
        <v>50</v>
      </c>
      <c r="P46" s="16">
        <v>29</v>
      </c>
      <c r="Q46" s="16">
        <v>38</v>
      </c>
      <c r="R46" s="16">
        <v>48</v>
      </c>
      <c r="S46" s="16"/>
      <c r="T46" s="17"/>
      <c r="U46" s="61">
        <f t="shared" si="6"/>
        <v>165</v>
      </c>
      <c r="W46" s="33">
        <v>50</v>
      </c>
      <c r="X46" s="34">
        <v>29</v>
      </c>
      <c r="Y46" s="34">
        <v>38</v>
      </c>
      <c r="Z46" s="34">
        <v>48</v>
      </c>
      <c r="AA46" s="34"/>
      <c r="AB46" s="35"/>
      <c r="AC46" s="35">
        <f t="shared" si="3"/>
        <v>165</v>
      </c>
      <c r="AE46" s="39"/>
      <c r="AF46" s="40"/>
      <c r="AG46" s="40"/>
      <c r="AH46" s="40"/>
      <c r="AI46" s="40"/>
      <c r="AJ46" s="41"/>
      <c r="AK46" s="41"/>
    </row>
    <row r="47" spans="2:37" ht="18" customHeight="1" x14ac:dyDescent="0.2">
      <c r="B47" s="8">
        <f>garage!B47</f>
        <v>47</v>
      </c>
      <c r="C47" s="8">
        <f>garage!C47</f>
        <v>2</v>
      </c>
      <c r="D47" s="8">
        <f>garage!D47</f>
        <v>13</v>
      </c>
      <c r="E47" s="8">
        <f>garage!E47</f>
        <v>0</v>
      </c>
      <c r="F47" s="8" t="str">
        <f>garage!F47</f>
        <v>--</v>
      </c>
      <c r="G47" s="8" t="str">
        <f>garage!G47</f>
        <v>O</v>
      </c>
      <c r="H47" s="8" t="str">
        <f>garage!H47</f>
        <v>O</v>
      </c>
      <c r="I47" s="8" t="str">
        <f>garage!I47</f>
        <v>O</v>
      </c>
      <c r="J47" s="8" t="str">
        <f>garage!J47</f>
        <v>N</v>
      </c>
      <c r="K47" s="8" t="str">
        <f>garage!K47</f>
        <v>C</v>
      </c>
      <c r="L47" s="9" t="str">
        <f>garage!L47</f>
        <v>Ford</v>
      </c>
      <c r="M47" s="9" t="str">
        <f>garage!M47</f>
        <v>Shelby GR-1</v>
      </c>
      <c r="O47" s="18">
        <v>50</v>
      </c>
      <c r="P47" s="14">
        <v>29</v>
      </c>
      <c r="Q47" s="14">
        <v>38</v>
      </c>
      <c r="R47" s="14">
        <v>48</v>
      </c>
      <c r="S47" s="14"/>
      <c r="T47" s="15"/>
      <c r="U47" s="60">
        <f t="shared" si="6"/>
        <v>165</v>
      </c>
      <c r="W47" s="30">
        <v>50</v>
      </c>
      <c r="X47" s="31">
        <v>29</v>
      </c>
      <c r="Y47" s="31">
        <v>38</v>
      </c>
      <c r="Z47" s="31">
        <v>48</v>
      </c>
      <c r="AA47" s="31"/>
      <c r="AB47" s="32"/>
      <c r="AC47" s="32">
        <f t="shared" si="3"/>
        <v>165</v>
      </c>
      <c r="AE47" s="36"/>
      <c r="AF47" s="37"/>
      <c r="AG47" s="37"/>
      <c r="AH47" s="37"/>
      <c r="AI47" s="37"/>
      <c r="AJ47" s="38"/>
      <c r="AK47" s="38"/>
    </row>
    <row r="48" spans="2:37" ht="18" customHeight="1" x14ac:dyDescent="0.2">
      <c r="B48" s="10">
        <f>garage!B48</f>
        <v>48</v>
      </c>
      <c r="C48" s="10">
        <f>garage!C48</f>
        <v>2</v>
      </c>
      <c r="D48" s="10">
        <f>garage!D48</f>
        <v>14</v>
      </c>
      <c r="E48" s="10">
        <f>garage!E48</f>
        <v>0</v>
      </c>
      <c r="F48" s="10" t="str">
        <f>garage!F48</f>
        <v>--</v>
      </c>
      <c r="G48" s="10" t="str">
        <f>garage!G48</f>
        <v>O</v>
      </c>
      <c r="H48" s="10" t="str">
        <f>garage!H48</f>
        <v>O</v>
      </c>
      <c r="I48" s="10" t="str">
        <f>garage!I48</f>
        <v>O</v>
      </c>
      <c r="J48" s="10" t="str">
        <f>garage!J48</f>
        <v>N</v>
      </c>
      <c r="K48" s="10" t="str">
        <f>garage!K48</f>
        <v>C</v>
      </c>
      <c r="L48" s="11" t="str">
        <f>garage!L48</f>
        <v>Pininfarina</v>
      </c>
      <c r="M48" s="11" t="str">
        <f>garage!M48</f>
        <v>H2 Speed</v>
      </c>
      <c r="O48" s="19">
        <v>35</v>
      </c>
      <c r="P48" s="16">
        <v>10</v>
      </c>
      <c r="Q48" s="16">
        <v>20</v>
      </c>
      <c r="R48" s="16">
        <v>32</v>
      </c>
      <c r="S48" s="16"/>
      <c r="T48" s="17"/>
      <c r="U48" s="61">
        <f t="shared" si="6"/>
        <v>97</v>
      </c>
      <c r="W48" s="33">
        <v>35</v>
      </c>
      <c r="X48" s="34">
        <v>10</v>
      </c>
      <c r="Y48" s="34">
        <v>20</v>
      </c>
      <c r="Z48" s="34">
        <v>32</v>
      </c>
      <c r="AA48" s="34"/>
      <c r="AB48" s="35"/>
      <c r="AC48" s="35">
        <f t="shared" si="3"/>
        <v>97</v>
      </c>
      <c r="AE48" s="39"/>
      <c r="AF48" s="40"/>
      <c r="AG48" s="40"/>
      <c r="AH48" s="40"/>
      <c r="AI48" s="40"/>
      <c r="AJ48" s="41"/>
      <c r="AK48" s="41"/>
    </row>
    <row r="49" spans="2:37" ht="18" customHeight="1" x14ac:dyDescent="0.2">
      <c r="B49" s="8">
        <f>garage!B49</f>
        <v>49</v>
      </c>
      <c r="C49" s="8">
        <f>garage!C49</f>
        <v>2</v>
      </c>
      <c r="D49" s="8">
        <f>garage!D49</f>
        <v>15</v>
      </c>
      <c r="E49" s="8">
        <f>garage!E49</f>
        <v>7</v>
      </c>
      <c r="F49" s="8" t="str">
        <f>garage!F49</f>
        <v>--</v>
      </c>
      <c r="G49" s="8" t="str">
        <f>garage!G49</f>
        <v>O</v>
      </c>
      <c r="H49" s="8" t="str">
        <f>garage!H49</f>
        <v>O</v>
      </c>
      <c r="I49" s="8" t="str">
        <f>garage!I49</f>
        <v>O</v>
      </c>
      <c r="J49" s="8" t="str">
        <f>garage!J49</f>
        <v>N</v>
      </c>
      <c r="K49" s="8" t="str">
        <f>garage!K49</f>
        <v>C</v>
      </c>
      <c r="L49" s="9" t="str">
        <f>garage!L49</f>
        <v>Artega</v>
      </c>
      <c r="M49" s="9" t="str">
        <f>garage!M49</f>
        <v>Scalo Superelletra</v>
      </c>
      <c r="O49" s="18">
        <v>50</v>
      </c>
      <c r="P49" s="14">
        <v>29</v>
      </c>
      <c r="Q49" s="14">
        <v>38</v>
      </c>
      <c r="R49" s="14">
        <v>48</v>
      </c>
      <c r="S49" s="14"/>
      <c r="T49" s="15"/>
      <c r="U49" s="60">
        <f t="shared" si="6"/>
        <v>165</v>
      </c>
      <c r="W49" s="30">
        <v>50</v>
      </c>
      <c r="X49" s="31">
        <v>29</v>
      </c>
      <c r="Y49" s="31">
        <v>38</v>
      </c>
      <c r="Z49" s="31">
        <v>48</v>
      </c>
      <c r="AA49" s="31"/>
      <c r="AB49" s="32"/>
      <c r="AC49" s="32">
        <f t="shared" si="3"/>
        <v>165</v>
      </c>
      <c r="AE49" s="36"/>
      <c r="AF49" s="37"/>
      <c r="AG49" s="37"/>
      <c r="AH49" s="37"/>
      <c r="AI49" s="37"/>
      <c r="AJ49" s="38"/>
      <c r="AK49" s="38"/>
    </row>
    <row r="50" spans="2:37" ht="18" customHeight="1" x14ac:dyDescent="0.2">
      <c r="B50" s="10">
        <f>garage!B50</f>
        <v>50</v>
      </c>
      <c r="C50" s="10">
        <f>garage!C50</f>
        <v>2</v>
      </c>
      <c r="D50" s="10">
        <f>garage!D50</f>
        <v>16</v>
      </c>
      <c r="E50" s="10">
        <f>garage!E50</f>
        <v>22</v>
      </c>
      <c r="F50" s="10" t="str">
        <f>garage!F50</f>
        <v>--</v>
      </c>
      <c r="G50" s="10" t="str">
        <f>garage!G50</f>
        <v>O</v>
      </c>
      <c r="H50" s="10" t="str">
        <f>garage!H50</f>
        <v>N</v>
      </c>
      <c r="I50" s="10" t="str">
        <f>garage!I50</f>
        <v>N</v>
      </c>
      <c r="J50" s="10" t="str">
        <f>garage!J50</f>
        <v>N</v>
      </c>
      <c r="K50" s="10" t="str">
        <f>garage!K50</f>
        <v>C</v>
      </c>
      <c r="L50" s="11" t="str">
        <f>garage!L50</f>
        <v>Saleen</v>
      </c>
      <c r="M50" s="11" t="str">
        <f>garage!M50</f>
        <v>S1</v>
      </c>
      <c r="O50" s="19">
        <v>50</v>
      </c>
      <c r="P50" s="16">
        <v>29</v>
      </c>
      <c r="Q50" s="16">
        <v>38</v>
      </c>
      <c r="R50" s="16">
        <v>48</v>
      </c>
      <c r="S50" s="16"/>
      <c r="T50" s="17"/>
      <c r="U50" s="61">
        <f t="shared" si="6"/>
        <v>165</v>
      </c>
      <c r="W50" s="33">
        <v>50</v>
      </c>
      <c r="X50" s="34">
        <v>29</v>
      </c>
      <c r="Y50" s="34">
        <v>27</v>
      </c>
      <c r="Z50" s="34"/>
      <c r="AA50" s="34"/>
      <c r="AB50" s="35"/>
      <c r="AC50" s="35">
        <f t="shared" si="3"/>
        <v>106</v>
      </c>
      <c r="AE50" s="39"/>
      <c r="AF50" s="40"/>
      <c r="AG50" s="40">
        <f>Q50-Y50</f>
        <v>11</v>
      </c>
      <c r="AH50" s="40">
        <f>R50-Z50</f>
        <v>48</v>
      </c>
      <c r="AI50" s="40"/>
      <c r="AJ50" s="41"/>
      <c r="AK50" s="41">
        <f>SUM(AE50:AJ50)</f>
        <v>59</v>
      </c>
    </row>
    <row r="51" spans="2:37" ht="18" customHeight="1" x14ac:dyDescent="0.2">
      <c r="B51" s="8">
        <f>garage!B51</f>
        <v>51</v>
      </c>
      <c r="C51" s="8">
        <f>garage!C51</f>
        <v>2</v>
      </c>
      <c r="D51" s="8">
        <f>garage!D51</f>
        <v>17</v>
      </c>
      <c r="E51" s="8">
        <f>garage!E51</f>
        <v>0</v>
      </c>
      <c r="F51" s="8" t="str">
        <f>garage!F51</f>
        <v>--</v>
      </c>
      <c r="G51" s="8" t="str">
        <f>garage!G51</f>
        <v>O</v>
      </c>
      <c r="H51" s="8" t="str">
        <f>garage!H51</f>
        <v>O</v>
      </c>
      <c r="I51" s="8" t="str">
        <f>garage!I51</f>
        <v>O</v>
      </c>
      <c r="J51" s="8" t="str">
        <f>garage!J51</f>
        <v>N</v>
      </c>
      <c r="K51" s="8" t="str">
        <f>garage!K51</f>
        <v>C</v>
      </c>
      <c r="L51" s="9" t="str">
        <f>garage!L51</f>
        <v>Acura</v>
      </c>
      <c r="M51" s="9" t="str">
        <f>garage!M51</f>
        <v>2017 NSX</v>
      </c>
      <c r="O51" s="18">
        <v>35</v>
      </c>
      <c r="P51" s="14">
        <v>10</v>
      </c>
      <c r="Q51" s="14">
        <v>20</v>
      </c>
      <c r="R51" s="14">
        <v>32</v>
      </c>
      <c r="S51" s="14"/>
      <c r="T51" s="15"/>
      <c r="U51" s="60">
        <f t="shared" si="6"/>
        <v>97</v>
      </c>
      <c r="W51" s="30">
        <v>35</v>
      </c>
      <c r="X51" s="31">
        <v>10</v>
      </c>
      <c r="Y51" s="31">
        <v>20</v>
      </c>
      <c r="Z51" s="31">
        <v>32</v>
      </c>
      <c r="AA51" s="31"/>
      <c r="AB51" s="32"/>
      <c r="AC51" s="32">
        <f t="shared" si="3"/>
        <v>97</v>
      </c>
      <c r="AE51" s="36"/>
      <c r="AF51" s="37"/>
      <c r="AG51" s="37"/>
      <c r="AH51" s="37"/>
      <c r="AI51" s="37"/>
      <c r="AJ51" s="38"/>
      <c r="AK51" s="38"/>
    </row>
    <row r="52" spans="2:37" ht="18" customHeight="1" x14ac:dyDescent="0.2">
      <c r="B52" s="10">
        <f>garage!B52</f>
        <v>52</v>
      </c>
      <c r="C52" s="10">
        <f>garage!C52</f>
        <v>2</v>
      </c>
      <c r="D52" s="10">
        <f>garage!D52</f>
        <v>18</v>
      </c>
      <c r="E52" s="10">
        <f>garage!E52</f>
        <v>0</v>
      </c>
      <c r="F52" s="10" t="str">
        <f>garage!F52</f>
        <v>--</v>
      </c>
      <c r="G52" s="10" t="str">
        <f>garage!G52</f>
        <v>O</v>
      </c>
      <c r="H52" s="10" t="str">
        <f>garage!H52</f>
        <v>O</v>
      </c>
      <c r="I52" s="10" t="str">
        <f>garage!I52</f>
        <v>O</v>
      </c>
      <c r="J52" s="10" t="str">
        <f>garage!J52</f>
        <v>N</v>
      </c>
      <c r="K52" s="10" t="str">
        <f>garage!K52</f>
        <v>C</v>
      </c>
      <c r="L52" s="11" t="str">
        <f>garage!L52</f>
        <v>Maserati</v>
      </c>
      <c r="M52" s="11" t="str">
        <f>garage!M52</f>
        <v>Alfieri</v>
      </c>
      <c r="O52" s="19">
        <v>35</v>
      </c>
      <c r="P52" s="16">
        <v>10</v>
      </c>
      <c r="Q52" s="16">
        <v>20</v>
      </c>
      <c r="R52" s="16">
        <v>32</v>
      </c>
      <c r="S52" s="16"/>
      <c r="T52" s="17"/>
      <c r="U52" s="61">
        <f t="shared" si="6"/>
        <v>97</v>
      </c>
      <c r="W52" s="33">
        <v>35</v>
      </c>
      <c r="X52" s="34">
        <v>10</v>
      </c>
      <c r="Y52" s="34">
        <v>20</v>
      </c>
      <c r="Z52" s="34">
        <v>32</v>
      </c>
      <c r="AA52" s="34"/>
      <c r="AB52" s="35"/>
      <c r="AC52" s="35">
        <f t="shared" si="3"/>
        <v>97</v>
      </c>
      <c r="AE52" s="39"/>
      <c r="AF52" s="40"/>
      <c r="AG52" s="40"/>
      <c r="AH52" s="40"/>
      <c r="AI52" s="40"/>
      <c r="AJ52" s="41"/>
      <c r="AK52" s="41"/>
    </row>
    <row r="53" spans="2:37" ht="18" customHeight="1" x14ac:dyDescent="0.2">
      <c r="B53" s="10">
        <f>garage!B53</f>
        <v>53</v>
      </c>
      <c r="C53" s="10">
        <f>garage!C53</f>
        <v>2</v>
      </c>
      <c r="D53" s="10">
        <f>garage!D53</f>
        <v>19</v>
      </c>
      <c r="E53" s="10">
        <f>garage!E53</f>
        <v>32</v>
      </c>
      <c r="F53" s="10" t="str">
        <f>garage!F53</f>
        <v>--</v>
      </c>
      <c r="G53" s="10" t="str">
        <f>garage!G53</f>
        <v>N</v>
      </c>
      <c r="H53" s="10" t="str">
        <f>garage!H53</f>
        <v>N</v>
      </c>
      <c r="I53" s="10" t="str">
        <f>garage!I53</f>
        <v>N</v>
      </c>
      <c r="J53" s="10" t="str">
        <f>garage!J53</f>
        <v>N</v>
      </c>
      <c r="K53" s="10" t="str">
        <f>garage!K53</f>
        <v>C</v>
      </c>
      <c r="L53" s="11" t="str">
        <f>garage!L53</f>
        <v>Jaguar</v>
      </c>
      <c r="M53" s="11" t="str">
        <f>garage!M53</f>
        <v>XJR-15</v>
      </c>
      <c r="O53" s="19">
        <v>50</v>
      </c>
      <c r="P53" s="16">
        <v>29</v>
      </c>
      <c r="Q53" s="16">
        <v>38</v>
      </c>
      <c r="R53" s="16">
        <v>48</v>
      </c>
      <c r="S53" s="16" t="s">
        <v>107</v>
      </c>
      <c r="T53" s="17" t="s">
        <v>107</v>
      </c>
      <c r="U53" s="61"/>
      <c r="W53" s="33"/>
      <c r="X53" s="34"/>
      <c r="Y53" s="34"/>
      <c r="Z53" s="34"/>
      <c r="AA53" s="34"/>
      <c r="AB53" s="35"/>
      <c r="AC53" s="35"/>
      <c r="AE53" s="39"/>
      <c r="AF53" s="40"/>
      <c r="AG53" s="40"/>
      <c r="AH53" s="40"/>
      <c r="AI53" s="40"/>
      <c r="AJ53" s="41"/>
      <c r="AK53" s="41"/>
    </row>
    <row r="54" spans="2:37" ht="18" customHeight="1" x14ac:dyDescent="0.2">
      <c r="B54" s="8">
        <f>garage!B54</f>
        <v>54</v>
      </c>
      <c r="C54" s="8">
        <f>garage!C54</f>
        <v>2</v>
      </c>
      <c r="D54" s="8">
        <f>garage!D54</f>
        <v>20</v>
      </c>
      <c r="E54" s="8">
        <f>garage!E54</f>
        <v>26</v>
      </c>
      <c r="F54" s="8" t="str">
        <f>garage!F54</f>
        <v>F</v>
      </c>
      <c r="G54" s="8" t="str">
        <f>garage!G54</f>
        <v>O</v>
      </c>
      <c r="H54" s="8" t="str">
        <f>garage!H54</f>
        <v>N</v>
      </c>
      <c r="I54" s="8" t="str">
        <f>garage!I54</f>
        <v>N</v>
      </c>
      <c r="J54" s="8" t="str">
        <f>garage!J54</f>
        <v>O</v>
      </c>
      <c r="K54" s="8" t="str">
        <f>garage!K54</f>
        <v>C</v>
      </c>
      <c r="L54" s="9" t="str">
        <f>garage!L54</f>
        <v>Ferrari</v>
      </c>
      <c r="M54" s="9" t="str">
        <f>garage!M54</f>
        <v>Monza SP1</v>
      </c>
      <c r="O54" s="18">
        <v>50</v>
      </c>
      <c r="P54" s="14">
        <v>29</v>
      </c>
      <c r="Q54" s="14">
        <v>38</v>
      </c>
      <c r="R54" s="14">
        <v>48</v>
      </c>
      <c r="S54" s="14"/>
      <c r="T54" s="15"/>
      <c r="U54" s="60">
        <f t="shared" si="6"/>
        <v>165</v>
      </c>
      <c r="W54" s="30">
        <v>50</v>
      </c>
      <c r="X54" s="31">
        <v>29</v>
      </c>
      <c r="Y54" s="31"/>
      <c r="Z54" s="31"/>
      <c r="AA54" s="31"/>
      <c r="AB54" s="32"/>
      <c r="AC54" s="32">
        <f t="shared" si="3"/>
        <v>79</v>
      </c>
      <c r="AE54" s="36"/>
      <c r="AF54" s="37"/>
      <c r="AG54" s="37">
        <f>Q54-Y54</f>
        <v>38</v>
      </c>
      <c r="AH54" s="37">
        <f>R54-Z54</f>
        <v>48</v>
      </c>
      <c r="AI54" s="37"/>
      <c r="AJ54" s="38"/>
      <c r="AK54" s="38">
        <f>SUM(AE54:AJ54)</f>
        <v>86</v>
      </c>
    </row>
    <row r="55" spans="2:37" ht="18" customHeight="1" x14ac:dyDescent="0.2">
      <c r="B55" s="10">
        <f>garage!B55</f>
        <v>55</v>
      </c>
      <c r="C55" s="10">
        <f>garage!C55</f>
        <v>2</v>
      </c>
      <c r="D55" s="10">
        <f>garage!D55</f>
        <v>21</v>
      </c>
      <c r="E55" s="10">
        <f>garage!E55</f>
        <v>18</v>
      </c>
      <c r="F55" s="10" t="str">
        <f>garage!F55</f>
        <v>--</v>
      </c>
      <c r="G55" s="10" t="str">
        <f>garage!G55</f>
        <v>O</v>
      </c>
      <c r="H55" s="10" t="str">
        <f>garage!H55</f>
        <v>O</v>
      </c>
      <c r="I55" s="10" t="str">
        <f>garage!I55</f>
        <v>N</v>
      </c>
      <c r="J55" s="10" t="str">
        <f>garage!J55</f>
        <v>N</v>
      </c>
      <c r="K55" s="10" t="str">
        <f>garage!K55</f>
        <v>C</v>
      </c>
      <c r="L55" s="11" t="str">
        <f>garage!L55</f>
        <v>ATS Automobili</v>
      </c>
      <c r="M55" s="11" t="str">
        <f>garage!M55</f>
        <v>Corsa RRTurbo</v>
      </c>
      <c r="O55" s="19" t="s">
        <v>115</v>
      </c>
      <c r="P55" s="16">
        <v>25</v>
      </c>
      <c r="Q55" s="16">
        <v>38</v>
      </c>
      <c r="R55" s="16">
        <v>52</v>
      </c>
      <c r="S55" s="16"/>
      <c r="T55" s="17"/>
      <c r="U55" s="61">
        <f t="shared" si="6"/>
        <v>115</v>
      </c>
      <c r="W55" s="33" t="s">
        <v>115</v>
      </c>
      <c r="X55" s="34">
        <v>25</v>
      </c>
      <c r="Y55" s="34">
        <v>38</v>
      </c>
      <c r="Z55" s="34">
        <v>52</v>
      </c>
      <c r="AA55" s="34"/>
      <c r="AB55" s="35"/>
      <c r="AC55" s="35">
        <f t="shared" si="3"/>
        <v>115</v>
      </c>
      <c r="AE55" s="39"/>
      <c r="AF55" s="40"/>
      <c r="AG55" s="40"/>
      <c r="AH55" s="40"/>
      <c r="AI55" s="40"/>
      <c r="AJ55" s="41"/>
      <c r="AK55" s="41"/>
    </row>
    <row r="56" spans="2:37" ht="18" customHeight="1" x14ac:dyDescent="0.2">
      <c r="B56" s="8">
        <f>garage!B56</f>
        <v>56</v>
      </c>
      <c r="C56" s="8">
        <f>garage!C56</f>
        <v>2</v>
      </c>
      <c r="D56" s="8">
        <f>garage!D56</f>
        <v>22</v>
      </c>
      <c r="E56" s="8">
        <f>garage!E56</f>
        <v>27</v>
      </c>
      <c r="F56" s="8" t="str">
        <f>garage!F56</f>
        <v>--</v>
      </c>
      <c r="G56" s="8" t="str">
        <f>garage!G56</f>
        <v>N</v>
      </c>
      <c r="H56" s="8" t="str">
        <f>garage!H56</f>
        <v>N</v>
      </c>
      <c r="I56" s="8" t="str">
        <f>garage!I56</f>
        <v>N</v>
      </c>
      <c r="J56" s="8" t="str">
        <f>garage!J56</f>
        <v>N</v>
      </c>
      <c r="K56" s="8" t="str">
        <f>garage!K56</f>
        <v>C</v>
      </c>
      <c r="L56" s="9" t="str">
        <f>garage!L56</f>
        <v>Jaguar</v>
      </c>
      <c r="M56" s="9" t="str">
        <f>garage!M56</f>
        <v>XE SV Project 8</v>
      </c>
      <c r="O56" s="18">
        <v>35</v>
      </c>
      <c r="P56" s="14">
        <v>15</v>
      </c>
      <c r="Q56" s="14">
        <v>21</v>
      </c>
      <c r="R56" s="14">
        <v>28</v>
      </c>
      <c r="S56" s="14">
        <v>35</v>
      </c>
      <c r="T56" s="15"/>
      <c r="U56" s="60">
        <f t="shared" si="6"/>
        <v>134</v>
      </c>
      <c r="W56" s="30">
        <v>5</v>
      </c>
      <c r="X56" s="31"/>
      <c r="Y56" s="31"/>
      <c r="Z56" s="31"/>
      <c r="AA56" s="31"/>
      <c r="AB56" s="32"/>
      <c r="AC56" s="32">
        <f t="shared" si="3"/>
        <v>5</v>
      </c>
      <c r="AE56" s="36">
        <f>O56-W56</f>
        <v>30</v>
      </c>
      <c r="AF56" s="37">
        <f>P56-X56</f>
        <v>15</v>
      </c>
      <c r="AG56" s="37">
        <f>Q56-Y56</f>
        <v>21</v>
      </c>
      <c r="AH56" s="37">
        <f>R56-Z56</f>
        <v>28</v>
      </c>
      <c r="AI56" s="37">
        <f>S56-AA56</f>
        <v>35</v>
      </c>
      <c r="AJ56" s="38"/>
      <c r="AK56" s="38">
        <f>SUM(AE56:AJ56)</f>
        <v>129</v>
      </c>
    </row>
    <row r="57" spans="2:37" ht="18" customHeight="1" x14ac:dyDescent="0.2">
      <c r="B57" s="10">
        <f>garage!B57</f>
        <v>57</v>
      </c>
      <c r="C57" s="10">
        <f>garage!C57</f>
        <v>2</v>
      </c>
      <c r="D57" s="10">
        <f>garage!D57</f>
        <v>23</v>
      </c>
      <c r="E57" s="10">
        <f>garage!E57</f>
        <v>15</v>
      </c>
      <c r="F57" s="10" t="str">
        <f>garage!F57</f>
        <v>F</v>
      </c>
      <c r="G57" s="10" t="str">
        <f>garage!G57</f>
        <v>O</v>
      </c>
      <c r="H57" s="10" t="str">
        <f>garage!H57</f>
        <v>O</v>
      </c>
      <c r="I57" s="10" t="str">
        <f>garage!I57</f>
        <v>N</v>
      </c>
      <c r="J57" s="10" t="str">
        <f>garage!J57</f>
        <v>N</v>
      </c>
      <c r="K57" s="10" t="str">
        <f>garage!K57</f>
        <v>C</v>
      </c>
      <c r="L57" s="11" t="str">
        <f>garage!L57</f>
        <v>Ferrari</v>
      </c>
      <c r="M57" s="11" t="str">
        <f>garage!M57</f>
        <v>F40</v>
      </c>
      <c r="O57" s="19">
        <v>35</v>
      </c>
      <c r="P57" s="16">
        <v>15</v>
      </c>
      <c r="Q57" s="16">
        <v>21</v>
      </c>
      <c r="R57" s="16">
        <v>28</v>
      </c>
      <c r="S57" s="16">
        <v>35</v>
      </c>
      <c r="T57" s="17"/>
      <c r="U57" s="61">
        <f t="shared" si="6"/>
        <v>134</v>
      </c>
      <c r="W57" s="33">
        <v>35</v>
      </c>
      <c r="X57" s="34">
        <v>15</v>
      </c>
      <c r="Y57" s="34">
        <v>21</v>
      </c>
      <c r="Z57" s="34">
        <v>28</v>
      </c>
      <c r="AA57" s="34">
        <v>35</v>
      </c>
      <c r="AB57" s="35"/>
      <c r="AC57" s="35">
        <f t="shared" si="3"/>
        <v>134</v>
      </c>
      <c r="AE57" s="39"/>
      <c r="AF57" s="40"/>
      <c r="AG57" s="40"/>
      <c r="AH57" s="40"/>
      <c r="AI57" s="40"/>
      <c r="AJ57" s="41"/>
      <c r="AK57" s="41"/>
    </row>
    <row r="58" spans="2:37" ht="18" customHeight="1" x14ac:dyDescent="0.2">
      <c r="B58" s="8">
        <f>garage!B58</f>
        <v>58</v>
      </c>
      <c r="C58" s="8">
        <f>garage!C58</f>
        <v>2</v>
      </c>
      <c r="D58" s="8">
        <f>garage!D58</f>
        <v>24</v>
      </c>
      <c r="E58" s="8">
        <f>garage!E58</f>
        <v>19</v>
      </c>
      <c r="F58" s="8" t="str">
        <f>garage!F58</f>
        <v>--</v>
      </c>
      <c r="G58" s="8" t="str">
        <f>garage!G58</f>
        <v>N</v>
      </c>
      <c r="H58" s="8" t="str">
        <f>garage!H58</f>
        <v>N</v>
      </c>
      <c r="I58" s="8" t="str">
        <f>garage!I58</f>
        <v>N</v>
      </c>
      <c r="J58" s="8" t="str">
        <f>garage!J58</f>
        <v>N</v>
      </c>
      <c r="K58" s="8" t="str">
        <f>garage!K58</f>
        <v>C</v>
      </c>
      <c r="L58" s="9" t="str">
        <f>garage!L58</f>
        <v>Renault</v>
      </c>
      <c r="M58" s="9" t="str">
        <f>garage!M58</f>
        <v>R.S. 01</v>
      </c>
      <c r="O58" s="18" t="s">
        <v>115</v>
      </c>
      <c r="P58" s="14">
        <v>25</v>
      </c>
      <c r="Q58" s="14">
        <v>32</v>
      </c>
      <c r="R58" s="14">
        <v>36</v>
      </c>
      <c r="S58" s="14">
        <v>40</v>
      </c>
      <c r="T58" s="15"/>
      <c r="U58" s="60">
        <f t="shared" si="6"/>
        <v>133</v>
      </c>
      <c r="W58" s="30"/>
      <c r="X58" s="31">
        <v>21</v>
      </c>
      <c r="Y58" s="31"/>
      <c r="Z58" s="31"/>
      <c r="AA58" s="31"/>
      <c r="AB58" s="32"/>
      <c r="AC58" s="32">
        <f t="shared" si="3"/>
        <v>21</v>
      </c>
      <c r="AE58" s="36" t="s">
        <v>115</v>
      </c>
      <c r="AF58" s="37">
        <f t="shared" ref="AF58:AI59" si="7">P58-X58</f>
        <v>4</v>
      </c>
      <c r="AG58" s="37">
        <f t="shared" si="7"/>
        <v>32</v>
      </c>
      <c r="AH58" s="37">
        <f t="shared" si="7"/>
        <v>36</v>
      </c>
      <c r="AI58" s="37">
        <f t="shared" si="7"/>
        <v>40</v>
      </c>
      <c r="AJ58" s="38"/>
      <c r="AK58" s="38">
        <f>SUM(AE58:AJ58)</f>
        <v>112</v>
      </c>
    </row>
    <row r="59" spans="2:37" ht="18" customHeight="1" x14ac:dyDescent="0.2">
      <c r="B59" s="10">
        <f>garage!B59</f>
        <v>59</v>
      </c>
      <c r="C59" s="10">
        <f>garage!C59</f>
        <v>2</v>
      </c>
      <c r="D59" s="10">
        <f>garage!D59</f>
        <v>25</v>
      </c>
      <c r="E59" s="10">
        <f>garage!E59</f>
        <v>31</v>
      </c>
      <c r="F59" s="10" t="str">
        <f>garage!F59</f>
        <v>--</v>
      </c>
      <c r="G59" s="10" t="str">
        <f>garage!G59</f>
        <v>N</v>
      </c>
      <c r="H59" s="10" t="str">
        <f>garage!H59</f>
        <v>N</v>
      </c>
      <c r="I59" s="10" t="str">
        <f>garage!I59</f>
        <v>N</v>
      </c>
      <c r="J59" s="10" t="str">
        <f>garage!J59</f>
        <v>N</v>
      </c>
      <c r="K59" s="10" t="str">
        <f>garage!K59</f>
        <v>C</v>
      </c>
      <c r="L59" s="11" t="str">
        <f>garage!L59</f>
        <v>Mercedes-Benz</v>
      </c>
      <c r="M59" s="11" t="str">
        <f>garage!M59</f>
        <v>CLK-GTR</v>
      </c>
      <c r="O59" s="19">
        <v>35</v>
      </c>
      <c r="P59" s="16">
        <v>15</v>
      </c>
      <c r="Q59" s="16">
        <v>21</v>
      </c>
      <c r="R59" s="16">
        <v>28</v>
      </c>
      <c r="S59" s="16">
        <v>35</v>
      </c>
      <c r="T59" s="17"/>
      <c r="U59" s="61">
        <f t="shared" si="6"/>
        <v>134</v>
      </c>
      <c r="W59" s="33"/>
      <c r="X59" s="34"/>
      <c r="Y59" s="34"/>
      <c r="Z59" s="34"/>
      <c r="AA59" s="34"/>
      <c r="AB59" s="35"/>
      <c r="AC59" s="35"/>
      <c r="AE59" s="39">
        <f>O59-W59</f>
        <v>35</v>
      </c>
      <c r="AF59" s="40">
        <f t="shared" si="7"/>
        <v>15</v>
      </c>
      <c r="AG59" s="40">
        <f t="shared" si="7"/>
        <v>21</v>
      </c>
      <c r="AH59" s="40">
        <f t="shared" si="7"/>
        <v>28</v>
      </c>
      <c r="AI59" s="40">
        <f t="shared" si="7"/>
        <v>35</v>
      </c>
      <c r="AJ59" s="41"/>
      <c r="AK59" s="41">
        <f>SUM(AE59:AJ59)</f>
        <v>134</v>
      </c>
    </row>
    <row r="60" spans="2:37" ht="18" customHeight="1" x14ac:dyDescent="0.2">
      <c r="B60" s="8">
        <f>garage!B60</f>
        <v>60</v>
      </c>
      <c r="C60" s="8">
        <f>garage!C60</f>
        <v>2</v>
      </c>
      <c r="D60" s="8">
        <f>garage!D60</f>
        <v>26</v>
      </c>
      <c r="E60" s="8">
        <f>garage!E60</f>
        <v>17</v>
      </c>
      <c r="F60" s="8" t="str">
        <f>garage!F60</f>
        <v>--</v>
      </c>
      <c r="G60" s="8" t="str">
        <f>garage!G60</f>
        <v>O</v>
      </c>
      <c r="H60" s="8" t="str">
        <f>garage!H60</f>
        <v>O</v>
      </c>
      <c r="I60" s="8" t="str">
        <f>garage!I60</f>
        <v>N</v>
      </c>
      <c r="J60" s="8" t="str">
        <f>garage!J60</f>
        <v>N</v>
      </c>
      <c r="K60" s="8" t="str">
        <f>garage!K60</f>
        <v>C</v>
      </c>
      <c r="L60" s="9" t="str">
        <f>garage!L60</f>
        <v>Acura</v>
      </c>
      <c r="M60" s="9" t="str">
        <f>garage!M60</f>
        <v>NSX GT3 EVO</v>
      </c>
      <c r="O60" s="18" t="s">
        <v>115</v>
      </c>
      <c r="P60" s="14">
        <v>25</v>
      </c>
      <c r="Q60" s="14">
        <v>32</v>
      </c>
      <c r="R60" s="14">
        <v>36</v>
      </c>
      <c r="S60" s="14">
        <v>41</v>
      </c>
      <c r="T60" s="15"/>
      <c r="U60" s="60">
        <f t="shared" ref="U60:U72" si="8">SUM(O60:T60)</f>
        <v>134</v>
      </c>
      <c r="W60" s="30" t="s">
        <v>115</v>
      </c>
      <c r="X60" s="31">
        <v>25</v>
      </c>
      <c r="Y60" s="31">
        <v>32</v>
      </c>
      <c r="Z60" s="31">
        <v>36</v>
      </c>
      <c r="AA60" s="31">
        <v>41</v>
      </c>
      <c r="AB60" s="32"/>
      <c r="AC60" s="32">
        <f>SUM(W60:AB60)</f>
        <v>134</v>
      </c>
      <c r="AE60" s="36"/>
      <c r="AF60" s="37"/>
      <c r="AG60" s="37"/>
      <c r="AH60" s="37"/>
      <c r="AI60" s="37"/>
      <c r="AJ60" s="38"/>
      <c r="AK60" s="38"/>
    </row>
    <row r="61" spans="2:37" ht="18" customHeight="1" x14ac:dyDescent="0.2">
      <c r="B61" s="10">
        <f>garage!B61</f>
        <v>61</v>
      </c>
      <c r="C61" s="10">
        <f>garage!C61</f>
        <v>2</v>
      </c>
      <c r="D61" s="10">
        <f>garage!D61</f>
        <v>27</v>
      </c>
      <c r="E61" s="10">
        <f>garage!E61</f>
        <v>0</v>
      </c>
      <c r="F61" s="10" t="str">
        <f>garage!F61</f>
        <v>--</v>
      </c>
      <c r="G61" s="10" t="str">
        <f>garage!G61</f>
        <v>O</v>
      </c>
      <c r="H61" s="10" t="str">
        <f>garage!H61</f>
        <v>O</v>
      </c>
      <c r="I61" s="10" t="str">
        <f>garage!I61</f>
        <v>O</v>
      </c>
      <c r="J61" s="10" t="str">
        <f>garage!J61</f>
        <v>N</v>
      </c>
      <c r="K61" s="10" t="str">
        <f>garage!K61</f>
        <v>C</v>
      </c>
      <c r="L61" s="11" t="str">
        <f>garage!L61</f>
        <v>Vencer</v>
      </c>
      <c r="M61" s="11" t="str">
        <f>garage!M61</f>
        <v>Sarthe</v>
      </c>
      <c r="O61" s="19">
        <v>35</v>
      </c>
      <c r="P61" s="16">
        <v>15</v>
      </c>
      <c r="Q61" s="16">
        <v>21</v>
      </c>
      <c r="R61" s="16">
        <v>28</v>
      </c>
      <c r="S61" s="16">
        <v>35</v>
      </c>
      <c r="T61" s="17"/>
      <c r="U61" s="61">
        <f t="shared" si="8"/>
        <v>134</v>
      </c>
      <c r="W61" s="33">
        <v>35</v>
      </c>
      <c r="X61" s="34">
        <v>15</v>
      </c>
      <c r="Y61" s="34">
        <v>21</v>
      </c>
      <c r="Z61" s="34">
        <v>28</v>
      </c>
      <c r="AA61" s="34">
        <v>35</v>
      </c>
      <c r="AB61" s="35"/>
      <c r="AC61" s="35">
        <f>SUM(W61:AB61)</f>
        <v>134</v>
      </c>
      <c r="AE61" s="39"/>
      <c r="AF61" s="40"/>
      <c r="AG61" s="40"/>
      <c r="AH61" s="40"/>
      <c r="AI61" s="40"/>
      <c r="AJ61" s="41"/>
      <c r="AK61" s="41"/>
    </row>
    <row r="62" spans="2:37" ht="18" customHeight="1" x14ac:dyDescent="0.2">
      <c r="B62" s="8">
        <f>garage!B62</f>
        <v>62</v>
      </c>
      <c r="C62" s="8">
        <f>garage!C62</f>
        <v>2</v>
      </c>
      <c r="D62" s="8">
        <f>garage!D62</f>
        <v>28</v>
      </c>
      <c r="E62" s="8">
        <f>garage!E62</f>
        <v>30</v>
      </c>
      <c r="F62" s="8" t="str">
        <f>garage!F62</f>
        <v>--</v>
      </c>
      <c r="G62" s="8" t="str">
        <f>garage!G62</f>
        <v>N</v>
      </c>
      <c r="H62" s="8" t="str">
        <f>garage!H62</f>
        <v>N</v>
      </c>
      <c r="I62" s="8" t="str">
        <f>garage!I62</f>
        <v>N</v>
      </c>
      <c r="J62" s="8" t="str">
        <f>garage!J62</f>
        <v>N</v>
      </c>
      <c r="K62" s="8" t="str">
        <f>garage!K62</f>
        <v>C</v>
      </c>
      <c r="L62" s="9" t="str">
        <f>garage!L62</f>
        <v>Maserati</v>
      </c>
      <c r="M62" s="9" t="str">
        <f>garage!M62</f>
        <v>MC12</v>
      </c>
      <c r="O62" s="18" t="s">
        <v>115</v>
      </c>
      <c r="P62" s="14">
        <v>25</v>
      </c>
      <c r="Q62" s="14">
        <v>32</v>
      </c>
      <c r="R62" s="14">
        <v>36</v>
      </c>
      <c r="S62" s="14">
        <v>40</v>
      </c>
      <c r="T62" s="15"/>
      <c r="U62" s="60">
        <f t="shared" si="8"/>
        <v>133</v>
      </c>
      <c r="W62" s="30"/>
      <c r="X62" s="31">
        <v>25</v>
      </c>
      <c r="Y62" s="31">
        <v>1</v>
      </c>
      <c r="Z62" s="31"/>
      <c r="AA62" s="31"/>
      <c r="AB62" s="32"/>
      <c r="AC62" s="32"/>
      <c r="AE62" s="36" t="s">
        <v>115</v>
      </c>
      <c r="AF62" s="37"/>
      <c r="AG62" s="37">
        <f>Q62-Y62</f>
        <v>31</v>
      </c>
      <c r="AH62" s="37">
        <f>R62-Z62</f>
        <v>36</v>
      </c>
      <c r="AI62" s="37">
        <f>S62-AA62</f>
        <v>40</v>
      </c>
      <c r="AJ62" s="38"/>
      <c r="AK62" s="38">
        <f>SUM(AE62:AJ62)</f>
        <v>107</v>
      </c>
    </row>
    <row r="63" spans="2:37" ht="18" customHeight="1" x14ac:dyDescent="0.2">
      <c r="B63" s="10">
        <f>garage!B63</f>
        <v>63</v>
      </c>
      <c r="C63" s="10">
        <f>garage!C63</f>
        <v>2</v>
      </c>
      <c r="D63" s="10">
        <f>garage!D63</f>
        <v>29</v>
      </c>
      <c r="E63" s="10">
        <f>garage!E63</f>
        <v>14</v>
      </c>
      <c r="F63" s="10" t="str">
        <f>garage!F63</f>
        <v>--</v>
      </c>
      <c r="G63" s="10" t="str">
        <f>garage!G63</f>
        <v>O</v>
      </c>
      <c r="H63" s="10" t="str">
        <f>garage!H63</f>
        <v>N</v>
      </c>
      <c r="I63" s="10" t="str">
        <f>garage!I63</f>
        <v>N</v>
      </c>
      <c r="J63" s="10" t="str">
        <f>garage!J63</f>
        <v>N</v>
      </c>
      <c r="K63" s="10" t="str">
        <f>garage!K63</f>
        <v>C</v>
      </c>
      <c r="L63" s="11" t="str">
        <f>garage!L63</f>
        <v>Bentley</v>
      </c>
      <c r="M63" s="11" t="str">
        <f>garage!M63</f>
        <v>Mulliner Bacalar</v>
      </c>
      <c r="O63" s="19">
        <v>35</v>
      </c>
      <c r="P63" s="16">
        <v>15</v>
      </c>
      <c r="Q63" s="16">
        <v>21</v>
      </c>
      <c r="R63" s="16">
        <v>28</v>
      </c>
      <c r="S63" s="16">
        <v>35</v>
      </c>
      <c r="T63" s="17"/>
      <c r="U63" s="61">
        <f t="shared" si="8"/>
        <v>134</v>
      </c>
      <c r="W63" s="33">
        <v>35</v>
      </c>
      <c r="X63" s="34">
        <v>15</v>
      </c>
      <c r="Y63" s="34">
        <v>21</v>
      </c>
      <c r="Z63" s="34">
        <v>2</v>
      </c>
      <c r="AA63" s="34"/>
      <c r="AB63" s="35"/>
      <c r="AC63" s="35">
        <f t="shared" ref="AC63:AC72" si="9">SUM(W63:AB63)</f>
        <v>73</v>
      </c>
      <c r="AE63" s="39"/>
      <c r="AF63" s="40"/>
      <c r="AG63" s="40"/>
      <c r="AH63" s="40">
        <f>R63-Z63</f>
        <v>26</v>
      </c>
      <c r="AI63" s="40">
        <f>S63-AA63</f>
        <v>35</v>
      </c>
      <c r="AJ63" s="41"/>
      <c r="AK63" s="41">
        <f>SUM(AE63:AJ63)</f>
        <v>61</v>
      </c>
    </row>
    <row r="64" spans="2:37" ht="18" customHeight="1" x14ac:dyDescent="0.2">
      <c r="B64" s="8">
        <f>garage!B64</f>
        <v>64</v>
      </c>
      <c r="C64" s="8">
        <f>garage!C64</f>
        <v>2</v>
      </c>
      <c r="D64" s="8">
        <f>garage!D64</f>
        <v>30</v>
      </c>
      <c r="E64" s="8">
        <f>garage!E64</f>
        <v>25</v>
      </c>
      <c r="F64" s="8" t="str">
        <f>garage!F64</f>
        <v>L</v>
      </c>
      <c r="G64" s="8" t="str">
        <f>garage!G64</f>
        <v>N</v>
      </c>
      <c r="H64" s="8" t="str">
        <f>garage!H64</f>
        <v>N</v>
      </c>
      <c r="I64" s="8" t="str">
        <f>garage!I64</f>
        <v>N</v>
      </c>
      <c r="J64" s="8" t="str">
        <f>garage!J64</f>
        <v>N</v>
      </c>
      <c r="K64" s="8" t="str">
        <f>garage!K64</f>
        <v>C</v>
      </c>
      <c r="L64" s="9" t="str">
        <f>garage!L64</f>
        <v>Lamborghini</v>
      </c>
      <c r="M64" s="9" t="str">
        <f>garage!M64</f>
        <v>Miura Concept</v>
      </c>
      <c r="O64" s="18" t="s">
        <v>115</v>
      </c>
      <c r="P64" s="14">
        <v>25</v>
      </c>
      <c r="Q64" s="14">
        <v>32</v>
      </c>
      <c r="R64" s="14">
        <v>36</v>
      </c>
      <c r="S64" s="14">
        <v>40</v>
      </c>
      <c r="T64" s="15"/>
      <c r="U64" s="60">
        <f t="shared" si="8"/>
        <v>133</v>
      </c>
      <c r="W64" s="30"/>
      <c r="X64" s="31">
        <v>25</v>
      </c>
      <c r="Y64" s="31">
        <v>32</v>
      </c>
      <c r="Z64" s="31">
        <v>36</v>
      </c>
      <c r="AA64" s="31">
        <v>23</v>
      </c>
      <c r="AB64" s="32"/>
      <c r="AC64" s="32">
        <f t="shared" si="9"/>
        <v>116</v>
      </c>
      <c r="AE64" s="36" t="s">
        <v>115</v>
      </c>
      <c r="AF64" s="37"/>
      <c r="AG64" s="37"/>
      <c r="AH64" s="37"/>
      <c r="AI64" s="37">
        <f>S64-AA64</f>
        <v>17</v>
      </c>
      <c r="AJ64" s="38"/>
      <c r="AK64" s="38">
        <f>SUM(AE64:AJ64)</f>
        <v>17</v>
      </c>
    </row>
    <row r="65" spans="2:37" ht="18" customHeight="1" x14ac:dyDescent="0.2">
      <c r="B65" s="10">
        <f>garage!B65</f>
        <v>65</v>
      </c>
      <c r="C65" s="10">
        <f>garage!C65</f>
        <v>2</v>
      </c>
      <c r="D65" s="10">
        <f>garage!D65</f>
        <v>31</v>
      </c>
      <c r="E65" s="10">
        <f>garage!E65</f>
        <v>11</v>
      </c>
      <c r="F65" s="10" t="str">
        <f>garage!F65</f>
        <v>P</v>
      </c>
      <c r="G65" s="10" t="str">
        <f>garage!G65</f>
        <v>O</v>
      </c>
      <c r="H65" s="10" t="str">
        <f>garage!H65</f>
        <v>O</v>
      </c>
      <c r="I65" s="10" t="str">
        <f>garage!I65</f>
        <v>N</v>
      </c>
      <c r="J65" s="10" t="str">
        <f>garage!J65</f>
        <v>N</v>
      </c>
      <c r="K65" s="10" t="str">
        <f>garage!K65</f>
        <v>C</v>
      </c>
      <c r="L65" s="11" t="str">
        <f>garage!L65</f>
        <v>Porsche</v>
      </c>
      <c r="M65" s="11" t="str">
        <f>garage!M65</f>
        <v>718 Cayman GT4 Clubsport</v>
      </c>
      <c r="O65" s="19" t="s">
        <v>115</v>
      </c>
      <c r="P65" s="16">
        <v>25</v>
      </c>
      <c r="Q65" s="16">
        <v>32</v>
      </c>
      <c r="R65" s="16">
        <v>36</v>
      </c>
      <c r="S65" s="16">
        <v>40</v>
      </c>
      <c r="T65" s="17"/>
      <c r="U65" s="61">
        <f t="shared" si="8"/>
        <v>133</v>
      </c>
      <c r="W65" s="33" t="s">
        <v>115</v>
      </c>
      <c r="X65" s="34">
        <v>25</v>
      </c>
      <c r="Y65" s="34">
        <v>32</v>
      </c>
      <c r="Z65" s="34">
        <v>36</v>
      </c>
      <c r="AA65" s="34">
        <v>40</v>
      </c>
      <c r="AB65" s="35"/>
      <c r="AC65" s="35">
        <f t="shared" si="9"/>
        <v>133</v>
      </c>
      <c r="AE65" s="39"/>
      <c r="AF65" s="40"/>
      <c r="AG65" s="40"/>
      <c r="AH65" s="40"/>
      <c r="AI65" s="40"/>
      <c r="AJ65" s="41"/>
      <c r="AK65" s="41"/>
    </row>
    <row r="66" spans="2:37" ht="18" customHeight="1" x14ac:dyDescent="0.2">
      <c r="B66" s="8">
        <f>garage!B66</f>
        <v>66</v>
      </c>
      <c r="C66" s="8">
        <f>garage!C66</f>
        <v>2</v>
      </c>
      <c r="D66" s="8">
        <f>garage!D66</f>
        <v>32</v>
      </c>
      <c r="E66" s="8">
        <f>garage!E66</f>
        <v>13</v>
      </c>
      <c r="F66" s="8" t="str">
        <f>garage!F66</f>
        <v>C</v>
      </c>
      <c r="G66" s="8" t="str">
        <f>garage!G66</f>
        <v>O</v>
      </c>
      <c r="H66" s="8" t="str">
        <f>garage!H66</f>
        <v>N</v>
      </c>
      <c r="I66" s="8" t="str">
        <f>garage!I66</f>
        <v>N</v>
      </c>
      <c r="J66" s="8" t="str">
        <f>garage!J66</f>
        <v>N</v>
      </c>
      <c r="K66" s="8" t="str">
        <f>garage!K66</f>
        <v>C</v>
      </c>
      <c r="L66" s="9" t="str">
        <f>garage!L66</f>
        <v>Chevrolet</v>
      </c>
      <c r="M66" s="9" t="str">
        <f>garage!M66</f>
        <v>Corvette Stingray</v>
      </c>
      <c r="O66" s="18">
        <v>35</v>
      </c>
      <c r="P66" s="14">
        <v>15</v>
      </c>
      <c r="Q66" s="14">
        <v>21</v>
      </c>
      <c r="R66" s="14">
        <v>28</v>
      </c>
      <c r="S66" s="14">
        <v>35</v>
      </c>
      <c r="T66" s="15"/>
      <c r="U66" s="60">
        <f t="shared" si="8"/>
        <v>134</v>
      </c>
      <c r="W66" s="30">
        <v>35</v>
      </c>
      <c r="X66" s="31">
        <v>15</v>
      </c>
      <c r="Y66" s="31">
        <v>21</v>
      </c>
      <c r="Z66" s="31">
        <v>28</v>
      </c>
      <c r="AA66" s="31">
        <v>1</v>
      </c>
      <c r="AB66" s="32"/>
      <c r="AC66" s="32">
        <f t="shared" si="9"/>
        <v>100</v>
      </c>
      <c r="AE66" s="36"/>
      <c r="AF66" s="37"/>
      <c r="AG66" s="37"/>
      <c r="AH66" s="37"/>
      <c r="AI66" s="37">
        <f>S66-AA66</f>
        <v>34</v>
      </c>
      <c r="AJ66" s="38"/>
      <c r="AK66" s="38">
        <f>SUM(AE66:AJ66)</f>
        <v>34</v>
      </c>
    </row>
    <row r="67" spans="2:37" ht="18" customHeight="1" x14ac:dyDescent="0.2">
      <c r="B67" s="10">
        <f>garage!B67</f>
        <v>67</v>
      </c>
      <c r="C67" s="10">
        <f>garage!C67</f>
        <v>2</v>
      </c>
      <c r="D67" s="10">
        <f>garage!D67</f>
        <v>33</v>
      </c>
      <c r="E67" s="10">
        <f>garage!E67</f>
        <v>24</v>
      </c>
      <c r="F67" s="10" t="str">
        <f>garage!F67</f>
        <v>--</v>
      </c>
      <c r="G67" s="10" t="str">
        <f>garage!G67</f>
        <v>N</v>
      </c>
      <c r="H67" s="10" t="str">
        <f>garage!H67</f>
        <v>N</v>
      </c>
      <c r="I67" s="10" t="str">
        <f>garage!I67</f>
        <v>N</v>
      </c>
      <c r="J67" s="10" t="str">
        <f>garage!J67</f>
        <v>O</v>
      </c>
      <c r="K67" s="10" t="str">
        <f>garage!K67</f>
        <v>C</v>
      </c>
      <c r="L67" s="11" t="str">
        <f>garage!L67</f>
        <v>Brabham</v>
      </c>
      <c r="M67" s="11" t="str">
        <f>garage!M67</f>
        <v>BT62</v>
      </c>
      <c r="O67" s="19" t="s">
        <v>115</v>
      </c>
      <c r="P67" s="16">
        <v>25</v>
      </c>
      <c r="Q67" s="16">
        <v>32</v>
      </c>
      <c r="R67" s="16">
        <v>36</v>
      </c>
      <c r="S67" s="16">
        <v>41</v>
      </c>
      <c r="T67" s="17"/>
      <c r="U67" s="61">
        <f t="shared" si="8"/>
        <v>134</v>
      </c>
      <c r="W67" s="33"/>
      <c r="X67" s="34">
        <v>25</v>
      </c>
      <c r="Y67" s="34">
        <v>20</v>
      </c>
      <c r="Z67" s="34"/>
      <c r="AA67" s="34"/>
      <c r="AB67" s="35"/>
      <c r="AC67" s="35">
        <f t="shared" si="9"/>
        <v>45</v>
      </c>
      <c r="AE67" s="39" t="s">
        <v>115</v>
      </c>
      <c r="AF67" s="40"/>
      <c r="AG67" s="40">
        <f>Q67-Y67</f>
        <v>12</v>
      </c>
      <c r="AH67" s="40">
        <f>R67-Z67</f>
        <v>36</v>
      </c>
      <c r="AI67" s="40">
        <f>S67-AA67</f>
        <v>41</v>
      </c>
      <c r="AJ67" s="41"/>
      <c r="AK67" s="41">
        <f>SUM(AE67:AJ67)</f>
        <v>89</v>
      </c>
    </row>
    <row r="68" spans="2:37" ht="18" customHeight="1" x14ac:dyDescent="0.2">
      <c r="B68" s="8">
        <f>garage!B68</f>
        <v>68</v>
      </c>
      <c r="C68" s="8">
        <f>garage!C68</f>
        <v>2</v>
      </c>
      <c r="D68" s="8">
        <f>garage!D68</f>
        <v>34</v>
      </c>
      <c r="E68" s="8">
        <f>garage!E68</f>
        <v>15</v>
      </c>
      <c r="F68" s="8" t="str">
        <f>garage!F68</f>
        <v>F</v>
      </c>
      <c r="G68" s="8" t="str">
        <f>garage!G68</f>
        <v>O</v>
      </c>
      <c r="H68" s="8" t="str">
        <f>garage!H68</f>
        <v>O</v>
      </c>
      <c r="I68" s="8" t="str">
        <f>garage!I68</f>
        <v>N</v>
      </c>
      <c r="J68" s="8" t="str">
        <f>garage!J68</f>
        <v>N</v>
      </c>
      <c r="K68" s="8" t="str">
        <f>garage!K68</f>
        <v>C</v>
      </c>
      <c r="L68" s="9" t="str">
        <f>garage!L68</f>
        <v>Ferrari</v>
      </c>
      <c r="M68" s="9" t="str">
        <f>garage!M68</f>
        <v>599XX EVO</v>
      </c>
      <c r="O68" s="18" t="s">
        <v>115</v>
      </c>
      <c r="P68" s="14">
        <v>25</v>
      </c>
      <c r="Q68" s="14">
        <v>32</v>
      </c>
      <c r="R68" s="14">
        <v>36</v>
      </c>
      <c r="S68" s="14">
        <v>40</v>
      </c>
      <c r="T68" s="15"/>
      <c r="U68" s="60">
        <f t="shared" si="8"/>
        <v>133</v>
      </c>
      <c r="W68" s="30" t="s">
        <v>115</v>
      </c>
      <c r="X68" s="31">
        <v>25</v>
      </c>
      <c r="Y68" s="31">
        <v>32</v>
      </c>
      <c r="Z68" s="31">
        <v>36</v>
      </c>
      <c r="AA68" s="31">
        <v>40</v>
      </c>
      <c r="AB68" s="32"/>
      <c r="AC68" s="32">
        <f t="shared" si="9"/>
        <v>133</v>
      </c>
      <c r="AE68" s="36" t="s">
        <v>115</v>
      </c>
      <c r="AF68" s="37"/>
      <c r="AG68" s="37"/>
      <c r="AH68" s="37"/>
      <c r="AI68" s="37"/>
      <c r="AJ68" s="38"/>
      <c r="AK68" s="38"/>
    </row>
    <row r="69" spans="2:37" ht="18" customHeight="1" x14ac:dyDescent="0.2">
      <c r="B69" s="10">
        <f>garage!B69</f>
        <v>69</v>
      </c>
      <c r="C69" s="10">
        <f>garage!C69</f>
        <v>2</v>
      </c>
      <c r="D69" s="10">
        <f>garage!D69</f>
        <v>35</v>
      </c>
      <c r="E69" s="10">
        <f>garage!E69</f>
        <v>28</v>
      </c>
      <c r="F69" s="10" t="str">
        <f>garage!F69</f>
        <v>--</v>
      </c>
      <c r="G69" s="10" t="str">
        <f>garage!G69</f>
        <v>O</v>
      </c>
      <c r="H69" s="10" t="str">
        <f>garage!H69</f>
        <v>N</v>
      </c>
      <c r="I69" s="10" t="str">
        <f>garage!I69</f>
        <v>N</v>
      </c>
      <c r="J69" s="10" t="str">
        <f>garage!J69</f>
        <v>N</v>
      </c>
      <c r="K69" s="10" t="str">
        <f>garage!K69</f>
        <v>C</v>
      </c>
      <c r="L69" s="11" t="str">
        <f>garage!L69</f>
        <v>Ares</v>
      </c>
      <c r="M69" s="11" t="str">
        <f>garage!M69</f>
        <v>S1</v>
      </c>
      <c r="O69" s="19" t="s">
        <v>115</v>
      </c>
      <c r="P69" s="16">
        <v>25</v>
      </c>
      <c r="Q69" s="16">
        <v>32</v>
      </c>
      <c r="R69" s="16">
        <v>36</v>
      </c>
      <c r="S69" s="16">
        <v>41</v>
      </c>
      <c r="T69" s="17"/>
      <c r="U69" s="61">
        <f t="shared" si="8"/>
        <v>134</v>
      </c>
      <c r="W69" s="33" t="s">
        <v>115</v>
      </c>
      <c r="X69" s="34">
        <v>25</v>
      </c>
      <c r="Y69" s="34">
        <v>32</v>
      </c>
      <c r="Z69" s="34">
        <v>23</v>
      </c>
      <c r="AA69" s="34"/>
      <c r="AB69" s="35"/>
      <c r="AC69" s="35">
        <f t="shared" si="9"/>
        <v>80</v>
      </c>
      <c r="AE69" s="39"/>
      <c r="AF69" s="40"/>
      <c r="AG69" s="40"/>
      <c r="AH69" s="40">
        <f>R69-Z69</f>
        <v>13</v>
      </c>
      <c r="AI69" s="40">
        <f>S69-AA69</f>
        <v>41</v>
      </c>
      <c r="AJ69" s="41"/>
      <c r="AK69" s="41">
        <f>SUM(AE69:AJ69)</f>
        <v>54</v>
      </c>
    </row>
    <row r="70" spans="2:37" ht="18" customHeight="1" x14ac:dyDescent="0.2">
      <c r="B70" s="8">
        <f>garage!B70</f>
        <v>70</v>
      </c>
      <c r="C70" s="8">
        <f>garage!C70</f>
        <v>2</v>
      </c>
      <c r="D70" s="8">
        <f>garage!D70</f>
        <v>36</v>
      </c>
      <c r="E70" s="8">
        <f>garage!E70</f>
        <v>25</v>
      </c>
      <c r="F70" s="8" t="str">
        <f>garage!F70</f>
        <v>L</v>
      </c>
      <c r="G70" s="8" t="str">
        <f>garage!G70</f>
        <v>N</v>
      </c>
      <c r="H70" s="8" t="str">
        <f>garage!H70</f>
        <v>N</v>
      </c>
      <c r="I70" s="8" t="str">
        <f>garage!I70</f>
        <v>N</v>
      </c>
      <c r="J70" s="8" t="str">
        <f>garage!J70</f>
        <v>N</v>
      </c>
      <c r="K70" s="8" t="str">
        <f>garage!K70</f>
        <v>C</v>
      </c>
      <c r="L70" s="9" t="str">
        <f>garage!L70</f>
        <v>Lamborghini</v>
      </c>
      <c r="M70" s="9" t="str">
        <f>garage!M70</f>
        <v>Diablo GT</v>
      </c>
      <c r="O70" s="18">
        <v>35</v>
      </c>
      <c r="P70" s="14">
        <v>15</v>
      </c>
      <c r="Q70" s="14">
        <v>21</v>
      </c>
      <c r="R70" s="14">
        <v>28</v>
      </c>
      <c r="S70" s="14">
        <v>35</v>
      </c>
      <c r="T70" s="15"/>
      <c r="U70" s="60">
        <f t="shared" si="8"/>
        <v>134</v>
      </c>
      <c r="W70" s="30">
        <v>34</v>
      </c>
      <c r="X70" s="31"/>
      <c r="Y70" s="31"/>
      <c r="Z70" s="31"/>
      <c r="AA70" s="31"/>
      <c r="AB70" s="32"/>
      <c r="AC70" s="32">
        <f t="shared" si="9"/>
        <v>34</v>
      </c>
      <c r="AE70" s="36">
        <f>O70-W70</f>
        <v>1</v>
      </c>
      <c r="AF70" s="37">
        <f>P70-X70</f>
        <v>15</v>
      </c>
      <c r="AG70" s="37">
        <f>Q70-Y70</f>
        <v>21</v>
      </c>
      <c r="AH70" s="37">
        <f>R70-Z70</f>
        <v>28</v>
      </c>
      <c r="AI70" s="37">
        <f>S70-AA70</f>
        <v>35</v>
      </c>
      <c r="AJ70" s="38"/>
      <c r="AK70" s="38">
        <f>SUM(AE70:AJ70)</f>
        <v>100</v>
      </c>
    </row>
    <row r="71" spans="2:37" ht="18" customHeight="1" x14ac:dyDescent="0.2">
      <c r="B71" s="10">
        <f>garage!B71</f>
        <v>71</v>
      </c>
      <c r="C71" s="10">
        <f>garage!C71</f>
        <v>2</v>
      </c>
      <c r="D71" s="10">
        <f>garage!D71</f>
        <v>37</v>
      </c>
      <c r="E71" s="10">
        <f>garage!E71</f>
        <v>7</v>
      </c>
      <c r="F71" s="10" t="str">
        <f>garage!F71</f>
        <v>--</v>
      </c>
      <c r="G71" s="10" t="str">
        <f>garage!G71</f>
        <v>O</v>
      </c>
      <c r="H71" s="10" t="str">
        <f>garage!H71</f>
        <v>O</v>
      </c>
      <c r="I71" s="10" t="str">
        <f>garage!I71</f>
        <v>O</v>
      </c>
      <c r="J71" s="10" t="str">
        <f>garage!J71</f>
        <v>N</v>
      </c>
      <c r="K71" s="10" t="str">
        <f>garage!K71</f>
        <v>C</v>
      </c>
      <c r="L71" s="11" t="str">
        <f>garage!L71</f>
        <v>Arrinera</v>
      </c>
      <c r="M71" s="11" t="str">
        <f>garage!M71</f>
        <v>Hussarya 33</v>
      </c>
      <c r="O71" s="19">
        <v>35</v>
      </c>
      <c r="P71" s="16">
        <v>15</v>
      </c>
      <c r="Q71" s="16">
        <v>21</v>
      </c>
      <c r="R71" s="16">
        <v>28</v>
      </c>
      <c r="S71" s="16">
        <v>35</v>
      </c>
      <c r="T71" s="17"/>
      <c r="U71" s="61">
        <f t="shared" si="8"/>
        <v>134</v>
      </c>
      <c r="W71" s="33">
        <v>35</v>
      </c>
      <c r="X71" s="34">
        <v>15</v>
      </c>
      <c r="Y71" s="34">
        <v>21</v>
      </c>
      <c r="Z71" s="34">
        <v>28</v>
      </c>
      <c r="AA71" s="34">
        <v>35</v>
      </c>
      <c r="AB71" s="35"/>
      <c r="AC71" s="35">
        <f t="shared" si="9"/>
        <v>134</v>
      </c>
      <c r="AE71" s="39"/>
      <c r="AF71" s="40"/>
      <c r="AG71" s="40"/>
      <c r="AH71" s="40"/>
      <c r="AI71" s="40"/>
      <c r="AJ71" s="41"/>
      <c r="AK71" s="41"/>
    </row>
    <row r="72" spans="2:37" ht="18" customHeight="1" x14ac:dyDescent="0.2">
      <c r="B72" s="8">
        <f>garage!B72</f>
        <v>72</v>
      </c>
      <c r="C72" s="8">
        <f>garage!C72</f>
        <v>2</v>
      </c>
      <c r="D72" s="8">
        <f>garage!D72</f>
        <v>38</v>
      </c>
      <c r="E72" s="8">
        <f>garage!E72</f>
        <v>26</v>
      </c>
      <c r="F72" s="8" t="str">
        <f>garage!F72</f>
        <v>B</v>
      </c>
      <c r="G72" s="8" t="str">
        <f>garage!G72</f>
        <v>O</v>
      </c>
      <c r="H72" s="8" t="str">
        <f>garage!H72</f>
        <v>O</v>
      </c>
      <c r="I72" s="8" t="str">
        <f>garage!I72</f>
        <v>N</v>
      </c>
      <c r="J72" s="8" t="str">
        <f>garage!J72</f>
        <v>N</v>
      </c>
      <c r="K72" s="8" t="str">
        <f>garage!K72</f>
        <v>C</v>
      </c>
      <c r="L72" s="9" t="str">
        <f>garage!L72</f>
        <v>Bugatti</v>
      </c>
      <c r="M72" s="9" t="str">
        <f>garage!M72</f>
        <v>EB110</v>
      </c>
      <c r="O72" s="18" t="s">
        <v>115</v>
      </c>
      <c r="P72" s="14">
        <v>25</v>
      </c>
      <c r="Q72" s="14">
        <v>32</v>
      </c>
      <c r="R72" s="14">
        <v>36</v>
      </c>
      <c r="S72" s="14">
        <v>41</v>
      </c>
      <c r="T72" s="15"/>
      <c r="U72" s="60">
        <f t="shared" si="8"/>
        <v>134</v>
      </c>
      <c r="W72" s="30" t="s">
        <v>115</v>
      </c>
      <c r="X72" s="31">
        <v>25</v>
      </c>
      <c r="Y72" s="31">
        <v>32</v>
      </c>
      <c r="Z72" s="31">
        <v>36</v>
      </c>
      <c r="AA72" s="31">
        <v>41</v>
      </c>
      <c r="AB72" s="32"/>
      <c r="AC72" s="32">
        <f t="shared" si="9"/>
        <v>134</v>
      </c>
      <c r="AE72" s="36"/>
      <c r="AF72" s="37"/>
      <c r="AG72" s="37"/>
      <c r="AH72" s="37"/>
      <c r="AI72" s="37"/>
      <c r="AJ72" s="38"/>
      <c r="AK72" s="38"/>
    </row>
    <row r="73" spans="2:37" ht="18" customHeight="1" x14ac:dyDescent="0.2">
      <c r="B73" s="10">
        <f>garage!B73</f>
        <v>73</v>
      </c>
      <c r="C73" s="10">
        <f>garage!C73</f>
        <v>2</v>
      </c>
      <c r="D73" s="10">
        <f>garage!D73</f>
        <v>39</v>
      </c>
      <c r="E73" s="10">
        <f>garage!E73</f>
        <v>31</v>
      </c>
      <c r="F73" s="10" t="str">
        <f>garage!F73</f>
        <v>--</v>
      </c>
      <c r="G73" s="10" t="str">
        <f>garage!G73</f>
        <v>N</v>
      </c>
      <c r="H73" s="10" t="str">
        <f>garage!H73</f>
        <v>N</v>
      </c>
      <c r="I73" s="10" t="str">
        <f>garage!I73</f>
        <v>N</v>
      </c>
      <c r="J73" s="10" t="str">
        <f>garage!J73</f>
        <v>N</v>
      </c>
      <c r="K73" s="10" t="str">
        <f>garage!K73</f>
        <v>C</v>
      </c>
      <c r="L73" s="11" t="str">
        <f>garage!L73</f>
        <v>Porsche</v>
      </c>
      <c r="M73" s="11" t="str">
        <f>garage!M73</f>
        <v>Panamera Turbo S</v>
      </c>
      <c r="O73" s="19" t="s">
        <v>115</v>
      </c>
      <c r="P73" s="16">
        <v>25</v>
      </c>
      <c r="Q73" s="16">
        <v>32</v>
      </c>
      <c r="R73" s="16">
        <v>36</v>
      </c>
      <c r="S73" s="16">
        <v>41</v>
      </c>
      <c r="T73" s="17"/>
      <c r="U73" s="61">
        <f t="shared" ref="U73" si="10">SUM(O73:T73)</f>
        <v>134</v>
      </c>
      <c r="W73" s="33"/>
      <c r="X73" s="34">
        <v>13</v>
      </c>
      <c r="Y73" s="34"/>
      <c r="Z73" s="34"/>
      <c r="AA73" s="34"/>
      <c r="AB73" s="35"/>
      <c r="AC73" s="35"/>
      <c r="AE73" s="39" t="s">
        <v>115</v>
      </c>
      <c r="AF73" s="40">
        <f>P73-X73</f>
        <v>12</v>
      </c>
      <c r="AG73" s="40">
        <f>Q73-Y73</f>
        <v>32</v>
      </c>
      <c r="AH73" s="40">
        <f>R73-Z73</f>
        <v>36</v>
      </c>
      <c r="AI73" s="40">
        <f>S73-AA73</f>
        <v>41</v>
      </c>
      <c r="AJ73" s="41"/>
      <c r="AK73" s="41">
        <f>SUM(AE73:AJ73)</f>
        <v>121</v>
      </c>
    </row>
    <row r="74" spans="2:37" ht="18" customHeight="1" x14ac:dyDescent="0.2">
      <c r="B74" s="8">
        <f>garage!B74</f>
        <v>74</v>
      </c>
      <c r="C74" s="8">
        <f>garage!C74</f>
        <v>2</v>
      </c>
      <c r="D74" s="8">
        <f>garage!D74</f>
        <v>40</v>
      </c>
      <c r="E74" s="8">
        <f>garage!E74</f>
        <v>12</v>
      </c>
      <c r="F74" s="8" t="str">
        <f>garage!F74</f>
        <v>L</v>
      </c>
      <c r="G74" s="8" t="str">
        <f>garage!G74</f>
        <v>O</v>
      </c>
      <c r="H74" s="8" t="str">
        <f>garage!H74</f>
        <v>N</v>
      </c>
      <c r="I74" s="8" t="str">
        <f>garage!I74</f>
        <v>N</v>
      </c>
      <c r="J74" s="8" t="str">
        <f>garage!J74</f>
        <v>N</v>
      </c>
      <c r="K74" s="8" t="str">
        <f>garage!K74</f>
        <v>C</v>
      </c>
      <c r="L74" s="9" t="str">
        <f>garage!L74</f>
        <v>Lamborghini</v>
      </c>
      <c r="M74" s="9" t="str">
        <f>garage!M74</f>
        <v>Gallardo LP560-4</v>
      </c>
      <c r="O74" s="18">
        <v>35</v>
      </c>
      <c r="P74" s="14">
        <v>15</v>
      </c>
      <c r="Q74" s="14">
        <v>21</v>
      </c>
      <c r="R74" s="14">
        <v>28</v>
      </c>
      <c r="S74" s="14">
        <v>35</v>
      </c>
      <c r="T74" s="15"/>
      <c r="U74" s="60">
        <f t="shared" ref="U74:U87" si="11">SUM(O74:T74)</f>
        <v>134</v>
      </c>
      <c r="W74" s="30">
        <v>35</v>
      </c>
      <c r="X74" s="31">
        <v>15</v>
      </c>
      <c r="Y74" s="31">
        <v>21</v>
      </c>
      <c r="Z74" s="31">
        <v>28</v>
      </c>
      <c r="AA74" s="31">
        <v>3</v>
      </c>
      <c r="AB74" s="32"/>
      <c r="AC74" s="32">
        <f t="shared" ref="AC74:AC86" si="12">SUM(W74:AB74)</f>
        <v>102</v>
      </c>
      <c r="AE74" s="36"/>
      <c r="AF74" s="37"/>
      <c r="AG74" s="37"/>
      <c r="AH74" s="37"/>
      <c r="AI74" s="37">
        <f>S74-AA74</f>
        <v>32</v>
      </c>
      <c r="AJ74" s="38"/>
      <c r="AK74" s="38">
        <f>SUM(AE74:AJ74)</f>
        <v>32</v>
      </c>
    </row>
    <row r="75" spans="2:37" ht="18" customHeight="1" x14ac:dyDescent="0.2">
      <c r="B75" s="10">
        <f>garage!B75</f>
        <v>75</v>
      </c>
      <c r="C75" s="10">
        <f>garage!C75</f>
        <v>2</v>
      </c>
      <c r="D75" s="10">
        <f>garage!D75</f>
        <v>41</v>
      </c>
      <c r="E75" s="10">
        <f>garage!E75</f>
        <v>23</v>
      </c>
      <c r="F75" s="10" t="str">
        <f>garage!F75</f>
        <v>M</v>
      </c>
      <c r="G75" s="10" t="str">
        <f>garage!G75</f>
        <v>O</v>
      </c>
      <c r="H75" s="10" t="str">
        <f>garage!H75</f>
        <v>N</v>
      </c>
      <c r="I75" s="10" t="str">
        <f>garage!I75</f>
        <v>N</v>
      </c>
      <c r="J75" s="10" t="str">
        <f>garage!J75</f>
        <v>N</v>
      </c>
      <c r="K75" s="10" t="str">
        <f>garage!K75</f>
        <v>C</v>
      </c>
      <c r="L75" s="11" t="str">
        <f>garage!L75</f>
        <v>McLaren</v>
      </c>
      <c r="M75" s="11" t="str">
        <f>garage!M75</f>
        <v>GT</v>
      </c>
      <c r="O75" s="19">
        <v>35</v>
      </c>
      <c r="P75" s="16">
        <v>15</v>
      </c>
      <c r="Q75" s="16">
        <v>21</v>
      </c>
      <c r="R75" s="16">
        <v>28</v>
      </c>
      <c r="S75" s="16">
        <v>35</v>
      </c>
      <c r="T75" s="17"/>
      <c r="U75" s="61">
        <f t="shared" si="11"/>
        <v>134</v>
      </c>
      <c r="W75" s="33">
        <v>35</v>
      </c>
      <c r="X75" s="34">
        <v>15</v>
      </c>
      <c r="Y75" s="34">
        <v>21</v>
      </c>
      <c r="Z75" s="34">
        <v>28</v>
      </c>
      <c r="AA75" s="34">
        <v>16</v>
      </c>
      <c r="AB75" s="35"/>
      <c r="AC75" s="35">
        <f t="shared" si="12"/>
        <v>115</v>
      </c>
      <c r="AE75" s="39"/>
      <c r="AF75" s="40"/>
      <c r="AG75" s="40"/>
      <c r="AH75" s="40"/>
      <c r="AI75" s="40">
        <f>S75-AA75</f>
        <v>19</v>
      </c>
      <c r="AJ75" s="41"/>
      <c r="AK75" s="41">
        <f>SUM(AE75:AJ75)</f>
        <v>19</v>
      </c>
    </row>
    <row r="76" spans="2:37" ht="18" customHeight="1" x14ac:dyDescent="0.2">
      <c r="B76" s="8">
        <f>garage!B76</f>
        <v>76</v>
      </c>
      <c r="C76" s="8">
        <f>garage!C76</f>
        <v>2</v>
      </c>
      <c r="D76" s="8">
        <f>garage!D76</f>
        <v>42</v>
      </c>
      <c r="E76" s="8">
        <f>garage!E76</f>
        <v>29</v>
      </c>
      <c r="F76" s="8" t="str">
        <f>garage!F76</f>
        <v>--</v>
      </c>
      <c r="G76" s="8" t="str">
        <f>garage!G76</f>
        <v>O</v>
      </c>
      <c r="H76" s="8" t="str">
        <f>garage!H76</f>
        <v>N</v>
      </c>
      <c r="I76" s="8" t="str">
        <f>garage!I76</f>
        <v>N</v>
      </c>
      <c r="J76" s="8" t="str">
        <f>garage!J76</f>
        <v>N</v>
      </c>
      <c r="K76" s="8" t="str">
        <f>garage!K76</f>
        <v>C</v>
      </c>
      <c r="L76" s="9" t="str">
        <f>garage!L76</f>
        <v>Mercedes-Benz</v>
      </c>
      <c r="M76" s="9" t="str">
        <f>garage!M76</f>
        <v>AMG GT Black Series</v>
      </c>
      <c r="O76" s="18" t="s">
        <v>115</v>
      </c>
      <c r="P76" s="14">
        <v>25</v>
      </c>
      <c r="Q76" s="14">
        <v>32</v>
      </c>
      <c r="R76" s="14">
        <v>36</v>
      </c>
      <c r="S76" s="14">
        <v>41</v>
      </c>
      <c r="T76" s="15"/>
      <c r="U76" s="60">
        <f t="shared" si="11"/>
        <v>134</v>
      </c>
      <c r="W76" s="30" t="s">
        <v>115</v>
      </c>
      <c r="X76" s="31">
        <v>25</v>
      </c>
      <c r="Y76" s="31">
        <v>11</v>
      </c>
      <c r="Z76" s="31"/>
      <c r="AA76" s="31"/>
      <c r="AB76" s="32"/>
      <c r="AC76" s="32">
        <f t="shared" si="12"/>
        <v>36</v>
      </c>
      <c r="AE76" s="36" t="s">
        <v>115</v>
      </c>
      <c r="AF76" s="37"/>
      <c r="AG76" s="37">
        <f>Q76-Y76</f>
        <v>21</v>
      </c>
      <c r="AH76" s="37">
        <f>R76-Z76</f>
        <v>36</v>
      </c>
      <c r="AI76" s="37">
        <f>S76-AA76</f>
        <v>41</v>
      </c>
      <c r="AJ76" s="38"/>
      <c r="AK76" s="38">
        <f>SUM(AE76:AJ76)</f>
        <v>98</v>
      </c>
    </row>
    <row r="77" spans="2:37" ht="18" customHeight="1" x14ac:dyDescent="0.2">
      <c r="B77" s="10">
        <f>garage!B77</f>
        <v>77</v>
      </c>
      <c r="C77" s="10">
        <f>garage!C77</f>
        <v>3</v>
      </c>
      <c r="D77" s="10">
        <f>garage!D77</f>
        <v>1</v>
      </c>
      <c r="E77" s="10">
        <f>garage!E77</f>
        <v>0</v>
      </c>
      <c r="F77" s="10" t="str">
        <f>garage!F77</f>
        <v>P</v>
      </c>
      <c r="G77" s="10" t="str">
        <f>garage!G77</f>
        <v>O</v>
      </c>
      <c r="H77" s="10" t="str">
        <f>garage!H77</f>
        <v>O</v>
      </c>
      <c r="I77" s="10" t="str">
        <f>garage!I77</f>
        <v>O</v>
      </c>
      <c r="J77" s="10" t="str">
        <f>garage!J77</f>
        <v>N</v>
      </c>
      <c r="K77" s="10" t="str">
        <f>garage!K77</f>
        <v>B</v>
      </c>
      <c r="L77" s="11" t="str">
        <f>garage!L77</f>
        <v>Porsche</v>
      </c>
      <c r="M77" s="11" t="str">
        <f>garage!M77</f>
        <v>911 GTS Coupé</v>
      </c>
      <c r="O77" s="19">
        <v>30</v>
      </c>
      <c r="P77" s="16">
        <v>30</v>
      </c>
      <c r="Q77" s="16">
        <v>70</v>
      </c>
      <c r="R77" s="16"/>
      <c r="S77" s="16"/>
      <c r="T77" s="17"/>
      <c r="U77" s="61">
        <f t="shared" si="11"/>
        <v>130</v>
      </c>
      <c r="W77" s="33">
        <v>30</v>
      </c>
      <c r="X77" s="34">
        <v>30</v>
      </c>
      <c r="Y77" s="34">
        <v>70</v>
      </c>
      <c r="Z77" s="34"/>
      <c r="AA77" s="34"/>
      <c r="AB77" s="35"/>
      <c r="AC77" s="35">
        <f t="shared" si="12"/>
        <v>130</v>
      </c>
      <c r="AE77" s="39"/>
      <c r="AF77" s="40"/>
      <c r="AG77" s="40"/>
      <c r="AH77" s="40"/>
      <c r="AI77" s="40"/>
      <c r="AJ77" s="41"/>
      <c r="AK77" s="41"/>
    </row>
    <row r="78" spans="2:37" ht="18" customHeight="1" x14ac:dyDescent="0.2">
      <c r="B78" s="8">
        <f>garage!B78</f>
        <v>78</v>
      </c>
      <c r="C78" s="8">
        <f>garage!C78</f>
        <v>3</v>
      </c>
      <c r="D78" s="8">
        <f>garage!D78</f>
        <v>2</v>
      </c>
      <c r="E78" s="8">
        <f>garage!E78</f>
        <v>0</v>
      </c>
      <c r="F78" s="8" t="str">
        <f>garage!F78</f>
        <v>AM</v>
      </c>
      <c r="G78" s="8" t="str">
        <f>garage!G78</f>
        <v>O</v>
      </c>
      <c r="H78" s="8" t="str">
        <f>garage!H78</f>
        <v>O</v>
      </c>
      <c r="I78" s="8" t="str">
        <f>garage!I78</f>
        <v>O</v>
      </c>
      <c r="J78" s="8" t="str">
        <f>garage!J78</f>
        <v>N</v>
      </c>
      <c r="K78" s="8" t="str">
        <f>garage!K78</f>
        <v>B</v>
      </c>
      <c r="L78" s="9" t="str">
        <f>garage!L78</f>
        <v>Aston Martin</v>
      </c>
      <c r="M78" s="9" t="str">
        <f>garage!M78</f>
        <v>DB11</v>
      </c>
      <c r="O78" s="18">
        <v>30</v>
      </c>
      <c r="P78" s="14">
        <v>30</v>
      </c>
      <c r="Q78" s="14">
        <v>70</v>
      </c>
      <c r="R78" s="14"/>
      <c r="S78" s="14"/>
      <c r="T78" s="15"/>
      <c r="U78" s="60">
        <f t="shared" si="11"/>
        <v>130</v>
      </c>
      <c r="W78" s="30">
        <v>30</v>
      </c>
      <c r="X78" s="31">
        <v>30</v>
      </c>
      <c r="Y78" s="31">
        <v>70</v>
      </c>
      <c r="Z78" s="31"/>
      <c r="AA78" s="31"/>
      <c r="AB78" s="32"/>
      <c r="AC78" s="32">
        <f t="shared" si="12"/>
        <v>130</v>
      </c>
      <c r="AE78" s="36"/>
      <c r="AF78" s="37"/>
      <c r="AG78" s="37"/>
      <c r="AH78" s="37"/>
      <c r="AI78" s="37"/>
      <c r="AJ78" s="38"/>
      <c r="AK78" s="38"/>
    </row>
    <row r="79" spans="2:37" ht="18" customHeight="1" x14ac:dyDescent="0.2">
      <c r="B79" s="10">
        <f>garage!B79</f>
        <v>79</v>
      </c>
      <c r="C79" s="10">
        <f>garage!C79</f>
        <v>3</v>
      </c>
      <c r="D79" s="10">
        <f>garage!D79</f>
        <v>3</v>
      </c>
      <c r="E79" s="10">
        <f>garage!E79</f>
        <v>0</v>
      </c>
      <c r="F79" s="10" t="str">
        <f>garage!F79</f>
        <v>--</v>
      </c>
      <c r="G79" s="10" t="str">
        <f>garage!G79</f>
        <v>O</v>
      </c>
      <c r="H79" s="10" t="str">
        <f>garage!H79</f>
        <v>O</v>
      </c>
      <c r="I79" s="10" t="str">
        <f>garage!I79</f>
        <v>O</v>
      </c>
      <c r="J79" s="10" t="str">
        <f>garage!J79</f>
        <v>N</v>
      </c>
      <c r="K79" s="10" t="str">
        <f>garage!K79</f>
        <v>B</v>
      </c>
      <c r="L79" s="11" t="str">
        <f>garage!L79</f>
        <v>Jaguar</v>
      </c>
      <c r="M79" s="11" t="str">
        <f>garage!M79</f>
        <v>F-Type SVR</v>
      </c>
      <c r="O79" s="19">
        <v>30</v>
      </c>
      <c r="P79" s="16">
        <v>12</v>
      </c>
      <c r="Q79" s="16">
        <v>22</v>
      </c>
      <c r="R79" s="16">
        <v>36</v>
      </c>
      <c r="S79" s="16"/>
      <c r="T79" s="17"/>
      <c r="U79" s="61">
        <f t="shared" si="11"/>
        <v>100</v>
      </c>
      <c r="W79" s="33">
        <v>30</v>
      </c>
      <c r="X79" s="34">
        <v>12</v>
      </c>
      <c r="Y79" s="34">
        <v>22</v>
      </c>
      <c r="Z79" s="34">
        <v>36</v>
      </c>
      <c r="AA79" s="34"/>
      <c r="AB79" s="35"/>
      <c r="AC79" s="35">
        <f t="shared" si="12"/>
        <v>100</v>
      </c>
      <c r="AE79" s="39"/>
      <c r="AF79" s="40"/>
      <c r="AG79" s="40"/>
      <c r="AH79" s="40"/>
      <c r="AI79" s="40"/>
      <c r="AJ79" s="41"/>
      <c r="AK79" s="41"/>
    </row>
    <row r="80" spans="2:37" ht="18" customHeight="1" x14ac:dyDescent="0.2">
      <c r="B80" s="8">
        <f>garage!B80</f>
        <v>80</v>
      </c>
      <c r="C80" s="8">
        <f>garage!C80</f>
        <v>3</v>
      </c>
      <c r="D80" s="8">
        <f>garage!D80</f>
        <v>4</v>
      </c>
      <c r="E80" s="8">
        <f>garage!E80</f>
        <v>29</v>
      </c>
      <c r="F80" s="8" t="str">
        <f>garage!F80</f>
        <v>F</v>
      </c>
      <c r="G80" s="8" t="str">
        <f>garage!G80</f>
        <v>O</v>
      </c>
      <c r="H80" s="8" t="str">
        <f>garage!H80</f>
        <v>N</v>
      </c>
      <c r="I80" s="8" t="str">
        <f>garage!I80</f>
        <v>N</v>
      </c>
      <c r="J80" s="8" t="str">
        <f>garage!J80</f>
        <v>N</v>
      </c>
      <c r="K80" s="8" t="str">
        <f>garage!K80</f>
        <v>B</v>
      </c>
      <c r="L80" s="9" t="str">
        <f>garage!L80</f>
        <v>Ferrari</v>
      </c>
      <c r="M80" s="9" t="str">
        <f>garage!M80</f>
        <v>F50</v>
      </c>
      <c r="O80" s="18">
        <v>55</v>
      </c>
      <c r="P80" s="14">
        <v>35</v>
      </c>
      <c r="Q80" s="14">
        <v>44</v>
      </c>
      <c r="R80" s="14">
        <v>54</v>
      </c>
      <c r="S80" s="14"/>
      <c r="T80" s="15"/>
      <c r="U80" s="60">
        <f t="shared" si="11"/>
        <v>188</v>
      </c>
      <c r="W80" s="30">
        <v>55</v>
      </c>
      <c r="X80" s="31">
        <v>35</v>
      </c>
      <c r="Y80" s="31">
        <v>1</v>
      </c>
      <c r="Z80" s="31"/>
      <c r="AA80" s="31"/>
      <c r="AB80" s="32"/>
      <c r="AC80" s="32">
        <f t="shared" si="12"/>
        <v>91</v>
      </c>
      <c r="AE80" s="36"/>
      <c r="AF80" s="37"/>
      <c r="AG80" s="37">
        <f>Q80-Y80</f>
        <v>43</v>
      </c>
      <c r="AH80" s="37">
        <f>R80-Z80</f>
        <v>54</v>
      </c>
      <c r="AI80" s="37"/>
      <c r="AJ80" s="38"/>
      <c r="AK80" s="38">
        <f>SUM(AE80:AJ80)</f>
        <v>97</v>
      </c>
    </row>
    <row r="81" spans="2:37" ht="18" customHeight="1" x14ac:dyDescent="0.2">
      <c r="B81" s="10">
        <f>garage!B81</f>
        <v>81</v>
      </c>
      <c r="C81" s="10">
        <f>garage!C81</f>
        <v>3</v>
      </c>
      <c r="D81" s="10">
        <f>garage!D81</f>
        <v>5</v>
      </c>
      <c r="E81" s="10">
        <f>garage!E81</f>
        <v>0</v>
      </c>
      <c r="F81" s="10" t="str">
        <f>garage!F81</f>
        <v>--</v>
      </c>
      <c r="G81" s="10" t="str">
        <f>garage!G81</f>
        <v>O</v>
      </c>
      <c r="H81" s="10" t="str">
        <f>garage!H81</f>
        <v>O</v>
      </c>
      <c r="I81" s="10" t="str">
        <f>garage!I81</f>
        <v>O</v>
      </c>
      <c r="J81" s="10" t="str">
        <f>garage!J81</f>
        <v>N</v>
      </c>
      <c r="K81" s="10" t="str">
        <f>garage!K81</f>
        <v>B</v>
      </c>
      <c r="L81" s="11" t="str">
        <f>garage!L81</f>
        <v>Exotic Rides</v>
      </c>
      <c r="M81" s="11" t="str">
        <f>garage!M81</f>
        <v>W70</v>
      </c>
      <c r="O81" s="19">
        <v>40</v>
      </c>
      <c r="P81" s="16">
        <v>30</v>
      </c>
      <c r="Q81" s="16">
        <v>70</v>
      </c>
      <c r="R81" s="16"/>
      <c r="S81" s="16"/>
      <c r="T81" s="17"/>
      <c r="U81" s="61">
        <f t="shared" si="11"/>
        <v>140</v>
      </c>
      <c r="W81" s="33">
        <v>40</v>
      </c>
      <c r="X81" s="34">
        <v>30</v>
      </c>
      <c r="Y81" s="34">
        <v>70</v>
      </c>
      <c r="Z81" s="34"/>
      <c r="AA81" s="34"/>
      <c r="AB81" s="35"/>
      <c r="AC81" s="35">
        <f t="shared" si="12"/>
        <v>140</v>
      </c>
      <c r="AE81" s="39"/>
      <c r="AF81" s="40"/>
      <c r="AG81" s="40"/>
      <c r="AH81" s="40"/>
      <c r="AI81" s="40"/>
      <c r="AJ81" s="41"/>
      <c r="AK81" s="41"/>
    </row>
    <row r="82" spans="2:37" ht="18" customHeight="1" x14ac:dyDescent="0.2">
      <c r="B82" s="8">
        <f>garage!B82</f>
        <v>82</v>
      </c>
      <c r="C82" s="8">
        <f>garage!C82</f>
        <v>3</v>
      </c>
      <c r="D82" s="8">
        <f>garage!D82</f>
        <v>6</v>
      </c>
      <c r="E82" s="8">
        <f>garage!E82</f>
        <v>11</v>
      </c>
      <c r="F82" s="8" t="str">
        <f>garage!F82</f>
        <v>P</v>
      </c>
      <c r="G82" s="8" t="str">
        <f>garage!G82</f>
        <v>O</v>
      </c>
      <c r="H82" s="8" t="str">
        <f>garage!H82</f>
        <v>O</v>
      </c>
      <c r="I82" s="8" t="str">
        <f>garage!I82</f>
        <v>N</v>
      </c>
      <c r="J82" s="8" t="str">
        <f>garage!J82</f>
        <v>N</v>
      </c>
      <c r="K82" s="8" t="str">
        <f>garage!K82</f>
        <v>B</v>
      </c>
      <c r="L82" s="9" t="str">
        <f>garage!L82</f>
        <v>Porsche</v>
      </c>
      <c r="M82" s="9" t="str">
        <f>garage!M82</f>
        <v>911 GT1 Evolution</v>
      </c>
      <c r="O82" s="18">
        <v>55</v>
      </c>
      <c r="P82" s="14">
        <v>35</v>
      </c>
      <c r="Q82" s="14">
        <v>44</v>
      </c>
      <c r="R82" s="14">
        <v>54</v>
      </c>
      <c r="S82" s="14"/>
      <c r="T82" s="15"/>
      <c r="U82" s="60">
        <f t="shared" si="11"/>
        <v>188</v>
      </c>
      <c r="W82" s="30">
        <v>55</v>
      </c>
      <c r="X82" s="31">
        <v>35</v>
      </c>
      <c r="Y82" s="31">
        <v>44</v>
      </c>
      <c r="Z82" s="31">
        <v>54</v>
      </c>
      <c r="AA82" s="31"/>
      <c r="AB82" s="32"/>
      <c r="AC82" s="32">
        <f t="shared" si="12"/>
        <v>188</v>
      </c>
      <c r="AE82" s="36"/>
      <c r="AF82" s="37"/>
      <c r="AG82" s="37"/>
      <c r="AH82" s="37"/>
      <c r="AI82" s="37"/>
      <c r="AJ82" s="38"/>
      <c r="AK82" s="38"/>
    </row>
    <row r="83" spans="2:37" ht="18" customHeight="1" x14ac:dyDescent="0.2">
      <c r="B83" s="10">
        <f>garage!B83</f>
        <v>83</v>
      </c>
      <c r="C83" s="10">
        <f>garage!C83</f>
        <v>3</v>
      </c>
      <c r="D83" s="10">
        <f>garage!D83</f>
        <v>7</v>
      </c>
      <c r="E83" s="10">
        <f>garage!E83</f>
        <v>0</v>
      </c>
      <c r="F83" s="10" t="str">
        <f>garage!F83</f>
        <v>--</v>
      </c>
      <c r="G83" s="10" t="str">
        <f>garage!G83</f>
        <v>O</v>
      </c>
      <c r="H83" s="10" t="str">
        <f>garage!H83</f>
        <v>O</v>
      </c>
      <c r="I83" s="10" t="str">
        <f>garage!I83</f>
        <v>O</v>
      </c>
      <c r="J83" s="10" t="str">
        <f>garage!J83</f>
        <v>N</v>
      </c>
      <c r="K83" s="10" t="str">
        <f>garage!K83</f>
        <v>B</v>
      </c>
      <c r="L83" s="11" t="str">
        <f>garage!L83</f>
        <v>Ford</v>
      </c>
      <c r="M83" s="11" t="str">
        <f>garage!M83</f>
        <v>GT</v>
      </c>
      <c r="O83" s="19">
        <v>35</v>
      </c>
      <c r="P83" s="16">
        <v>12</v>
      </c>
      <c r="Q83" s="16">
        <v>24</v>
      </c>
      <c r="R83" s="16">
        <v>36</v>
      </c>
      <c r="S83" s="16"/>
      <c r="T83" s="17"/>
      <c r="U83" s="61">
        <f t="shared" si="11"/>
        <v>107</v>
      </c>
      <c r="W83" s="33">
        <v>35</v>
      </c>
      <c r="X83" s="34">
        <v>12</v>
      </c>
      <c r="Y83" s="34">
        <v>24</v>
      </c>
      <c r="Z83" s="34">
        <v>36</v>
      </c>
      <c r="AA83" s="34"/>
      <c r="AB83" s="35"/>
      <c r="AC83" s="35">
        <f t="shared" si="12"/>
        <v>107</v>
      </c>
      <c r="AE83" s="39"/>
      <c r="AF83" s="40"/>
      <c r="AG83" s="40"/>
      <c r="AH83" s="40"/>
      <c r="AI83" s="40"/>
      <c r="AJ83" s="41"/>
      <c r="AK83" s="41"/>
    </row>
    <row r="84" spans="2:37" ht="18" customHeight="1" x14ac:dyDescent="0.2">
      <c r="B84" s="8">
        <f>garage!B84</f>
        <v>84</v>
      </c>
      <c r="C84" s="8">
        <f>garage!C84</f>
        <v>3</v>
      </c>
      <c r="D84" s="8">
        <f>garage!D84</f>
        <v>8</v>
      </c>
      <c r="E84" s="8">
        <f>garage!E84</f>
        <v>0</v>
      </c>
      <c r="F84" s="8" t="str">
        <f>garage!F84</f>
        <v>L</v>
      </c>
      <c r="G84" s="8" t="str">
        <f>garage!G84</f>
        <v>O</v>
      </c>
      <c r="H84" s="8" t="str">
        <f>garage!H84</f>
        <v>O</v>
      </c>
      <c r="I84" s="8" t="str">
        <f>garage!I84</f>
        <v>N</v>
      </c>
      <c r="J84" s="8" t="str">
        <f>garage!J84</f>
        <v>N</v>
      </c>
      <c r="K84" s="8" t="str">
        <f>garage!K84</f>
        <v>B</v>
      </c>
      <c r="L84" s="9" t="str">
        <f>garage!L84</f>
        <v>Lamborghini</v>
      </c>
      <c r="M84" s="9" t="str">
        <f>garage!M84</f>
        <v>Asterion</v>
      </c>
      <c r="O84" s="18">
        <v>40</v>
      </c>
      <c r="P84" s="14">
        <v>12</v>
      </c>
      <c r="Q84" s="14">
        <v>24</v>
      </c>
      <c r="R84" s="14">
        <v>36</v>
      </c>
      <c r="S84" s="14"/>
      <c r="T84" s="15"/>
      <c r="U84" s="60">
        <f t="shared" si="11"/>
        <v>112</v>
      </c>
      <c r="W84" s="30">
        <v>40</v>
      </c>
      <c r="X84" s="31">
        <v>12</v>
      </c>
      <c r="Y84" s="31">
        <v>24</v>
      </c>
      <c r="Z84" s="31">
        <v>36</v>
      </c>
      <c r="AA84" s="31"/>
      <c r="AB84" s="32"/>
      <c r="AC84" s="32">
        <f t="shared" si="12"/>
        <v>112</v>
      </c>
      <c r="AE84" s="36"/>
      <c r="AF84" s="37"/>
      <c r="AG84" s="37"/>
      <c r="AH84" s="37"/>
      <c r="AI84" s="37"/>
      <c r="AJ84" s="38"/>
      <c r="AK84" s="38"/>
    </row>
    <row r="85" spans="2:37" ht="18" customHeight="1" x14ac:dyDescent="0.2">
      <c r="B85" s="10">
        <f>garage!B85</f>
        <v>85</v>
      </c>
      <c r="C85" s="10">
        <f>garage!C85</f>
        <v>3</v>
      </c>
      <c r="D85" s="10">
        <f>garage!D85</f>
        <v>9</v>
      </c>
      <c r="E85" s="10">
        <f>garage!E85</f>
        <v>18</v>
      </c>
      <c r="F85" s="10" t="str">
        <f>garage!F85</f>
        <v>F</v>
      </c>
      <c r="G85" s="10" t="str">
        <f>garage!G85</f>
        <v>O</v>
      </c>
      <c r="H85" s="10" t="str">
        <f>garage!H85</f>
        <v>O</v>
      </c>
      <c r="I85" s="10" t="str">
        <f>garage!I85</f>
        <v>N</v>
      </c>
      <c r="J85" s="10" t="str">
        <f>garage!J85</f>
        <v>N</v>
      </c>
      <c r="K85" s="10" t="str">
        <f>garage!K85</f>
        <v>B</v>
      </c>
      <c r="L85" s="11" t="str">
        <f>garage!L85</f>
        <v>Ferrari</v>
      </c>
      <c r="M85" s="11" t="str">
        <f>garage!M85</f>
        <v>Roma</v>
      </c>
      <c r="O85" s="19">
        <v>55</v>
      </c>
      <c r="P85" s="16">
        <v>35</v>
      </c>
      <c r="Q85" s="16">
        <v>44</v>
      </c>
      <c r="R85" s="16">
        <v>54</v>
      </c>
      <c r="S85" s="16"/>
      <c r="T85" s="17"/>
      <c r="U85" s="61">
        <f t="shared" si="11"/>
        <v>188</v>
      </c>
      <c r="W85" s="33">
        <v>55</v>
      </c>
      <c r="X85" s="34">
        <v>35</v>
      </c>
      <c r="Y85" s="34">
        <v>44</v>
      </c>
      <c r="Z85" s="34">
        <v>54</v>
      </c>
      <c r="AA85" s="34"/>
      <c r="AB85" s="35"/>
      <c r="AC85" s="35">
        <f t="shared" si="12"/>
        <v>188</v>
      </c>
      <c r="AE85" s="39"/>
      <c r="AF85" s="40"/>
      <c r="AG85" s="40"/>
      <c r="AH85" s="40"/>
      <c r="AI85" s="40"/>
      <c r="AJ85" s="41"/>
      <c r="AK85" s="41"/>
    </row>
    <row r="86" spans="2:37" ht="18" customHeight="1" x14ac:dyDescent="0.2">
      <c r="B86" s="8">
        <f>garage!B86</f>
        <v>86</v>
      </c>
      <c r="C86" s="8">
        <f>garage!C86</f>
        <v>3</v>
      </c>
      <c r="D86" s="8">
        <f>garage!D86</f>
        <v>10</v>
      </c>
      <c r="E86" s="8">
        <f>garage!E86</f>
        <v>22</v>
      </c>
      <c r="F86" s="8" t="str">
        <f>garage!F86</f>
        <v>--</v>
      </c>
      <c r="G86" s="8" t="str">
        <f>garage!G86</f>
        <v>O</v>
      </c>
      <c r="H86" s="8" t="str">
        <f>garage!H86</f>
        <v>O</v>
      </c>
      <c r="I86" s="8" t="str">
        <f>garage!I86</f>
        <v>N</v>
      </c>
      <c r="J86" s="8" t="str">
        <f>garage!J86</f>
        <v>N</v>
      </c>
      <c r="K86" s="8" t="str">
        <f>garage!K86</f>
        <v>B</v>
      </c>
      <c r="L86" s="9" t="str">
        <f>garage!L86</f>
        <v>Arash</v>
      </c>
      <c r="M86" s="9" t="str">
        <f>garage!M86</f>
        <v>AF10</v>
      </c>
      <c r="O86" s="18">
        <v>55</v>
      </c>
      <c r="P86" s="14">
        <v>35</v>
      </c>
      <c r="Q86" s="14">
        <v>44</v>
      </c>
      <c r="R86" s="14">
        <v>54</v>
      </c>
      <c r="S86" s="14"/>
      <c r="T86" s="15"/>
      <c r="U86" s="60">
        <f t="shared" si="11"/>
        <v>188</v>
      </c>
      <c r="W86" s="30">
        <v>55</v>
      </c>
      <c r="X86" s="31">
        <v>35</v>
      </c>
      <c r="Y86" s="31">
        <v>44</v>
      </c>
      <c r="Z86" s="31">
        <v>54</v>
      </c>
      <c r="AA86" s="31"/>
      <c r="AB86" s="32"/>
      <c r="AC86" s="32">
        <f t="shared" si="12"/>
        <v>188</v>
      </c>
      <c r="AE86" s="36"/>
      <c r="AF86" s="37"/>
      <c r="AG86" s="37"/>
      <c r="AH86" s="37"/>
      <c r="AI86" s="37"/>
      <c r="AJ86" s="38"/>
      <c r="AK86" s="38"/>
    </row>
    <row r="87" spans="2:37" ht="18" customHeight="1" x14ac:dyDescent="0.2">
      <c r="B87" s="10">
        <f>garage!B87</f>
        <v>87</v>
      </c>
      <c r="C87" s="10">
        <f>garage!C87</f>
        <v>3</v>
      </c>
      <c r="D87" s="10">
        <f>garage!D87</f>
        <v>11</v>
      </c>
      <c r="E87" s="10">
        <f>garage!E87</f>
        <v>31</v>
      </c>
      <c r="F87" s="10" t="str">
        <f>garage!F87</f>
        <v>--</v>
      </c>
      <c r="G87" s="10" t="str">
        <f>garage!G87</f>
        <v>N</v>
      </c>
      <c r="H87" s="10" t="str">
        <f>garage!H87</f>
        <v>N</v>
      </c>
      <c r="I87" s="10" t="str">
        <f>garage!I87</f>
        <v>N</v>
      </c>
      <c r="J87" s="10" t="str">
        <f>garage!J87</f>
        <v>N</v>
      </c>
      <c r="K87" s="10" t="str">
        <f>garage!K87</f>
        <v>B</v>
      </c>
      <c r="L87" s="11" t="str">
        <f>garage!L87</f>
        <v>BMW</v>
      </c>
      <c r="M87" s="11" t="str">
        <f>garage!M87</f>
        <v>M4 GT3</v>
      </c>
      <c r="O87" s="19">
        <v>55</v>
      </c>
      <c r="P87" s="16">
        <v>35</v>
      </c>
      <c r="Q87" s="16">
        <v>44</v>
      </c>
      <c r="R87" s="16">
        <v>54</v>
      </c>
      <c r="S87" s="16"/>
      <c r="T87" s="17"/>
      <c r="U87" s="61">
        <f t="shared" si="11"/>
        <v>188</v>
      </c>
      <c r="W87" s="33">
        <v>55</v>
      </c>
      <c r="X87" s="34">
        <v>11</v>
      </c>
      <c r="Y87" s="34"/>
      <c r="Z87" s="34"/>
      <c r="AA87" s="34"/>
      <c r="AB87" s="35"/>
      <c r="AC87" s="35"/>
      <c r="AE87" s="39"/>
      <c r="AF87" s="40">
        <f t="shared" ref="AF87" si="13">P87-X87</f>
        <v>24</v>
      </c>
      <c r="AG87" s="40">
        <f t="shared" ref="AG87" si="14">Q87-Y87</f>
        <v>44</v>
      </c>
      <c r="AH87" s="40">
        <f t="shared" ref="AH87" si="15">R87-Z87</f>
        <v>54</v>
      </c>
      <c r="AI87" s="40"/>
      <c r="AJ87" s="41"/>
      <c r="AK87" s="41">
        <f>SUM(AE87:AJ87)</f>
        <v>122</v>
      </c>
    </row>
    <row r="88" spans="2:37" ht="18" customHeight="1" x14ac:dyDescent="0.2">
      <c r="B88" s="8">
        <f>garage!B88</f>
        <v>88</v>
      </c>
      <c r="C88" s="8">
        <f>garage!C88</f>
        <v>3</v>
      </c>
      <c r="D88" s="8">
        <f>garage!D88</f>
        <v>12</v>
      </c>
      <c r="E88" s="8">
        <f>garage!E88</f>
        <v>0</v>
      </c>
      <c r="F88" s="8" t="str">
        <f>garage!F88</f>
        <v>--</v>
      </c>
      <c r="G88" s="8" t="str">
        <f>garage!G88</f>
        <v>O</v>
      </c>
      <c r="H88" s="8" t="str">
        <f>garage!H88</f>
        <v>O</v>
      </c>
      <c r="I88" s="8" t="str">
        <f>garage!I88</f>
        <v>O</v>
      </c>
      <c r="J88" s="8" t="str">
        <f>garage!J88</f>
        <v>N</v>
      </c>
      <c r="K88" s="8" t="str">
        <f>garage!K88</f>
        <v>B</v>
      </c>
      <c r="L88" s="9" t="str">
        <f>garage!L88</f>
        <v>Cadillac</v>
      </c>
      <c r="M88" s="9" t="str">
        <f>garage!M88</f>
        <v>Cien Concept</v>
      </c>
      <c r="O88" s="18">
        <v>40</v>
      </c>
      <c r="P88" s="14">
        <v>12</v>
      </c>
      <c r="Q88" s="14">
        <v>22</v>
      </c>
      <c r="R88" s="14">
        <v>36</v>
      </c>
      <c r="S88" s="14"/>
      <c r="T88" s="15"/>
      <c r="U88" s="60">
        <f t="shared" ref="U88:U93" si="16">SUM(O88:T88)</f>
        <v>110</v>
      </c>
      <c r="W88" s="30">
        <v>40</v>
      </c>
      <c r="X88" s="31">
        <v>12</v>
      </c>
      <c r="Y88" s="31">
        <v>22</v>
      </c>
      <c r="Z88" s="31">
        <v>36</v>
      </c>
      <c r="AA88" s="31"/>
      <c r="AB88" s="32"/>
      <c r="AC88" s="32">
        <f>SUM(W88:AB88)</f>
        <v>110</v>
      </c>
      <c r="AE88" s="36"/>
      <c r="AF88" s="37"/>
      <c r="AG88" s="37"/>
      <c r="AH88" s="37"/>
      <c r="AI88" s="37"/>
      <c r="AJ88" s="38"/>
      <c r="AK88" s="38"/>
    </row>
    <row r="89" spans="2:37" ht="18" customHeight="1" x14ac:dyDescent="0.2">
      <c r="B89" s="10">
        <f>garage!B89</f>
        <v>89</v>
      </c>
      <c r="C89" s="10">
        <f>garage!C89</f>
        <v>3</v>
      </c>
      <c r="D89" s="10">
        <f>garage!D89</f>
        <v>13</v>
      </c>
      <c r="E89" s="10">
        <f>garage!E89</f>
        <v>13</v>
      </c>
      <c r="F89" s="10" t="str">
        <f>garage!F89</f>
        <v>--</v>
      </c>
      <c r="G89" s="10" t="str">
        <f>garage!G89</f>
        <v>O</v>
      </c>
      <c r="H89" s="10" t="str">
        <f>garage!H89</f>
        <v>O</v>
      </c>
      <c r="I89" s="10" t="str">
        <f>garage!I89</f>
        <v>N</v>
      </c>
      <c r="J89" s="10" t="str">
        <f>garage!J89</f>
        <v>N</v>
      </c>
      <c r="K89" s="10" t="str">
        <f>garage!K89</f>
        <v>B</v>
      </c>
      <c r="L89" s="11" t="str">
        <f>garage!L89</f>
        <v>Ford</v>
      </c>
      <c r="M89" s="11" t="str">
        <f>garage!M89</f>
        <v>GT MK II</v>
      </c>
      <c r="O89" s="19" t="s">
        <v>115</v>
      </c>
      <c r="P89" s="16">
        <v>35</v>
      </c>
      <c r="Q89" s="16">
        <v>55</v>
      </c>
      <c r="R89" s="16">
        <v>85</v>
      </c>
      <c r="S89" s="16"/>
      <c r="T89" s="17"/>
      <c r="U89" s="61">
        <f t="shared" si="16"/>
        <v>175</v>
      </c>
      <c r="W89" s="33" t="s">
        <v>115</v>
      </c>
      <c r="X89" s="34">
        <v>35</v>
      </c>
      <c r="Y89" s="34">
        <v>55</v>
      </c>
      <c r="Z89" s="34">
        <v>85</v>
      </c>
      <c r="AA89" s="34"/>
      <c r="AB89" s="35"/>
      <c r="AC89" s="35">
        <f>SUM(W89:AB89)</f>
        <v>175</v>
      </c>
      <c r="AE89" s="39"/>
      <c r="AF89" s="40"/>
      <c r="AG89" s="40"/>
      <c r="AH89" s="40"/>
      <c r="AI89" s="40"/>
      <c r="AJ89" s="41"/>
      <c r="AK89" s="41"/>
    </row>
    <row r="90" spans="2:37" ht="18" customHeight="1" x14ac:dyDescent="0.2">
      <c r="B90" s="8">
        <f>garage!B90</f>
        <v>90</v>
      </c>
      <c r="C90" s="8">
        <f>garage!C90</f>
        <v>3</v>
      </c>
      <c r="D90" s="8">
        <f>garage!D90</f>
        <v>14</v>
      </c>
      <c r="E90" s="8">
        <f>garage!E90</f>
        <v>0</v>
      </c>
      <c r="F90" s="8" t="str">
        <f>garage!F90</f>
        <v>--</v>
      </c>
      <c r="G90" s="8" t="str">
        <f>garage!G90</f>
        <v>O</v>
      </c>
      <c r="H90" s="8" t="str">
        <f>garage!H90</f>
        <v>O</v>
      </c>
      <c r="I90" s="8" t="str">
        <f>garage!I90</f>
        <v>O</v>
      </c>
      <c r="J90" s="8" t="str">
        <f>garage!J90</f>
        <v>N</v>
      </c>
      <c r="K90" s="8" t="str">
        <f>garage!K90</f>
        <v>B</v>
      </c>
      <c r="L90" s="9" t="str">
        <f>garage!L90</f>
        <v>Italdesign</v>
      </c>
      <c r="M90" s="9" t="str">
        <f>garage!M90</f>
        <v>Zerouno</v>
      </c>
      <c r="O90" s="18">
        <v>40</v>
      </c>
      <c r="P90" s="14">
        <v>35</v>
      </c>
      <c r="Q90" s="14">
        <v>44</v>
      </c>
      <c r="R90" s="14">
        <v>54</v>
      </c>
      <c r="S90" s="14"/>
      <c r="T90" s="15"/>
      <c r="U90" s="60">
        <f t="shared" si="16"/>
        <v>173</v>
      </c>
      <c r="W90" s="30">
        <v>40</v>
      </c>
      <c r="X90" s="31">
        <v>35</v>
      </c>
      <c r="Y90" s="31">
        <v>44</v>
      </c>
      <c r="Z90" s="31">
        <v>54</v>
      </c>
      <c r="AA90" s="31"/>
      <c r="AB90" s="32"/>
      <c r="AC90" s="32">
        <f>SUM(W90:AB90)</f>
        <v>173</v>
      </c>
      <c r="AE90" s="36"/>
      <c r="AF90" s="37"/>
      <c r="AG90" s="37"/>
      <c r="AH90" s="37"/>
      <c r="AI90" s="37"/>
      <c r="AJ90" s="38"/>
      <c r="AK90" s="38"/>
    </row>
    <row r="91" spans="2:37" ht="18" customHeight="1" x14ac:dyDescent="0.2">
      <c r="B91" s="10">
        <f>garage!B91</f>
        <v>91</v>
      </c>
      <c r="C91" s="10">
        <f>garage!C91</f>
        <v>3</v>
      </c>
      <c r="D91" s="10">
        <f>garage!D91</f>
        <v>15</v>
      </c>
      <c r="E91" s="10">
        <f>garage!E91</f>
        <v>24</v>
      </c>
      <c r="F91" s="10" t="str">
        <f>garage!F91</f>
        <v>--</v>
      </c>
      <c r="G91" s="10" t="str">
        <f>garage!G91</f>
        <v>N</v>
      </c>
      <c r="H91" s="10" t="str">
        <f>garage!H91</f>
        <v>N</v>
      </c>
      <c r="I91" s="10" t="str">
        <f>garage!I91</f>
        <v>N</v>
      </c>
      <c r="J91" s="10" t="str">
        <f>garage!J91</f>
        <v>O</v>
      </c>
      <c r="K91" s="10" t="str">
        <f>garage!K91</f>
        <v>B</v>
      </c>
      <c r="L91" s="11" t="str">
        <f>garage!L91</f>
        <v>Arash</v>
      </c>
      <c r="M91" s="11" t="str">
        <f>garage!M91</f>
        <v>AF8 Falcon Edition</v>
      </c>
      <c r="O91" s="19" t="s">
        <v>115</v>
      </c>
      <c r="P91" s="16">
        <v>35</v>
      </c>
      <c r="Q91" s="16">
        <v>55</v>
      </c>
      <c r="R91" s="16">
        <v>85</v>
      </c>
      <c r="S91" s="16"/>
      <c r="T91" s="17"/>
      <c r="U91" s="61">
        <f t="shared" si="16"/>
        <v>175</v>
      </c>
      <c r="W91" s="33"/>
      <c r="X91" s="34">
        <v>35</v>
      </c>
      <c r="Y91" s="34">
        <v>55</v>
      </c>
      <c r="Z91" s="34">
        <v>5</v>
      </c>
      <c r="AA91" s="34"/>
      <c r="AB91" s="35"/>
      <c r="AC91" s="35">
        <f>SUM(W91:AB91)</f>
        <v>95</v>
      </c>
      <c r="AE91" s="39" t="s">
        <v>115</v>
      </c>
      <c r="AF91" s="40"/>
      <c r="AG91" s="40"/>
      <c r="AH91" s="40">
        <f>R91-Z91</f>
        <v>80</v>
      </c>
      <c r="AI91" s="40"/>
      <c r="AJ91" s="41"/>
      <c r="AK91" s="41">
        <f>SUM(AE91:AJ91)</f>
        <v>80</v>
      </c>
    </row>
    <row r="92" spans="2:37" ht="18" customHeight="1" x14ac:dyDescent="0.2">
      <c r="B92" s="8">
        <f>garage!B92</f>
        <v>92</v>
      </c>
      <c r="C92" s="8">
        <f>garage!C92</f>
        <v>3</v>
      </c>
      <c r="D92" s="8">
        <f>garage!D92</f>
        <v>16</v>
      </c>
      <c r="E92" s="8">
        <f>garage!E92</f>
        <v>0</v>
      </c>
      <c r="F92" s="8" t="str">
        <f>garage!F92</f>
        <v>F</v>
      </c>
      <c r="G92" s="8" t="str">
        <f>garage!G92</f>
        <v>O</v>
      </c>
      <c r="H92" s="8" t="str">
        <f>garage!H92</f>
        <v>O</v>
      </c>
      <c r="I92" s="8" t="str">
        <f>garage!I92</f>
        <v>O</v>
      </c>
      <c r="J92" s="8" t="str">
        <f>garage!J92</f>
        <v>N</v>
      </c>
      <c r="K92" s="8" t="str">
        <f>garage!K92</f>
        <v>B</v>
      </c>
      <c r="L92" s="9" t="str">
        <f>garage!L92</f>
        <v>Ferrari</v>
      </c>
      <c r="M92" s="9" t="str">
        <f>garage!M92</f>
        <v>488 GTB</v>
      </c>
      <c r="O92" s="18">
        <v>40</v>
      </c>
      <c r="P92" s="14">
        <v>12</v>
      </c>
      <c r="Q92" s="14">
        <v>22</v>
      </c>
      <c r="R92" s="14">
        <v>36</v>
      </c>
      <c r="S92" s="14"/>
      <c r="T92" s="15"/>
      <c r="U92" s="60">
        <f t="shared" si="16"/>
        <v>110</v>
      </c>
      <c r="W92" s="30">
        <v>40</v>
      </c>
      <c r="X92" s="31">
        <v>12</v>
      </c>
      <c r="Y92" s="31">
        <v>22</v>
      </c>
      <c r="Z92" s="31">
        <v>36</v>
      </c>
      <c r="AA92" s="31"/>
      <c r="AB92" s="32"/>
      <c r="AC92" s="32">
        <f>SUM(W92:AB92)</f>
        <v>110</v>
      </c>
      <c r="AE92" s="36"/>
      <c r="AF92" s="37"/>
      <c r="AG92" s="37"/>
      <c r="AH92" s="37"/>
      <c r="AI92" s="37"/>
      <c r="AJ92" s="38"/>
      <c r="AK92" s="38"/>
    </row>
    <row r="93" spans="2:37" ht="18" customHeight="1" x14ac:dyDescent="0.2">
      <c r="B93" s="10">
        <f>garage!B93</f>
        <v>93</v>
      </c>
      <c r="C93" s="10">
        <f>garage!C93</f>
        <v>3</v>
      </c>
      <c r="D93" s="10">
        <f>garage!D93</f>
        <v>17</v>
      </c>
      <c r="E93" s="10">
        <f>garage!E93</f>
        <v>30</v>
      </c>
      <c r="F93" s="10" t="str">
        <f>garage!F93</f>
        <v>--</v>
      </c>
      <c r="G93" s="10" t="str">
        <f>garage!G93</f>
        <v>N</v>
      </c>
      <c r="H93" s="10" t="str">
        <f>garage!H93</f>
        <v>O</v>
      </c>
      <c r="I93" s="10" t="str">
        <f>garage!I93</f>
        <v>N</v>
      </c>
      <c r="J93" s="10" t="str">
        <f>garage!J93</f>
        <v>N</v>
      </c>
      <c r="K93" s="10" t="str">
        <f>garage!K93</f>
        <v>B</v>
      </c>
      <c r="L93" s="11" t="str">
        <f>garage!L93</f>
        <v>Kepler</v>
      </c>
      <c r="M93" s="11" t="str">
        <f>garage!M93</f>
        <v>Motion</v>
      </c>
      <c r="O93" s="19">
        <v>55</v>
      </c>
      <c r="P93" s="16">
        <v>35</v>
      </c>
      <c r="Q93" s="16">
        <v>44</v>
      </c>
      <c r="R93" s="16">
        <v>54</v>
      </c>
      <c r="S93" s="16"/>
      <c r="T93" s="17"/>
      <c r="U93" s="61">
        <f t="shared" si="16"/>
        <v>188</v>
      </c>
      <c r="W93" s="33">
        <v>4</v>
      </c>
      <c r="X93" s="34"/>
      <c r="Y93" s="34"/>
      <c r="Z93" s="34"/>
      <c r="AA93" s="34"/>
      <c r="AB93" s="35"/>
      <c r="AC93" s="35"/>
      <c r="AE93" s="39">
        <f t="shared" ref="AE93:AH93" si="17">O93-W93</f>
        <v>51</v>
      </c>
      <c r="AF93" s="40">
        <f t="shared" si="17"/>
        <v>35</v>
      </c>
      <c r="AG93" s="40">
        <f t="shared" si="17"/>
        <v>44</v>
      </c>
      <c r="AH93" s="40">
        <f t="shared" si="17"/>
        <v>54</v>
      </c>
      <c r="AI93" s="40"/>
      <c r="AJ93" s="41"/>
      <c r="AK93" s="41">
        <f>SUM(AE93:AJ93)</f>
        <v>184</v>
      </c>
    </row>
    <row r="94" spans="2:37" ht="18" customHeight="1" x14ac:dyDescent="0.2">
      <c r="B94" s="8">
        <f>garage!B94</f>
        <v>94</v>
      </c>
      <c r="C94" s="8">
        <f>garage!C94</f>
        <v>3</v>
      </c>
      <c r="D94" s="8">
        <f>garage!D94</f>
        <v>18</v>
      </c>
      <c r="E94" s="8">
        <f>garage!E94</f>
        <v>21</v>
      </c>
      <c r="F94" s="8" t="str">
        <f>garage!F94</f>
        <v>--</v>
      </c>
      <c r="G94" s="8" t="str">
        <f>garage!G94</f>
        <v>O</v>
      </c>
      <c r="H94" s="8" t="str">
        <f>garage!H94</f>
        <v>N</v>
      </c>
      <c r="I94" s="8" t="str">
        <f>garage!I94</f>
        <v>N</v>
      </c>
      <c r="J94" s="8" t="str">
        <f>garage!J94</f>
        <v>N</v>
      </c>
      <c r="K94" s="8" t="str">
        <f>garage!K94</f>
        <v>B</v>
      </c>
      <c r="L94" s="9" t="str">
        <f>garage!L94</f>
        <v>Drako</v>
      </c>
      <c r="M94" s="9" t="str">
        <f>garage!M94</f>
        <v>GTE</v>
      </c>
      <c r="O94" s="18">
        <v>55</v>
      </c>
      <c r="P94" s="14">
        <v>35</v>
      </c>
      <c r="Q94" s="14">
        <v>44</v>
      </c>
      <c r="R94" s="14">
        <v>54</v>
      </c>
      <c r="S94" s="14"/>
      <c r="T94" s="15"/>
      <c r="U94" s="60">
        <f t="shared" ref="U94:U123" si="18">SUM(O94:T94)</f>
        <v>188</v>
      </c>
      <c r="W94" s="30">
        <v>55</v>
      </c>
      <c r="X94" s="31">
        <v>35</v>
      </c>
      <c r="Y94" s="31">
        <v>44</v>
      </c>
      <c r="Z94" s="31">
        <v>2</v>
      </c>
      <c r="AA94" s="31"/>
      <c r="AB94" s="32"/>
      <c r="AC94" s="32">
        <f t="shared" ref="AC94:AC122" si="19">SUM(W94:AB94)</f>
        <v>136</v>
      </c>
      <c r="AE94" s="36"/>
      <c r="AF94" s="37"/>
      <c r="AG94" s="37"/>
      <c r="AH94" s="37">
        <f>R94-Z94</f>
        <v>52</v>
      </c>
      <c r="AI94" s="37"/>
      <c r="AJ94" s="38"/>
      <c r="AK94" s="38">
        <f>SUM(AE94:AJ94)</f>
        <v>52</v>
      </c>
    </row>
    <row r="95" spans="2:37" ht="18" customHeight="1" x14ac:dyDescent="0.2">
      <c r="B95" s="10">
        <f>garage!B95</f>
        <v>95</v>
      </c>
      <c r="C95" s="10">
        <f>garage!C95</f>
        <v>3</v>
      </c>
      <c r="D95" s="10">
        <f>garage!D95</f>
        <v>19</v>
      </c>
      <c r="E95" s="10">
        <f>garage!E95</f>
        <v>0</v>
      </c>
      <c r="F95" s="10" t="str">
        <f>garage!F95</f>
        <v>--</v>
      </c>
      <c r="G95" s="10" t="str">
        <f>garage!G95</f>
        <v>O</v>
      </c>
      <c r="H95" s="10" t="str">
        <f>garage!H95</f>
        <v>O</v>
      </c>
      <c r="I95" s="10" t="str">
        <f>garage!I95</f>
        <v>O</v>
      </c>
      <c r="J95" s="10" t="str">
        <f>garage!J95</f>
        <v>N</v>
      </c>
      <c r="K95" s="10" t="str">
        <f>garage!K95</f>
        <v>B</v>
      </c>
      <c r="L95" s="11" t="str">
        <f>garage!L95</f>
        <v>Glickhaus</v>
      </c>
      <c r="M95" s="11" t="str">
        <f>garage!M95</f>
        <v>003S</v>
      </c>
      <c r="O95" s="19">
        <v>40</v>
      </c>
      <c r="P95" s="16">
        <v>12</v>
      </c>
      <c r="Q95" s="16">
        <v>22</v>
      </c>
      <c r="R95" s="16">
        <v>36</v>
      </c>
      <c r="S95" s="16"/>
      <c r="T95" s="17"/>
      <c r="U95" s="61">
        <f t="shared" si="18"/>
        <v>110</v>
      </c>
      <c r="W95" s="33">
        <v>40</v>
      </c>
      <c r="X95" s="34">
        <v>12</v>
      </c>
      <c r="Y95" s="34">
        <v>22</v>
      </c>
      <c r="Z95" s="34">
        <v>36</v>
      </c>
      <c r="AA95" s="34"/>
      <c r="AB95" s="35"/>
      <c r="AC95" s="35">
        <f t="shared" si="19"/>
        <v>110</v>
      </c>
      <c r="AE95" s="39"/>
      <c r="AF95" s="40"/>
      <c r="AG95" s="40"/>
      <c r="AH95" s="40"/>
      <c r="AI95" s="40"/>
      <c r="AJ95" s="41"/>
      <c r="AK95" s="41"/>
    </row>
    <row r="96" spans="2:37" ht="18" customHeight="1" x14ac:dyDescent="0.2">
      <c r="B96" s="8">
        <f>garage!B96</f>
        <v>96</v>
      </c>
      <c r="C96" s="8">
        <f>garage!C96</f>
        <v>3</v>
      </c>
      <c r="D96" s="8">
        <f>garage!D96</f>
        <v>20</v>
      </c>
      <c r="E96" s="8">
        <f>garage!E96</f>
        <v>20</v>
      </c>
      <c r="F96" s="8" t="str">
        <f>garage!F96</f>
        <v>M</v>
      </c>
      <c r="G96" s="8" t="str">
        <f>garage!G96</f>
        <v>O</v>
      </c>
      <c r="H96" s="8" t="str">
        <f>garage!H96</f>
        <v>N</v>
      </c>
      <c r="I96" s="8" t="str">
        <f>garage!I96</f>
        <v>N</v>
      </c>
      <c r="J96" s="8" t="str">
        <f>garage!J96</f>
        <v>N</v>
      </c>
      <c r="K96" s="8" t="str">
        <f>garage!K96</f>
        <v>B</v>
      </c>
      <c r="L96" s="9" t="str">
        <f>garage!L96</f>
        <v>McLaren</v>
      </c>
      <c r="M96" s="9" t="str">
        <f>garage!M96</f>
        <v>Elva</v>
      </c>
      <c r="O96" s="18">
        <v>45</v>
      </c>
      <c r="P96" s="14">
        <v>17</v>
      </c>
      <c r="Q96" s="14">
        <v>23</v>
      </c>
      <c r="R96" s="14">
        <v>32</v>
      </c>
      <c r="S96" s="14">
        <v>45</v>
      </c>
      <c r="T96" s="15"/>
      <c r="U96" s="60">
        <f t="shared" si="18"/>
        <v>162</v>
      </c>
      <c r="W96" s="30">
        <v>45</v>
      </c>
      <c r="X96" s="31">
        <v>1</v>
      </c>
      <c r="Y96" s="31"/>
      <c r="Z96" s="31"/>
      <c r="AA96" s="31"/>
      <c r="AB96" s="32"/>
      <c r="AC96" s="32">
        <f t="shared" si="19"/>
        <v>46</v>
      </c>
      <c r="AE96" s="36"/>
      <c r="AF96" s="37">
        <f>P96-X96</f>
        <v>16</v>
      </c>
      <c r="AG96" s="37">
        <f>Q96-Y96</f>
        <v>23</v>
      </c>
      <c r="AH96" s="37">
        <f>R96-Z96</f>
        <v>32</v>
      </c>
      <c r="AI96" s="37">
        <f>S96-AA96</f>
        <v>45</v>
      </c>
      <c r="AJ96" s="38"/>
      <c r="AK96" s="38">
        <f>SUM(AE96:AJ96)</f>
        <v>116</v>
      </c>
    </row>
    <row r="97" spans="2:37" ht="18" customHeight="1" x14ac:dyDescent="0.2">
      <c r="B97" s="10">
        <f>garage!B97</f>
        <v>97</v>
      </c>
      <c r="C97" s="10">
        <f>garage!C97</f>
        <v>3</v>
      </c>
      <c r="D97" s="10">
        <f>garage!D97</f>
        <v>21</v>
      </c>
      <c r="E97" s="10">
        <f>garage!E97</f>
        <v>27</v>
      </c>
      <c r="F97" s="10" t="str">
        <f>garage!F97</f>
        <v>--</v>
      </c>
      <c r="G97" s="10" t="str">
        <f>garage!G97</f>
        <v>O</v>
      </c>
      <c r="H97" s="10" t="str">
        <f>garage!H97</f>
        <v>N</v>
      </c>
      <c r="I97" s="10" t="str">
        <f>garage!I97</f>
        <v>N</v>
      </c>
      <c r="J97" s="10" t="str">
        <f>garage!J97</f>
        <v>N</v>
      </c>
      <c r="K97" s="10" t="str">
        <f>garage!K97</f>
        <v>B</v>
      </c>
      <c r="L97" s="11" t="str">
        <f>garage!L97</f>
        <v>Nissan</v>
      </c>
      <c r="M97" s="11" t="str">
        <f>garage!M97</f>
        <v>R390 GT1</v>
      </c>
      <c r="O97" s="19" t="s">
        <v>115</v>
      </c>
      <c r="P97" s="16">
        <v>26</v>
      </c>
      <c r="Q97" s="16">
        <v>34</v>
      </c>
      <c r="R97" s="16">
        <v>40</v>
      </c>
      <c r="S97" s="16">
        <v>62</v>
      </c>
      <c r="T97" s="17"/>
      <c r="U97" s="61">
        <f t="shared" si="18"/>
        <v>162</v>
      </c>
      <c r="W97" s="33" t="s">
        <v>115</v>
      </c>
      <c r="X97" s="34">
        <v>26</v>
      </c>
      <c r="Y97" s="34">
        <v>18</v>
      </c>
      <c r="Z97" s="34"/>
      <c r="AA97" s="34"/>
      <c r="AB97" s="35"/>
      <c r="AC97" s="35">
        <f t="shared" si="19"/>
        <v>44</v>
      </c>
      <c r="AE97" s="39" t="s">
        <v>115</v>
      </c>
      <c r="AF97" s="40"/>
      <c r="AG97" s="40">
        <f>Q97-Y97</f>
        <v>16</v>
      </c>
      <c r="AH97" s="40">
        <f>R97-Z97</f>
        <v>40</v>
      </c>
      <c r="AI97" s="40">
        <f>S97-AA97</f>
        <v>62</v>
      </c>
      <c r="AJ97" s="41"/>
      <c r="AK97" s="41">
        <f>SUM(AE97:AJ97)</f>
        <v>118</v>
      </c>
    </row>
    <row r="98" spans="2:37" ht="18" customHeight="1" x14ac:dyDescent="0.2">
      <c r="B98" s="8">
        <f>garage!B98</f>
        <v>98</v>
      </c>
      <c r="C98" s="8">
        <f>garage!C98</f>
        <v>3</v>
      </c>
      <c r="D98" s="8">
        <f>garage!D98</f>
        <v>22</v>
      </c>
      <c r="E98" s="8">
        <f>garage!E98</f>
        <v>0</v>
      </c>
      <c r="F98" s="8" t="str">
        <f>garage!F98</f>
        <v>F</v>
      </c>
      <c r="G98" s="8" t="str">
        <f>garage!G98</f>
        <v>O</v>
      </c>
      <c r="H98" s="8" t="str">
        <f>garage!H98</f>
        <v>O</v>
      </c>
      <c r="I98" s="8" t="str">
        <f>garage!I98</f>
        <v>O</v>
      </c>
      <c r="J98" s="8" t="str">
        <f>garage!J98</f>
        <v>N</v>
      </c>
      <c r="K98" s="8" t="str">
        <f>garage!K98</f>
        <v>B</v>
      </c>
      <c r="L98" s="9" t="str">
        <f>garage!L98</f>
        <v>Ferrari</v>
      </c>
      <c r="M98" s="9" t="str">
        <f>garage!M98</f>
        <v>F12TDF</v>
      </c>
      <c r="O98" s="18">
        <v>30</v>
      </c>
      <c r="P98" s="14">
        <v>9</v>
      </c>
      <c r="Q98" s="14">
        <v>13</v>
      </c>
      <c r="R98" s="14">
        <v>21</v>
      </c>
      <c r="S98" s="14">
        <v>32</v>
      </c>
      <c r="T98" s="15"/>
      <c r="U98" s="60">
        <f t="shared" si="18"/>
        <v>105</v>
      </c>
      <c r="W98" s="30">
        <v>30</v>
      </c>
      <c r="X98" s="31">
        <v>9</v>
      </c>
      <c r="Y98" s="31">
        <v>13</v>
      </c>
      <c r="Z98" s="31">
        <v>21</v>
      </c>
      <c r="AA98" s="31">
        <v>32</v>
      </c>
      <c r="AB98" s="32"/>
      <c r="AC98" s="32">
        <f t="shared" si="19"/>
        <v>105</v>
      </c>
      <c r="AE98" s="36"/>
      <c r="AF98" s="37"/>
      <c r="AG98" s="37"/>
      <c r="AH98" s="37"/>
      <c r="AI98" s="37"/>
      <c r="AJ98" s="38"/>
      <c r="AK98" s="38"/>
    </row>
    <row r="99" spans="2:37" ht="18" customHeight="1" x14ac:dyDescent="0.2">
      <c r="B99" s="10">
        <f>garage!B99</f>
        <v>99</v>
      </c>
      <c r="C99" s="10">
        <f>garage!C99</f>
        <v>3</v>
      </c>
      <c r="D99" s="10">
        <f>garage!D99</f>
        <v>23</v>
      </c>
      <c r="E99" s="10">
        <f>garage!E99</f>
        <v>18</v>
      </c>
      <c r="F99" s="10" t="str">
        <f>garage!F99</f>
        <v>L</v>
      </c>
      <c r="G99" s="10" t="str">
        <f>garage!G99</f>
        <v>O</v>
      </c>
      <c r="H99" s="10" t="str">
        <f>garage!H99</f>
        <v>N</v>
      </c>
      <c r="I99" s="10" t="str">
        <f>garage!I99</f>
        <v>N</v>
      </c>
      <c r="J99" s="10" t="str">
        <f>garage!J99</f>
        <v>N</v>
      </c>
      <c r="K99" s="10" t="str">
        <f>garage!K99</f>
        <v>B</v>
      </c>
      <c r="L99" s="11" t="str">
        <f>garage!L99</f>
        <v>Lamborghini</v>
      </c>
      <c r="M99" s="11" t="str">
        <f>garage!M99</f>
        <v>Murcielago LP 640 Roadster</v>
      </c>
      <c r="O99" s="19">
        <v>45</v>
      </c>
      <c r="P99" s="16">
        <v>17</v>
      </c>
      <c r="Q99" s="16">
        <v>23</v>
      </c>
      <c r="R99" s="16">
        <v>32</v>
      </c>
      <c r="S99" s="16">
        <v>45</v>
      </c>
      <c r="T99" s="17"/>
      <c r="U99" s="61">
        <f t="shared" si="18"/>
        <v>162</v>
      </c>
      <c r="W99" s="33">
        <v>45</v>
      </c>
      <c r="X99" s="34">
        <v>17</v>
      </c>
      <c r="Y99" s="34">
        <v>23</v>
      </c>
      <c r="Z99" s="34">
        <v>14</v>
      </c>
      <c r="AA99" s="34"/>
      <c r="AB99" s="35"/>
      <c r="AC99" s="35">
        <f t="shared" si="19"/>
        <v>99</v>
      </c>
      <c r="AE99" s="39"/>
      <c r="AF99" s="40"/>
      <c r="AG99" s="40"/>
      <c r="AH99" s="40">
        <f>R99-Z99</f>
        <v>18</v>
      </c>
      <c r="AI99" s="40">
        <f>S99-AA99</f>
        <v>45</v>
      </c>
      <c r="AJ99" s="41"/>
      <c r="AK99" s="41">
        <f>SUM(AE99:AJ99)</f>
        <v>63</v>
      </c>
    </row>
    <row r="100" spans="2:37" ht="18" customHeight="1" x14ac:dyDescent="0.2">
      <c r="B100" s="8">
        <f>garage!B100</f>
        <v>100</v>
      </c>
      <c r="C100" s="8">
        <f>garage!C100</f>
        <v>3</v>
      </c>
      <c r="D100" s="8">
        <f>garage!D100</f>
        <v>24</v>
      </c>
      <c r="E100" s="8">
        <f>garage!E100</f>
        <v>26</v>
      </c>
      <c r="F100" s="8" t="str">
        <f>garage!F100</f>
        <v>M</v>
      </c>
      <c r="G100" s="8" t="str">
        <f>garage!G100</f>
        <v>O</v>
      </c>
      <c r="H100" s="8" t="str">
        <f>garage!H100</f>
        <v>N</v>
      </c>
      <c r="I100" s="8" t="str">
        <f>garage!I100</f>
        <v>N</v>
      </c>
      <c r="J100" s="8" t="str">
        <f>garage!J100</f>
        <v>N</v>
      </c>
      <c r="K100" s="8" t="str">
        <f>garage!K100</f>
        <v>B</v>
      </c>
      <c r="L100" s="9" t="str">
        <f>garage!L100</f>
        <v>McLaren</v>
      </c>
      <c r="M100" s="9" t="str">
        <f>garage!M100</f>
        <v>765LT</v>
      </c>
      <c r="O100" s="18">
        <v>45</v>
      </c>
      <c r="P100" s="14">
        <v>17</v>
      </c>
      <c r="Q100" s="14">
        <v>23</v>
      </c>
      <c r="R100" s="14">
        <v>32</v>
      </c>
      <c r="S100" s="14">
        <v>45</v>
      </c>
      <c r="T100" s="15"/>
      <c r="U100" s="60">
        <f t="shared" si="18"/>
        <v>162</v>
      </c>
      <c r="W100" s="30">
        <v>45</v>
      </c>
      <c r="X100" s="31">
        <v>3</v>
      </c>
      <c r="Y100" s="31"/>
      <c r="Z100" s="31"/>
      <c r="AA100" s="31"/>
      <c r="AB100" s="32"/>
      <c r="AC100" s="32">
        <f t="shared" si="19"/>
        <v>48</v>
      </c>
      <c r="AE100" s="36"/>
      <c r="AF100" s="37">
        <f>P100-X100</f>
        <v>14</v>
      </c>
      <c r="AG100" s="37">
        <f>Q100-Y100</f>
        <v>23</v>
      </c>
      <c r="AH100" s="37">
        <f>R100-Z100</f>
        <v>32</v>
      </c>
      <c r="AI100" s="37">
        <f>S100-AA100</f>
        <v>45</v>
      </c>
      <c r="AJ100" s="38"/>
      <c r="AK100" s="38">
        <f>SUM(AE100:AJ100)</f>
        <v>114</v>
      </c>
    </row>
    <row r="101" spans="2:37" ht="18" customHeight="1" x14ac:dyDescent="0.2">
      <c r="B101" s="10">
        <f>garage!B101</f>
        <v>101</v>
      </c>
      <c r="C101" s="10">
        <f>garage!C101</f>
        <v>3</v>
      </c>
      <c r="D101" s="10">
        <f>garage!D101</f>
        <v>25</v>
      </c>
      <c r="E101" s="10">
        <f>garage!E101</f>
        <v>0</v>
      </c>
      <c r="F101" s="10" t="str">
        <f>garage!F101</f>
        <v>C</v>
      </c>
      <c r="G101" s="10" t="str">
        <f>garage!G101</f>
        <v>O</v>
      </c>
      <c r="H101" s="10" t="str">
        <f>garage!H101</f>
        <v>O</v>
      </c>
      <c r="I101" s="10" t="str">
        <f>garage!I101</f>
        <v>O</v>
      </c>
      <c r="J101" s="10" t="str">
        <f>garage!J101</f>
        <v>N</v>
      </c>
      <c r="K101" s="10" t="str">
        <f>garage!K101</f>
        <v>B</v>
      </c>
      <c r="L101" s="11" t="str">
        <f>garage!L101</f>
        <v>Chevrolet</v>
      </c>
      <c r="M101" s="11" t="str">
        <f>garage!M101</f>
        <v>Corvette Grand Sport</v>
      </c>
      <c r="O101" s="19">
        <v>30</v>
      </c>
      <c r="P101" s="16">
        <v>9</v>
      </c>
      <c r="Q101" s="16">
        <v>13</v>
      </c>
      <c r="R101" s="16">
        <v>21</v>
      </c>
      <c r="S101" s="16">
        <v>32</v>
      </c>
      <c r="T101" s="17"/>
      <c r="U101" s="61">
        <f t="shared" si="18"/>
        <v>105</v>
      </c>
      <c r="W101" s="33">
        <v>30</v>
      </c>
      <c r="X101" s="34">
        <v>9</v>
      </c>
      <c r="Y101" s="34">
        <v>13</v>
      </c>
      <c r="Z101" s="34">
        <v>21</v>
      </c>
      <c r="AA101" s="34">
        <v>32</v>
      </c>
      <c r="AB101" s="35"/>
      <c r="AC101" s="35">
        <f t="shared" si="19"/>
        <v>105</v>
      </c>
      <c r="AE101" s="39"/>
      <c r="AF101" s="40"/>
      <c r="AG101" s="40"/>
      <c r="AH101" s="40"/>
      <c r="AI101" s="40"/>
      <c r="AJ101" s="41"/>
      <c r="AK101" s="41"/>
    </row>
    <row r="102" spans="2:37" ht="18" customHeight="1" x14ac:dyDescent="0.2">
      <c r="B102" s="8">
        <f>garage!B102</f>
        <v>102</v>
      </c>
      <c r="C102" s="8">
        <f>garage!C102</f>
        <v>3</v>
      </c>
      <c r="D102" s="8">
        <f>garage!D102</f>
        <v>26</v>
      </c>
      <c r="E102" s="8">
        <f>garage!E102</f>
        <v>7</v>
      </c>
      <c r="F102" s="8" t="str">
        <f>garage!F102</f>
        <v>AM</v>
      </c>
      <c r="G102" s="8" t="str">
        <f>garage!G102</f>
        <v>O</v>
      </c>
      <c r="H102" s="8" t="str">
        <f>garage!H102</f>
        <v>O</v>
      </c>
      <c r="I102" s="8" t="str">
        <f>garage!I102</f>
        <v>O</v>
      </c>
      <c r="J102" s="8" t="str">
        <f>garage!J102</f>
        <v>N</v>
      </c>
      <c r="K102" s="8" t="str">
        <f>garage!K102</f>
        <v>B</v>
      </c>
      <c r="L102" s="9" t="str">
        <f>garage!L102</f>
        <v>Aston Martin</v>
      </c>
      <c r="M102" s="9" t="str">
        <f>garage!M102</f>
        <v>Vantage GT12</v>
      </c>
      <c r="O102" s="18">
        <v>45</v>
      </c>
      <c r="P102" s="14">
        <v>17</v>
      </c>
      <c r="Q102" s="14">
        <v>23</v>
      </c>
      <c r="R102" s="14">
        <v>32</v>
      </c>
      <c r="S102" s="14">
        <v>45</v>
      </c>
      <c r="T102" s="15"/>
      <c r="U102" s="60">
        <f t="shared" si="18"/>
        <v>162</v>
      </c>
      <c r="W102" s="30">
        <v>45</v>
      </c>
      <c r="X102" s="31">
        <v>17</v>
      </c>
      <c r="Y102" s="31">
        <v>23</v>
      </c>
      <c r="Z102" s="31">
        <v>32</v>
      </c>
      <c r="AA102" s="31">
        <v>45</v>
      </c>
      <c r="AB102" s="32"/>
      <c r="AC102" s="32">
        <f t="shared" si="19"/>
        <v>162</v>
      </c>
      <c r="AE102" s="36"/>
      <c r="AF102" s="37"/>
      <c r="AG102" s="37"/>
      <c r="AH102" s="37"/>
      <c r="AI102" s="37"/>
      <c r="AJ102" s="38"/>
      <c r="AK102" s="38"/>
    </row>
    <row r="103" spans="2:37" ht="18" customHeight="1" x14ac:dyDescent="0.2">
      <c r="B103" s="10">
        <f>garage!B103</f>
        <v>103</v>
      </c>
      <c r="C103" s="10">
        <f>garage!C103</f>
        <v>3</v>
      </c>
      <c r="D103" s="10">
        <f>garage!D103</f>
        <v>27</v>
      </c>
      <c r="E103" s="10">
        <f>garage!E103</f>
        <v>14</v>
      </c>
      <c r="F103" s="10" t="str">
        <f>garage!F103</f>
        <v>--</v>
      </c>
      <c r="G103" s="10" t="str">
        <f>garage!G103</f>
        <v>O</v>
      </c>
      <c r="H103" s="10" t="str">
        <f>garage!H103</f>
        <v>O</v>
      </c>
      <c r="I103" s="10" t="str">
        <f>garage!I103</f>
        <v>N</v>
      </c>
      <c r="J103" s="10" t="str">
        <f>garage!J103</f>
        <v>N</v>
      </c>
      <c r="K103" s="10" t="str">
        <f>garage!K103</f>
        <v>B</v>
      </c>
      <c r="L103" s="11" t="str">
        <f>garage!L103</f>
        <v>Apex</v>
      </c>
      <c r="M103" s="11" t="str">
        <f>garage!M103</f>
        <v>AP-0</v>
      </c>
      <c r="O103" s="19">
        <v>45</v>
      </c>
      <c r="P103" s="16">
        <v>17</v>
      </c>
      <c r="Q103" s="16">
        <v>23</v>
      </c>
      <c r="R103" s="16">
        <v>32</v>
      </c>
      <c r="S103" s="16">
        <v>45</v>
      </c>
      <c r="T103" s="17"/>
      <c r="U103" s="61">
        <f t="shared" si="18"/>
        <v>162</v>
      </c>
      <c r="W103" s="33">
        <v>45</v>
      </c>
      <c r="X103" s="34">
        <v>17</v>
      </c>
      <c r="Y103" s="34">
        <v>23</v>
      </c>
      <c r="Z103" s="34">
        <v>32</v>
      </c>
      <c r="AA103" s="34">
        <v>45</v>
      </c>
      <c r="AB103" s="35"/>
      <c r="AC103" s="35">
        <f t="shared" si="19"/>
        <v>162</v>
      </c>
      <c r="AE103" s="39"/>
      <c r="AF103" s="40"/>
      <c r="AG103" s="40"/>
      <c r="AH103" s="40"/>
      <c r="AI103" s="40"/>
      <c r="AJ103" s="41"/>
      <c r="AK103" s="41"/>
    </row>
    <row r="104" spans="2:37" ht="18" customHeight="1" x14ac:dyDescent="0.2">
      <c r="B104" s="8">
        <f>garage!B104</f>
        <v>104</v>
      </c>
      <c r="C104" s="8">
        <f>garage!C104</f>
        <v>3</v>
      </c>
      <c r="D104" s="8">
        <f>garage!D104</f>
        <v>28</v>
      </c>
      <c r="E104" s="8">
        <f>garage!E104</f>
        <v>16</v>
      </c>
      <c r="F104" s="8" t="str">
        <f>garage!F104</f>
        <v>--</v>
      </c>
      <c r="G104" s="8" t="str">
        <f>garage!G104</f>
        <v>O</v>
      </c>
      <c r="H104" s="8" t="str">
        <f>garage!H104</f>
        <v>N</v>
      </c>
      <c r="I104" s="8" t="str">
        <f>garage!I104</f>
        <v>N</v>
      </c>
      <c r="J104" s="8" t="str">
        <f>garage!J104</f>
        <v>N</v>
      </c>
      <c r="K104" s="8" t="str">
        <f>garage!K104</f>
        <v>B</v>
      </c>
      <c r="L104" s="9" t="str">
        <f>garage!L104</f>
        <v>Apollo</v>
      </c>
      <c r="M104" s="9" t="str">
        <f>garage!M104</f>
        <v>IE</v>
      </c>
      <c r="O104" s="18">
        <v>45</v>
      </c>
      <c r="P104" s="14">
        <v>17</v>
      </c>
      <c r="Q104" s="14">
        <v>23</v>
      </c>
      <c r="R104" s="14">
        <v>32</v>
      </c>
      <c r="S104" s="14">
        <v>45</v>
      </c>
      <c r="T104" s="15"/>
      <c r="U104" s="60">
        <f t="shared" si="18"/>
        <v>162</v>
      </c>
      <c r="W104" s="30">
        <v>45</v>
      </c>
      <c r="X104" s="31">
        <v>17</v>
      </c>
      <c r="Y104" s="31">
        <v>23</v>
      </c>
      <c r="Z104" s="31">
        <v>7</v>
      </c>
      <c r="AA104" s="31"/>
      <c r="AB104" s="32"/>
      <c r="AC104" s="32">
        <f t="shared" si="19"/>
        <v>92</v>
      </c>
      <c r="AE104" s="36"/>
      <c r="AF104" s="37"/>
      <c r="AG104" s="37"/>
      <c r="AH104" s="37">
        <f>R104-Z104</f>
        <v>25</v>
      </c>
      <c r="AI104" s="37">
        <f>S104-AA104</f>
        <v>45</v>
      </c>
      <c r="AJ104" s="38"/>
      <c r="AK104" s="38">
        <f>SUM(AE104:AJ104)</f>
        <v>70</v>
      </c>
    </row>
    <row r="105" spans="2:37" ht="18" customHeight="1" x14ac:dyDescent="0.2">
      <c r="B105" s="10">
        <f>garage!B105</f>
        <v>105</v>
      </c>
      <c r="C105" s="10">
        <f>garage!C105</f>
        <v>3</v>
      </c>
      <c r="D105" s="10">
        <f>garage!D105</f>
        <v>29</v>
      </c>
      <c r="E105" s="10">
        <f>garage!E105</f>
        <v>0</v>
      </c>
      <c r="F105" s="10" t="str">
        <f>garage!F105</f>
        <v>--</v>
      </c>
      <c r="G105" s="10" t="str">
        <f>garage!G105</f>
        <v>O</v>
      </c>
      <c r="H105" s="10" t="str">
        <f>garage!H105</f>
        <v>O</v>
      </c>
      <c r="I105" s="10" t="str">
        <f>garage!I105</f>
        <v>O</v>
      </c>
      <c r="J105" s="10" t="str">
        <f>garage!J105</f>
        <v>N</v>
      </c>
      <c r="K105" s="10" t="str">
        <f>garage!K105</f>
        <v>B</v>
      </c>
      <c r="L105" s="11" t="str">
        <f>garage!L105</f>
        <v>Sin</v>
      </c>
      <c r="M105" s="11" t="str">
        <f>garage!M105</f>
        <v>R1 550</v>
      </c>
      <c r="O105" s="19">
        <v>30</v>
      </c>
      <c r="P105" s="16">
        <v>9</v>
      </c>
      <c r="Q105" s="16">
        <v>13</v>
      </c>
      <c r="R105" s="16">
        <v>21</v>
      </c>
      <c r="S105" s="16">
        <v>32</v>
      </c>
      <c r="T105" s="17"/>
      <c r="U105" s="61">
        <f t="shared" si="18"/>
        <v>105</v>
      </c>
      <c r="W105" s="33">
        <v>30</v>
      </c>
      <c r="X105" s="34">
        <v>9</v>
      </c>
      <c r="Y105" s="34">
        <v>13</v>
      </c>
      <c r="Z105" s="34">
        <v>21</v>
      </c>
      <c r="AA105" s="34">
        <v>32</v>
      </c>
      <c r="AB105" s="35"/>
      <c r="AC105" s="35">
        <f t="shared" si="19"/>
        <v>105</v>
      </c>
      <c r="AE105" s="39"/>
      <c r="AF105" s="40"/>
      <c r="AG105" s="40"/>
      <c r="AH105" s="40"/>
      <c r="AI105" s="40"/>
      <c r="AJ105" s="41"/>
      <c r="AK105" s="41"/>
    </row>
    <row r="106" spans="2:37" ht="18" customHeight="1" x14ac:dyDescent="0.2">
      <c r="B106" s="8">
        <f>garage!B106</f>
        <v>106</v>
      </c>
      <c r="C106" s="8">
        <f>garage!C106</f>
        <v>3</v>
      </c>
      <c r="D106" s="8">
        <f>garage!D106</f>
        <v>30</v>
      </c>
      <c r="E106" s="8">
        <f>garage!E106</f>
        <v>25</v>
      </c>
      <c r="F106" s="8" t="str">
        <f>garage!F106</f>
        <v>L</v>
      </c>
      <c r="G106" s="8" t="str">
        <f>garage!G106</f>
        <v>O</v>
      </c>
      <c r="H106" s="8" t="str">
        <f>garage!H106</f>
        <v>N</v>
      </c>
      <c r="I106" s="8" t="str">
        <f>garage!I106</f>
        <v>N</v>
      </c>
      <c r="J106" s="8" t="str">
        <f>garage!J106</f>
        <v>N</v>
      </c>
      <c r="K106" s="8" t="str">
        <f>garage!K106</f>
        <v>B</v>
      </c>
      <c r="L106" s="9" t="str">
        <f>garage!L106</f>
        <v>Lamborghini</v>
      </c>
      <c r="M106" s="9" t="str">
        <f>garage!M106</f>
        <v>Reventón Roadster</v>
      </c>
      <c r="O106" s="18" t="s">
        <v>115</v>
      </c>
      <c r="P106" s="14">
        <v>26</v>
      </c>
      <c r="Q106" s="14">
        <v>34</v>
      </c>
      <c r="R106" s="14">
        <v>40</v>
      </c>
      <c r="S106" s="14">
        <v>62</v>
      </c>
      <c r="T106" s="15"/>
      <c r="U106" s="60">
        <f t="shared" si="18"/>
        <v>162</v>
      </c>
      <c r="W106" s="30" t="s">
        <v>115</v>
      </c>
      <c r="X106" s="31">
        <v>26</v>
      </c>
      <c r="Y106" s="31">
        <v>13</v>
      </c>
      <c r="Z106" s="31"/>
      <c r="AA106" s="31"/>
      <c r="AB106" s="32"/>
      <c r="AC106" s="32">
        <f t="shared" si="19"/>
        <v>39</v>
      </c>
      <c r="AE106" s="36" t="s">
        <v>115</v>
      </c>
      <c r="AF106" s="37"/>
      <c r="AG106" s="37">
        <f>Q106-Y106</f>
        <v>21</v>
      </c>
      <c r="AH106" s="37">
        <f>R106-Z106</f>
        <v>40</v>
      </c>
      <c r="AI106" s="37">
        <f>S106-AA106</f>
        <v>62</v>
      </c>
      <c r="AJ106" s="38"/>
      <c r="AK106" s="38">
        <f>SUM(AE106:AJ106)</f>
        <v>123</v>
      </c>
    </row>
    <row r="107" spans="2:37" ht="18" customHeight="1" x14ac:dyDescent="0.2">
      <c r="B107" s="10">
        <f>garage!B107</f>
        <v>107</v>
      </c>
      <c r="C107" s="10">
        <f>garage!C107</f>
        <v>3</v>
      </c>
      <c r="D107" s="10">
        <f>garage!D107</f>
        <v>31</v>
      </c>
      <c r="E107" s="10">
        <f>garage!E107</f>
        <v>15</v>
      </c>
      <c r="F107" s="10" t="str">
        <f>garage!F107</f>
        <v>F</v>
      </c>
      <c r="G107" s="10" t="str">
        <f>garage!G107</f>
        <v>O</v>
      </c>
      <c r="H107" s="10" t="str">
        <f>garage!H107</f>
        <v>O</v>
      </c>
      <c r="I107" s="10" t="str">
        <f>garage!I107</f>
        <v>N</v>
      </c>
      <c r="J107" s="10" t="str">
        <f>garage!J107</f>
        <v>N</v>
      </c>
      <c r="K107" s="10" t="str">
        <f>garage!K107</f>
        <v>B</v>
      </c>
      <c r="L107" s="11" t="str">
        <f>garage!L107</f>
        <v>Ferrari</v>
      </c>
      <c r="M107" s="11" t="str">
        <f>garage!M107</f>
        <v>Enzo Ferrari</v>
      </c>
      <c r="O107" s="19">
        <v>45</v>
      </c>
      <c r="P107" s="16">
        <v>17</v>
      </c>
      <c r="Q107" s="16">
        <v>23</v>
      </c>
      <c r="R107" s="16">
        <v>32</v>
      </c>
      <c r="S107" s="16">
        <v>45</v>
      </c>
      <c r="T107" s="17"/>
      <c r="U107" s="61">
        <f t="shared" si="18"/>
        <v>162</v>
      </c>
      <c r="W107" s="33">
        <v>45</v>
      </c>
      <c r="X107" s="34">
        <v>17</v>
      </c>
      <c r="Y107" s="34">
        <v>23</v>
      </c>
      <c r="Z107" s="34">
        <v>32</v>
      </c>
      <c r="AA107" s="34">
        <v>45</v>
      </c>
      <c r="AB107" s="35"/>
      <c r="AC107" s="35">
        <f t="shared" si="19"/>
        <v>162</v>
      </c>
      <c r="AE107" s="39"/>
      <c r="AF107" s="40"/>
      <c r="AG107" s="40"/>
      <c r="AH107" s="40"/>
      <c r="AI107" s="40"/>
      <c r="AJ107" s="41"/>
      <c r="AK107" s="41"/>
    </row>
    <row r="108" spans="2:37" ht="18" customHeight="1" x14ac:dyDescent="0.2">
      <c r="B108" s="8">
        <f>garage!B108</f>
        <v>108</v>
      </c>
      <c r="C108" s="8">
        <f>garage!C108</f>
        <v>3</v>
      </c>
      <c r="D108" s="8">
        <f>garage!D108</f>
        <v>32</v>
      </c>
      <c r="E108" s="8">
        <f>garage!E108</f>
        <v>23</v>
      </c>
      <c r="F108" s="8" t="str">
        <f>garage!F108</f>
        <v>AM</v>
      </c>
      <c r="G108" s="8" t="str">
        <f>garage!G108</f>
        <v>O</v>
      </c>
      <c r="H108" s="8" t="str">
        <f>garage!H108</f>
        <v>N</v>
      </c>
      <c r="I108" s="8" t="str">
        <f>garage!I108</f>
        <v>N</v>
      </c>
      <c r="J108" s="8" t="str">
        <f>garage!J108</f>
        <v>N</v>
      </c>
      <c r="K108" s="8" t="str">
        <f>garage!K108</f>
        <v>B</v>
      </c>
      <c r="L108" s="9" t="str">
        <f>garage!L108</f>
        <v>Aston Martin</v>
      </c>
      <c r="M108" s="9" t="str">
        <f>garage!M108</f>
        <v>One77</v>
      </c>
      <c r="O108" s="18">
        <v>45</v>
      </c>
      <c r="P108" s="14">
        <v>17</v>
      </c>
      <c r="Q108" s="14">
        <v>23</v>
      </c>
      <c r="R108" s="14">
        <v>32</v>
      </c>
      <c r="S108" s="14">
        <v>45</v>
      </c>
      <c r="T108" s="15"/>
      <c r="U108" s="60">
        <f t="shared" si="18"/>
        <v>162</v>
      </c>
      <c r="W108" s="30">
        <v>45</v>
      </c>
      <c r="X108" s="31">
        <v>17</v>
      </c>
      <c r="Y108" s="31">
        <v>23</v>
      </c>
      <c r="Z108" s="31">
        <v>2</v>
      </c>
      <c r="AA108" s="31"/>
      <c r="AB108" s="32"/>
      <c r="AC108" s="32">
        <f t="shared" si="19"/>
        <v>87</v>
      </c>
      <c r="AE108" s="36"/>
      <c r="AF108" s="37"/>
      <c r="AG108" s="37"/>
      <c r="AH108" s="37">
        <f>R108-Z108</f>
        <v>30</v>
      </c>
      <c r="AI108" s="37">
        <f>S108-AA108</f>
        <v>45</v>
      </c>
      <c r="AJ108" s="38"/>
      <c r="AK108" s="38">
        <f>SUM(AE108:AJ108)</f>
        <v>75</v>
      </c>
    </row>
    <row r="109" spans="2:37" ht="18" customHeight="1" x14ac:dyDescent="0.2">
      <c r="B109" s="10">
        <f>garage!B109</f>
        <v>109</v>
      </c>
      <c r="C109" s="10">
        <f>garage!C109</f>
        <v>3</v>
      </c>
      <c r="D109" s="10">
        <f>garage!D109</f>
        <v>33</v>
      </c>
      <c r="E109" s="10">
        <f>garage!E109</f>
        <v>0</v>
      </c>
      <c r="F109" s="10" t="str">
        <f>garage!F109</f>
        <v>--</v>
      </c>
      <c r="G109" s="10" t="str">
        <f>garage!G109</f>
        <v>O</v>
      </c>
      <c r="H109" s="10" t="str">
        <f>garage!H109</f>
        <v>O</v>
      </c>
      <c r="I109" s="10" t="str">
        <f>garage!I109</f>
        <v>O</v>
      </c>
      <c r="J109" s="10" t="str">
        <f>garage!J109</f>
        <v>N</v>
      </c>
      <c r="K109" s="10" t="str">
        <f>garage!K109</f>
        <v>B</v>
      </c>
      <c r="L109" s="11" t="str">
        <f>garage!L109</f>
        <v>Apollo</v>
      </c>
      <c r="M109" s="11" t="str">
        <f>garage!M109</f>
        <v>N</v>
      </c>
      <c r="O109" s="19">
        <v>30</v>
      </c>
      <c r="P109" s="16">
        <v>9</v>
      </c>
      <c r="Q109" s="16">
        <v>13</v>
      </c>
      <c r="R109" s="16">
        <v>21</v>
      </c>
      <c r="S109" s="16">
        <v>32</v>
      </c>
      <c r="T109" s="17"/>
      <c r="U109" s="61">
        <f t="shared" si="18"/>
        <v>105</v>
      </c>
      <c r="W109" s="33">
        <v>30</v>
      </c>
      <c r="X109" s="34">
        <v>9</v>
      </c>
      <c r="Y109" s="34">
        <v>13</v>
      </c>
      <c r="Z109" s="34">
        <v>21</v>
      </c>
      <c r="AA109" s="34">
        <v>32</v>
      </c>
      <c r="AB109" s="35"/>
      <c r="AC109" s="35">
        <f t="shared" si="19"/>
        <v>105</v>
      </c>
      <c r="AE109" s="39"/>
      <c r="AF109" s="40"/>
      <c r="AG109" s="40"/>
      <c r="AH109" s="40"/>
      <c r="AI109" s="40"/>
      <c r="AJ109" s="41"/>
      <c r="AK109" s="41"/>
    </row>
    <row r="110" spans="2:37" ht="18" customHeight="1" x14ac:dyDescent="0.2">
      <c r="B110" s="8">
        <f>garage!B110</f>
        <v>110</v>
      </c>
      <c r="C110" s="8">
        <f>garage!C110</f>
        <v>3</v>
      </c>
      <c r="D110" s="8">
        <f>garage!D110</f>
        <v>34</v>
      </c>
      <c r="E110" s="8">
        <f>garage!E110</f>
        <v>0</v>
      </c>
      <c r="F110" s="8" t="str">
        <f>garage!F110</f>
        <v>--</v>
      </c>
      <c r="G110" s="8" t="str">
        <f>garage!G110</f>
        <v>O</v>
      </c>
      <c r="H110" s="8" t="str">
        <f>garage!H110</f>
        <v>O</v>
      </c>
      <c r="I110" s="8" t="str">
        <f>garage!I110</f>
        <v>N</v>
      </c>
      <c r="J110" s="8" t="str">
        <f>garage!J110</f>
        <v>N</v>
      </c>
      <c r="K110" s="8" t="str">
        <f>garage!K110</f>
        <v>B</v>
      </c>
      <c r="L110" s="9" t="str">
        <f>garage!L110</f>
        <v>Mercedes-Benz</v>
      </c>
      <c r="M110" s="9" t="str">
        <f>garage!M110</f>
        <v>SLR McLaren</v>
      </c>
      <c r="O110" s="18">
        <v>45</v>
      </c>
      <c r="P110" s="14">
        <v>17</v>
      </c>
      <c r="Q110" s="14">
        <v>23</v>
      </c>
      <c r="R110" s="14">
        <v>32</v>
      </c>
      <c r="S110" s="14">
        <v>45</v>
      </c>
      <c r="T110" s="15"/>
      <c r="U110" s="60">
        <f t="shared" si="18"/>
        <v>162</v>
      </c>
      <c r="W110" s="30">
        <v>45</v>
      </c>
      <c r="X110" s="31">
        <v>17</v>
      </c>
      <c r="Y110" s="31">
        <v>23</v>
      </c>
      <c r="Z110" s="31">
        <v>32</v>
      </c>
      <c r="AA110" s="31">
        <v>45</v>
      </c>
      <c r="AB110" s="32"/>
      <c r="AC110" s="32">
        <f t="shared" si="19"/>
        <v>162</v>
      </c>
      <c r="AE110" s="36"/>
      <c r="AF110" s="37"/>
      <c r="AG110" s="37"/>
      <c r="AH110" s="37"/>
      <c r="AI110" s="37"/>
      <c r="AJ110" s="38"/>
      <c r="AK110" s="38"/>
    </row>
    <row r="111" spans="2:37" ht="18" customHeight="1" x14ac:dyDescent="0.2">
      <c r="B111" s="10">
        <f>garage!B111</f>
        <v>111</v>
      </c>
      <c r="C111" s="10">
        <f>garage!C111</f>
        <v>3</v>
      </c>
      <c r="D111" s="10">
        <f>garage!D111</f>
        <v>35</v>
      </c>
      <c r="E111" s="10">
        <f>garage!E111</f>
        <v>8</v>
      </c>
      <c r="F111" s="10" t="str">
        <f>garage!F111</f>
        <v>AM</v>
      </c>
      <c r="G111" s="10" t="str">
        <f>garage!G111</f>
        <v>O</v>
      </c>
      <c r="H111" s="10" t="str">
        <f>garage!H111</f>
        <v>O</v>
      </c>
      <c r="I111" s="10" t="str">
        <f>garage!I111</f>
        <v>O</v>
      </c>
      <c r="J111" s="10" t="str">
        <f>garage!J111</f>
        <v>N</v>
      </c>
      <c r="K111" s="10" t="str">
        <f>garage!K111</f>
        <v>B</v>
      </c>
      <c r="L111" s="11" t="str">
        <f>garage!L111</f>
        <v>Aston Martin</v>
      </c>
      <c r="M111" s="11" t="str">
        <f>garage!M111</f>
        <v>DBS Superleggera</v>
      </c>
      <c r="O111" s="19">
        <v>45</v>
      </c>
      <c r="P111" s="16">
        <v>17</v>
      </c>
      <c r="Q111" s="16">
        <v>23</v>
      </c>
      <c r="R111" s="16">
        <v>32</v>
      </c>
      <c r="S111" s="16">
        <v>45</v>
      </c>
      <c r="T111" s="17"/>
      <c r="U111" s="61">
        <f t="shared" si="18"/>
        <v>162</v>
      </c>
      <c r="W111" s="33">
        <v>45</v>
      </c>
      <c r="X111" s="34">
        <v>17</v>
      </c>
      <c r="Y111" s="34">
        <v>23</v>
      </c>
      <c r="Z111" s="34">
        <v>32</v>
      </c>
      <c r="AA111" s="34">
        <v>45</v>
      </c>
      <c r="AB111" s="35"/>
      <c r="AC111" s="35">
        <f t="shared" si="19"/>
        <v>162</v>
      </c>
      <c r="AE111" s="39"/>
      <c r="AF111" s="40"/>
      <c r="AG111" s="40"/>
      <c r="AH111" s="40"/>
      <c r="AI111" s="40"/>
      <c r="AJ111" s="41"/>
      <c r="AK111" s="41"/>
    </row>
    <row r="112" spans="2:37" ht="18" customHeight="1" x14ac:dyDescent="0.2">
      <c r="B112" s="8">
        <f>garage!B112</f>
        <v>112</v>
      </c>
      <c r="C112" s="8">
        <f>garage!C112</f>
        <v>3</v>
      </c>
      <c r="D112" s="8">
        <f>garage!D112</f>
        <v>36</v>
      </c>
      <c r="E112" s="8">
        <f>garage!E112</f>
        <v>18</v>
      </c>
      <c r="F112" s="8" t="str">
        <f>garage!F112</f>
        <v>L</v>
      </c>
      <c r="G112" s="8" t="str">
        <f>garage!G112</f>
        <v>O</v>
      </c>
      <c r="H112" s="8" t="str">
        <f>garage!H112</f>
        <v>N</v>
      </c>
      <c r="I112" s="8" t="str">
        <f>garage!I112</f>
        <v>N</v>
      </c>
      <c r="J112" s="8" t="str">
        <f>garage!J112</f>
        <v>N</v>
      </c>
      <c r="K112" s="8" t="str">
        <f>garage!K112</f>
        <v>B</v>
      </c>
      <c r="L112" s="9" t="str">
        <f>garage!L112</f>
        <v>Lamborghini</v>
      </c>
      <c r="M112" s="9" t="str">
        <f>garage!M112</f>
        <v>Essenza SCV12</v>
      </c>
      <c r="O112" s="18" t="s">
        <v>115</v>
      </c>
      <c r="P112" s="14">
        <v>26</v>
      </c>
      <c r="Q112" s="14">
        <v>34</v>
      </c>
      <c r="R112" s="14">
        <v>40</v>
      </c>
      <c r="S112" s="14">
        <v>62</v>
      </c>
      <c r="T112" s="15"/>
      <c r="U112" s="60">
        <f t="shared" si="18"/>
        <v>162</v>
      </c>
      <c r="W112" s="30" t="s">
        <v>115</v>
      </c>
      <c r="X112" s="31">
        <v>26</v>
      </c>
      <c r="Y112" s="31">
        <v>23</v>
      </c>
      <c r="Z112" s="31"/>
      <c r="AA112" s="31"/>
      <c r="AB112" s="32"/>
      <c r="AC112" s="32">
        <f t="shared" si="19"/>
        <v>49</v>
      </c>
      <c r="AE112" s="36" t="s">
        <v>115</v>
      </c>
      <c r="AF112" s="37"/>
      <c r="AG112" s="37">
        <f t="shared" ref="AG112:AI115" si="20">Q112-Y112</f>
        <v>11</v>
      </c>
      <c r="AH112" s="37">
        <f t="shared" si="20"/>
        <v>40</v>
      </c>
      <c r="AI112" s="37">
        <f t="shared" si="20"/>
        <v>62</v>
      </c>
      <c r="AJ112" s="38"/>
      <c r="AK112" s="38">
        <f>SUM(AE112:AJ112)</f>
        <v>113</v>
      </c>
    </row>
    <row r="113" spans="2:37" ht="18" customHeight="1" x14ac:dyDescent="0.2">
      <c r="B113" s="10">
        <f>garage!B113</f>
        <v>113</v>
      </c>
      <c r="C113" s="10">
        <f>garage!C113</f>
        <v>3</v>
      </c>
      <c r="D113" s="10">
        <f>garage!D113</f>
        <v>37</v>
      </c>
      <c r="E113" s="10">
        <f>garage!E113</f>
        <v>29</v>
      </c>
      <c r="F113" s="10" t="str">
        <f>garage!F113</f>
        <v>M</v>
      </c>
      <c r="G113" s="10" t="str">
        <f>garage!G113</f>
        <v>N</v>
      </c>
      <c r="H113" s="10" t="str">
        <f>garage!H113</f>
        <v>N</v>
      </c>
      <c r="I113" s="10" t="str">
        <f>garage!I113</f>
        <v>N</v>
      </c>
      <c r="J113" s="10" t="str">
        <f>garage!J113</f>
        <v>N</v>
      </c>
      <c r="K113" s="10" t="str">
        <f>garage!K113</f>
        <v>B</v>
      </c>
      <c r="L113" s="11" t="str">
        <f>garage!L113</f>
        <v>McLaren</v>
      </c>
      <c r="M113" s="11" t="str">
        <f>garage!M113</f>
        <v>600LT Spider</v>
      </c>
      <c r="O113" s="19">
        <v>45</v>
      </c>
      <c r="P113" s="16">
        <v>17</v>
      </c>
      <c r="Q113" s="16">
        <v>23</v>
      </c>
      <c r="R113" s="16">
        <v>32</v>
      </c>
      <c r="S113" s="16">
        <v>45</v>
      </c>
      <c r="T113" s="17"/>
      <c r="U113" s="61">
        <f t="shared" si="18"/>
        <v>162</v>
      </c>
      <c r="W113" s="33">
        <v>21</v>
      </c>
      <c r="X113" s="34"/>
      <c r="Y113" s="34"/>
      <c r="Z113" s="34"/>
      <c r="AA113" s="34"/>
      <c r="AB113" s="35"/>
      <c r="AC113" s="35">
        <f t="shared" si="19"/>
        <v>21</v>
      </c>
      <c r="AE113" s="39">
        <f>O113-W113</f>
        <v>24</v>
      </c>
      <c r="AF113" s="40">
        <f>P113-X113</f>
        <v>17</v>
      </c>
      <c r="AG113" s="40">
        <f t="shared" si="20"/>
        <v>23</v>
      </c>
      <c r="AH113" s="40">
        <f t="shared" si="20"/>
        <v>32</v>
      </c>
      <c r="AI113" s="40">
        <f t="shared" si="20"/>
        <v>45</v>
      </c>
      <c r="AJ113" s="41"/>
      <c r="AK113" s="41">
        <f>SUM(AE113:AJ113)</f>
        <v>141</v>
      </c>
    </row>
    <row r="114" spans="2:37" ht="18" customHeight="1" x14ac:dyDescent="0.2">
      <c r="B114" s="10">
        <f>garage!B114</f>
        <v>114</v>
      </c>
      <c r="C114" s="10">
        <f>garage!C114</f>
        <v>3</v>
      </c>
      <c r="D114" s="10">
        <f>garage!D114</f>
        <v>38</v>
      </c>
      <c r="E114" s="10">
        <f>garage!E114</f>
        <v>32</v>
      </c>
      <c r="F114" s="10" t="str">
        <f>garage!F114</f>
        <v>--</v>
      </c>
      <c r="G114" s="10" t="str">
        <f>garage!G114</f>
        <v>N</v>
      </c>
      <c r="H114" s="10" t="str">
        <f>garage!H114</f>
        <v>N</v>
      </c>
      <c r="I114" s="10" t="str">
        <f>garage!I114</f>
        <v>N</v>
      </c>
      <c r="J114" s="10" t="str">
        <f>garage!J114</f>
        <v>N</v>
      </c>
      <c r="K114" s="10" t="str">
        <f>garage!K114</f>
        <v>B</v>
      </c>
      <c r="L114" s="11" t="str">
        <f>garage!L114</f>
        <v>McLaren</v>
      </c>
      <c r="M114" s="11" t="str">
        <f>garage!M114</f>
        <v>Solus GT</v>
      </c>
      <c r="O114" s="19" t="s">
        <v>115</v>
      </c>
      <c r="P114" s="16">
        <v>26</v>
      </c>
      <c r="Q114" s="16">
        <v>34</v>
      </c>
      <c r="R114" s="16">
        <v>40</v>
      </c>
      <c r="S114" s="16">
        <v>62</v>
      </c>
      <c r="T114" s="17" t="s">
        <v>107</v>
      </c>
      <c r="U114" s="61"/>
      <c r="W114" s="33"/>
      <c r="X114" s="34"/>
      <c r="Y114" s="34"/>
      <c r="Z114" s="34"/>
      <c r="AA114" s="34"/>
      <c r="AB114" s="35"/>
      <c r="AC114" s="35"/>
      <c r="AE114" s="39"/>
      <c r="AF114" s="40"/>
      <c r="AG114" s="40"/>
      <c r="AH114" s="40"/>
      <c r="AI114" s="40"/>
      <c r="AJ114" s="41"/>
      <c r="AK114" s="41"/>
    </row>
    <row r="115" spans="2:37" ht="18" customHeight="1" x14ac:dyDescent="0.2">
      <c r="B115" s="8">
        <f>garage!B115</f>
        <v>115</v>
      </c>
      <c r="C115" s="8">
        <f>garage!C115</f>
        <v>3</v>
      </c>
      <c r="D115" s="8">
        <f>garage!D115</f>
        <v>39</v>
      </c>
      <c r="E115" s="8">
        <f>garage!E115</f>
        <v>24</v>
      </c>
      <c r="F115" s="8" t="str">
        <f>garage!F115</f>
        <v>--</v>
      </c>
      <c r="G115" s="8" t="str">
        <f>garage!G115</f>
        <v>O</v>
      </c>
      <c r="H115" s="8" t="str">
        <f>garage!H115</f>
        <v>N</v>
      </c>
      <c r="I115" s="8" t="str">
        <f>garage!I115</f>
        <v>N</v>
      </c>
      <c r="J115" s="8" t="str">
        <f>garage!J115</f>
        <v>N</v>
      </c>
      <c r="K115" s="8" t="str">
        <f>garage!K115</f>
        <v>B</v>
      </c>
      <c r="L115" s="9" t="str">
        <f>garage!L115</f>
        <v>Puritalia</v>
      </c>
      <c r="M115" s="9" t="str">
        <f>garage!M115</f>
        <v>Berlinetta</v>
      </c>
      <c r="O115" s="18">
        <v>45</v>
      </c>
      <c r="P115" s="14">
        <v>17</v>
      </c>
      <c r="Q115" s="14">
        <v>23</v>
      </c>
      <c r="R115" s="14">
        <v>32</v>
      </c>
      <c r="S115" s="14">
        <v>45</v>
      </c>
      <c r="T115" s="15"/>
      <c r="U115" s="60">
        <f t="shared" si="18"/>
        <v>162</v>
      </c>
      <c r="W115" s="30">
        <v>45</v>
      </c>
      <c r="X115" s="31">
        <v>17</v>
      </c>
      <c r="Y115" s="31">
        <v>16</v>
      </c>
      <c r="Z115" s="31"/>
      <c r="AA115" s="31"/>
      <c r="AB115" s="32"/>
      <c r="AC115" s="32">
        <f t="shared" si="19"/>
        <v>78</v>
      </c>
      <c r="AE115" s="36"/>
      <c r="AF115" s="37"/>
      <c r="AG115" s="37">
        <f t="shared" si="20"/>
        <v>7</v>
      </c>
      <c r="AH115" s="37">
        <f t="shared" si="20"/>
        <v>32</v>
      </c>
      <c r="AI115" s="37">
        <f t="shared" si="20"/>
        <v>45</v>
      </c>
      <c r="AJ115" s="38"/>
      <c r="AK115" s="38">
        <f>SUM(AE115:AJ115)</f>
        <v>84</v>
      </c>
    </row>
    <row r="116" spans="2:37" ht="18" customHeight="1" x14ac:dyDescent="0.2">
      <c r="B116" s="10">
        <f>garage!B116</f>
        <v>116</v>
      </c>
      <c r="C116" s="10">
        <f>garage!C116</f>
        <v>3</v>
      </c>
      <c r="D116" s="10">
        <f>garage!D116</f>
        <v>40</v>
      </c>
      <c r="E116" s="10">
        <f>garage!E116</f>
        <v>0</v>
      </c>
      <c r="F116" s="10" t="str">
        <f>garage!F116</f>
        <v>L</v>
      </c>
      <c r="G116" s="10" t="str">
        <f>garage!G116</f>
        <v>O</v>
      </c>
      <c r="H116" s="10" t="str">
        <f>garage!H116</f>
        <v>O</v>
      </c>
      <c r="I116" s="10" t="str">
        <f>garage!I116</f>
        <v>O</v>
      </c>
      <c r="J116" s="10" t="str">
        <f>garage!J116</f>
        <v>N</v>
      </c>
      <c r="K116" s="10" t="str">
        <f>garage!K116</f>
        <v>B</v>
      </c>
      <c r="L116" s="11" t="str">
        <f>garage!L116</f>
        <v>Lamborghini</v>
      </c>
      <c r="M116" s="11" t="str">
        <f>garage!M116</f>
        <v>Huracán Evo Spyder</v>
      </c>
      <c r="O116" s="19">
        <v>45</v>
      </c>
      <c r="P116" s="16">
        <v>17</v>
      </c>
      <c r="Q116" s="16">
        <v>23</v>
      </c>
      <c r="R116" s="16">
        <v>32</v>
      </c>
      <c r="S116" s="16">
        <v>45</v>
      </c>
      <c r="T116" s="17"/>
      <c r="U116" s="61">
        <f t="shared" si="18"/>
        <v>162</v>
      </c>
      <c r="W116" s="33">
        <v>45</v>
      </c>
      <c r="X116" s="34">
        <v>17</v>
      </c>
      <c r="Y116" s="34">
        <v>23</v>
      </c>
      <c r="Z116" s="34">
        <v>32</v>
      </c>
      <c r="AA116" s="34">
        <v>45</v>
      </c>
      <c r="AB116" s="35"/>
      <c r="AC116" s="35">
        <f t="shared" si="19"/>
        <v>162</v>
      </c>
      <c r="AE116" s="39"/>
      <c r="AF116" s="40"/>
      <c r="AG116" s="40"/>
      <c r="AH116" s="40"/>
      <c r="AI116" s="40"/>
      <c r="AJ116" s="41"/>
      <c r="AK116" s="41"/>
    </row>
    <row r="117" spans="2:37" ht="18" customHeight="1" x14ac:dyDescent="0.2">
      <c r="B117" s="8">
        <f>garage!B117</f>
        <v>117</v>
      </c>
      <c r="C117" s="8">
        <f>garage!C117</f>
        <v>3</v>
      </c>
      <c r="D117" s="8">
        <f>garage!D117</f>
        <v>41</v>
      </c>
      <c r="E117" s="8">
        <f>garage!E117</f>
        <v>11</v>
      </c>
      <c r="F117" s="8" t="str">
        <f>garage!F117</f>
        <v>P</v>
      </c>
      <c r="G117" s="8" t="str">
        <f>garage!G117</f>
        <v>O</v>
      </c>
      <c r="H117" s="8" t="str">
        <f>garage!H117</f>
        <v>N</v>
      </c>
      <c r="I117" s="8" t="str">
        <f>garage!I117</f>
        <v>N</v>
      </c>
      <c r="J117" s="8" t="str">
        <f>garage!J117</f>
        <v>N</v>
      </c>
      <c r="K117" s="8" t="str">
        <f>garage!K117</f>
        <v>B</v>
      </c>
      <c r="L117" s="9" t="str">
        <f>garage!L117</f>
        <v>Porsche</v>
      </c>
      <c r="M117" s="9" t="str">
        <f>garage!M117</f>
        <v>Carrera GT</v>
      </c>
      <c r="O117" s="18">
        <v>45</v>
      </c>
      <c r="P117" s="14">
        <v>17</v>
      </c>
      <c r="Q117" s="14">
        <v>23</v>
      </c>
      <c r="R117" s="14">
        <v>32</v>
      </c>
      <c r="S117" s="14">
        <v>45</v>
      </c>
      <c r="T117" s="15"/>
      <c r="U117" s="60">
        <f t="shared" si="18"/>
        <v>162</v>
      </c>
      <c r="W117" s="30">
        <v>45</v>
      </c>
      <c r="X117" s="31">
        <v>17</v>
      </c>
      <c r="Y117" s="31">
        <v>23</v>
      </c>
      <c r="Z117" s="31">
        <v>32</v>
      </c>
      <c r="AA117" s="31">
        <v>25</v>
      </c>
      <c r="AB117" s="32"/>
      <c r="AC117" s="32">
        <f t="shared" si="19"/>
        <v>142</v>
      </c>
      <c r="AE117" s="36"/>
      <c r="AF117" s="37"/>
      <c r="AG117" s="37"/>
      <c r="AH117" s="37"/>
      <c r="AI117" s="37">
        <f>S117-AA117</f>
        <v>20</v>
      </c>
      <c r="AJ117" s="38"/>
      <c r="AK117" s="38">
        <f t="shared" ref="AK117:AK122" si="21">SUM(AE117:AJ117)</f>
        <v>20</v>
      </c>
    </row>
    <row r="118" spans="2:37" ht="18" customHeight="1" x14ac:dyDescent="0.2">
      <c r="B118" s="10">
        <f>garage!B118</f>
        <v>118</v>
      </c>
      <c r="C118" s="10">
        <f>garage!C118</f>
        <v>3</v>
      </c>
      <c r="D118" s="10">
        <f>garage!D118</f>
        <v>42</v>
      </c>
      <c r="E118" s="10">
        <f>garage!E118</f>
        <v>22</v>
      </c>
      <c r="F118" s="10" t="str">
        <f>garage!F118</f>
        <v>--</v>
      </c>
      <c r="G118" s="10" t="str">
        <f>garage!G118</f>
        <v>O</v>
      </c>
      <c r="H118" s="10" t="str">
        <f>garage!H118</f>
        <v>N</v>
      </c>
      <c r="I118" s="10" t="str">
        <f>garage!I118</f>
        <v>N</v>
      </c>
      <c r="J118" s="10" t="str">
        <f>garage!J118</f>
        <v>N</v>
      </c>
      <c r="K118" s="10" t="str">
        <f>garage!K118</f>
        <v>B</v>
      </c>
      <c r="L118" s="11" t="str">
        <f>garage!L118</f>
        <v>Nissan</v>
      </c>
      <c r="M118" s="11" t="str">
        <f>garage!M118</f>
        <v>GTR-50 Italdesign</v>
      </c>
      <c r="O118" s="19">
        <v>45</v>
      </c>
      <c r="P118" s="16">
        <v>17</v>
      </c>
      <c r="Q118" s="16">
        <v>23</v>
      </c>
      <c r="R118" s="16">
        <v>32</v>
      </c>
      <c r="S118" s="16">
        <v>45</v>
      </c>
      <c r="T118" s="17"/>
      <c r="U118" s="61">
        <f t="shared" si="18"/>
        <v>162</v>
      </c>
      <c r="W118" s="33">
        <v>45</v>
      </c>
      <c r="X118" s="34">
        <v>2</v>
      </c>
      <c r="Y118" s="34"/>
      <c r="Z118" s="34"/>
      <c r="AA118" s="34"/>
      <c r="AB118" s="35"/>
      <c r="AC118" s="35">
        <f t="shared" si="19"/>
        <v>47</v>
      </c>
      <c r="AE118" s="39"/>
      <c r="AF118" s="40">
        <f>P118-X118</f>
        <v>15</v>
      </c>
      <c r="AG118" s="40">
        <f>Q118-Y118</f>
        <v>23</v>
      </c>
      <c r="AH118" s="40">
        <f>R118-Z118</f>
        <v>32</v>
      </c>
      <c r="AI118" s="40">
        <f>S118-AA118</f>
        <v>45</v>
      </c>
      <c r="AJ118" s="41"/>
      <c r="AK118" s="41">
        <f t="shared" si="21"/>
        <v>115</v>
      </c>
    </row>
    <row r="119" spans="2:37" ht="18" customHeight="1" x14ac:dyDescent="0.2">
      <c r="B119" s="8">
        <f>garage!B119</f>
        <v>119</v>
      </c>
      <c r="C119" s="8">
        <f>garage!C119</f>
        <v>3</v>
      </c>
      <c r="D119" s="8">
        <f>garage!D119</f>
        <v>43</v>
      </c>
      <c r="E119" s="8">
        <f>garage!E119</f>
        <v>19</v>
      </c>
      <c r="F119" s="8" t="str">
        <f>garage!F119</f>
        <v>--</v>
      </c>
      <c r="G119" s="8" t="str">
        <f>garage!G119</f>
        <v>N</v>
      </c>
      <c r="H119" s="8" t="str">
        <f>garage!H119</f>
        <v>N</v>
      </c>
      <c r="I119" s="8" t="str">
        <f>garage!I119</f>
        <v>N</v>
      </c>
      <c r="J119" s="8" t="str">
        <f>garage!J119</f>
        <v>O</v>
      </c>
      <c r="K119" s="8" t="str">
        <f>garage!K119</f>
        <v>B</v>
      </c>
      <c r="L119" s="9" t="str">
        <f>garage!L119</f>
        <v>Zenvo</v>
      </c>
      <c r="M119" s="9" t="str">
        <f>garage!M119</f>
        <v>TSR-S</v>
      </c>
      <c r="O119" s="18" t="s">
        <v>115</v>
      </c>
      <c r="P119" s="14">
        <v>26</v>
      </c>
      <c r="Q119" s="14">
        <v>34</v>
      </c>
      <c r="R119" s="14">
        <v>40</v>
      </c>
      <c r="S119" s="14">
        <v>62</v>
      </c>
      <c r="T119" s="15"/>
      <c r="U119" s="60">
        <f t="shared" si="18"/>
        <v>162</v>
      </c>
      <c r="W119" s="30"/>
      <c r="X119" s="31">
        <v>26</v>
      </c>
      <c r="Y119" s="31">
        <v>9</v>
      </c>
      <c r="Z119" s="31"/>
      <c r="AA119" s="31"/>
      <c r="AB119" s="32"/>
      <c r="AC119" s="32">
        <f t="shared" si="19"/>
        <v>35</v>
      </c>
      <c r="AE119" s="36" t="s">
        <v>115</v>
      </c>
      <c r="AF119" s="37"/>
      <c r="AG119" s="37">
        <f>Q119-Y119</f>
        <v>25</v>
      </c>
      <c r="AH119" s="37">
        <f>R119-Z119</f>
        <v>40</v>
      </c>
      <c r="AI119" s="37">
        <f>S119-AA119</f>
        <v>62</v>
      </c>
      <c r="AJ119" s="38"/>
      <c r="AK119" s="38">
        <f t="shared" si="21"/>
        <v>127</v>
      </c>
    </row>
    <row r="120" spans="2:37" ht="18" customHeight="1" x14ac:dyDescent="0.2">
      <c r="B120" s="10">
        <f>garage!B120</f>
        <v>120</v>
      </c>
      <c r="C120" s="10">
        <f>garage!C120</f>
        <v>3</v>
      </c>
      <c r="D120" s="10">
        <f>garage!D120</f>
        <v>44</v>
      </c>
      <c r="E120" s="10">
        <f>garage!E120</f>
        <v>25</v>
      </c>
      <c r="F120" s="10" t="str">
        <f>garage!F120</f>
        <v>L</v>
      </c>
      <c r="G120" s="10" t="str">
        <f>garage!G120</f>
        <v>N</v>
      </c>
      <c r="H120" s="10" t="str">
        <f>garage!H120</f>
        <v>N</v>
      </c>
      <c r="I120" s="10" t="str">
        <f>garage!I120</f>
        <v>N</v>
      </c>
      <c r="J120" s="10" t="str">
        <f>garage!J120</f>
        <v>N</v>
      </c>
      <c r="K120" s="10" t="str">
        <f>garage!K120</f>
        <v>B</v>
      </c>
      <c r="L120" s="11" t="str">
        <f>garage!L120</f>
        <v>Lamborghini</v>
      </c>
      <c r="M120" s="11" t="str">
        <f>garage!M120</f>
        <v>Sesto Elemento</v>
      </c>
      <c r="O120" s="19">
        <v>55</v>
      </c>
      <c r="P120" s="16">
        <v>18</v>
      </c>
      <c r="Q120" s="16">
        <v>24</v>
      </c>
      <c r="R120" s="16">
        <v>32</v>
      </c>
      <c r="S120" s="16">
        <v>47</v>
      </c>
      <c r="T120" s="17">
        <v>50</v>
      </c>
      <c r="U120" s="61">
        <f t="shared" si="18"/>
        <v>226</v>
      </c>
      <c r="W120" s="33">
        <v>24</v>
      </c>
      <c r="X120" s="34"/>
      <c r="Y120" s="34"/>
      <c r="Z120" s="34"/>
      <c r="AA120" s="34"/>
      <c r="AB120" s="35"/>
      <c r="AC120" s="35">
        <f t="shared" si="19"/>
        <v>24</v>
      </c>
      <c r="AE120" s="39">
        <f>O120-W120</f>
        <v>31</v>
      </c>
      <c r="AF120" s="40">
        <f>P120-X120</f>
        <v>18</v>
      </c>
      <c r="AG120" s="40">
        <f>Q120-Y120</f>
        <v>24</v>
      </c>
      <c r="AH120" s="40">
        <f>R120-Z120</f>
        <v>32</v>
      </c>
      <c r="AI120" s="40">
        <f>S120-AA120</f>
        <v>47</v>
      </c>
      <c r="AJ120" s="41">
        <f>T120-AB120</f>
        <v>50</v>
      </c>
      <c r="AK120" s="41">
        <f t="shared" si="21"/>
        <v>202</v>
      </c>
    </row>
    <row r="121" spans="2:37" ht="18" customHeight="1" x14ac:dyDescent="0.2">
      <c r="B121" s="8">
        <f>garage!B121</f>
        <v>121</v>
      </c>
      <c r="C121" s="8">
        <f>garage!C121</f>
        <v>3</v>
      </c>
      <c r="D121" s="8">
        <f>garage!D121</f>
        <v>45</v>
      </c>
      <c r="E121" s="8">
        <f>garage!E121</f>
        <v>7</v>
      </c>
      <c r="F121" s="8" t="str">
        <f>garage!F121</f>
        <v>P</v>
      </c>
      <c r="G121" s="8" t="str">
        <f>garage!G121</f>
        <v>O</v>
      </c>
      <c r="H121" s="8" t="str">
        <f>garage!H121</f>
        <v>N</v>
      </c>
      <c r="I121" s="8" t="str">
        <f>garage!I121</f>
        <v>N</v>
      </c>
      <c r="J121" s="8" t="str">
        <f>garage!J121</f>
        <v>N</v>
      </c>
      <c r="K121" s="8" t="str">
        <f>garage!K121</f>
        <v>B</v>
      </c>
      <c r="L121" s="9" t="str">
        <f>garage!L121</f>
        <v>Porsche</v>
      </c>
      <c r="M121" s="9" t="str">
        <f>garage!M121</f>
        <v>911 GT3 RS</v>
      </c>
      <c r="O121" s="18">
        <v>55</v>
      </c>
      <c r="P121" s="14">
        <v>18</v>
      </c>
      <c r="Q121" s="14">
        <v>24</v>
      </c>
      <c r="R121" s="14">
        <v>32</v>
      </c>
      <c r="S121" s="14">
        <v>47</v>
      </c>
      <c r="T121" s="15">
        <v>50</v>
      </c>
      <c r="U121" s="60">
        <f t="shared" si="18"/>
        <v>226</v>
      </c>
      <c r="W121" s="30">
        <v>55</v>
      </c>
      <c r="X121" s="31">
        <v>18</v>
      </c>
      <c r="Y121" s="31">
        <v>24</v>
      </c>
      <c r="Z121" s="31">
        <v>32</v>
      </c>
      <c r="AA121" s="31">
        <v>47</v>
      </c>
      <c r="AB121" s="32">
        <v>30</v>
      </c>
      <c r="AC121" s="32">
        <f t="shared" si="19"/>
        <v>206</v>
      </c>
      <c r="AE121" s="36"/>
      <c r="AF121" s="37"/>
      <c r="AG121" s="37"/>
      <c r="AH121" s="37"/>
      <c r="AI121" s="37"/>
      <c r="AJ121" s="38">
        <f>T121-AB121</f>
        <v>20</v>
      </c>
      <c r="AK121" s="38">
        <f t="shared" si="21"/>
        <v>20</v>
      </c>
    </row>
    <row r="122" spans="2:37" ht="18" customHeight="1" x14ac:dyDescent="0.2">
      <c r="B122" s="10">
        <f>garage!B122</f>
        <v>122</v>
      </c>
      <c r="C122" s="10">
        <f>garage!C122</f>
        <v>3</v>
      </c>
      <c r="D122" s="10">
        <f>garage!D122</f>
        <v>46</v>
      </c>
      <c r="E122" s="10">
        <f>garage!E122</f>
        <v>15</v>
      </c>
      <c r="F122" s="10" t="str">
        <f>garage!F122</f>
        <v>F</v>
      </c>
      <c r="G122" s="10" t="str">
        <f>garage!G122</f>
        <v>N</v>
      </c>
      <c r="H122" s="10" t="str">
        <f>garage!H122</f>
        <v>N</v>
      </c>
      <c r="I122" s="10" t="str">
        <f>garage!I122</f>
        <v>N</v>
      </c>
      <c r="J122" s="10" t="str">
        <f>garage!J122</f>
        <v>O</v>
      </c>
      <c r="K122" s="10" t="str">
        <f>garage!K122</f>
        <v>B</v>
      </c>
      <c r="L122" s="11" t="str">
        <f>garage!L122</f>
        <v>Ferrari</v>
      </c>
      <c r="M122" s="11" t="str">
        <f>garage!M122</f>
        <v>488 GTB Challenge EVO</v>
      </c>
      <c r="O122" s="19" t="s">
        <v>115</v>
      </c>
      <c r="P122" s="16">
        <v>26</v>
      </c>
      <c r="Q122" s="16">
        <v>34</v>
      </c>
      <c r="R122" s="16">
        <v>45</v>
      </c>
      <c r="S122" s="16">
        <v>61</v>
      </c>
      <c r="T122" s="17">
        <v>78</v>
      </c>
      <c r="U122" s="61">
        <f t="shared" si="18"/>
        <v>244</v>
      </c>
      <c r="W122" s="33"/>
      <c r="X122" s="34">
        <v>26</v>
      </c>
      <c r="Y122" s="34">
        <v>34</v>
      </c>
      <c r="Z122" s="34">
        <v>1</v>
      </c>
      <c r="AA122" s="34"/>
      <c r="AB122" s="35"/>
      <c r="AC122" s="35">
        <f t="shared" si="19"/>
        <v>61</v>
      </c>
      <c r="AE122" s="39" t="s">
        <v>115</v>
      </c>
      <c r="AF122" s="40"/>
      <c r="AG122" s="40"/>
      <c r="AH122" s="40">
        <f>R122-Z122</f>
        <v>44</v>
      </c>
      <c r="AI122" s="40">
        <f>S122-AA122</f>
        <v>61</v>
      </c>
      <c r="AJ122" s="41">
        <f>T122-AB122</f>
        <v>78</v>
      </c>
      <c r="AK122" s="41">
        <f t="shared" si="21"/>
        <v>183</v>
      </c>
    </row>
    <row r="123" spans="2:37" ht="18" customHeight="1" x14ac:dyDescent="0.2">
      <c r="B123" s="8">
        <f>garage!B123</f>
        <v>123</v>
      </c>
      <c r="C123" s="8">
        <f>garage!C123</f>
        <v>3</v>
      </c>
      <c r="D123" s="8">
        <f>garage!D123</f>
        <v>47</v>
      </c>
      <c r="E123" s="8">
        <f>garage!E123</f>
        <v>31</v>
      </c>
      <c r="F123" s="8" t="str">
        <f>garage!F123</f>
        <v>--</v>
      </c>
      <c r="G123" s="8" t="str">
        <f>garage!G123</f>
        <v>N</v>
      </c>
      <c r="H123" s="8" t="str">
        <f>garage!H123</f>
        <v>N</v>
      </c>
      <c r="I123" s="8" t="str">
        <f>garage!I123</f>
        <v>N</v>
      </c>
      <c r="J123" s="8" t="str">
        <f>garage!J123</f>
        <v>N</v>
      </c>
      <c r="K123" s="8" t="str">
        <f>garage!K123</f>
        <v>B</v>
      </c>
      <c r="L123" s="9" t="str">
        <f>garage!L123</f>
        <v>Apollo</v>
      </c>
      <c r="M123" s="9" t="str">
        <f>garage!M123</f>
        <v>EVO</v>
      </c>
      <c r="O123" s="18">
        <v>55</v>
      </c>
      <c r="P123" s="14">
        <v>18</v>
      </c>
      <c r="Q123" s="14">
        <v>24</v>
      </c>
      <c r="R123" s="14">
        <v>32</v>
      </c>
      <c r="S123" s="14">
        <v>50</v>
      </c>
      <c r="T123" s="15">
        <v>61</v>
      </c>
      <c r="U123" s="60">
        <f t="shared" si="18"/>
        <v>240</v>
      </c>
      <c r="W123" s="30">
        <v>9</v>
      </c>
      <c r="X123" s="31"/>
      <c r="Y123" s="31"/>
      <c r="Z123" s="31"/>
      <c r="AA123" s="31"/>
      <c r="AB123" s="32"/>
      <c r="AC123" s="32"/>
      <c r="AE123" s="36">
        <f t="shared" ref="AE123" si="22">O123-W123</f>
        <v>46</v>
      </c>
      <c r="AF123" s="37">
        <f t="shared" ref="AF123" si="23">P123-X123</f>
        <v>18</v>
      </c>
      <c r="AG123" s="37">
        <f t="shared" ref="AG123" si="24">Q123-Y123</f>
        <v>24</v>
      </c>
      <c r="AH123" s="37">
        <f t="shared" ref="AH123" si="25">R123-Z123</f>
        <v>32</v>
      </c>
      <c r="AI123" s="37">
        <f t="shared" ref="AI123" si="26">S123-AA123</f>
        <v>50</v>
      </c>
      <c r="AJ123" s="38">
        <f t="shared" ref="AJ123" si="27">T123-AB123</f>
        <v>61</v>
      </c>
      <c r="AK123" s="38">
        <f>SUM(AE123:AJ123)</f>
        <v>231</v>
      </c>
    </row>
    <row r="124" spans="2:37" ht="18" customHeight="1" x14ac:dyDescent="0.2">
      <c r="B124" s="10">
        <f>garage!B124</f>
        <v>124</v>
      </c>
      <c r="C124" s="10">
        <f>garage!C124</f>
        <v>3</v>
      </c>
      <c r="D124" s="10">
        <f>garage!D124</f>
        <v>48</v>
      </c>
      <c r="E124" s="10">
        <f>garage!E124</f>
        <v>10</v>
      </c>
      <c r="F124" s="10" t="str">
        <f>garage!F124</f>
        <v>--</v>
      </c>
      <c r="G124" s="10" t="str">
        <f>garage!G124</f>
        <v>O</v>
      </c>
      <c r="H124" s="10" t="str">
        <f>garage!H124</f>
        <v>N</v>
      </c>
      <c r="I124" s="10" t="str">
        <f>garage!I124</f>
        <v>N</v>
      </c>
      <c r="J124" s="10" t="str">
        <f>garage!J124</f>
        <v>N</v>
      </c>
      <c r="K124" s="10" t="str">
        <f>garage!K124</f>
        <v>B</v>
      </c>
      <c r="L124" s="11" t="str">
        <f>garage!L124</f>
        <v>Lotus</v>
      </c>
      <c r="M124" s="11" t="str">
        <f>garage!M124</f>
        <v>Evija</v>
      </c>
      <c r="O124" s="19">
        <v>55</v>
      </c>
      <c r="P124" s="16">
        <v>18</v>
      </c>
      <c r="Q124" s="16">
        <v>24</v>
      </c>
      <c r="R124" s="16">
        <v>32</v>
      </c>
      <c r="S124" s="16">
        <v>50</v>
      </c>
      <c r="T124" s="17">
        <v>61</v>
      </c>
      <c r="U124" s="61">
        <f t="shared" ref="U124:U153" si="28">SUM(O124:T124)</f>
        <v>240</v>
      </c>
      <c r="W124" s="33">
        <v>55</v>
      </c>
      <c r="X124" s="34">
        <v>18</v>
      </c>
      <c r="Y124" s="34">
        <v>7</v>
      </c>
      <c r="Z124" s="34"/>
      <c r="AA124" s="34"/>
      <c r="AB124" s="35"/>
      <c r="AC124" s="35">
        <f t="shared" ref="AC124:AC153" si="29">SUM(W124:AB124)</f>
        <v>80</v>
      </c>
      <c r="AE124" s="39"/>
      <c r="AF124" s="40"/>
      <c r="AG124" s="40">
        <f>Q124-Y124</f>
        <v>17</v>
      </c>
      <c r="AH124" s="40">
        <f>R124-Z124</f>
        <v>32</v>
      </c>
      <c r="AI124" s="40">
        <f>S124-AA124</f>
        <v>50</v>
      </c>
      <c r="AJ124" s="41">
        <f>T124-AB124</f>
        <v>61</v>
      </c>
      <c r="AK124" s="41">
        <f>SUM(AE124:AJ124)</f>
        <v>160</v>
      </c>
    </row>
    <row r="125" spans="2:37" ht="18" customHeight="1" x14ac:dyDescent="0.2">
      <c r="B125" s="8">
        <f>garage!B125</f>
        <v>125</v>
      </c>
      <c r="C125" s="8">
        <f>garage!C125</f>
        <v>3</v>
      </c>
      <c r="D125" s="8">
        <f>garage!D125</f>
        <v>49</v>
      </c>
      <c r="E125" s="8">
        <f>garage!E125</f>
        <v>0</v>
      </c>
      <c r="F125" s="8" t="str">
        <f>garage!F125</f>
        <v>M</v>
      </c>
      <c r="G125" s="8" t="str">
        <f>garage!G125</f>
        <v>O</v>
      </c>
      <c r="H125" s="8" t="str">
        <f>garage!H125</f>
        <v>O</v>
      </c>
      <c r="I125" s="8" t="str">
        <f>garage!I125</f>
        <v>N</v>
      </c>
      <c r="J125" s="8" t="str">
        <f>garage!J125</f>
        <v>N</v>
      </c>
      <c r="K125" s="8" t="str">
        <f>garage!K125</f>
        <v>B</v>
      </c>
      <c r="L125" s="9" t="str">
        <f>garage!L125</f>
        <v>McLaren</v>
      </c>
      <c r="M125" s="9" t="str">
        <f>garage!M125</f>
        <v>F1 LM</v>
      </c>
      <c r="O125" s="18" t="s">
        <v>115</v>
      </c>
      <c r="P125" s="14">
        <v>26</v>
      </c>
      <c r="Q125" s="14">
        <v>34</v>
      </c>
      <c r="R125" s="14">
        <v>45</v>
      </c>
      <c r="S125" s="14">
        <v>61</v>
      </c>
      <c r="T125" s="15">
        <v>78</v>
      </c>
      <c r="U125" s="60">
        <f t="shared" si="28"/>
        <v>244</v>
      </c>
      <c r="W125" s="30" t="s">
        <v>115</v>
      </c>
      <c r="X125" s="31">
        <v>26</v>
      </c>
      <c r="Y125" s="31">
        <v>34</v>
      </c>
      <c r="Z125" s="31">
        <v>45</v>
      </c>
      <c r="AA125" s="31">
        <v>61</v>
      </c>
      <c r="AB125" s="32">
        <v>78</v>
      </c>
      <c r="AC125" s="32">
        <f t="shared" si="29"/>
        <v>244</v>
      </c>
      <c r="AE125" s="36"/>
      <c r="AF125" s="37"/>
      <c r="AG125" s="37"/>
      <c r="AH125" s="37"/>
      <c r="AI125" s="37"/>
      <c r="AJ125" s="38"/>
      <c r="AK125" s="38"/>
    </row>
    <row r="126" spans="2:37" ht="18" customHeight="1" x14ac:dyDescent="0.2">
      <c r="B126" s="10">
        <f>garage!B126</f>
        <v>126</v>
      </c>
      <c r="C126" s="10">
        <f>garage!C126</f>
        <v>3</v>
      </c>
      <c r="D126" s="10">
        <f>garage!D126</f>
        <v>50</v>
      </c>
      <c r="E126" s="10">
        <f>garage!E126</f>
        <v>19</v>
      </c>
      <c r="F126" s="10" t="str">
        <f>garage!F126</f>
        <v>--</v>
      </c>
      <c r="G126" s="10" t="str">
        <f>garage!G126</f>
        <v>O</v>
      </c>
      <c r="H126" s="10" t="str">
        <f>garage!H126</f>
        <v>O</v>
      </c>
      <c r="I126" s="10" t="str">
        <f>garage!I126</f>
        <v>O</v>
      </c>
      <c r="J126" s="10" t="str">
        <f>garage!J126</f>
        <v>N</v>
      </c>
      <c r="K126" s="10" t="str">
        <f>garage!K126</f>
        <v>B</v>
      </c>
      <c r="L126" s="11" t="str">
        <f>garage!L126</f>
        <v>Volkswagen</v>
      </c>
      <c r="M126" s="11" t="str">
        <f>garage!M126</f>
        <v>W12 Coupe</v>
      </c>
      <c r="O126" s="19" t="s">
        <v>115</v>
      </c>
      <c r="P126" s="16">
        <v>26</v>
      </c>
      <c r="Q126" s="16">
        <v>34</v>
      </c>
      <c r="R126" s="16">
        <v>46</v>
      </c>
      <c r="S126" s="16">
        <v>61</v>
      </c>
      <c r="T126" s="17">
        <v>78</v>
      </c>
      <c r="U126" s="61">
        <f t="shared" si="28"/>
        <v>245</v>
      </c>
      <c r="W126" s="33" t="s">
        <v>115</v>
      </c>
      <c r="X126" s="34">
        <v>26</v>
      </c>
      <c r="Y126" s="34">
        <v>34</v>
      </c>
      <c r="Z126" s="34">
        <v>46</v>
      </c>
      <c r="AA126" s="34">
        <v>61</v>
      </c>
      <c r="AB126" s="35">
        <v>78</v>
      </c>
      <c r="AC126" s="35">
        <f t="shared" si="29"/>
        <v>245</v>
      </c>
      <c r="AE126" s="39"/>
      <c r="AF126" s="40"/>
      <c r="AG126" s="40"/>
      <c r="AH126" s="40"/>
      <c r="AI126" s="40"/>
      <c r="AJ126" s="41"/>
      <c r="AK126" s="41"/>
    </row>
    <row r="127" spans="2:37" ht="18" customHeight="1" x14ac:dyDescent="0.2">
      <c r="B127" s="8">
        <f>garage!B127</f>
        <v>127</v>
      </c>
      <c r="C127" s="8">
        <f>garage!C127</f>
        <v>3</v>
      </c>
      <c r="D127" s="8">
        <f>garage!D127</f>
        <v>51</v>
      </c>
      <c r="E127" s="8">
        <f>garage!E127</f>
        <v>26</v>
      </c>
      <c r="F127" s="8" t="str">
        <f>garage!F127</f>
        <v>--</v>
      </c>
      <c r="G127" s="8" t="str">
        <f>garage!G127</f>
        <v>N</v>
      </c>
      <c r="H127" s="8" t="str">
        <f>garage!H127</f>
        <v>N</v>
      </c>
      <c r="I127" s="8" t="str">
        <f>garage!I127</f>
        <v>N</v>
      </c>
      <c r="J127" s="8" t="str">
        <f>garage!J127</f>
        <v>N</v>
      </c>
      <c r="K127" s="8" t="str">
        <f>garage!K127</f>
        <v>B</v>
      </c>
      <c r="L127" s="9" t="str">
        <f>garage!L127</f>
        <v>Pagani</v>
      </c>
      <c r="M127" s="9" t="str">
        <f>garage!M127</f>
        <v>Huayra R</v>
      </c>
      <c r="O127" s="18">
        <v>55</v>
      </c>
      <c r="P127" s="14">
        <v>18</v>
      </c>
      <c r="Q127" s="14">
        <v>24</v>
      </c>
      <c r="R127" s="14">
        <v>32</v>
      </c>
      <c r="S127" s="14">
        <v>50</v>
      </c>
      <c r="T127" s="15">
        <v>61</v>
      </c>
      <c r="U127" s="60">
        <f t="shared" si="28"/>
        <v>240</v>
      </c>
      <c r="W127" s="30">
        <v>1</v>
      </c>
      <c r="X127" s="31">
        <v>0</v>
      </c>
      <c r="Y127" s="31">
        <v>0</v>
      </c>
      <c r="Z127" s="31">
        <v>0</v>
      </c>
      <c r="AA127" s="31">
        <v>0</v>
      </c>
      <c r="AB127" s="32">
        <v>0</v>
      </c>
      <c r="AC127" s="32">
        <f t="shared" si="29"/>
        <v>1</v>
      </c>
      <c r="AE127" s="36">
        <f t="shared" ref="AE127:AJ127" si="30">O127-W127</f>
        <v>54</v>
      </c>
      <c r="AF127" s="37">
        <f t="shared" si="30"/>
        <v>18</v>
      </c>
      <c r="AG127" s="37">
        <f t="shared" si="30"/>
        <v>24</v>
      </c>
      <c r="AH127" s="37">
        <f t="shared" si="30"/>
        <v>32</v>
      </c>
      <c r="AI127" s="37">
        <f t="shared" si="30"/>
        <v>50</v>
      </c>
      <c r="AJ127" s="38">
        <f t="shared" si="30"/>
        <v>61</v>
      </c>
      <c r="AK127" s="38">
        <f>SUM(AE127:AJ127)</f>
        <v>239</v>
      </c>
    </row>
    <row r="128" spans="2:37" ht="18" customHeight="1" x14ac:dyDescent="0.2">
      <c r="B128" s="10">
        <f>garage!B128</f>
        <v>128</v>
      </c>
      <c r="C128" s="10">
        <f>garage!C128</f>
        <v>3</v>
      </c>
      <c r="D128" s="10">
        <f>garage!D128</f>
        <v>52</v>
      </c>
      <c r="E128" s="10">
        <f>garage!E128</f>
        <v>30</v>
      </c>
      <c r="F128" s="10" t="str">
        <f>garage!F128</f>
        <v>L</v>
      </c>
      <c r="G128" s="10" t="str">
        <f>garage!G128</f>
        <v>O</v>
      </c>
      <c r="H128" s="10" t="str">
        <f>garage!H128</f>
        <v>N</v>
      </c>
      <c r="I128" s="10" t="str">
        <f>garage!I128</f>
        <v>N</v>
      </c>
      <c r="J128" s="10" t="str">
        <f>garage!J128</f>
        <v>N</v>
      </c>
      <c r="K128" s="10" t="str">
        <f>garage!K128</f>
        <v>B</v>
      </c>
      <c r="L128" s="11" t="str">
        <f>garage!L128</f>
        <v>Lamborghini</v>
      </c>
      <c r="M128" s="11" t="str">
        <f>garage!M128</f>
        <v>Revuelto</v>
      </c>
      <c r="O128" s="19" t="s">
        <v>115</v>
      </c>
      <c r="P128" s="16">
        <v>26</v>
      </c>
      <c r="Q128" s="16">
        <v>34</v>
      </c>
      <c r="R128" s="16">
        <v>45</v>
      </c>
      <c r="S128" s="16">
        <v>61</v>
      </c>
      <c r="T128" s="17">
        <v>78</v>
      </c>
      <c r="U128" s="61">
        <f t="shared" si="28"/>
        <v>244</v>
      </c>
      <c r="W128" s="33" t="s">
        <v>115</v>
      </c>
      <c r="X128" s="34">
        <v>14</v>
      </c>
      <c r="Y128" s="34"/>
      <c r="Z128" s="34"/>
      <c r="AA128" s="34"/>
      <c r="AB128" s="35"/>
      <c r="AC128" s="35">
        <f t="shared" si="29"/>
        <v>14</v>
      </c>
      <c r="AE128" s="39"/>
      <c r="AF128" s="40">
        <f>P128-X128</f>
        <v>12</v>
      </c>
      <c r="AG128" s="40">
        <f>Q128-Y128</f>
        <v>34</v>
      </c>
      <c r="AH128" s="40">
        <f>R128-Z128</f>
        <v>45</v>
      </c>
      <c r="AI128" s="40">
        <f>S128-AA128</f>
        <v>61</v>
      </c>
      <c r="AJ128" s="41">
        <f>T128-AB128</f>
        <v>78</v>
      </c>
      <c r="AK128" s="41">
        <f>SUM(AE128:AJ128)</f>
        <v>230</v>
      </c>
    </row>
    <row r="129" spans="2:37" ht="18" customHeight="1" x14ac:dyDescent="0.2">
      <c r="B129" s="8">
        <f>garage!B129</f>
        <v>129</v>
      </c>
      <c r="C129" s="8">
        <f>garage!C129</f>
        <v>4</v>
      </c>
      <c r="D129" s="8">
        <f>garage!D129</f>
        <v>1</v>
      </c>
      <c r="E129" s="8">
        <f>garage!E129</f>
        <v>0</v>
      </c>
      <c r="F129" s="8" t="str">
        <f>garage!F129</f>
        <v>AM</v>
      </c>
      <c r="G129" s="8" t="str">
        <f>garage!G129</f>
        <v>O</v>
      </c>
      <c r="H129" s="8" t="str">
        <f>garage!H129</f>
        <v>O</v>
      </c>
      <c r="I129" s="8" t="str">
        <f>garage!I129</f>
        <v>O</v>
      </c>
      <c r="J129" s="8" t="str">
        <f>garage!J129</f>
        <v>N</v>
      </c>
      <c r="K129" s="8" t="str">
        <f>garage!K129</f>
        <v>A</v>
      </c>
      <c r="L129" s="9" t="str">
        <f>garage!L129</f>
        <v>Aston Martin</v>
      </c>
      <c r="M129" s="9" t="str">
        <f>garage!M129</f>
        <v>Vulcan</v>
      </c>
      <c r="O129" s="18">
        <v>45</v>
      </c>
      <c r="P129" s="14">
        <v>21</v>
      </c>
      <c r="Q129" s="14">
        <v>28</v>
      </c>
      <c r="R129" s="14">
        <v>42</v>
      </c>
      <c r="S129" s="14"/>
      <c r="T129" s="15"/>
      <c r="U129" s="60">
        <f t="shared" si="28"/>
        <v>136</v>
      </c>
      <c r="W129" s="30">
        <v>45</v>
      </c>
      <c r="X129" s="31">
        <v>21</v>
      </c>
      <c r="Y129" s="31">
        <v>28</v>
      </c>
      <c r="Z129" s="31">
        <v>42</v>
      </c>
      <c r="AA129" s="31"/>
      <c r="AB129" s="32"/>
      <c r="AC129" s="32">
        <f t="shared" si="29"/>
        <v>136</v>
      </c>
      <c r="AE129" s="36"/>
      <c r="AF129" s="37"/>
      <c r="AG129" s="37"/>
      <c r="AH129" s="37"/>
      <c r="AI129" s="37"/>
      <c r="AJ129" s="38"/>
      <c r="AK129" s="38"/>
    </row>
    <row r="130" spans="2:37" ht="18" customHeight="1" x14ac:dyDescent="0.2">
      <c r="B130" s="10">
        <f>garage!B130</f>
        <v>130</v>
      </c>
      <c r="C130" s="10">
        <f>garage!C130</f>
        <v>4</v>
      </c>
      <c r="D130" s="10">
        <f>garage!D130</f>
        <v>2</v>
      </c>
      <c r="E130" s="10">
        <f>garage!E130</f>
        <v>0</v>
      </c>
      <c r="F130" s="10" t="str">
        <f>garage!F130</f>
        <v>--</v>
      </c>
      <c r="G130" s="10" t="str">
        <f>garage!G130</f>
        <v>O</v>
      </c>
      <c r="H130" s="10" t="str">
        <f>garage!H130</f>
        <v>O</v>
      </c>
      <c r="I130" s="10" t="str">
        <f>garage!I130</f>
        <v>O</v>
      </c>
      <c r="J130" s="10" t="str">
        <f>garage!J130</f>
        <v>N</v>
      </c>
      <c r="K130" s="10" t="str">
        <f>garage!K130</f>
        <v>A</v>
      </c>
      <c r="L130" s="11" t="str">
        <f>garage!L130</f>
        <v>Nissan</v>
      </c>
      <c r="M130" s="11" t="str">
        <f>garage!M130</f>
        <v>GT-R Nismo</v>
      </c>
      <c r="O130" s="19">
        <v>45</v>
      </c>
      <c r="P130" s="16">
        <v>21</v>
      </c>
      <c r="Q130" s="16">
        <v>28</v>
      </c>
      <c r="R130" s="16">
        <v>42</v>
      </c>
      <c r="S130" s="16"/>
      <c r="T130" s="17"/>
      <c r="U130" s="61">
        <f t="shared" si="28"/>
        <v>136</v>
      </c>
      <c r="W130" s="33">
        <v>45</v>
      </c>
      <c r="X130" s="34">
        <v>21</v>
      </c>
      <c r="Y130" s="34">
        <v>28</v>
      </c>
      <c r="Z130" s="34">
        <v>42</v>
      </c>
      <c r="AA130" s="34"/>
      <c r="AB130" s="35"/>
      <c r="AC130" s="35">
        <f t="shared" si="29"/>
        <v>136</v>
      </c>
      <c r="AE130" s="39"/>
      <c r="AF130" s="40"/>
      <c r="AG130" s="40"/>
      <c r="AH130" s="40"/>
      <c r="AI130" s="40"/>
      <c r="AJ130" s="41"/>
      <c r="AK130" s="41"/>
    </row>
    <row r="131" spans="2:37" ht="18" customHeight="1" x14ac:dyDescent="0.2">
      <c r="B131" s="8">
        <f>garage!B131</f>
        <v>131</v>
      </c>
      <c r="C131" s="8">
        <f>garage!C131</f>
        <v>4</v>
      </c>
      <c r="D131" s="8">
        <f>garage!D131</f>
        <v>3</v>
      </c>
      <c r="E131" s="8">
        <f>garage!E131</f>
        <v>17</v>
      </c>
      <c r="F131" s="8" t="str">
        <f>garage!F131</f>
        <v>--</v>
      </c>
      <c r="G131" s="8" t="str">
        <f>garage!G131</f>
        <v>O</v>
      </c>
      <c r="H131" s="8" t="str">
        <f>garage!H131</f>
        <v>N</v>
      </c>
      <c r="I131" s="8" t="str">
        <f>garage!I131</f>
        <v>N</v>
      </c>
      <c r="J131" s="8" t="str">
        <f>garage!J131</f>
        <v>N</v>
      </c>
      <c r="K131" s="8" t="str">
        <f>garage!K131</f>
        <v>A</v>
      </c>
      <c r="L131" s="9" t="str">
        <f>garage!L131</f>
        <v>Nio</v>
      </c>
      <c r="M131" s="9" t="str">
        <f>garage!M131</f>
        <v>EP9</v>
      </c>
      <c r="O131" s="18">
        <v>60</v>
      </c>
      <c r="P131" s="14">
        <v>40</v>
      </c>
      <c r="Q131" s="14">
        <v>51</v>
      </c>
      <c r="R131" s="14">
        <v>63</v>
      </c>
      <c r="S131" s="14"/>
      <c r="T131" s="15"/>
      <c r="U131" s="60">
        <f t="shared" si="28"/>
        <v>214</v>
      </c>
      <c r="W131" s="30">
        <v>60</v>
      </c>
      <c r="X131" s="31">
        <v>40</v>
      </c>
      <c r="Y131" s="31">
        <v>51</v>
      </c>
      <c r="Z131" s="31">
        <v>16</v>
      </c>
      <c r="AA131" s="31"/>
      <c r="AB131" s="32"/>
      <c r="AC131" s="32">
        <f t="shared" si="29"/>
        <v>167</v>
      </c>
      <c r="AE131" s="36"/>
      <c r="AF131" s="37"/>
      <c r="AG131" s="37"/>
      <c r="AH131" s="37">
        <f>R131-Z131</f>
        <v>47</v>
      </c>
      <c r="AI131" s="37"/>
      <c r="AJ131" s="38"/>
      <c r="AK131" s="38">
        <f>SUM(AE131:AJ131)</f>
        <v>47</v>
      </c>
    </row>
    <row r="132" spans="2:37" ht="18" customHeight="1" x14ac:dyDescent="0.2">
      <c r="B132" s="10">
        <f>garage!B132</f>
        <v>132</v>
      </c>
      <c r="C132" s="10">
        <f>garage!C132</f>
        <v>4</v>
      </c>
      <c r="D132" s="10">
        <f>garage!D132</f>
        <v>4</v>
      </c>
      <c r="E132" s="10">
        <f>garage!E132</f>
        <v>0</v>
      </c>
      <c r="F132" s="10" t="str">
        <f>garage!F132</f>
        <v>F</v>
      </c>
      <c r="G132" s="10" t="str">
        <f>garage!G132</f>
        <v>O</v>
      </c>
      <c r="H132" s="10" t="str">
        <f>garage!H132</f>
        <v>O</v>
      </c>
      <c r="I132" s="10" t="str">
        <f>garage!I132</f>
        <v>O</v>
      </c>
      <c r="J132" s="10" t="str">
        <f>garage!J132</f>
        <v>N</v>
      </c>
      <c r="K132" s="10" t="str">
        <f>garage!K132</f>
        <v>A</v>
      </c>
      <c r="L132" s="11" t="str">
        <f>garage!L132</f>
        <v>Ferrari</v>
      </c>
      <c r="M132" s="11" t="str">
        <f>garage!M132</f>
        <v>J50</v>
      </c>
      <c r="O132" s="19">
        <v>45</v>
      </c>
      <c r="P132" s="16">
        <v>21</v>
      </c>
      <c r="Q132" s="16">
        <v>28</v>
      </c>
      <c r="R132" s="16">
        <v>42</v>
      </c>
      <c r="S132" s="16"/>
      <c r="T132" s="17"/>
      <c r="U132" s="61">
        <f t="shared" si="28"/>
        <v>136</v>
      </c>
      <c r="W132" s="33">
        <v>45</v>
      </c>
      <c r="X132" s="34">
        <v>21</v>
      </c>
      <c r="Y132" s="34">
        <v>28</v>
      </c>
      <c r="Z132" s="34">
        <v>42</v>
      </c>
      <c r="AA132" s="34"/>
      <c r="AB132" s="35"/>
      <c r="AC132" s="35">
        <f t="shared" si="29"/>
        <v>136</v>
      </c>
      <c r="AE132" s="39"/>
      <c r="AF132" s="40"/>
      <c r="AG132" s="40"/>
      <c r="AH132" s="40"/>
      <c r="AI132" s="40"/>
      <c r="AJ132" s="41"/>
      <c r="AK132" s="41"/>
    </row>
    <row r="133" spans="2:37" ht="18" customHeight="1" x14ac:dyDescent="0.2">
      <c r="B133" s="8">
        <f>garage!B133</f>
        <v>133</v>
      </c>
      <c r="C133" s="8">
        <f>garage!C133</f>
        <v>4</v>
      </c>
      <c r="D133" s="8">
        <f>garage!D133</f>
        <v>5</v>
      </c>
      <c r="E133" s="8">
        <f>garage!E133</f>
        <v>0</v>
      </c>
      <c r="F133" s="8" t="str">
        <f>garage!F133</f>
        <v>--</v>
      </c>
      <c r="G133" s="8" t="str">
        <f>garage!G133</f>
        <v>O</v>
      </c>
      <c r="H133" s="8" t="str">
        <f>garage!H133</f>
        <v>O</v>
      </c>
      <c r="I133" s="8" t="str">
        <f>garage!I133</f>
        <v>O</v>
      </c>
      <c r="J133" s="8" t="str">
        <f>garage!J133</f>
        <v>N</v>
      </c>
      <c r="K133" s="8" t="str">
        <f>garage!K133</f>
        <v>A</v>
      </c>
      <c r="L133" s="9" t="str">
        <f>garage!L133</f>
        <v>Dodge</v>
      </c>
      <c r="M133" s="9" t="str">
        <f>garage!M133</f>
        <v>Viper GTS</v>
      </c>
      <c r="O133" s="18">
        <v>45</v>
      </c>
      <c r="P133" s="14">
        <v>21</v>
      </c>
      <c r="Q133" s="14">
        <v>28</v>
      </c>
      <c r="R133" s="14">
        <v>42</v>
      </c>
      <c r="S133" s="14"/>
      <c r="T133" s="15"/>
      <c r="U133" s="60">
        <f t="shared" si="28"/>
        <v>136</v>
      </c>
      <c r="W133" s="30">
        <v>45</v>
      </c>
      <c r="X133" s="31">
        <v>21</v>
      </c>
      <c r="Y133" s="31">
        <v>28</v>
      </c>
      <c r="Z133" s="31">
        <v>42</v>
      </c>
      <c r="AA133" s="31"/>
      <c r="AB133" s="32"/>
      <c r="AC133" s="32">
        <f t="shared" si="29"/>
        <v>136</v>
      </c>
      <c r="AE133" s="36"/>
      <c r="AF133" s="37"/>
      <c r="AG133" s="37"/>
      <c r="AH133" s="37"/>
      <c r="AI133" s="37"/>
      <c r="AJ133" s="38"/>
      <c r="AK133" s="38"/>
    </row>
    <row r="134" spans="2:37" ht="18" customHeight="1" x14ac:dyDescent="0.2">
      <c r="B134" s="10">
        <f>garage!B134</f>
        <v>134</v>
      </c>
      <c r="C134" s="10">
        <f>garage!C134</f>
        <v>4</v>
      </c>
      <c r="D134" s="10">
        <f>garage!D134</f>
        <v>6</v>
      </c>
      <c r="E134" s="10">
        <f>garage!E134</f>
        <v>26</v>
      </c>
      <c r="F134" s="10" t="str">
        <f>garage!F134</f>
        <v>--</v>
      </c>
      <c r="G134" s="10" t="str">
        <f>garage!G134</f>
        <v>N</v>
      </c>
      <c r="H134" s="10" t="str">
        <f>garage!H134</f>
        <v>N</v>
      </c>
      <c r="I134" s="10" t="str">
        <f>garage!I134</f>
        <v>N</v>
      </c>
      <c r="J134" s="10" t="str">
        <f>garage!J134</f>
        <v>N</v>
      </c>
      <c r="K134" s="10" t="str">
        <f>garage!K134</f>
        <v>A</v>
      </c>
      <c r="L134" s="11" t="str">
        <f>garage!L134</f>
        <v>Bentley</v>
      </c>
      <c r="M134" s="11" t="str">
        <f>garage!M134</f>
        <v>Continental GT Speed</v>
      </c>
      <c r="O134" s="19">
        <v>60</v>
      </c>
      <c r="P134" s="16">
        <v>40</v>
      </c>
      <c r="Q134" s="16">
        <v>51</v>
      </c>
      <c r="R134" s="16">
        <v>63</v>
      </c>
      <c r="S134" s="16"/>
      <c r="T134" s="17"/>
      <c r="U134" s="61">
        <f t="shared" si="28"/>
        <v>214</v>
      </c>
      <c r="W134" s="33">
        <v>8</v>
      </c>
      <c r="X134" s="34"/>
      <c r="Y134" s="34"/>
      <c r="Z134" s="34"/>
      <c r="AA134" s="34"/>
      <c r="AB134" s="35"/>
      <c r="AC134" s="35">
        <f t="shared" si="29"/>
        <v>8</v>
      </c>
      <c r="AE134" s="39">
        <f>O134-W134</f>
        <v>52</v>
      </c>
      <c r="AF134" s="40">
        <f>P134-X134</f>
        <v>40</v>
      </c>
      <c r="AG134" s="40">
        <f>Q134-Y134</f>
        <v>51</v>
      </c>
      <c r="AH134" s="40">
        <f>R134-Z134</f>
        <v>63</v>
      </c>
      <c r="AI134" s="40"/>
      <c r="AJ134" s="41"/>
      <c r="AK134" s="41">
        <f>SUM(AE134:AJ134)</f>
        <v>206</v>
      </c>
    </row>
    <row r="135" spans="2:37" ht="18" customHeight="1" x14ac:dyDescent="0.2">
      <c r="B135" s="8">
        <f>garage!B135</f>
        <v>135</v>
      </c>
      <c r="C135" s="8">
        <f>garage!C135</f>
        <v>4</v>
      </c>
      <c r="D135" s="8">
        <f>garage!D135</f>
        <v>7</v>
      </c>
      <c r="E135" s="8">
        <f>garage!E135</f>
        <v>0</v>
      </c>
      <c r="F135" s="8" t="str">
        <f>garage!F135</f>
        <v>F</v>
      </c>
      <c r="G135" s="8" t="str">
        <f>garage!G135</f>
        <v>O</v>
      </c>
      <c r="H135" s="8" t="str">
        <f>garage!H135</f>
        <v>O</v>
      </c>
      <c r="I135" s="8" t="str">
        <f>garage!I135</f>
        <v>O</v>
      </c>
      <c r="J135" s="8" t="str">
        <f>garage!J135</f>
        <v>N</v>
      </c>
      <c r="K135" s="8" t="str">
        <f>garage!K135</f>
        <v>A</v>
      </c>
      <c r="L135" s="9" t="str">
        <f>garage!L135</f>
        <v>Ferrari</v>
      </c>
      <c r="M135" s="9" t="str">
        <f>garage!M135</f>
        <v>LaFerrari</v>
      </c>
      <c r="O135" s="18">
        <v>35</v>
      </c>
      <c r="P135" s="14">
        <v>12</v>
      </c>
      <c r="Q135" s="14">
        <v>15</v>
      </c>
      <c r="R135" s="14">
        <v>24</v>
      </c>
      <c r="S135" s="14">
        <v>36</v>
      </c>
      <c r="T135" s="15"/>
      <c r="U135" s="60">
        <f t="shared" si="28"/>
        <v>122</v>
      </c>
      <c r="W135" s="30">
        <v>35</v>
      </c>
      <c r="X135" s="31">
        <v>12</v>
      </c>
      <c r="Y135" s="31">
        <v>15</v>
      </c>
      <c r="Z135" s="31">
        <v>24</v>
      </c>
      <c r="AA135" s="31">
        <v>36</v>
      </c>
      <c r="AB135" s="32"/>
      <c r="AC135" s="32">
        <f t="shared" si="29"/>
        <v>122</v>
      </c>
      <c r="AE135" s="36"/>
      <c r="AF135" s="37"/>
      <c r="AG135" s="37"/>
      <c r="AH135" s="37"/>
      <c r="AI135" s="37"/>
      <c r="AJ135" s="38"/>
      <c r="AK135" s="38"/>
    </row>
    <row r="136" spans="2:37" ht="18" customHeight="1" x14ac:dyDescent="0.2">
      <c r="B136" s="10">
        <f>garage!B136</f>
        <v>136</v>
      </c>
      <c r="C136" s="10">
        <f>garage!C136</f>
        <v>4</v>
      </c>
      <c r="D136" s="10">
        <f>garage!D136</f>
        <v>8</v>
      </c>
      <c r="E136" s="10">
        <f>garage!E136</f>
        <v>0</v>
      </c>
      <c r="F136" s="10" t="str">
        <f>garage!F136</f>
        <v>M</v>
      </c>
      <c r="G136" s="10" t="str">
        <f>garage!G136</f>
        <v>O</v>
      </c>
      <c r="H136" s="10" t="str">
        <f>garage!H136</f>
        <v>O</v>
      </c>
      <c r="I136" s="10" t="str">
        <f>garage!I136</f>
        <v>O</v>
      </c>
      <c r="J136" s="10" t="str">
        <f>garage!J136</f>
        <v>N</v>
      </c>
      <c r="K136" s="10" t="str">
        <f>garage!K136</f>
        <v>A</v>
      </c>
      <c r="L136" s="11" t="str">
        <f>garage!L136</f>
        <v>McLaren</v>
      </c>
      <c r="M136" s="11" t="str">
        <f>garage!M136</f>
        <v>P1</v>
      </c>
      <c r="O136" s="19">
        <v>35</v>
      </c>
      <c r="P136" s="16">
        <v>12</v>
      </c>
      <c r="Q136" s="16">
        <v>15</v>
      </c>
      <c r="R136" s="16">
        <v>24</v>
      </c>
      <c r="S136" s="16">
        <v>36</v>
      </c>
      <c r="T136" s="17"/>
      <c r="U136" s="61">
        <f t="shared" si="28"/>
        <v>122</v>
      </c>
      <c r="W136" s="33">
        <v>35</v>
      </c>
      <c r="X136" s="34">
        <v>12</v>
      </c>
      <c r="Y136" s="34">
        <v>15</v>
      </c>
      <c r="Z136" s="34">
        <v>24</v>
      </c>
      <c r="AA136" s="34">
        <v>36</v>
      </c>
      <c r="AB136" s="35"/>
      <c r="AC136" s="35">
        <f t="shared" si="29"/>
        <v>122</v>
      </c>
      <c r="AE136" s="39"/>
      <c r="AF136" s="40"/>
      <c r="AG136" s="40"/>
      <c r="AH136" s="40"/>
      <c r="AI136" s="40"/>
      <c r="AJ136" s="41"/>
      <c r="AK136" s="41"/>
    </row>
    <row r="137" spans="2:37" ht="18" customHeight="1" x14ac:dyDescent="0.2">
      <c r="B137" s="8">
        <f>garage!B137</f>
        <v>137</v>
      </c>
      <c r="C137" s="8">
        <f>garage!C137</f>
        <v>4</v>
      </c>
      <c r="D137" s="8">
        <f>garage!D137</f>
        <v>9</v>
      </c>
      <c r="E137" s="8">
        <f>garage!E137</f>
        <v>20</v>
      </c>
      <c r="F137" s="8" t="str">
        <f>garage!F137</f>
        <v>--</v>
      </c>
      <c r="G137" s="8" t="str">
        <f>garage!G137</f>
        <v>N</v>
      </c>
      <c r="H137" s="8" t="str">
        <f>garage!H137</f>
        <v>N</v>
      </c>
      <c r="I137" s="8" t="str">
        <f>garage!I137</f>
        <v>N</v>
      </c>
      <c r="J137" s="8" t="str">
        <f>garage!J137</f>
        <v>O</v>
      </c>
      <c r="K137" s="8" t="str">
        <f>garage!K137</f>
        <v>A</v>
      </c>
      <c r="L137" s="9" t="str">
        <f>garage!L137</f>
        <v>Pagani</v>
      </c>
      <c r="M137" s="9" t="str">
        <f>garage!M137</f>
        <v>Zonda HP Barchetta</v>
      </c>
      <c r="O137" s="18" t="s">
        <v>115</v>
      </c>
      <c r="P137" s="14">
        <v>28</v>
      </c>
      <c r="Q137" s="14">
        <v>32</v>
      </c>
      <c r="R137" s="14">
        <v>44</v>
      </c>
      <c r="S137" s="14">
        <v>83</v>
      </c>
      <c r="T137" s="15"/>
      <c r="U137" s="60">
        <f t="shared" si="28"/>
        <v>187</v>
      </c>
      <c r="W137" s="30"/>
      <c r="X137" s="31">
        <v>28</v>
      </c>
      <c r="Y137" s="31">
        <v>32</v>
      </c>
      <c r="Z137" s="31">
        <v>19</v>
      </c>
      <c r="AA137" s="31"/>
      <c r="AB137" s="32"/>
      <c r="AC137" s="32">
        <f t="shared" si="29"/>
        <v>79</v>
      </c>
      <c r="AE137" s="36" t="s">
        <v>115</v>
      </c>
      <c r="AF137" s="37"/>
      <c r="AG137" s="37"/>
      <c r="AH137" s="37">
        <f>R137-Z137</f>
        <v>25</v>
      </c>
      <c r="AI137" s="37">
        <f>S137-AA137</f>
        <v>83</v>
      </c>
      <c r="AJ137" s="38"/>
      <c r="AK137" s="38">
        <f>SUM(AE137:AJ137)</f>
        <v>108</v>
      </c>
    </row>
    <row r="138" spans="2:37" ht="18" customHeight="1" x14ac:dyDescent="0.2">
      <c r="B138" s="10">
        <f>garage!B138</f>
        <v>138</v>
      </c>
      <c r="C138" s="10">
        <f>garage!C138</f>
        <v>4</v>
      </c>
      <c r="D138" s="10">
        <f>garage!D138</f>
        <v>10</v>
      </c>
      <c r="E138" s="10">
        <f>garage!E138</f>
        <v>0</v>
      </c>
      <c r="F138" s="10" t="str">
        <f>garage!F138</f>
        <v>L</v>
      </c>
      <c r="G138" s="10" t="str">
        <f>garage!G138</f>
        <v>O</v>
      </c>
      <c r="H138" s="10" t="str">
        <f>garage!H138</f>
        <v>O</v>
      </c>
      <c r="I138" s="10" t="str">
        <f>garage!I138</f>
        <v>O</v>
      </c>
      <c r="J138" s="10" t="str">
        <f>garage!J138</f>
        <v>N</v>
      </c>
      <c r="K138" s="10" t="str">
        <f>garage!K138</f>
        <v>A</v>
      </c>
      <c r="L138" s="11" t="str">
        <f>garage!L138</f>
        <v>Lamborghini</v>
      </c>
      <c r="M138" s="11" t="str">
        <f>garage!M138</f>
        <v>Aventador SV Coupé</v>
      </c>
      <c r="O138" s="19">
        <v>35</v>
      </c>
      <c r="P138" s="16">
        <v>12</v>
      </c>
      <c r="Q138" s="16">
        <v>15</v>
      </c>
      <c r="R138" s="16">
        <v>24</v>
      </c>
      <c r="S138" s="16">
        <v>36</v>
      </c>
      <c r="T138" s="17"/>
      <c r="U138" s="61">
        <f t="shared" si="28"/>
        <v>122</v>
      </c>
      <c r="W138" s="33">
        <v>35</v>
      </c>
      <c r="X138" s="34">
        <v>12</v>
      </c>
      <c r="Y138" s="34">
        <v>15</v>
      </c>
      <c r="Z138" s="34">
        <v>24</v>
      </c>
      <c r="AA138" s="34">
        <v>36</v>
      </c>
      <c r="AB138" s="35"/>
      <c r="AC138" s="35">
        <f t="shared" si="29"/>
        <v>122</v>
      </c>
      <c r="AE138" s="39"/>
      <c r="AF138" s="40"/>
      <c r="AG138" s="40"/>
      <c r="AH138" s="40"/>
      <c r="AI138" s="40"/>
      <c r="AJ138" s="41"/>
      <c r="AK138" s="41"/>
    </row>
    <row r="139" spans="2:37" ht="18" customHeight="1" x14ac:dyDescent="0.2">
      <c r="B139" s="8">
        <f>garage!B139</f>
        <v>139</v>
      </c>
      <c r="C139" s="8">
        <f>garage!C139</f>
        <v>4</v>
      </c>
      <c r="D139" s="8">
        <f>garage!D139</f>
        <v>11</v>
      </c>
      <c r="E139" s="8">
        <f>garage!E139</f>
        <v>6</v>
      </c>
      <c r="F139" s="8" t="str">
        <f>garage!F139</f>
        <v>F</v>
      </c>
      <c r="G139" s="8" t="str">
        <f>garage!G139</f>
        <v>O</v>
      </c>
      <c r="H139" s="8" t="str">
        <f>garage!H139</f>
        <v>O</v>
      </c>
      <c r="I139" s="8" t="str">
        <f>garage!I139</f>
        <v>O</v>
      </c>
      <c r="J139" s="8" t="str">
        <f>garage!J139</f>
        <v>N</v>
      </c>
      <c r="K139" s="8" t="str">
        <f>garage!K139</f>
        <v>A</v>
      </c>
      <c r="L139" s="9" t="str">
        <f>garage!L139</f>
        <v>Ferrari</v>
      </c>
      <c r="M139" s="9" t="str">
        <f>garage!M139</f>
        <v>812 Superfast</v>
      </c>
      <c r="O139" s="18">
        <v>50</v>
      </c>
      <c r="P139" s="14">
        <v>23</v>
      </c>
      <c r="Q139" s="14">
        <v>27</v>
      </c>
      <c r="R139" s="14">
        <v>36</v>
      </c>
      <c r="S139" s="14">
        <v>51</v>
      </c>
      <c r="T139" s="15"/>
      <c r="U139" s="60">
        <f t="shared" si="28"/>
        <v>187</v>
      </c>
      <c r="W139" s="30">
        <v>50</v>
      </c>
      <c r="X139" s="31">
        <v>23</v>
      </c>
      <c r="Y139" s="31">
        <v>27</v>
      </c>
      <c r="Z139" s="31">
        <v>36</v>
      </c>
      <c r="AA139" s="31">
        <v>51</v>
      </c>
      <c r="AB139" s="32"/>
      <c r="AC139" s="32">
        <f t="shared" si="29"/>
        <v>187</v>
      </c>
      <c r="AE139" s="36"/>
      <c r="AF139" s="37"/>
      <c r="AG139" s="37"/>
      <c r="AH139" s="37"/>
      <c r="AI139" s="37"/>
      <c r="AJ139" s="38"/>
      <c r="AK139" s="38"/>
    </row>
    <row r="140" spans="2:37" ht="18" customHeight="1" x14ac:dyDescent="0.2">
      <c r="B140" s="10">
        <f>garage!B140</f>
        <v>140</v>
      </c>
      <c r="C140" s="10">
        <f>garage!C140</f>
        <v>4</v>
      </c>
      <c r="D140" s="10">
        <f>garage!D140</f>
        <v>12</v>
      </c>
      <c r="E140" s="10">
        <f>garage!E140</f>
        <v>0</v>
      </c>
      <c r="F140" s="10" t="str">
        <f>garage!F140</f>
        <v>C</v>
      </c>
      <c r="G140" s="10" t="str">
        <f>garage!G140</f>
        <v>O</v>
      </c>
      <c r="H140" s="10" t="str">
        <f>garage!H140</f>
        <v>O</v>
      </c>
      <c r="I140" s="10" t="str">
        <f>garage!I140</f>
        <v>N</v>
      </c>
      <c r="J140" s="10" t="str">
        <f>garage!J140</f>
        <v>N</v>
      </c>
      <c r="K140" s="10" t="str">
        <f>garage!K140</f>
        <v>A</v>
      </c>
      <c r="L140" s="11" t="str">
        <f>garage!L140</f>
        <v>Chevrolet</v>
      </c>
      <c r="M140" s="11" t="str">
        <f>garage!M140</f>
        <v>Corvette ZR1</v>
      </c>
      <c r="O140" s="19">
        <v>50</v>
      </c>
      <c r="P140" s="16">
        <v>23</v>
      </c>
      <c r="Q140" s="16">
        <v>27</v>
      </c>
      <c r="R140" s="16">
        <v>36</v>
      </c>
      <c r="S140" s="16">
        <v>51</v>
      </c>
      <c r="T140" s="17"/>
      <c r="U140" s="61">
        <f t="shared" si="28"/>
        <v>187</v>
      </c>
      <c r="W140" s="33">
        <v>50</v>
      </c>
      <c r="X140" s="34">
        <v>23</v>
      </c>
      <c r="Y140" s="34">
        <v>27</v>
      </c>
      <c r="Z140" s="34">
        <v>36</v>
      </c>
      <c r="AA140" s="34">
        <v>51</v>
      </c>
      <c r="AB140" s="35"/>
      <c r="AC140" s="35">
        <f t="shared" si="29"/>
        <v>187</v>
      </c>
      <c r="AE140" s="39"/>
      <c r="AF140" s="40"/>
      <c r="AG140" s="40"/>
      <c r="AH140" s="40"/>
      <c r="AI140" s="40"/>
      <c r="AJ140" s="41"/>
      <c r="AK140" s="41"/>
    </row>
    <row r="141" spans="2:37" ht="18" customHeight="1" x14ac:dyDescent="0.2">
      <c r="B141" s="8">
        <f>garage!B141</f>
        <v>141</v>
      </c>
      <c r="C141" s="8">
        <f>garage!C141</f>
        <v>4</v>
      </c>
      <c r="D141" s="8">
        <f>garage!D141</f>
        <v>13</v>
      </c>
      <c r="E141" s="8">
        <f>garage!E141</f>
        <v>14</v>
      </c>
      <c r="F141" s="8" t="str">
        <f>garage!F141</f>
        <v>--</v>
      </c>
      <c r="G141" s="8" t="str">
        <f>garage!G141</f>
        <v>O</v>
      </c>
      <c r="H141" s="8" t="str">
        <f>garage!H141</f>
        <v>N</v>
      </c>
      <c r="I141" s="8" t="str">
        <f>garage!I141</f>
        <v>N</v>
      </c>
      <c r="J141" s="8" t="str">
        <f>garage!J141</f>
        <v>N</v>
      </c>
      <c r="K141" s="8" t="str">
        <f>garage!K141</f>
        <v>A</v>
      </c>
      <c r="L141" s="9" t="str">
        <f>garage!L141</f>
        <v>Jaguar</v>
      </c>
      <c r="M141" s="9" t="str">
        <f>garage!M141</f>
        <v>C-X75</v>
      </c>
      <c r="O141" s="18">
        <v>50</v>
      </c>
      <c r="P141" s="14">
        <v>23</v>
      </c>
      <c r="Q141" s="14">
        <v>27</v>
      </c>
      <c r="R141" s="14">
        <v>36</v>
      </c>
      <c r="S141" s="14">
        <v>51</v>
      </c>
      <c r="T141" s="15"/>
      <c r="U141" s="60">
        <f t="shared" si="28"/>
        <v>187</v>
      </c>
      <c r="W141" s="30">
        <v>50</v>
      </c>
      <c r="X141" s="31">
        <v>23</v>
      </c>
      <c r="Y141" s="31">
        <v>3</v>
      </c>
      <c r="Z141" s="31"/>
      <c r="AA141" s="31"/>
      <c r="AB141" s="32"/>
      <c r="AC141" s="32">
        <f t="shared" si="29"/>
        <v>76</v>
      </c>
      <c r="AE141" s="36"/>
      <c r="AF141" s="37"/>
      <c r="AG141" s="37">
        <f>Q141-Y141</f>
        <v>24</v>
      </c>
      <c r="AH141" s="37">
        <f>R141-Z141</f>
        <v>36</v>
      </c>
      <c r="AI141" s="37">
        <f>S141-AA141</f>
        <v>51</v>
      </c>
      <c r="AJ141" s="38"/>
      <c r="AK141" s="38">
        <f>SUM(AE141:AJ141)</f>
        <v>111</v>
      </c>
    </row>
    <row r="142" spans="2:37" ht="18" customHeight="1" x14ac:dyDescent="0.2">
      <c r="B142" s="10">
        <f>garage!B142</f>
        <v>142</v>
      </c>
      <c r="C142" s="10">
        <f>garage!C142</f>
        <v>4</v>
      </c>
      <c r="D142" s="10">
        <f>garage!D142</f>
        <v>14</v>
      </c>
      <c r="E142" s="10">
        <f>garage!E142</f>
        <v>0</v>
      </c>
      <c r="F142" s="10" t="str">
        <f>garage!F142</f>
        <v>--</v>
      </c>
      <c r="G142" s="10" t="str">
        <f>garage!G142</f>
        <v>O</v>
      </c>
      <c r="H142" s="10" t="str">
        <f>garage!H142</f>
        <v>O</v>
      </c>
      <c r="I142" s="10" t="str">
        <f>garage!I142</f>
        <v>O</v>
      </c>
      <c r="J142" s="10" t="str">
        <f>garage!J142</f>
        <v>N</v>
      </c>
      <c r="K142" s="10" t="str">
        <f>garage!K142</f>
        <v>A</v>
      </c>
      <c r="L142" s="11" t="str">
        <f>garage!L142</f>
        <v>VLF</v>
      </c>
      <c r="M142" s="11" t="str">
        <f>garage!M142</f>
        <v>Force 1 V10</v>
      </c>
      <c r="O142" s="19">
        <v>45</v>
      </c>
      <c r="P142" s="16">
        <v>12</v>
      </c>
      <c r="Q142" s="16">
        <v>15</v>
      </c>
      <c r="R142" s="16">
        <v>24</v>
      </c>
      <c r="S142" s="16">
        <v>36</v>
      </c>
      <c r="T142" s="17"/>
      <c r="U142" s="61">
        <f t="shared" si="28"/>
        <v>132</v>
      </c>
      <c r="W142" s="33">
        <v>45</v>
      </c>
      <c r="X142" s="34">
        <v>12</v>
      </c>
      <c r="Y142" s="34">
        <v>15</v>
      </c>
      <c r="Z142" s="34">
        <v>24</v>
      </c>
      <c r="AA142" s="34">
        <v>36</v>
      </c>
      <c r="AB142" s="35"/>
      <c r="AC142" s="35">
        <f t="shared" si="29"/>
        <v>132</v>
      </c>
      <c r="AE142" s="39"/>
      <c r="AF142" s="40"/>
      <c r="AG142" s="40"/>
      <c r="AH142" s="40"/>
      <c r="AI142" s="40"/>
      <c r="AJ142" s="41"/>
      <c r="AK142" s="41"/>
    </row>
    <row r="143" spans="2:37" ht="18" customHeight="1" x14ac:dyDescent="0.2">
      <c r="B143" s="8">
        <f>garage!B143</f>
        <v>143</v>
      </c>
      <c r="C143" s="8">
        <f>garage!C143</f>
        <v>4</v>
      </c>
      <c r="D143" s="8">
        <f>garage!D143</f>
        <v>15</v>
      </c>
      <c r="E143" s="8">
        <f>garage!E143</f>
        <v>23</v>
      </c>
      <c r="F143" s="8" t="str">
        <f>garage!F143</f>
        <v>M</v>
      </c>
      <c r="G143" s="8" t="str">
        <f>garage!G143</f>
        <v>O</v>
      </c>
      <c r="H143" s="8" t="str">
        <f>garage!H143</f>
        <v>N</v>
      </c>
      <c r="I143" s="8" t="str">
        <f>garage!I143</f>
        <v>N</v>
      </c>
      <c r="J143" s="8" t="str">
        <f>garage!J143</f>
        <v>N</v>
      </c>
      <c r="K143" s="8" t="str">
        <f>garage!K143</f>
        <v>A</v>
      </c>
      <c r="L143" s="9" t="str">
        <f>garage!L143</f>
        <v>McLaren</v>
      </c>
      <c r="M143" s="9" t="str">
        <f>garage!M143</f>
        <v>Senna GTR</v>
      </c>
      <c r="O143" s="18">
        <v>50</v>
      </c>
      <c r="P143" s="14">
        <v>23</v>
      </c>
      <c r="Q143" s="14">
        <v>27</v>
      </c>
      <c r="R143" s="14">
        <v>36</v>
      </c>
      <c r="S143" s="14">
        <v>51</v>
      </c>
      <c r="T143" s="15"/>
      <c r="U143" s="60">
        <f t="shared" si="28"/>
        <v>187</v>
      </c>
      <c r="W143" s="30">
        <v>50</v>
      </c>
      <c r="X143" s="31">
        <v>23</v>
      </c>
      <c r="Y143" s="31">
        <v>27</v>
      </c>
      <c r="Z143" s="31">
        <v>25</v>
      </c>
      <c r="AA143" s="31"/>
      <c r="AB143" s="32"/>
      <c r="AC143" s="32">
        <f t="shared" si="29"/>
        <v>125</v>
      </c>
      <c r="AE143" s="36"/>
      <c r="AF143" s="37"/>
      <c r="AG143" s="37"/>
      <c r="AH143" s="37">
        <f>R143-Z143</f>
        <v>11</v>
      </c>
      <c r="AI143" s="37">
        <f>S143-AA143</f>
        <v>51</v>
      </c>
      <c r="AJ143" s="38"/>
      <c r="AK143" s="38">
        <f>SUM(AE143:AJ143)</f>
        <v>62</v>
      </c>
    </row>
    <row r="144" spans="2:37" ht="18" customHeight="1" x14ac:dyDescent="0.2">
      <c r="B144" s="10">
        <f>garage!B144</f>
        <v>144</v>
      </c>
      <c r="C144" s="10">
        <f>garage!C144</f>
        <v>4</v>
      </c>
      <c r="D144" s="10">
        <f>garage!D144</f>
        <v>16</v>
      </c>
      <c r="E144" s="10">
        <f>garage!E144</f>
        <v>20</v>
      </c>
      <c r="F144" s="10" t="str">
        <f>garage!F144</f>
        <v>L</v>
      </c>
      <c r="G144" s="10" t="str">
        <f>garage!G144</f>
        <v>N</v>
      </c>
      <c r="H144" s="10" t="str">
        <f>garage!H144</f>
        <v>N</v>
      </c>
      <c r="I144" s="10" t="str">
        <f>garage!I144</f>
        <v>N</v>
      </c>
      <c r="J144" s="10" t="str">
        <f>garage!J144</f>
        <v>N</v>
      </c>
      <c r="K144" s="10" t="str">
        <f>garage!K144</f>
        <v>A</v>
      </c>
      <c r="L144" s="11" t="str">
        <f>garage!L144</f>
        <v>Lamborghini</v>
      </c>
      <c r="M144" s="11" t="str">
        <f>garage!M144</f>
        <v>Aventador SVJ Roadster</v>
      </c>
      <c r="O144" s="19">
        <v>70</v>
      </c>
      <c r="P144" s="16">
        <v>23</v>
      </c>
      <c r="Q144" s="16">
        <v>27</v>
      </c>
      <c r="R144" s="16">
        <v>36</v>
      </c>
      <c r="S144" s="16">
        <v>52</v>
      </c>
      <c r="T144" s="17">
        <v>59</v>
      </c>
      <c r="U144" s="61">
        <f t="shared" si="28"/>
        <v>267</v>
      </c>
      <c r="W144" s="33">
        <v>29</v>
      </c>
      <c r="X144" s="34"/>
      <c r="Y144" s="34"/>
      <c r="Z144" s="34"/>
      <c r="AA144" s="34"/>
      <c r="AB144" s="35"/>
      <c r="AC144" s="35">
        <f t="shared" si="29"/>
        <v>29</v>
      </c>
      <c r="AE144" s="39">
        <f>O144-W144</f>
        <v>41</v>
      </c>
      <c r="AF144" s="40">
        <f>P144-X144</f>
        <v>23</v>
      </c>
      <c r="AG144" s="40">
        <f>Q144-Y144</f>
        <v>27</v>
      </c>
      <c r="AH144" s="40">
        <f>R144-Z144</f>
        <v>36</v>
      </c>
      <c r="AI144" s="40">
        <f>S144-AA144</f>
        <v>52</v>
      </c>
      <c r="AJ144" s="41">
        <f>T144-AB144</f>
        <v>59</v>
      </c>
      <c r="AK144" s="41">
        <f>SUM(AE144:AJ144)</f>
        <v>238</v>
      </c>
    </row>
    <row r="145" spans="2:37" ht="18" customHeight="1" x14ac:dyDescent="0.2">
      <c r="B145" s="8">
        <f>garage!B145</f>
        <v>145</v>
      </c>
      <c r="C145" s="8">
        <f>garage!C145</f>
        <v>4</v>
      </c>
      <c r="D145" s="8">
        <f>garage!D145</f>
        <v>17</v>
      </c>
      <c r="E145" s="8">
        <f>garage!E145</f>
        <v>8</v>
      </c>
      <c r="F145" s="8" t="str">
        <f>garage!F145</f>
        <v>--</v>
      </c>
      <c r="G145" s="8" t="str">
        <f>garage!G145</f>
        <v>O</v>
      </c>
      <c r="H145" s="8" t="str">
        <f>garage!H145</f>
        <v>O</v>
      </c>
      <c r="I145" s="8" t="str">
        <f>garage!I145</f>
        <v>O</v>
      </c>
      <c r="J145" s="8" t="str">
        <f>garage!J145</f>
        <v>N</v>
      </c>
      <c r="K145" s="8" t="str">
        <f>garage!K145</f>
        <v>A</v>
      </c>
      <c r="L145" s="9" t="str">
        <f>garage!L145</f>
        <v>Vanda Electrics</v>
      </c>
      <c r="M145" s="9" t="str">
        <f>garage!M145</f>
        <v>Dendrobium</v>
      </c>
      <c r="O145" s="18">
        <v>50</v>
      </c>
      <c r="P145" s="14">
        <v>23</v>
      </c>
      <c r="Q145" s="14">
        <v>27</v>
      </c>
      <c r="R145" s="14">
        <v>36</v>
      </c>
      <c r="S145" s="14">
        <v>52</v>
      </c>
      <c r="T145" s="15">
        <v>62</v>
      </c>
      <c r="U145" s="60">
        <f t="shared" si="28"/>
        <v>250</v>
      </c>
      <c r="W145" s="30">
        <v>50</v>
      </c>
      <c r="X145" s="31">
        <v>23</v>
      </c>
      <c r="Y145" s="31">
        <v>27</v>
      </c>
      <c r="Z145" s="31">
        <v>36</v>
      </c>
      <c r="AA145" s="31">
        <v>52</v>
      </c>
      <c r="AB145" s="32">
        <v>62</v>
      </c>
      <c r="AC145" s="32">
        <f t="shared" si="29"/>
        <v>250</v>
      </c>
      <c r="AE145" s="36"/>
      <c r="AF145" s="37"/>
      <c r="AG145" s="37"/>
      <c r="AH145" s="37"/>
      <c r="AI145" s="37"/>
      <c r="AJ145" s="38"/>
      <c r="AK145" s="38"/>
    </row>
    <row r="146" spans="2:37" ht="18" customHeight="1" x14ac:dyDescent="0.2">
      <c r="B146" s="10">
        <f>garage!B146</f>
        <v>146</v>
      </c>
      <c r="C146" s="10">
        <f>garage!C146</f>
        <v>4</v>
      </c>
      <c r="D146" s="10">
        <f>garage!D146</f>
        <v>18</v>
      </c>
      <c r="E146" s="10">
        <f>garage!E146</f>
        <v>0</v>
      </c>
      <c r="F146" s="10" t="str">
        <f>garage!F146</f>
        <v>P</v>
      </c>
      <c r="G146" s="10" t="str">
        <f>garage!G146</f>
        <v>O</v>
      </c>
      <c r="H146" s="10" t="str">
        <f>garage!H146</f>
        <v>O</v>
      </c>
      <c r="I146" s="10" t="str">
        <f>garage!I146</f>
        <v>O</v>
      </c>
      <c r="J146" s="10" t="str">
        <f>garage!J146</f>
        <v>N</v>
      </c>
      <c r="K146" s="10" t="str">
        <f>garage!K146</f>
        <v>A</v>
      </c>
      <c r="L146" s="11" t="str">
        <f>garage!L146</f>
        <v>Porsche</v>
      </c>
      <c r="M146" s="11" t="str">
        <f>garage!M146</f>
        <v>918 Spyder</v>
      </c>
      <c r="O146" s="19">
        <v>35</v>
      </c>
      <c r="P146" s="16">
        <v>12</v>
      </c>
      <c r="Q146" s="16">
        <v>15</v>
      </c>
      <c r="R146" s="16">
        <v>24</v>
      </c>
      <c r="S146" s="16">
        <v>36</v>
      </c>
      <c r="T146" s="17"/>
      <c r="U146" s="61">
        <f t="shared" si="28"/>
        <v>122</v>
      </c>
      <c r="W146" s="33">
        <v>35</v>
      </c>
      <c r="X146" s="34">
        <v>12</v>
      </c>
      <c r="Y146" s="34">
        <v>15</v>
      </c>
      <c r="Z146" s="34">
        <v>24</v>
      </c>
      <c r="AA146" s="34">
        <v>36</v>
      </c>
      <c r="AB146" s="35"/>
      <c r="AC146" s="35">
        <f t="shared" si="29"/>
        <v>122</v>
      </c>
      <c r="AE146" s="39"/>
      <c r="AF146" s="40"/>
      <c r="AG146" s="40"/>
      <c r="AH146" s="40"/>
      <c r="AI146" s="40"/>
      <c r="AJ146" s="41"/>
      <c r="AK146" s="41"/>
    </row>
    <row r="147" spans="2:37" ht="18" customHeight="1" x14ac:dyDescent="0.2">
      <c r="B147" s="8">
        <f>garage!B147</f>
        <v>147</v>
      </c>
      <c r="C147" s="8">
        <f>garage!C147</f>
        <v>4</v>
      </c>
      <c r="D147" s="8">
        <f>garage!D147</f>
        <v>19</v>
      </c>
      <c r="E147" s="8">
        <f>garage!E147</f>
        <v>28</v>
      </c>
      <c r="F147" s="8" t="str">
        <f>garage!F147</f>
        <v>--</v>
      </c>
      <c r="G147" s="8" t="str">
        <f>garage!G147</f>
        <v>N</v>
      </c>
      <c r="H147" s="8" t="str">
        <f>garage!H147</f>
        <v>N</v>
      </c>
      <c r="I147" s="8" t="str">
        <f>garage!I147</f>
        <v>N</v>
      </c>
      <c r="J147" s="8" t="str">
        <f>garage!J147</f>
        <v>N</v>
      </c>
      <c r="K147" s="8" t="str">
        <f>garage!K147</f>
        <v>A</v>
      </c>
      <c r="L147" s="9" t="str">
        <f>garage!L147</f>
        <v>Peugeot</v>
      </c>
      <c r="M147" s="9" t="str">
        <f>garage!M147</f>
        <v>9X8</v>
      </c>
      <c r="O147" s="18">
        <v>70</v>
      </c>
      <c r="P147" s="14">
        <v>23</v>
      </c>
      <c r="Q147" s="14">
        <v>27</v>
      </c>
      <c r="R147" s="14">
        <v>36</v>
      </c>
      <c r="S147" s="14">
        <v>52</v>
      </c>
      <c r="T147" s="15">
        <v>59</v>
      </c>
      <c r="U147" s="60">
        <f t="shared" si="28"/>
        <v>267</v>
      </c>
      <c r="W147" s="30">
        <v>10</v>
      </c>
      <c r="X147" s="31"/>
      <c r="Y147" s="31"/>
      <c r="Z147" s="31"/>
      <c r="AA147" s="31"/>
      <c r="AB147" s="32"/>
      <c r="AC147" s="32">
        <f t="shared" si="29"/>
        <v>10</v>
      </c>
      <c r="AE147" s="36">
        <f t="shared" ref="AE147:AJ147" si="31">O147-W147</f>
        <v>60</v>
      </c>
      <c r="AF147" s="37">
        <f t="shared" si="31"/>
        <v>23</v>
      </c>
      <c r="AG147" s="37">
        <f t="shared" si="31"/>
        <v>27</v>
      </c>
      <c r="AH147" s="37">
        <f t="shared" si="31"/>
        <v>36</v>
      </c>
      <c r="AI147" s="37">
        <f t="shared" si="31"/>
        <v>52</v>
      </c>
      <c r="AJ147" s="38">
        <f t="shared" si="31"/>
        <v>59</v>
      </c>
      <c r="AK147" s="38">
        <f>SUM(AE147:AJ147)</f>
        <v>257</v>
      </c>
    </row>
    <row r="148" spans="2:37" ht="18" customHeight="1" x14ac:dyDescent="0.2">
      <c r="B148" s="10">
        <f>garage!B148</f>
        <v>148</v>
      </c>
      <c r="C148" s="10">
        <f>garage!C148</f>
        <v>4</v>
      </c>
      <c r="D148" s="10">
        <f>garage!D148</f>
        <v>20</v>
      </c>
      <c r="E148" s="10">
        <f>garage!E148</f>
        <v>0</v>
      </c>
      <c r="F148" s="10" t="str">
        <f>garage!F148</f>
        <v>M</v>
      </c>
      <c r="G148" s="10" t="str">
        <f>garage!G148</f>
        <v>O</v>
      </c>
      <c r="H148" s="10" t="str">
        <f>garage!H148</f>
        <v>O</v>
      </c>
      <c r="I148" s="10" t="str">
        <f>garage!I148</f>
        <v>O</v>
      </c>
      <c r="J148" s="10" t="str">
        <f>garage!J148</f>
        <v>N</v>
      </c>
      <c r="K148" s="10" t="str">
        <f>garage!K148</f>
        <v>A</v>
      </c>
      <c r="L148" s="11" t="str">
        <f>garage!L148</f>
        <v>McLaren</v>
      </c>
      <c r="M148" s="11" t="str">
        <f>garage!M148</f>
        <v>570S Spider</v>
      </c>
      <c r="O148" s="19">
        <v>50</v>
      </c>
      <c r="P148" s="16">
        <v>12</v>
      </c>
      <c r="Q148" s="16">
        <v>15</v>
      </c>
      <c r="R148" s="16">
        <v>24</v>
      </c>
      <c r="S148" s="16">
        <v>37</v>
      </c>
      <c r="T148" s="17">
        <v>45</v>
      </c>
      <c r="U148" s="61">
        <f t="shared" si="28"/>
        <v>183</v>
      </c>
      <c r="W148" s="33">
        <v>50</v>
      </c>
      <c r="X148" s="34">
        <v>12</v>
      </c>
      <c r="Y148" s="34">
        <v>15</v>
      </c>
      <c r="Z148" s="34">
        <v>24</v>
      </c>
      <c r="AA148" s="34">
        <v>37</v>
      </c>
      <c r="AB148" s="35">
        <v>45</v>
      </c>
      <c r="AC148" s="35">
        <f t="shared" si="29"/>
        <v>183</v>
      </c>
      <c r="AE148" s="39"/>
      <c r="AF148" s="40"/>
      <c r="AG148" s="40"/>
      <c r="AH148" s="40"/>
      <c r="AI148" s="40"/>
      <c r="AJ148" s="41"/>
      <c r="AK148" s="41"/>
    </row>
    <row r="149" spans="2:37" ht="18" customHeight="1" x14ac:dyDescent="0.2">
      <c r="B149" s="8">
        <f>garage!B149</f>
        <v>149</v>
      </c>
      <c r="C149" s="8">
        <f>garage!C149</f>
        <v>4</v>
      </c>
      <c r="D149" s="8">
        <f>garage!D149</f>
        <v>21</v>
      </c>
      <c r="E149" s="8">
        <f>garage!E149</f>
        <v>0</v>
      </c>
      <c r="F149" s="8" t="str">
        <f>garage!F149</f>
        <v>L</v>
      </c>
      <c r="G149" s="8" t="str">
        <f>garage!G149</f>
        <v>O</v>
      </c>
      <c r="H149" s="8" t="str">
        <f>garage!H149</f>
        <v>O</v>
      </c>
      <c r="I149" s="8" t="str">
        <f>garage!I149</f>
        <v>O</v>
      </c>
      <c r="J149" s="8" t="str">
        <f>garage!J149</f>
        <v>N</v>
      </c>
      <c r="K149" s="8" t="str">
        <f>garage!K149</f>
        <v>A</v>
      </c>
      <c r="L149" s="9" t="str">
        <f>garage!L149</f>
        <v>Lamborghini</v>
      </c>
      <c r="M149" s="9" t="str">
        <f>garage!M149</f>
        <v>Aventador J</v>
      </c>
      <c r="O149" s="18">
        <v>50</v>
      </c>
      <c r="P149" s="14">
        <v>23</v>
      </c>
      <c r="Q149" s="14">
        <v>27</v>
      </c>
      <c r="R149" s="14">
        <v>36</v>
      </c>
      <c r="S149" s="14">
        <v>51</v>
      </c>
      <c r="T149" s="15"/>
      <c r="U149" s="60">
        <f t="shared" si="28"/>
        <v>187</v>
      </c>
      <c r="W149" s="30">
        <v>50</v>
      </c>
      <c r="X149" s="31">
        <v>23</v>
      </c>
      <c r="Y149" s="31">
        <v>27</v>
      </c>
      <c r="Z149" s="31">
        <v>36</v>
      </c>
      <c r="AA149" s="31">
        <v>51</v>
      </c>
      <c r="AB149" s="32"/>
      <c r="AC149" s="32">
        <f t="shared" si="29"/>
        <v>187</v>
      </c>
      <c r="AE149" s="36"/>
      <c r="AF149" s="37"/>
      <c r="AG149" s="37"/>
      <c r="AH149" s="37"/>
      <c r="AI149" s="37"/>
      <c r="AJ149" s="38"/>
      <c r="AK149" s="38"/>
    </row>
    <row r="150" spans="2:37" ht="18" customHeight="1" x14ac:dyDescent="0.2">
      <c r="B150" s="10">
        <f>garage!B150</f>
        <v>150</v>
      </c>
      <c r="C150" s="10">
        <f>garage!C150</f>
        <v>4</v>
      </c>
      <c r="D150" s="10">
        <f>garage!D150</f>
        <v>22</v>
      </c>
      <c r="E150" s="10">
        <f>garage!E150</f>
        <v>16</v>
      </c>
      <c r="F150" s="10" t="str">
        <f>garage!F150</f>
        <v>--</v>
      </c>
      <c r="G150" s="10" t="str">
        <f>garage!G150</f>
        <v>O</v>
      </c>
      <c r="H150" s="10" t="str">
        <f>garage!H150</f>
        <v>N</v>
      </c>
      <c r="I150" s="10" t="str">
        <f>garage!I150</f>
        <v>N</v>
      </c>
      <c r="J150" s="10" t="str">
        <f>garage!J150</f>
        <v>N</v>
      </c>
      <c r="K150" s="10" t="str">
        <f>garage!K150</f>
        <v>A</v>
      </c>
      <c r="L150" s="11" t="str">
        <f>garage!L150</f>
        <v>Peugeot</v>
      </c>
      <c r="M150" s="11" t="str">
        <f>garage!M150</f>
        <v>Onyx</v>
      </c>
      <c r="O150" s="19">
        <v>50</v>
      </c>
      <c r="P150" s="16">
        <v>23</v>
      </c>
      <c r="Q150" s="16">
        <v>27</v>
      </c>
      <c r="R150" s="16">
        <v>36</v>
      </c>
      <c r="S150" s="16">
        <v>52</v>
      </c>
      <c r="T150" s="17">
        <v>62</v>
      </c>
      <c r="U150" s="61">
        <f t="shared" si="28"/>
        <v>250</v>
      </c>
      <c r="W150" s="33">
        <v>50</v>
      </c>
      <c r="X150" s="34">
        <v>23</v>
      </c>
      <c r="Y150" s="34">
        <v>27</v>
      </c>
      <c r="Z150" s="34">
        <v>36</v>
      </c>
      <c r="AA150" s="34">
        <v>52</v>
      </c>
      <c r="AB150" s="35">
        <v>18</v>
      </c>
      <c r="AC150" s="35">
        <f t="shared" si="29"/>
        <v>206</v>
      </c>
      <c r="AE150" s="39"/>
      <c r="AF150" s="40"/>
      <c r="AG150" s="40"/>
      <c r="AH150" s="40"/>
      <c r="AI150" s="40"/>
      <c r="AJ150" s="41">
        <f t="shared" ref="AJ150:AJ155" si="32">T150-AB150</f>
        <v>44</v>
      </c>
      <c r="AK150" s="41">
        <f t="shared" ref="AK150:AK155" si="33">SUM(AE150:AJ150)</f>
        <v>44</v>
      </c>
    </row>
    <row r="151" spans="2:37" ht="18" customHeight="1" x14ac:dyDescent="0.2">
      <c r="B151" s="8">
        <f>garage!B151</f>
        <v>151</v>
      </c>
      <c r="C151" s="8">
        <f>garage!C151</f>
        <v>4</v>
      </c>
      <c r="D151" s="8">
        <f>garage!D151</f>
        <v>23</v>
      </c>
      <c r="E151" s="8">
        <f>garage!E151</f>
        <v>22</v>
      </c>
      <c r="F151" s="8" t="str">
        <f>garage!F151</f>
        <v>--</v>
      </c>
      <c r="G151" s="8" t="str">
        <f>garage!G151</f>
        <v>N</v>
      </c>
      <c r="H151" s="8" t="str">
        <f>garage!H151</f>
        <v>N</v>
      </c>
      <c r="I151" s="8" t="str">
        <f>garage!I151</f>
        <v>N</v>
      </c>
      <c r="J151" s="8" t="str">
        <f>garage!J151</f>
        <v>N</v>
      </c>
      <c r="K151" s="8" t="str">
        <f>garage!K151</f>
        <v>A</v>
      </c>
      <c r="L151" s="9" t="str">
        <f>garage!L151</f>
        <v>Pagani</v>
      </c>
      <c r="M151" s="9" t="str">
        <f>garage!M151</f>
        <v>Zonda R</v>
      </c>
      <c r="O151" s="18" t="s">
        <v>115</v>
      </c>
      <c r="P151" s="14">
        <v>28</v>
      </c>
      <c r="Q151" s="14">
        <v>32</v>
      </c>
      <c r="R151" s="14">
        <v>44</v>
      </c>
      <c r="S151" s="14">
        <v>59</v>
      </c>
      <c r="T151" s="15">
        <v>86</v>
      </c>
      <c r="U151" s="60">
        <f t="shared" si="28"/>
        <v>249</v>
      </c>
      <c r="W151" s="30"/>
      <c r="X151" s="31">
        <v>28</v>
      </c>
      <c r="Y151" s="31">
        <v>19</v>
      </c>
      <c r="Z151" s="31"/>
      <c r="AA151" s="31"/>
      <c r="AB151" s="32"/>
      <c r="AC151" s="32">
        <f t="shared" si="29"/>
        <v>47</v>
      </c>
      <c r="AE151" s="36" t="s">
        <v>115</v>
      </c>
      <c r="AF151" s="37"/>
      <c r="AG151" s="37">
        <f>Q151-Y151</f>
        <v>13</v>
      </c>
      <c r="AH151" s="37">
        <f>R151-Z151</f>
        <v>44</v>
      </c>
      <c r="AI151" s="37">
        <f>S151-AA151</f>
        <v>59</v>
      </c>
      <c r="AJ151" s="38">
        <f t="shared" si="32"/>
        <v>86</v>
      </c>
      <c r="AK151" s="38">
        <f t="shared" si="33"/>
        <v>202</v>
      </c>
    </row>
    <row r="152" spans="2:37" ht="18" customHeight="1" x14ac:dyDescent="0.2">
      <c r="B152" s="10">
        <f>garage!B152</f>
        <v>152</v>
      </c>
      <c r="C152" s="10">
        <f>garage!C152</f>
        <v>4</v>
      </c>
      <c r="D152" s="10">
        <f>garage!D152</f>
        <v>24</v>
      </c>
      <c r="E152" s="10">
        <f>garage!E152</f>
        <v>22</v>
      </c>
      <c r="F152" s="10" t="str">
        <f>garage!F152</f>
        <v>--</v>
      </c>
      <c r="G152" s="10" t="str">
        <f>garage!G152</f>
        <v>N</v>
      </c>
      <c r="H152" s="10" t="str">
        <f>garage!H152</f>
        <v>N</v>
      </c>
      <c r="I152" s="10" t="str">
        <f>garage!I152</f>
        <v>N</v>
      </c>
      <c r="J152" s="10" t="str">
        <f>garage!J152</f>
        <v>N</v>
      </c>
      <c r="K152" s="10" t="str">
        <f>garage!K152</f>
        <v>A</v>
      </c>
      <c r="L152" s="11" t="str">
        <f>garage!L152</f>
        <v>Glickhaus</v>
      </c>
      <c r="M152" s="11" t="str">
        <f>garage!M152</f>
        <v>007S</v>
      </c>
      <c r="O152" s="19" t="s">
        <v>115</v>
      </c>
      <c r="P152" s="16">
        <v>28</v>
      </c>
      <c r="Q152" s="16">
        <v>32</v>
      </c>
      <c r="R152" s="16">
        <v>44</v>
      </c>
      <c r="S152" s="16">
        <v>59</v>
      </c>
      <c r="T152" s="17">
        <v>86</v>
      </c>
      <c r="U152" s="61">
        <f t="shared" si="28"/>
        <v>249</v>
      </c>
      <c r="W152" s="33"/>
      <c r="X152" s="34">
        <v>28</v>
      </c>
      <c r="Y152" s="34">
        <v>32</v>
      </c>
      <c r="Z152" s="34">
        <v>38</v>
      </c>
      <c r="AA152" s="34"/>
      <c r="AB152" s="35"/>
      <c r="AC152" s="35">
        <f t="shared" si="29"/>
        <v>98</v>
      </c>
      <c r="AE152" s="39" t="s">
        <v>115</v>
      </c>
      <c r="AF152" s="40"/>
      <c r="AG152" s="40"/>
      <c r="AH152" s="40">
        <f t="shared" ref="AH152:AI155" si="34">R152-Z152</f>
        <v>6</v>
      </c>
      <c r="AI152" s="40">
        <f t="shared" si="34"/>
        <v>59</v>
      </c>
      <c r="AJ152" s="41">
        <f t="shared" si="32"/>
        <v>86</v>
      </c>
      <c r="AK152" s="41">
        <f t="shared" si="33"/>
        <v>151</v>
      </c>
    </row>
    <row r="153" spans="2:37" ht="18" customHeight="1" x14ac:dyDescent="0.2">
      <c r="B153" s="8">
        <f>garage!B153</f>
        <v>153</v>
      </c>
      <c r="C153" s="8">
        <f>garage!C153</f>
        <v>4</v>
      </c>
      <c r="D153" s="8">
        <f>garage!D153</f>
        <v>25</v>
      </c>
      <c r="E153" s="8">
        <f>garage!E153</f>
        <v>16</v>
      </c>
      <c r="F153" s="8" t="str">
        <f>garage!F153</f>
        <v>--</v>
      </c>
      <c r="G153" s="8" t="str">
        <f>garage!G153</f>
        <v>O</v>
      </c>
      <c r="H153" s="8" t="str">
        <f>garage!H153</f>
        <v>N</v>
      </c>
      <c r="I153" s="8" t="str">
        <f>garage!I153</f>
        <v>N</v>
      </c>
      <c r="J153" s="8" t="str">
        <f>garage!J153</f>
        <v>N</v>
      </c>
      <c r="K153" s="8" t="str">
        <f>garage!K153</f>
        <v>A</v>
      </c>
      <c r="L153" s="9" t="str">
        <f>garage!L153</f>
        <v>Citroen</v>
      </c>
      <c r="M153" s="9" t="str">
        <f>garage!M153</f>
        <v>GT by Citroen</v>
      </c>
      <c r="O153" s="18">
        <v>50</v>
      </c>
      <c r="P153" s="14">
        <v>23</v>
      </c>
      <c r="Q153" s="14">
        <v>27</v>
      </c>
      <c r="R153" s="14">
        <v>36</v>
      </c>
      <c r="S153" s="14">
        <v>52</v>
      </c>
      <c r="T153" s="15">
        <v>62</v>
      </c>
      <c r="U153" s="60">
        <f t="shared" si="28"/>
        <v>250</v>
      </c>
      <c r="W153" s="30">
        <v>50</v>
      </c>
      <c r="X153" s="31">
        <v>11</v>
      </c>
      <c r="Y153" s="31"/>
      <c r="Z153" s="31"/>
      <c r="AA153" s="31"/>
      <c r="AB153" s="32"/>
      <c r="AC153" s="32">
        <f t="shared" si="29"/>
        <v>61</v>
      </c>
      <c r="AE153" s="36"/>
      <c r="AF153" s="37">
        <f>P153-X153</f>
        <v>12</v>
      </c>
      <c r="AG153" s="37">
        <f>Q153-Y153</f>
        <v>27</v>
      </c>
      <c r="AH153" s="37">
        <f t="shared" si="34"/>
        <v>36</v>
      </c>
      <c r="AI153" s="37">
        <f t="shared" si="34"/>
        <v>52</v>
      </c>
      <c r="AJ153" s="38">
        <f t="shared" si="32"/>
        <v>62</v>
      </c>
      <c r="AK153" s="38">
        <f t="shared" si="33"/>
        <v>189</v>
      </c>
    </row>
    <row r="154" spans="2:37" ht="18" customHeight="1" x14ac:dyDescent="0.2">
      <c r="B154" s="10">
        <f>garage!B154</f>
        <v>154</v>
      </c>
      <c r="C154" s="10">
        <f>garage!C154</f>
        <v>4</v>
      </c>
      <c r="D154" s="10">
        <f>garage!D154</f>
        <v>26</v>
      </c>
      <c r="E154" s="10">
        <f>garage!E154</f>
        <v>31</v>
      </c>
      <c r="F154" s="10" t="str">
        <f>garage!F154</f>
        <v>--</v>
      </c>
      <c r="G154" s="10" t="str">
        <f>garage!G154</f>
        <v>N</v>
      </c>
      <c r="H154" s="10" t="str">
        <f>garage!H154</f>
        <v>N</v>
      </c>
      <c r="I154" s="10" t="str">
        <f>garage!I154</f>
        <v>N</v>
      </c>
      <c r="J154" s="10" t="str">
        <f>garage!J154</f>
        <v>N</v>
      </c>
      <c r="K154" s="10" t="str">
        <f>garage!K154</f>
        <v>A</v>
      </c>
      <c r="L154" s="11" t="str">
        <f>garage!L154</f>
        <v>Porsche</v>
      </c>
      <c r="M154" s="11" t="str">
        <f>garage!M154</f>
        <v>935 (2019)</v>
      </c>
      <c r="O154" s="19" t="s">
        <v>115</v>
      </c>
      <c r="P154" s="16">
        <v>28</v>
      </c>
      <c r="Q154" s="16">
        <v>32</v>
      </c>
      <c r="R154" s="16">
        <v>44</v>
      </c>
      <c r="S154" s="16">
        <v>59</v>
      </c>
      <c r="T154" s="17">
        <v>86</v>
      </c>
      <c r="U154" s="61">
        <f t="shared" ref="U154" si="35">SUM(O154:T154)</f>
        <v>249</v>
      </c>
      <c r="W154" s="33"/>
      <c r="X154" s="34"/>
      <c r="Y154" s="34"/>
      <c r="Z154" s="34"/>
      <c r="AA154" s="34"/>
      <c r="AB154" s="35"/>
      <c r="AC154" s="35"/>
      <c r="AE154" s="39" t="s">
        <v>115</v>
      </c>
      <c r="AF154" s="40">
        <f>P154-X154</f>
        <v>28</v>
      </c>
      <c r="AG154" s="40">
        <f>Q154-Y154</f>
        <v>32</v>
      </c>
      <c r="AH154" s="40">
        <f t="shared" si="34"/>
        <v>44</v>
      </c>
      <c r="AI154" s="40">
        <f t="shared" si="34"/>
        <v>59</v>
      </c>
      <c r="AJ154" s="41">
        <f t="shared" si="32"/>
        <v>86</v>
      </c>
      <c r="AK154" s="41">
        <f t="shared" si="33"/>
        <v>249</v>
      </c>
    </row>
    <row r="155" spans="2:37" ht="18" customHeight="1" x14ac:dyDescent="0.2">
      <c r="B155" s="8">
        <f>garage!B155</f>
        <v>155</v>
      </c>
      <c r="C155" s="8">
        <f>garage!C155</f>
        <v>4</v>
      </c>
      <c r="D155" s="8">
        <f>garage!D155</f>
        <v>27</v>
      </c>
      <c r="E155" s="8">
        <f>garage!E155</f>
        <v>19</v>
      </c>
      <c r="F155" s="8" t="str">
        <f>garage!F155</f>
        <v>AM</v>
      </c>
      <c r="G155" s="8" t="str">
        <f>garage!G155</f>
        <v>O</v>
      </c>
      <c r="H155" s="8" t="str">
        <f>garage!H155</f>
        <v>N</v>
      </c>
      <c r="I155" s="8" t="str">
        <f>garage!I155</f>
        <v>N</v>
      </c>
      <c r="J155" s="8" t="str">
        <f>garage!J155</f>
        <v>N</v>
      </c>
      <c r="K155" s="8" t="str">
        <f>garage!K155</f>
        <v>A</v>
      </c>
      <c r="L155" s="9" t="str">
        <f>garage!L155</f>
        <v>Aston Martin</v>
      </c>
      <c r="M155" s="9" t="str">
        <f>garage!M155</f>
        <v>Victor</v>
      </c>
      <c r="O155" s="18">
        <v>70</v>
      </c>
      <c r="P155" s="14">
        <v>23</v>
      </c>
      <c r="Q155" s="14">
        <v>27</v>
      </c>
      <c r="R155" s="14">
        <v>36</v>
      </c>
      <c r="S155" s="14">
        <v>52</v>
      </c>
      <c r="T155" s="15">
        <v>59</v>
      </c>
      <c r="U155" s="60">
        <f t="shared" ref="U155:U168" si="36">SUM(O155:T155)</f>
        <v>267</v>
      </c>
      <c r="W155" s="30">
        <v>70</v>
      </c>
      <c r="X155" s="31">
        <v>23</v>
      </c>
      <c r="Y155" s="31">
        <v>27</v>
      </c>
      <c r="Z155" s="31">
        <v>5</v>
      </c>
      <c r="AA155" s="31"/>
      <c r="AB155" s="32"/>
      <c r="AC155" s="32">
        <f t="shared" ref="AC155:AC168" si="37">SUM(W155:AB155)</f>
        <v>125</v>
      </c>
      <c r="AE155" s="36"/>
      <c r="AF155" s="37"/>
      <c r="AG155" s="37"/>
      <c r="AH155" s="37">
        <f t="shared" si="34"/>
        <v>31</v>
      </c>
      <c r="AI155" s="37">
        <f t="shared" si="34"/>
        <v>52</v>
      </c>
      <c r="AJ155" s="38">
        <f t="shared" si="32"/>
        <v>59</v>
      </c>
      <c r="AK155" s="38">
        <f t="shared" si="33"/>
        <v>142</v>
      </c>
    </row>
    <row r="156" spans="2:37" ht="18" customHeight="1" x14ac:dyDescent="0.2">
      <c r="B156" s="10">
        <f>garage!B156</f>
        <v>156</v>
      </c>
      <c r="C156" s="10">
        <f>garage!C156</f>
        <v>4</v>
      </c>
      <c r="D156" s="10">
        <f>garage!D156</f>
        <v>28</v>
      </c>
      <c r="E156" s="10">
        <f>garage!E156</f>
        <v>11</v>
      </c>
      <c r="F156" s="10" t="str">
        <f>garage!F156</f>
        <v>P</v>
      </c>
      <c r="G156" s="10" t="str">
        <f>garage!G156</f>
        <v>O</v>
      </c>
      <c r="H156" s="10" t="str">
        <f>garage!H156</f>
        <v>O</v>
      </c>
      <c r="I156" s="10" t="str">
        <f>garage!I156</f>
        <v>N</v>
      </c>
      <c r="J156" s="10" t="str">
        <f>garage!J156</f>
        <v>N</v>
      </c>
      <c r="K156" s="10" t="str">
        <f>garage!K156</f>
        <v>A</v>
      </c>
      <c r="L156" s="11" t="str">
        <f>garage!L156</f>
        <v>Porsche</v>
      </c>
      <c r="M156" s="11" t="str">
        <f>garage!M156</f>
        <v>911 GT2 RS Clubsport</v>
      </c>
      <c r="O156" s="19" t="s">
        <v>115</v>
      </c>
      <c r="P156" s="16">
        <v>28</v>
      </c>
      <c r="Q156" s="16">
        <v>32</v>
      </c>
      <c r="R156" s="16">
        <v>44</v>
      </c>
      <c r="S156" s="16">
        <v>59</v>
      </c>
      <c r="T156" s="17">
        <v>86</v>
      </c>
      <c r="U156" s="61">
        <f t="shared" si="36"/>
        <v>249</v>
      </c>
      <c r="W156" s="33" t="s">
        <v>115</v>
      </c>
      <c r="X156" s="34">
        <v>28</v>
      </c>
      <c r="Y156" s="34">
        <v>32</v>
      </c>
      <c r="Z156" s="34">
        <v>44</v>
      </c>
      <c r="AA156" s="34">
        <v>59</v>
      </c>
      <c r="AB156" s="35">
        <v>86</v>
      </c>
      <c r="AC156" s="35">
        <f t="shared" si="37"/>
        <v>249</v>
      </c>
      <c r="AE156" s="39"/>
      <c r="AF156" s="40"/>
      <c r="AG156" s="40"/>
      <c r="AH156" s="40"/>
      <c r="AI156" s="40"/>
      <c r="AJ156" s="41"/>
      <c r="AK156" s="41"/>
    </row>
    <row r="157" spans="2:37" ht="18" customHeight="1" x14ac:dyDescent="0.2">
      <c r="B157" s="8">
        <f>garage!B157</f>
        <v>157</v>
      </c>
      <c r="C157" s="8">
        <f>garage!C157</f>
        <v>4</v>
      </c>
      <c r="D157" s="8">
        <f>garage!D157</f>
        <v>29</v>
      </c>
      <c r="E157" s="8">
        <f>garage!E157</f>
        <v>0</v>
      </c>
      <c r="F157" s="8" t="str">
        <f>garage!F157</f>
        <v>--</v>
      </c>
      <c r="G157" s="8" t="str">
        <f>garage!G157</f>
        <v>O</v>
      </c>
      <c r="H157" s="8" t="str">
        <f>garage!H157</f>
        <v>O</v>
      </c>
      <c r="I157" s="8" t="str">
        <f>garage!I157</f>
        <v>O</v>
      </c>
      <c r="J157" s="8" t="str">
        <f>garage!J157</f>
        <v>N</v>
      </c>
      <c r="K157" s="8" t="str">
        <f>garage!K157</f>
        <v>A</v>
      </c>
      <c r="L157" s="9" t="str">
        <f>garage!L157</f>
        <v>Pagani</v>
      </c>
      <c r="M157" s="9" t="str">
        <f>garage!M157</f>
        <v>Huayra BC</v>
      </c>
      <c r="O157" s="18">
        <v>50</v>
      </c>
      <c r="P157" s="14">
        <v>12</v>
      </c>
      <c r="Q157" s="14">
        <v>15</v>
      </c>
      <c r="R157" s="14">
        <v>24</v>
      </c>
      <c r="S157" s="14">
        <v>37</v>
      </c>
      <c r="T157" s="15">
        <v>45</v>
      </c>
      <c r="U157" s="60">
        <f t="shared" si="36"/>
        <v>183</v>
      </c>
      <c r="W157" s="30">
        <v>50</v>
      </c>
      <c r="X157" s="31">
        <v>12</v>
      </c>
      <c r="Y157" s="31">
        <v>15</v>
      </c>
      <c r="Z157" s="31">
        <v>24</v>
      </c>
      <c r="AA157" s="31">
        <v>37</v>
      </c>
      <c r="AB157" s="32">
        <v>45</v>
      </c>
      <c r="AC157" s="32">
        <f t="shared" si="37"/>
        <v>183</v>
      </c>
      <c r="AE157" s="36"/>
      <c r="AF157" s="37"/>
      <c r="AG157" s="37"/>
      <c r="AH157" s="37"/>
      <c r="AI157" s="37"/>
      <c r="AJ157" s="38"/>
      <c r="AK157" s="38"/>
    </row>
    <row r="158" spans="2:37" ht="18" customHeight="1" x14ac:dyDescent="0.2">
      <c r="B158" s="10">
        <f>garage!B158</f>
        <v>158</v>
      </c>
      <c r="C158" s="10">
        <f>garage!C158</f>
        <v>4</v>
      </c>
      <c r="D158" s="10">
        <f>garage!D158</f>
        <v>30</v>
      </c>
      <c r="E158" s="10">
        <f>garage!E158</f>
        <v>28</v>
      </c>
      <c r="F158" s="10" t="str">
        <f>garage!F158</f>
        <v>M</v>
      </c>
      <c r="G158" s="10" t="str">
        <f>garage!G158</f>
        <v>N</v>
      </c>
      <c r="H158" s="10" t="str">
        <f>garage!H158</f>
        <v>N</v>
      </c>
      <c r="I158" s="10" t="str">
        <f>garage!I158</f>
        <v>N</v>
      </c>
      <c r="J158" s="10" t="str">
        <f>garage!J158</f>
        <v>N</v>
      </c>
      <c r="K158" s="10" t="str">
        <f>garage!K158</f>
        <v>A</v>
      </c>
      <c r="L158" s="11" t="str">
        <f>garage!L158</f>
        <v>McLaren</v>
      </c>
      <c r="M158" s="11" t="str">
        <f>garage!M158</f>
        <v>650S GT3</v>
      </c>
      <c r="O158" s="19">
        <v>70</v>
      </c>
      <c r="P158" s="16">
        <v>23</v>
      </c>
      <c r="Q158" s="16">
        <v>27</v>
      </c>
      <c r="R158" s="16">
        <v>36</v>
      </c>
      <c r="S158" s="16">
        <v>52</v>
      </c>
      <c r="T158" s="17">
        <v>59</v>
      </c>
      <c r="U158" s="61">
        <f t="shared" si="36"/>
        <v>267</v>
      </c>
      <c r="W158" s="33">
        <v>10</v>
      </c>
      <c r="X158" s="34"/>
      <c r="Y158" s="34"/>
      <c r="Z158" s="34"/>
      <c r="AA158" s="34"/>
      <c r="AB158" s="35"/>
      <c r="AC158" s="35">
        <f t="shared" si="37"/>
        <v>10</v>
      </c>
      <c r="AE158" s="39">
        <f t="shared" ref="AE158:AJ158" si="38">O158-W158</f>
        <v>60</v>
      </c>
      <c r="AF158" s="40">
        <f t="shared" si="38"/>
        <v>23</v>
      </c>
      <c r="AG158" s="40">
        <f t="shared" si="38"/>
        <v>27</v>
      </c>
      <c r="AH158" s="40">
        <f t="shared" si="38"/>
        <v>36</v>
      </c>
      <c r="AI158" s="40">
        <f t="shared" si="38"/>
        <v>52</v>
      </c>
      <c r="AJ158" s="41">
        <f t="shared" si="38"/>
        <v>59</v>
      </c>
      <c r="AK158" s="41">
        <f>SUM(AE158:AJ158)</f>
        <v>257</v>
      </c>
    </row>
    <row r="159" spans="2:37" ht="18" customHeight="1" x14ac:dyDescent="0.2">
      <c r="B159" s="8">
        <f>garage!B159</f>
        <v>159</v>
      </c>
      <c r="C159" s="8">
        <f>garage!C159</f>
        <v>4</v>
      </c>
      <c r="D159" s="8">
        <f>garage!D159</f>
        <v>31</v>
      </c>
      <c r="E159" s="8">
        <f>garage!E159</f>
        <v>12</v>
      </c>
      <c r="F159" s="8" t="str">
        <f>garage!F159</f>
        <v>L</v>
      </c>
      <c r="G159" s="8" t="str">
        <f>garage!G159</f>
        <v>O</v>
      </c>
      <c r="H159" s="8" t="str">
        <f>garage!H159</f>
        <v>N</v>
      </c>
      <c r="I159" s="8" t="str">
        <f>garage!I159</f>
        <v>N</v>
      </c>
      <c r="J159" s="8" t="str">
        <f>garage!J159</f>
        <v>N</v>
      </c>
      <c r="K159" s="8" t="str">
        <f>garage!K159</f>
        <v>A</v>
      </c>
      <c r="L159" s="9" t="str">
        <f>garage!L159</f>
        <v>Lamborghini</v>
      </c>
      <c r="M159" s="9" t="str">
        <f>garage!M159</f>
        <v>SC18</v>
      </c>
      <c r="O159" s="18" t="s">
        <v>115</v>
      </c>
      <c r="P159" s="14">
        <v>28</v>
      </c>
      <c r="Q159" s="14">
        <v>32</v>
      </c>
      <c r="R159" s="14">
        <v>44</v>
      </c>
      <c r="S159" s="14">
        <v>59</v>
      </c>
      <c r="T159" s="15">
        <v>86</v>
      </c>
      <c r="U159" s="60">
        <f t="shared" si="36"/>
        <v>249</v>
      </c>
      <c r="W159" s="30" t="s">
        <v>115</v>
      </c>
      <c r="X159" s="31">
        <v>28</v>
      </c>
      <c r="Y159" s="31">
        <v>32</v>
      </c>
      <c r="Z159" s="31">
        <v>44</v>
      </c>
      <c r="AA159" s="31">
        <v>17</v>
      </c>
      <c r="AB159" s="32"/>
      <c r="AC159" s="32">
        <f t="shared" si="37"/>
        <v>121</v>
      </c>
      <c r="AE159" s="36" t="s">
        <v>115</v>
      </c>
      <c r="AF159" s="37"/>
      <c r="AG159" s="37"/>
      <c r="AH159" s="37"/>
      <c r="AI159" s="37">
        <f>S159-AA159</f>
        <v>42</v>
      </c>
      <c r="AJ159" s="38">
        <f>T159-AB159</f>
        <v>86</v>
      </c>
      <c r="AK159" s="38">
        <f>SUM(AE159:AJ159)</f>
        <v>128</v>
      </c>
    </row>
    <row r="160" spans="2:37" ht="18" customHeight="1" x14ac:dyDescent="0.2">
      <c r="B160" s="10">
        <f>garage!B160</f>
        <v>160</v>
      </c>
      <c r="C160" s="10">
        <f>garage!C160</f>
        <v>4</v>
      </c>
      <c r="D160" s="10">
        <f>garage!D160</f>
        <v>32</v>
      </c>
      <c r="E160" s="10">
        <f>garage!E160</f>
        <v>6</v>
      </c>
      <c r="F160" s="10" t="str">
        <f>garage!F160</f>
        <v>F</v>
      </c>
      <c r="G160" s="10" t="str">
        <f>garage!G160</f>
        <v>O</v>
      </c>
      <c r="H160" s="10" t="str">
        <f>garage!H160</f>
        <v>O</v>
      </c>
      <c r="I160" s="10" t="str">
        <f>garage!I160</f>
        <v>O</v>
      </c>
      <c r="J160" s="10" t="str">
        <f>garage!J160</f>
        <v>N</v>
      </c>
      <c r="K160" s="10" t="str">
        <f>garage!K160</f>
        <v>A</v>
      </c>
      <c r="L160" s="11" t="str">
        <f>garage!L160</f>
        <v>Ferrari</v>
      </c>
      <c r="M160" s="11" t="str">
        <f>garage!M160</f>
        <v>LaFerrari Aperta</v>
      </c>
      <c r="O160" s="19">
        <v>50</v>
      </c>
      <c r="P160" s="16">
        <v>23</v>
      </c>
      <c r="Q160" s="16">
        <v>27</v>
      </c>
      <c r="R160" s="16">
        <v>36</v>
      </c>
      <c r="S160" s="16">
        <v>52</v>
      </c>
      <c r="T160" s="17">
        <v>62</v>
      </c>
      <c r="U160" s="61">
        <f t="shared" si="36"/>
        <v>250</v>
      </c>
      <c r="W160" s="33">
        <v>50</v>
      </c>
      <c r="X160" s="34">
        <v>23</v>
      </c>
      <c r="Y160" s="34">
        <v>27</v>
      </c>
      <c r="Z160" s="34">
        <v>36</v>
      </c>
      <c r="AA160" s="34">
        <v>52</v>
      </c>
      <c r="AB160" s="35">
        <v>62</v>
      </c>
      <c r="AC160" s="35">
        <f t="shared" si="37"/>
        <v>250</v>
      </c>
      <c r="AE160" s="39"/>
      <c r="AF160" s="40"/>
      <c r="AG160" s="40"/>
      <c r="AH160" s="40"/>
      <c r="AI160" s="40"/>
      <c r="AJ160" s="41"/>
      <c r="AK160" s="41"/>
    </row>
    <row r="161" spans="2:37" ht="18" customHeight="1" x14ac:dyDescent="0.2">
      <c r="B161" s="8">
        <f>garage!B161</f>
        <v>161</v>
      </c>
      <c r="C161" s="8">
        <f>garage!C161</f>
        <v>4</v>
      </c>
      <c r="D161" s="8">
        <f>garage!D161</f>
        <v>33</v>
      </c>
      <c r="E161" s="8">
        <f>garage!E161</f>
        <v>15</v>
      </c>
      <c r="F161" s="8" t="str">
        <f>garage!F161</f>
        <v>F</v>
      </c>
      <c r="G161" s="8" t="str">
        <f>garage!G161</f>
        <v>N</v>
      </c>
      <c r="H161" s="8" t="str">
        <f>garage!H161</f>
        <v>N</v>
      </c>
      <c r="I161" s="8" t="str">
        <f>garage!I161</f>
        <v>N</v>
      </c>
      <c r="J161" s="8" t="str">
        <f>garage!J161</f>
        <v>N</v>
      </c>
      <c r="K161" s="8" t="str">
        <f>garage!K161</f>
        <v>A</v>
      </c>
      <c r="L161" s="9" t="str">
        <f>garage!L161</f>
        <v>Ferrari</v>
      </c>
      <c r="M161" s="9" t="str">
        <f>garage!M161</f>
        <v>F8 Tributo</v>
      </c>
      <c r="O161" s="18">
        <v>50</v>
      </c>
      <c r="P161" s="14">
        <v>23</v>
      </c>
      <c r="Q161" s="14">
        <v>27</v>
      </c>
      <c r="R161" s="14">
        <v>36</v>
      </c>
      <c r="S161" s="14">
        <v>52</v>
      </c>
      <c r="T161" s="15">
        <v>62</v>
      </c>
      <c r="U161" s="60">
        <f t="shared" si="36"/>
        <v>250</v>
      </c>
      <c r="W161" s="30">
        <v>43</v>
      </c>
      <c r="X161" s="31"/>
      <c r="Y161" s="31"/>
      <c r="Z161" s="31"/>
      <c r="AA161" s="31"/>
      <c r="AB161" s="32"/>
      <c r="AC161" s="32">
        <f t="shared" si="37"/>
        <v>43</v>
      </c>
      <c r="AE161" s="36">
        <f t="shared" ref="AE161:AJ161" si="39">O161-W161</f>
        <v>7</v>
      </c>
      <c r="AF161" s="37">
        <f t="shared" si="39"/>
        <v>23</v>
      </c>
      <c r="AG161" s="37">
        <f t="shared" si="39"/>
        <v>27</v>
      </c>
      <c r="AH161" s="37">
        <f t="shared" si="39"/>
        <v>36</v>
      </c>
      <c r="AI161" s="37">
        <f t="shared" si="39"/>
        <v>52</v>
      </c>
      <c r="AJ161" s="38">
        <f t="shared" si="39"/>
        <v>62</v>
      </c>
      <c r="AK161" s="38">
        <f>SUM(AE161:AJ161)</f>
        <v>207</v>
      </c>
    </row>
    <row r="162" spans="2:37" ht="18" customHeight="1" x14ac:dyDescent="0.2">
      <c r="B162" s="10">
        <f>garage!B162</f>
        <v>162</v>
      </c>
      <c r="C162" s="10">
        <f>garage!C162</f>
        <v>4</v>
      </c>
      <c r="D162" s="10">
        <f>garage!D162</f>
        <v>34</v>
      </c>
      <c r="E162" s="10">
        <f>garage!E162</f>
        <v>20</v>
      </c>
      <c r="F162" s="10" t="str">
        <f>garage!F162</f>
        <v>L</v>
      </c>
      <c r="G162" s="10" t="str">
        <f>garage!G162</f>
        <v>N</v>
      </c>
      <c r="H162" s="10" t="str">
        <f>garage!H162</f>
        <v>N</v>
      </c>
      <c r="I162" s="10" t="str">
        <f>garage!I162</f>
        <v>N</v>
      </c>
      <c r="J162" s="10" t="str">
        <f>garage!J162</f>
        <v>N</v>
      </c>
      <c r="K162" s="10" t="str">
        <f>garage!K162</f>
        <v>A</v>
      </c>
      <c r="L162" s="11" t="str">
        <f>garage!L162</f>
        <v>Lamborghini</v>
      </c>
      <c r="M162" s="11" t="str">
        <f>garage!M162</f>
        <v>SC20</v>
      </c>
      <c r="O162" s="19" t="s">
        <v>115</v>
      </c>
      <c r="P162" s="16">
        <v>28</v>
      </c>
      <c r="Q162" s="16">
        <v>32</v>
      </c>
      <c r="R162" s="16">
        <v>44</v>
      </c>
      <c r="S162" s="16">
        <v>59</v>
      </c>
      <c r="T162" s="17">
        <v>86</v>
      </c>
      <c r="U162" s="61">
        <f t="shared" si="36"/>
        <v>249</v>
      </c>
      <c r="W162" s="33"/>
      <c r="X162" s="34">
        <v>28</v>
      </c>
      <c r="Y162" s="34">
        <v>32</v>
      </c>
      <c r="Z162" s="34">
        <v>20</v>
      </c>
      <c r="AA162" s="34"/>
      <c r="AB162" s="35"/>
      <c r="AC162" s="35">
        <f t="shared" si="37"/>
        <v>80</v>
      </c>
      <c r="AE162" s="39" t="s">
        <v>115</v>
      </c>
      <c r="AF162" s="40"/>
      <c r="AG162" s="40"/>
      <c r="AH162" s="40">
        <f>R162-Z162</f>
        <v>24</v>
      </c>
      <c r="AI162" s="40">
        <f>S162-AA162</f>
        <v>59</v>
      </c>
      <c r="AJ162" s="41">
        <f>T162-AB162</f>
        <v>86</v>
      </c>
      <c r="AK162" s="41">
        <f>SUM(AE162:AJ162)</f>
        <v>169</v>
      </c>
    </row>
    <row r="163" spans="2:37" ht="18" customHeight="1" x14ac:dyDescent="0.2">
      <c r="B163" s="8">
        <f>garage!B163</f>
        <v>163</v>
      </c>
      <c r="C163" s="8">
        <f>garage!C163</f>
        <v>4</v>
      </c>
      <c r="D163" s="8">
        <f>garage!D163</f>
        <v>35</v>
      </c>
      <c r="E163" s="8">
        <f>garage!E163</f>
        <v>0</v>
      </c>
      <c r="F163" s="8" t="str">
        <f>garage!F163</f>
        <v>--</v>
      </c>
      <c r="G163" s="8" t="str">
        <f>garage!G163</f>
        <v>O</v>
      </c>
      <c r="H163" s="8" t="str">
        <f>garage!H163</f>
        <v>O</v>
      </c>
      <c r="I163" s="8" t="str">
        <f>garage!I163</f>
        <v>O</v>
      </c>
      <c r="J163" s="8" t="str">
        <f>garage!J163</f>
        <v>N</v>
      </c>
      <c r="K163" s="8" t="str">
        <f>garage!K163</f>
        <v>A</v>
      </c>
      <c r="L163" s="9" t="str">
        <f>garage!L163</f>
        <v>Genty</v>
      </c>
      <c r="M163" s="9" t="str">
        <f>garage!M163</f>
        <v>Akylone</v>
      </c>
      <c r="O163" s="18">
        <v>50</v>
      </c>
      <c r="P163" s="14">
        <v>23</v>
      </c>
      <c r="Q163" s="14">
        <v>27</v>
      </c>
      <c r="R163" s="14">
        <v>36</v>
      </c>
      <c r="S163" s="14">
        <v>52</v>
      </c>
      <c r="T163" s="15">
        <v>62</v>
      </c>
      <c r="U163" s="60">
        <f t="shared" si="36"/>
        <v>250</v>
      </c>
      <c r="W163" s="30">
        <v>50</v>
      </c>
      <c r="X163" s="31">
        <v>23</v>
      </c>
      <c r="Y163" s="31">
        <v>27</v>
      </c>
      <c r="Z163" s="31">
        <v>36</v>
      </c>
      <c r="AA163" s="31">
        <v>52</v>
      </c>
      <c r="AB163" s="32">
        <v>62</v>
      </c>
      <c r="AC163" s="32">
        <f t="shared" si="37"/>
        <v>250</v>
      </c>
      <c r="AE163" s="36"/>
      <c r="AF163" s="37"/>
      <c r="AG163" s="37"/>
      <c r="AH163" s="37"/>
      <c r="AI163" s="37"/>
      <c r="AJ163" s="38"/>
      <c r="AK163" s="38"/>
    </row>
    <row r="164" spans="2:37" ht="18" customHeight="1" x14ac:dyDescent="0.2">
      <c r="B164" s="10">
        <f>garage!B164</f>
        <v>164</v>
      </c>
      <c r="C164" s="10">
        <f>garage!C164</f>
        <v>4</v>
      </c>
      <c r="D164" s="10">
        <f>garage!D164</f>
        <v>36</v>
      </c>
      <c r="E164" s="10">
        <f>garage!E164</f>
        <v>0</v>
      </c>
      <c r="F164" s="10" t="str">
        <f>garage!F164</f>
        <v>--</v>
      </c>
      <c r="G164" s="10" t="str">
        <f>garage!G164</f>
        <v>O</v>
      </c>
      <c r="H164" s="10" t="str">
        <f>garage!H164</f>
        <v>N</v>
      </c>
      <c r="I164" s="10" t="str">
        <f>garage!I164</f>
        <v>N</v>
      </c>
      <c r="J164" s="10" t="str">
        <f>garage!J164</f>
        <v>N</v>
      </c>
      <c r="K164" s="10" t="str">
        <f>garage!K164</f>
        <v>A</v>
      </c>
      <c r="L164" s="11" t="str">
        <f>garage!L164</f>
        <v>Techrules</v>
      </c>
      <c r="M164" s="11" t="str">
        <f>garage!M164</f>
        <v>AT96 track version</v>
      </c>
      <c r="O164" s="19" t="s">
        <v>115</v>
      </c>
      <c r="P164" s="16">
        <v>30</v>
      </c>
      <c r="Q164" s="16">
        <v>40</v>
      </c>
      <c r="R164" s="16">
        <v>50</v>
      </c>
      <c r="S164" s="16">
        <v>65</v>
      </c>
      <c r="T164" s="17">
        <v>80</v>
      </c>
      <c r="U164" s="61">
        <f t="shared" si="36"/>
        <v>265</v>
      </c>
      <c r="W164" s="33" t="s">
        <v>115</v>
      </c>
      <c r="X164" s="34">
        <v>30</v>
      </c>
      <c r="Y164" s="34">
        <v>40</v>
      </c>
      <c r="Z164" s="34">
        <v>33</v>
      </c>
      <c r="AA164" s="34"/>
      <c r="AB164" s="35"/>
      <c r="AC164" s="35">
        <f t="shared" si="37"/>
        <v>103</v>
      </c>
      <c r="AE164" s="39" t="s">
        <v>115</v>
      </c>
      <c r="AF164" s="40"/>
      <c r="AG164" s="40"/>
      <c r="AH164" s="40">
        <f t="shared" ref="AH164:AJ166" si="40">R164-Z164</f>
        <v>17</v>
      </c>
      <c r="AI164" s="40">
        <f t="shared" si="40"/>
        <v>65</v>
      </c>
      <c r="AJ164" s="41">
        <f t="shared" si="40"/>
        <v>80</v>
      </c>
      <c r="AK164" s="41">
        <f>SUM(AE164:AJ164)</f>
        <v>162</v>
      </c>
    </row>
    <row r="165" spans="2:37" ht="18" customHeight="1" x14ac:dyDescent="0.2">
      <c r="B165" s="10">
        <f>garage!B165</f>
        <v>165</v>
      </c>
      <c r="C165" s="10">
        <f>garage!C165</f>
        <v>4</v>
      </c>
      <c r="D165" s="10">
        <f>garage!D165</f>
        <v>37</v>
      </c>
      <c r="E165" s="10">
        <f>garage!E165</f>
        <v>32</v>
      </c>
      <c r="F165" s="10" t="str">
        <f>garage!F165</f>
        <v>--</v>
      </c>
      <c r="G165" s="10" t="str">
        <f>garage!G165</f>
        <v>N</v>
      </c>
      <c r="H165" s="10" t="str">
        <f>garage!H165</f>
        <v>N</v>
      </c>
      <c r="I165" s="10" t="str">
        <f>garage!I165</f>
        <v>N</v>
      </c>
      <c r="J165" s="10" t="str">
        <f>garage!J165</f>
        <v>N</v>
      </c>
      <c r="K165" s="10" t="str">
        <f>garage!K165</f>
        <v>A</v>
      </c>
      <c r="L165" s="11" t="str">
        <f>garage!L165</f>
        <v>Noble</v>
      </c>
      <c r="M165" s="11" t="str">
        <f>garage!M165</f>
        <v>M600 Speedster</v>
      </c>
      <c r="O165" s="19">
        <v>70</v>
      </c>
      <c r="P165" s="16">
        <v>23</v>
      </c>
      <c r="Q165" s="16">
        <v>27</v>
      </c>
      <c r="R165" s="16">
        <v>36</v>
      </c>
      <c r="S165" s="16">
        <v>52</v>
      </c>
      <c r="T165" s="17">
        <v>59</v>
      </c>
      <c r="U165" s="61"/>
      <c r="W165" s="33"/>
      <c r="X165" s="34"/>
      <c r="Y165" s="34"/>
      <c r="Z165" s="34"/>
      <c r="AA165" s="34"/>
      <c r="AB165" s="35"/>
      <c r="AC165" s="35"/>
      <c r="AE165" s="39"/>
      <c r="AF165" s="40"/>
      <c r="AG165" s="40"/>
      <c r="AH165" s="40"/>
      <c r="AI165" s="40"/>
      <c r="AJ165" s="41"/>
      <c r="AK165" s="41"/>
    </row>
    <row r="166" spans="2:37" ht="18" customHeight="1" x14ac:dyDescent="0.2">
      <c r="B166" s="8">
        <f>garage!B166</f>
        <v>166</v>
      </c>
      <c r="C166" s="8">
        <f>garage!C166</f>
        <v>4</v>
      </c>
      <c r="D166" s="8">
        <f>garage!D166</f>
        <v>38</v>
      </c>
      <c r="E166" s="8">
        <f>garage!E166</f>
        <v>21</v>
      </c>
      <c r="F166" s="8" t="str">
        <f>garage!F166</f>
        <v>--</v>
      </c>
      <c r="G166" s="8" t="str">
        <f>garage!G166</f>
        <v>O</v>
      </c>
      <c r="H166" s="8" t="str">
        <f>garage!H166</f>
        <v>N</v>
      </c>
      <c r="I166" s="8" t="str">
        <f>garage!I166</f>
        <v>N</v>
      </c>
      <c r="J166" s="8" t="str">
        <f>garage!J166</f>
        <v>N</v>
      </c>
      <c r="K166" s="8" t="str">
        <f>garage!K166</f>
        <v>A</v>
      </c>
      <c r="L166" s="9" t="str">
        <f>garage!L166</f>
        <v>Rimac</v>
      </c>
      <c r="M166" s="9" t="str">
        <f>garage!M166</f>
        <v>Concept_One</v>
      </c>
      <c r="O166" s="18">
        <v>70</v>
      </c>
      <c r="P166" s="14">
        <v>23</v>
      </c>
      <c r="Q166" s="14">
        <v>27</v>
      </c>
      <c r="R166" s="14">
        <v>36</v>
      </c>
      <c r="S166" s="14">
        <v>52</v>
      </c>
      <c r="T166" s="15">
        <v>59</v>
      </c>
      <c r="U166" s="60">
        <f t="shared" si="36"/>
        <v>267</v>
      </c>
      <c r="W166" s="30">
        <v>70</v>
      </c>
      <c r="X166" s="31">
        <v>5</v>
      </c>
      <c r="Y166" s="31"/>
      <c r="Z166" s="31"/>
      <c r="AA166" s="31"/>
      <c r="AB166" s="32"/>
      <c r="AC166" s="32">
        <f t="shared" si="37"/>
        <v>75</v>
      </c>
      <c r="AE166" s="36"/>
      <c r="AF166" s="37">
        <f>P166-X166</f>
        <v>18</v>
      </c>
      <c r="AG166" s="37">
        <f>Q166-Y166</f>
        <v>27</v>
      </c>
      <c r="AH166" s="37">
        <f t="shared" si="40"/>
        <v>36</v>
      </c>
      <c r="AI166" s="37">
        <f t="shared" si="40"/>
        <v>52</v>
      </c>
      <c r="AJ166" s="38">
        <f t="shared" si="40"/>
        <v>59</v>
      </c>
      <c r="AK166" s="38">
        <f>SUM(AE166:AJ166)</f>
        <v>192</v>
      </c>
    </row>
    <row r="167" spans="2:37" ht="18" customHeight="1" x14ac:dyDescent="0.2">
      <c r="B167" s="10">
        <f>garage!B167</f>
        <v>167</v>
      </c>
      <c r="C167" s="10">
        <f>garage!C167</f>
        <v>4</v>
      </c>
      <c r="D167" s="10">
        <f>garage!D167</f>
        <v>39</v>
      </c>
      <c r="E167" s="10">
        <f>garage!E167</f>
        <v>14</v>
      </c>
      <c r="F167" s="10" t="str">
        <f>garage!F167</f>
        <v>AM</v>
      </c>
      <c r="G167" s="10" t="str">
        <f>garage!G167</f>
        <v>O</v>
      </c>
      <c r="H167" s="10" t="str">
        <f>garage!H167</f>
        <v>O</v>
      </c>
      <c r="I167" s="10" t="str">
        <f>garage!I167</f>
        <v>N</v>
      </c>
      <c r="J167" s="10" t="str">
        <f>garage!J167</f>
        <v>N</v>
      </c>
      <c r="K167" s="10" t="str">
        <f>garage!K167</f>
        <v>A</v>
      </c>
      <c r="L167" s="11" t="str">
        <f>garage!L167</f>
        <v>Aston Martin</v>
      </c>
      <c r="M167" s="11" t="str">
        <f>garage!M167</f>
        <v>Valhalla Concept Car</v>
      </c>
      <c r="O167" s="19">
        <v>50</v>
      </c>
      <c r="P167" s="16">
        <v>23</v>
      </c>
      <c r="Q167" s="16">
        <v>27</v>
      </c>
      <c r="R167" s="16">
        <v>36</v>
      </c>
      <c r="S167" s="16">
        <v>52</v>
      </c>
      <c r="T167" s="17">
        <v>77</v>
      </c>
      <c r="U167" s="61">
        <f t="shared" si="36"/>
        <v>265</v>
      </c>
      <c r="W167" s="33">
        <v>50</v>
      </c>
      <c r="X167" s="34">
        <v>23</v>
      </c>
      <c r="Y167" s="34">
        <v>27</v>
      </c>
      <c r="Z167" s="34">
        <v>36</v>
      </c>
      <c r="AA167" s="34">
        <v>52</v>
      </c>
      <c r="AB167" s="35">
        <v>77</v>
      </c>
      <c r="AC167" s="35">
        <f t="shared" si="37"/>
        <v>265</v>
      </c>
      <c r="AE167" s="39"/>
      <c r="AF167" s="40"/>
      <c r="AG167" s="40"/>
      <c r="AH167" s="40"/>
      <c r="AI167" s="40"/>
      <c r="AJ167" s="41"/>
      <c r="AK167" s="41"/>
    </row>
    <row r="168" spans="2:37" ht="18" customHeight="1" x14ac:dyDescent="0.2">
      <c r="B168" s="8">
        <f>garage!B168</f>
        <v>168</v>
      </c>
      <c r="C168" s="8">
        <f>garage!C168</f>
        <v>4</v>
      </c>
      <c r="D168" s="8">
        <f>garage!D168</f>
        <v>40</v>
      </c>
      <c r="E168" s="8">
        <f>garage!E168</f>
        <v>18</v>
      </c>
      <c r="F168" s="8" t="str">
        <f>garage!F168</f>
        <v>--</v>
      </c>
      <c r="G168" s="8" t="str">
        <f>garage!G168</f>
        <v>O</v>
      </c>
      <c r="H168" s="8" t="str">
        <f>garage!H168</f>
        <v>N</v>
      </c>
      <c r="I168" s="8" t="str">
        <f>garage!I168</f>
        <v>N</v>
      </c>
      <c r="J168" s="8" t="str">
        <f>garage!J168</f>
        <v>N</v>
      </c>
      <c r="K168" s="8" t="str">
        <f>garage!K168</f>
        <v>A</v>
      </c>
      <c r="L168" s="9" t="str">
        <f>garage!L168</f>
        <v>Pagani</v>
      </c>
      <c r="M168" s="9" t="str">
        <f>garage!M168</f>
        <v>Imola</v>
      </c>
      <c r="O168" s="18">
        <v>70</v>
      </c>
      <c r="P168" s="14">
        <v>23</v>
      </c>
      <c r="Q168" s="14">
        <v>27</v>
      </c>
      <c r="R168" s="14">
        <v>36</v>
      </c>
      <c r="S168" s="14">
        <v>52</v>
      </c>
      <c r="T168" s="15">
        <v>59</v>
      </c>
      <c r="U168" s="60">
        <f t="shared" si="36"/>
        <v>267</v>
      </c>
      <c r="W168" s="30">
        <v>70</v>
      </c>
      <c r="X168" s="31"/>
      <c r="Y168" s="31"/>
      <c r="Z168" s="31"/>
      <c r="AA168" s="31"/>
      <c r="AB168" s="32"/>
      <c r="AC168" s="32">
        <f t="shared" si="37"/>
        <v>70</v>
      </c>
      <c r="AE168" s="36"/>
      <c r="AF168" s="37">
        <f t="shared" ref="AF168:AJ169" si="41">P168-X168</f>
        <v>23</v>
      </c>
      <c r="AG168" s="37">
        <f t="shared" si="41"/>
        <v>27</v>
      </c>
      <c r="AH168" s="37">
        <f t="shared" si="41"/>
        <v>36</v>
      </c>
      <c r="AI168" s="37">
        <f t="shared" si="41"/>
        <v>52</v>
      </c>
      <c r="AJ168" s="38">
        <f t="shared" si="41"/>
        <v>59</v>
      </c>
      <c r="AK168" s="38">
        <f>SUM(AE168:AJ168)</f>
        <v>197</v>
      </c>
    </row>
    <row r="169" spans="2:37" ht="18" customHeight="1" x14ac:dyDescent="0.2">
      <c r="B169" s="10">
        <f>garage!B169</f>
        <v>169</v>
      </c>
      <c r="C169" s="10">
        <f>garage!C169</f>
        <v>4</v>
      </c>
      <c r="D169" s="10">
        <f>garage!D169</f>
        <v>41</v>
      </c>
      <c r="E169" s="10">
        <f>garage!E169</f>
        <v>30</v>
      </c>
      <c r="F169" s="10" t="str">
        <f>garage!F169</f>
        <v>--</v>
      </c>
      <c r="G169" s="10" t="str">
        <f>garage!G169</f>
        <v>N</v>
      </c>
      <c r="H169" s="10" t="str">
        <f>garage!H169</f>
        <v>N</v>
      </c>
      <c r="I169" s="10" t="str">
        <f>garage!I169</f>
        <v>N</v>
      </c>
      <c r="J169" s="10" t="str">
        <f>garage!J169</f>
        <v>N</v>
      </c>
      <c r="K169" s="10" t="str">
        <f>garage!K169</f>
        <v>A</v>
      </c>
      <c r="L169" s="11" t="str">
        <f>garage!L169</f>
        <v>Jaguar</v>
      </c>
      <c r="M169" s="11" t="str">
        <f>garage!M169</f>
        <v>XJR-9</v>
      </c>
      <c r="O169" s="19" t="s">
        <v>115</v>
      </c>
      <c r="P169" s="16">
        <v>30</v>
      </c>
      <c r="Q169" s="16">
        <v>40</v>
      </c>
      <c r="R169" s="16">
        <v>50</v>
      </c>
      <c r="S169" s="16">
        <v>65</v>
      </c>
      <c r="T169" s="17">
        <v>80</v>
      </c>
      <c r="U169" s="61">
        <f>SUM(O169:T169)</f>
        <v>265</v>
      </c>
      <c r="W169" s="33"/>
      <c r="X169" s="34">
        <v>1</v>
      </c>
      <c r="Y169" s="34">
        <v>0</v>
      </c>
      <c r="Z169" s="34">
        <v>0</v>
      </c>
      <c r="AA169" s="34">
        <v>0</v>
      </c>
      <c r="AB169" s="35">
        <v>0</v>
      </c>
      <c r="AC169" s="35"/>
      <c r="AE169" s="39" t="s">
        <v>115</v>
      </c>
      <c r="AF169" s="40">
        <f t="shared" si="41"/>
        <v>29</v>
      </c>
      <c r="AG169" s="40">
        <f t="shared" si="41"/>
        <v>40</v>
      </c>
      <c r="AH169" s="40">
        <f t="shared" si="41"/>
        <v>50</v>
      </c>
      <c r="AI169" s="40">
        <f t="shared" si="41"/>
        <v>65</v>
      </c>
      <c r="AJ169" s="41">
        <f t="shared" si="41"/>
        <v>80</v>
      </c>
      <c r="AK169" s="41">
        <f>SUM(AE169:AJ169)</f>
        <v>264</v>
      </c>
    </row>
    <row r="170" spans="2:37" ht="18" customHeight="1" x14ac:dyDescent="0.2">
      <c r="B170" s="8">
        <f>garage!B170</f>
        <v>170</v>
      </c>
      <c r="C170" s="8">
        <f>garage!C170</f>
        <v>4</v>
      </c>
      <c r="D170" s="8">
        <f>garage!D170</f>
        <v>42</v>
      </c>
      <c r="E170" s="8">
        <f>garage!E170</f>
        <v>25</v>
      </c>
      <c r="F170" s="8" t="str">
        <f>garage!F170</f>
        <v>L</v>
      </c>
      <c r="G170" s="8" t="str">
        <f>garage!G170</f>
        <v>N</v>
      </c>
      <c r="H170" s="8" t="str">
        <f>garage!H170</f>
        <v>N</v>
      </c>
      <c r="I170" s="8" t="str">
        <f>garage!I170</f>
        <v>N</v>
      </c>
      <c r="J170" s="8" t="str">
        <f>garage!J170</f>
        <v>N</v>
      </c>
      <c r="K170" s="8" t="str">
        <f>garage!K170</f>
        <v>A</v>
      </c>
      <c r="L170" s="9" t="str">
        <f>garage!L170</f>
        <v>Lamborghini</v>
      </c>
      <c r="M170" s="9" t="str">
        <f>garage!M170</f>
        <v>Countach LPI 800-4</v>
      </c>
      <c r="O170" s="18" t="s">
        <v>115</v>
      </c>
      <c r="P170" s="14">
        <v>30</v>
      </c>
      <c r="Q170" s="14">
        <v>40</v>
      </c>
      <c r="R170" s="14">
        <v>50</v>
      </c>
      <c r="S170" s="14">
        <v>65</v>
      </c>
      <c r="T170" s="15">
        <v>80</v>
      </c>
      <c r="U170" s="60">
        <f>SUM(O170:T170)</f>
        <v>265</v>
      </c>
      <c r="W170" s="30"/>
      <c r="X170" s="31">
        <v>30</v>
      </c>
      <c r="Y170" s="31">
        <v>9</v>
      </c>
      <c r="Z170" s="31">
        <v>0</v>
      </c>
      <c r="AA170" s="31">
        <v>0</v>
      </c>
      <c r="AB170" s="32">
        <v>0</v>
      </c>
      <c r="AC170" s="32">
        <f>SUM(W170:AB170)</f>
        <v>39</v>
      </c>
      <c r="AE170" s="36" t="s">
        <v>115</v>
      </c>
      <c r="AF170" s="37"/>
      <c r="AG170" s="37">
        <f>Q170-Y170</f>
        <v>31</v>
      </c>
      <c r="AH170" s="37">
        <f>R170-Z170</f>
        <v>50</v>
      </c>
      <c r="AI170" s="37">
        <f>S170-AA170</f>
        <v>65</v>
      </c>
      <c r="AJ170" s="38">
        <f>T170-AB170</f>
        <v>80</v>
      </c>
      <c r="AK170" s="38">
        <f>SUM(AE170:AJ170)</f>
        <v>226</v>
      </c>
    </row>
    <row r="171" spans="2:37" ht="18" customHeight="1" x14ac:dyDescent="0.2">
      <c r="B171" s="10">
        <f>garage!B171</f>
        <v>171</v>
      </c>
      <c r="C171" s="10">
        <f>garage!C171</f>
        <v>4</v>
      </c>
      <c r="D171" s="10">
        <f>garage!D171</f>
        <v>43</v>
      </c>
      <c r="E171" s="10">
        <f>garage!E171</f>
        <v>31</v>
      </c>
      <c r="F171" s="10" t="str">
        <f>garage!F171</f>
        <v>--</v>
      </c>
      <c r="G171" s="10" t="str">
        <f>garage!G171</f>
        <v>N</v>
      </c>
      <c r="H171" s="10" t="str">
        <f>garage!H171</f>
        <v>N</v>
      </c>
      <c r="I171" s="10" t="str">
        <f>garage!I171</f>
        <v>N</v>
      </c>
      <c r="J171" s="10" t="str">
        <f>garage!J171</f>
        <v>N</v>
      </c>
      <c r="K171" s="10" t="str">
        <f>garage!K171</f>
        <v>A</v>
      </c>
      <c r="L171" s="11" t="str">
        <f>garage!L171</f>
        <v>De Tomaso</v>
      </c>
      <c r="M171" s="11" t="str">
        <f>garage!M171</f>
        <v>P72</v>
      </c>
      <c r="O171" s="19" t="s">
        <v>115</v>
      </c>
      <c r="P171" s="16">
        <v>30</v>
      </c>
      <c r="Q171" s="16">
        <v>40</v>
      </c>
      <c r="R171" s="16">
        <v>50</v>
      </c>
      <c r="S171" s="16">
        <v>65</v>
      </c>
      <c r="T171" s="17">
        <v>80</v>
      </c>
      <c r="U171" s="61">
        <f>SUM(O171:T171)</f>
        <v>265</v>
      </c>
      <c r="W171" s="33"/>
      <c r="X171" s="34"/>
      <c r="Y171" s="34"/>
      <c r="Z171" s="34"/>
      <c r="AA171" s="34"/>
      <c r="AB171" s="35"/>
      <c r="AC171" s="35"/>
      <c r="AE171" s="39" t="s">
        <v>115</v>
      </c>
      <c r="AF171" s="40">
        <f t="shared" ref="AF171" si="42">P171-X171</f>
        <v>30</v>
      </c>
      <c r="AG171" s="40">
        <f t="shared" ref="AG171" si="43">Q171-Y171</f>
        <v>40</v>
      </c>
      <c r="AH171" s="40">
        <f t="shared" ref="AH171" si="44">R171-Z171</f>
        <v>50</v>
      </c>
      <c r="AI171" s="40">
        <f t="shared" ref="AI171" si="45">S171-AA171</f>
        <v>65</v>
      </c>
      <c r="AJ171" s="41">
        <f t="shared" ref="AJ171" si="46">T171-AB171</f>
        <v>80</v>
      </c>
      <c r="AK171" s="41">
        <f>SUM(AE171:AJ171)</f>
        <v>265</v>
      </c>
    </row>
    <row r="172" spans="2:37" ht="18" customHeight="1" x14ac:dyDescent="0.2">
      <c r="B172" s="8">
        <f>garage!B172</f>
        <v>172</v>
      </c>
      <c r="C172" s="8">
        <f>garage!C172</f>
        <v>4</v>
      </c>
      <c r="D172" s="8">
        <f>garage!D172</f>
        <v>99</v>
      </c>
      <c r="E172" s="8">
        <f>garage!E172</f>
        <v>20</v>
      </c>
      <c r="F172" s="8" t="str">
        <f>garage!F172</f>
        <v>--</v>
      </c>
      <c r="G172" s="8" t="str">
        <f>garage!G172</f>
        <v>N</v>
      </c>
      <c r="H172" s="8" t="str">
        <f>garage!H172</f>
        <v>N</v>
      </c>
      <c r="I172" s="8" t="str">
        <f>garage!I172</f>
        <v>N</v>
      </c>
      <c r="J172" s="8" t="str">
        <f>garage!J172</f>
        <v>N</v>
      </c>
      <c r="K172" s="8" t="str">
        <f>garage!K172</f>
        <v>A</v>
      </c>
      <c r="L172" s="9" t="str">
        <f>garage!L172</f>
        <v>Lego Technic McLaren</v>
      </c>
      <c r="M172" s="9" t="str">
        <f>garage!M172</f>
        <v>Senna GTR</v>
      </c>
      <c r="O172" s="18"/>
      <c r="P172" s="14"/>
      <c r="Q172" s="14"/>
      <c r="R172" s="14"/>
      <c r="S172" s="14"/>
      <c r="T172" s="15"/>
      <c r="U172" s="60">
        <f t="shared" ref="U172:U203" si="47">SUM(O172:T172)</f>
        <v>0</v>
      </c>
      <c r="W172" s="30"/>
      <c r="X172" s="31"/>
      <c r="Y172" s="31"/>
      <c r="Z172" s="31"/>
      <c r="AA172" s="31"/>
      <c r="AB172" s="32"/>
      <c r="AC172" s="32">
        <f t="shared" ref="AC172:AC203" si="48">SUM(W172:AB172)</f>
        <v>0</v>
      </c>
      <c r="AE172" s="36"/>
      <c r="AF172" s="37"/>
      <c r="AG172" s="37"/>
      <c r="AH172" s="37"/>
      <c r="AI172" s="37"/>
      <c r="AJ172" s="38"/>
      <c r="AK172" s="38">
        <f>SUM(AE172:AJ172)</f>
        <v>0</v>
      </c>
    </row>
    <row r="173" spans="2:37" ht="18" customHeight="1" x14ac:dyDescent="0.2">
      <c r="B173" s="10">
        <f>garage!B173</f>
        <v>173</v>
      </c>
      <c r="C173" s="10">
        <f>garage!C173</f>
        <v>5</v>
      </c>
      <c r="D173" s="10">
        <f>garage!D173</f>
        <v>1</v>
      </c>
      <c r="E173" s="10">
        <f>garage!E173</f>
        <v>0</v>
      </c>
      <c r="F173" s="10" t="str">
        <f>garage!F173</f>
        <v>L</v>
      </c>
      <c r="G173" s="10" t="str">
        <f>garage!G173</f>
        <v>O</v>
      </c>
      <c r="H173" s="10" t="str">
        <f>garage!H173</f>
        <v>O</v>
      </c>
      <c r="I173" s="10" t="str">
        <f>garage!I173</f>
        <v>O</v>
      </c>
      <c r="J173" s="10" t="str">
        <f>garage!J173</f>
        <v>N</v>
      </c>
      <c r="K173" s="10" t="str">
        <f>garage!K173</f>
        <v>S</v>
      </c>
      <c r="L173" s="11" t="str">
        <f>garage!L173</f>
        <v>Lamborghini</v>
      </c>
      <c r="M173" s="11" t="str">
        <f>garage!M173</f>
        <v>Centenario</v>
      </c>
      <c r="O173" s="19">
        <v>40</v>
      </c>
      <c r="P173" s="16">
        <v>13</v>
      </c>
      <c r="Q173" s="16">
        <v>16</v>
      </c>
      <c r="R173" s="16">
        <v>25</v>
      </c>
      <c r="S173" s="16">
        <v>39</v>
      </c>
      <c r="T173" s="17"/>
      <c r="U173" s="61">
        <f t="shared" si="47"/>
        <v>133</v>
      </c>
      <c r="W173" s="33">
        <v>40</v>
      </c>
      <c r="X173" s="34">
        <v>13</v>
      </c>
      <c r="Y173" s="34">
        <v>16</v>
      </c>
      <c r="Z173" s="34">
        <v>25</v>
      </c>
      <c r="AA173" s="34">
        <v>39</v>
      </c>
      <c r="AB173" s="35"/>
      <c r="AC173" s="35">
        <f t="shared" si="48"/>
        <v>133</v>
      </c>
      <c r="AE173" s="39"/>
      <c r="AF173" s="40"/>
      <c r="AG173" s="40"/>
      <c r="AH173" s="40"/>
      <c r="AI173" s="40"/>
      <c r="AJ173" s="41"/>
      <c r="AK173" s="41"/>
    </row>
    <row r="174" spans="2:37" ht="18" customHeight="1" x14ac:dyDescent="0.2">
      <c r="B174" s="8">
        <f>garage!B174</f>
        <v>174</v>
      </c>
      <c r="C174" s="8">
        <f>garage!C174</f>
        <v>5</v>
      </c>
      <c r="D174" s="8">
        <f>garage!D174</f>
        <v>2</v>
      </c>
      <c r="E174" s="8">
        <f>garage!E174</f>
        <v>0</v>
      </c>
      <c r="F174" s="8" t="str">
        <f>garage!F174</f>
        <v>F</v>
      </c>
      <c r="G174" s="8" t="str">
        <f>garage!G174</f>
        <v>O</v>
      </c>
      <c r="H174" s="8" t="str">
        <f>garage!H174</f>
        <v>O</v>
      </c>
      <c r="I174" s="8" t="str">
        <f>garage!I174</f>
        <v>O</v>
      </c>
      <c r="J174" s="8" t="str">
        <f>garage!J174</f>
        <v>N</v>
      </c>
      <c r="K174" s="8" t="str">
        <f>garage!K174</f>
        <v>S</v>
      </c>
      <c r="L174" s="9" t="str">
        <f>garage!L174</f>
        <v>Ferrari</v>
      </c>
      <c r="M174" s="9" t="str">
        <f>garage!M174</f>
        <v>FXX K</v>
      </c>
      <c r="O174" s="18">
        <v>40</v>
      </c>
      <c r="P174" s="14">
        <v>13</v>
      </c>
      <c r="Q174" s="14">
        <v>16</v>
      </c>
      <c r="R174" s="14">
        <v>25</v>
      </c>
      <c r="S174" s="14">
        <v>39</v>
      </c>
      <c r="T174" s="15"/>
      <c r="U174" s="60">
        <f t="shared" si="47"/>
        <v>133</v>
      </c>
      <c r="W174" s="30">
        <v>40</v>
      </c>
      <c r="X174" s="31">
        <v>13</v>
      </c>
      <c r="Y174" s="31">
        <v>16</v>
      </c>
      <c r="Z174" s="31">
        <v>25</v>
      </c>
      <c r="AA174" s="31">
        <v>39</v>
      </c>
      <c r="AB174" s="32"/>
      <c r="AC174" s="32">
        <f t="shared" si="48"/>
        <v>133</v>
      </c>
      <c r="AE174" s="36"/>
      <c r="AF174" s="37"/>
      <c r="AG174" s="37"/>
      <c r="AH174" s="37"/>
      <c r="AI174" s="37"/>
      <c r="AJ174" s="38"/>
      <c r="AK174" s="38"/>
    </row>
    <row r="175" spans="2:37" ht="18" customHeight="1" x14ac:dyDescent="0.2">
      <c r="B175" s="10">
        <f>garage!B175</f>
        <v>175</v>
      </c>
      <c r="C175" s="10">
        <f>garage!C175</f>
        <v>5</v>
      </c>
      <c r="D175" s="10">
        <f>garage!D175</f>
        <v>3</v>
      </c>
      <c r="E175" s="10">
        <f>garage!E175</f>
        <v>0</v>
      </c>
      <c r="F175" s="10" t="str">
        <f>garage!F175</f>
        <v>--</v>
      </c>
      <c r="G175" s="10" t="str">
        <f>garage!G175</f>
        <v>O</v>
      </c>
      <c r="H175" s="10" t="str">
        <f>garage!H175</f>
        <v>O</v>
      </c>
      <c r="I175" s="10" t="str">
        <f>garage!I175</f>
        <v>O</v>
      </c>
      <c r="J175" s="10" t="str">
        <f>garage!J175</f>
        <v>N</v>
      </c>
      <c r="K175" s="10" t="str">
        <f>garage!K175</f>
        <v>S</v>
      </c>
      <c r="L175" s="11" t="str">
        <f>garage!L175</f>
        <v>Icona</v>
      </c>
      <c r="M175" s="11" t="str">
        <f>garage!M175</f>
        <v>Vulcano Titanium</v>
      </c>
      <c r="O175" s="19">
        <v>40</v>
      </c>
      <c r="P175" s="16">
        <v>13</v>
      </c>
      <c r="Q175" s="16">
        <v>16</v>
      </c>
      <c r="R175" s="16">
        <v>25</v>
      </c>
      <c r="S175" s="16">
        <v>39</v>
      </c>
      <c r="T175" s="17"/>
      <c r="U175" s="61">
        <f t="shared" si="47"/>
        <v>133</v>
      </c>
      <c r="W175" s="33">
        <v>40</v>
      </c>
      <c r="X175" s="34">
        <v>13</v>
      </c>
      <c r="Y175" s="34">
        <v>16</v>
      </c>
      <c r="Z175" s="34">
        <v>25</v>
      </c>
      <c r="AA175" s="34">
        <v>39</v>
      </c>
      <c r="AB175" s="35"/>
      <c r="AC175" s="35">
        <f t="shared" si="48"/>
        <v>133</v>
      </c>
      <c r="AE175" s="39"/>
      <c r="AF175" s="40"/>
      <c r="AG175" s="40"/>
      <c r="AH175" s="40"/>
      <c r="AI175" s="40"/>
      <c r="AJ175" s="41"/>
      <c r="AK175" s="41"/>
    </row>
    <row r="176" spans="2:37" ht="18" customHeight="1" x14ac:dyDescent="0.2">
      <c r="B176" s="8">
        <f>garage!B176</f>
        <v>176</v>
      </c>
      <c r="C176" s="8">
        <f>garage!C176</f>
        <v>5</v>
      </c>
      <c r="D176" s="8">
        <f>garage!D176</f>
        <v>4</v>
      </c>
      <c r="E176" s="8">
        <f>garage!E176</f>
        <v>0</v>
      </c>
      <c r="F176" s="8" t="str">
        <f>garage!F176</f>
        <v>--</v>
      </c>
      <c r="G176" s="8" t="str">
        <f>garage!G176</f>
        <v>O</v>
      </c>
      <c r="H176" s="8" t="str">
        <f>garage!H176</f>
        <v>O</v>
      </c>
      <c r="I176" s="8" t="str">
        <f>garage!I176</f>
        <v>O</v>
      </c>
      <c r="J176" s="8" t="str">
        <f>garage!J176</f>
        <v>N</v>
      </c>
      <c r="K176" s="8" t="str">
        <f>garage!K176</f>
        <v>S</v>
      </c>
      <c r="L176" s="9" t="str">
        <f>garage!L176</f>
        <v>W Motors</v>
      </c>
      <c r="M176" s="9" t="str">
        <f>garage!M176</f>
        <v>Lykan Hypersport</v>
      </c>
      <c r="O176" s="18">
        <v>40</v>
      </c>
      <c r="P176" s="14">
        <v>13</v>
      </c>
      <c r="Q176" s="14">
        <v>16</v>
      </c>
      <c r="R176" s="14">
        <v>25</v>
      </c>
      <c r="S176" s="14">
        <v>39</v>
      </c>
      <c r="T176" s="15"/>
      <c r="U176" s="60">
        <f t="shared" si="47"/>
        <v>133</v>
      </c>
      <c r="W176" s="30">
        <v>40</v>
      </c>
      <c r="X176" s="31">
        <v>13</v>
      </c>
      <c r="Y176" s="31">
        <v>16</v>
      </c>
      <c r="Z176" s="31">
        <v>25</v>
      </c>
      <c r="AA176" s="31">
        <v>39</v>
      </c>
      <c r="AB176" s="32"/>
      <c r="AC176" s="32">
        <f t="shared" si="48"/>
        <v>133</v>
      </c>
      <c r="AE176" s="36"/>
      <c r="AF176" s="37"/>
      <c r="AG176" s="37"/>
      <c r="AH176" s="37"/>
      <c r="AI176" s="37"/>
      <c r="AJ176" s="38"/>
      <c r="AK176" s="38"/>
    </row>
    <row r="177" spans="2:37" ht="18" customHeight="1" x14ac:dyDescent="0.2">
      <c r="B177" s="10">
        <f>garage!B177</f>
        <v>177</v>
      </c>
      <c r="C177" s="10">
        <f>garage!C177</f>
        <v>5</v>
      </c>
      <c r="D177" s="10">
        <f>garage!D177</f>
        <v>5</v>
      </c>
      <c r="E177" s="10">
        <f>garage!E177</f>
        <v>21</v>
      </c>
      <c r="F177" s="10" t="str">
        <f>garage!F177</f>
        <v>--</v>
      </c>
      <c r="G177" s="10" t="str">
        <f>garage!G177</f>
        <v>N</v>
      </c>
      <c r="H177" s="10" t="str">
        <f>garage!H177</f>
        <v>N</v>
      </c>
      <c r="I177" s="10" t="str">
        <f>garage!I177</f>
        <v>N</v>
      </c>
      <c r="J177" s="10" t="str">
        <f>garage!J177</f>
        <v>N</v>
      </c>
      <c r="K177" s="10" t="str">
        <f>garage!K177</f>
        <v>S</v>
      </c>
      <c r="L177" s="11" t="str">
        <f>garage!L177</f>
        <v>Raesr</v>
      </c>
      <c r="M177" s="11" t="str">
        <f>garage!M177</f>
        <v>Tachyon Speed</v>
      </c>
      <c r="O177" s="19" t="s">
        <v>115</v>
      </c>
      <c r="P177" s="16">
        <v>40</v>
      </c>
      <c r="Q177" s="16">
        <v>45</v>
      </c>
      <c r="R177" s="16">
        <v>60</v>
      </c>
      <c r="S177" s="16">
        <v>70</v>
      </c>
      <c r="T177" s="17">
        <v>85</v>
      </c>
      <c r="U177" s="61">
        <f t="shared" si="47"/>
        <v>300</v>
      </c>
      <c r="W177" s="33"/>
      <c r="X177" s="34">
        <v>40</v>
      </c>
      <c r="Y177" s="34">
        <v>7</v>
      </c>
      <c r="Z177" s="34"/>
      <c r="AA177" s="34"/>
      <c r="AB177" s="35"/>
      <c r="AC177" s="35">
        <f t="shared" si="48"/>
        <v>47</v>
      </c>
      <c r="AE177" s="39" t="s">
        <v>115</v>
      </c>
      <c r="AF177" s="40"/>
      <c r="AG177" s="40">
        <f>Q177-Y177</f>
        <v>38</v>
      </c>
      <c r="AH177" s="40">
        <f>R177-Z177</f>
        <v>60</v>
      </c>
      <c r="AI177" s="40">
        <f>S177-AA177</f>
        <v>70</v>
      </c>
      <c r="AJ177" s="41">
        <f>T177-AB177</f>
        <v>85</v>
      </c>
      <c r="AK177" s="41">
        <f>SUM(AE177:AJ177)</f>
        <v>253</v>
      </c>
    </row>
    <row r="178" spans="2:37" ht="18" customHeight="1" x14ac:dyDescent="0.2">
      <c r="B178" s="8">
        <f>garage!B178</f>
        <v>178</v>
      </c>
      <c r="C178" s="8">
        <f>garage!C178</f>
        <v>5</v>
      </c>
      <c r="D178" s="8">
        <f>garage!D178</f>
        <v>6</v>
      </c>
      <c r="E178" s="8">
        <f>garage!E178</f>
        <v>12</v>
      </c>
      <c r="F178" s="8" t="str">
        <f>garage!F178</f>
        <v>L</v>
      </c>
      <c r="G178" s="8" t="str">
        <f>garage!G178</f>
        <v>O</v>
      </c>
      <c r="H178" s="8" t="str">
        <f>garage!H178</f>
        <v>O</v>
      </c>
      <c r="I178" s="8" t="str">
        <f>garage!I178</f>
        <v>O</v>
      </c>
      <c r="J178" s="8" t="str">
        <f>garage!J178</f>
        <v>N</v>
      </c>
      <c r="K178" s="8" t="str">
        <f>garage!K178</f>
        <v>S</v>
      </c>
      <c r="L178" s="9" t="str">
        <f>garage!L178</f>
        <v>Lamborghini</v>
      </c>
      <c r="M178" s="9" t="str">
        <f>garage!M178</f>
        <v>Veneno</v>
      </c>
      <c r="O178" s="18">
        <v>60</v>
      </c>
      <c r="P178" s="14">
        <v>13</v>
      </c>
      <c r="Q178" s="14">
        <v>16</v>
      </c>
      <c r="R178" s="14">
        <v>25</v>
      </c>
      <c r="S178" s="14">
        <v>38</v>
      </c>
      <c r="T178" s="15">
        <v>48</v>
      </c>
      <c r="U178" s="60">
        <f t="shared" si="47"/>
        <v>200</v>
      </c>
      <c r="W178" s="30">
        <v>60</v>
      </c>
      <c r="X178" s="31">
        <v>13</v>
      </c>
      <c r="Y178" s="31">
        <v>16</v>
      </c>
      <c r="Z178" s="31">
        <v>25</v>
      </c>
      <c r="AA178" s="31">
        <v>38</v>
      </c>
      <c r="AB178" s="32">
        <v>48</v>
      </c>
      <c r="AC178" s="32">
        <f t="shared" si="48"/>
        <v>200</v>
      </c>
      <c r="AE178" s="36"/>
      <c r="AF178" s="37"/>
      <c r="AG178" s="37"/>
      <c r="AH178" s="37"/>
      <c r="AI178" s="37"/>
      <c r="AJ178" s="38"/>
      <c r="AK178" s="38"/>
    </row>
    <row r="179" spans="2:37" ht="18" customHeight="1" x14ac:dyDescent="0.2">
      <c r="B179" s="10">
        <f>garage!B179</f>
        <v>179</v>
      </c>
      <c r="C179" s="10">
        <f>garage!C179</f>
        <v>5</v>
      </c>
      <c r="D179" s="10">
        <f>garage!D179</f>
        <v>7</v>
      </c>
      <c r="E179" s="10">
        <f>garage!E179</f>
        <v>23</v>
      </c>
      <c r="F179" s="10" t="str">
        <f>garage!F179</f>
        <v>--</v>
      </c>
      <c r="G179" s="10" t="str">
        <f>garage!G179</f>
        <v>N</v>
      </c>
      <c r="H179" s="10" t="str">
        <f>garage!H179</f>
        <v>N</v>
      </c>
      <c r="I179" s="10" t="str">
        <f>garage!I179</f>
        <v>N</v>
      </c>
      <c r="J179" s="10" t="str">
        <f>garage!J179</f>
        <v>N</v>
      </c>
      <c r="K179" s="10" t="str">
        <f>garage!K179</f>
        <v>S</v>
      </c>
      <c r="L179" s="11" t="str">
        <f>garage!L179</f>
        <v>Jaguar</v>
      </c>
      <c r="M179" s="11" t="str">
        <f>garage!M179</f>
        <v>XJ220S TWR</v>
      </c>
      <c r="O179" s="19" t="s">
        <v>115</v>
      </c>
      <c r="P179" s="16">
        <v>40</v>
      </c>
      <c r="Q179" s="16">
        <v>45</v>
      </c>
      <c r="R179" s="16">
        <v>60</v>
      </c>
      <c r="S179" s="16">
        <v>70</v>
      </c>
      <c r="T179" s="17">
        <v>85</v>
      </c>
      <c r="U179" s="61">
        <f t="shared" si="47"/>
        <v>300</v>
      </c>
      <c r="W179" s="33"/>
      <c r="X179" s="34">
        <v>40</v>
      </c>
      <c r="Y179" s="34">
        <v>22</v>
      </c>
      <c r="Z179" s="34"/>
      <c r="AA179" s="34"/>
      <c r="AB179" s="35"/>
      <c r="AC179" s="35">
        <f t="shared" si="48"/>
        <v>62</v>
      </c>
      <c r="AE179" s="39" t="s">
        <v>115</v>
      </c>
      <c r="AF179" s="40"/>
      <c r="AG179" s="40">
        <f>Q179-Y179</f>
        <v>23</v>
      </c>
      <c r="AH179" s="40">
        <f>R179-Z179</f>
        <v>60</v>
      </c>
      <c r="AI179" s="40">
        <f>S179-AA179</f>
        <v>70</v>
      </c>
      <c r="AJ179" s="41">
        <f>T179-AB179</f>
        <v>85</v>
      </c>
      <c r="AK179" s="41">
        <f>SUM(AE179:AJ179)</f>
        <v>238</v>
      </c>
    </row>
    <row r="180" spans="2:37" ht="18" customHeight="1" x14ac:dyDescent="0.2">
      <c r="B180" s="8">
        <f>garage!B180</f>
        <v>180</v>
      </c>
      <c r="C180" s="8">
        <f>garage!C180</f>
        <v>5</v>
      </c>
      <c r="D180" s="8">
        <f>garage!D180</f>
        <v>8</v>
      </c>
      <c r="E180" s="8">
        <f>garage!E180</f>
        <v>0</v>
      </c>
      <c r="F180" s="8" t="str">
        <f>garage!F180</f>
        <v>L</v>
      </c>
      <c r="G180" s="8" t="str">
        <f>garage!G180</f>
        <v>O</v>
      </c>
      <c r="H180" s="8" t="str">
        <f>garage!H180</f>
        <v>O</v>
      </c>
      <c r="I180" s="8" t="str">
        <f>garage!I180</f>
        <v>O</v>
      </c>
      <c r="J180" s="8" t="str">
        <f>garage!J180</f>
        <v>N</v>
      </c>
      <c r="K180" s="8" t="str">
        <f>garage!K180</f>
        <v>S</v>
      </c>
      <c r="L180" s="9" t="str">
        <f>garage!L180</f>
        <v>Lamborghini</v>
      </c>
      <c r="M180" s="9" t="str">
        <f>garage!M180</f>
        <v>Egoista</v>
      </c>
      <c r="O180" s="18">
        <v>60</v>
      </c>
      <c r="P180" s="14">
        <v>13</v>
      </c>
      <c r="Q180" s="14">
        <v>16</v>
      </c>
      <c r="R180" s="14">
        <v>25</v>
      </c>
      <c r="S180" s="14">
        <v>38</v>
      </c>
      <c r="T180" s="15">
        <v>48</v>
      </c>
      <c r="U180" s="60">
        <f t="shared" si="47"/>
        <v>200</v>
      </c>
      <c r="W180" s="30">
        <v>60</v>
      </c>
      <c r="X180" s="31">
        <v>13</v>
      </c>
      <c r="Y180" s="31">
        <v>16</v>
      </c>
      <c r="Z180" s="31">
        <v>25</v>
      </c>
      <c r="AA180" s="31">
        <v>38</v>
      </c>
      <c r="AB180" s="32">
        <v>48</v>
      </c>
      <c r="AC180" s="32">
        <f t="shared" si="48"/>
        <v>200</v>
      </c>
      <c r="AE180" s="36"/>
      <c r="AF180" s="37"/>
      <c r="AG180" s="37"/>
      <c r="AH180" s="37"/>
      <c r="AI180" s="37"/>
      <c r="AJ180" s="38"/>
      <c r="AK180" s="38"/>
    </row>
    <row r="181" spans="2:37" ht="18" customHeight="1" x14ac:dyDescent="0.2">
      <c r="B181" s="10">
        <f>garage!B181</f>
        <v>181</v>
      </c>
      <c r="C181" s="10">
        <f>garage!C181</f>
        <v>5</v>
      </c>
      <c r="D181" s="10">
        <f>garage!D181</f>
        <v>9</v>
      </c>
      <c r="E181" s="10">
        <f>garage!E181</f>
        <v>28</v>
      </c>
      <c r="F181" s="10" t="str">
        <f>garage!F181</f>
        <v>--</v>
      </c>
      <c r="G181" s="10" t="str">
        <f>garage!G181</f>
        <v>N</v>
      </c>
      <c r="H181" s="10" t="str">
        <f>garage!H181</f>
        <v>N</v>
      </c>
      <c r="I181" s="10" t="str">
        <f>garage!I181</f>
        <v>N</v>
      </c>
      <c r="J181" s="10" t="str">
        <f>garage!J181</f>
        <v>N</v>
      </c>
      <c r="K181" s="10" t="str">
        <f>garage!K181</f>
        <v>S</v>
      </c>
      <c r="L181" s="11" t="str">
        <f>garage!L181</f>
        <v>Chrysler</v>
      </c>
      <c r="M181" s="11" t="str">
        <f>garage!M181</f>
        <v>ME412</v>
      </c>
      <c r="O181" s="19">
        <v>85</v>
      </c>
      <c r="P181" s="16">
        <v>25</v>
      </c>
      <c r="Q181" s="16">
        <v>29</v>
      </c>
      <c r="R181" s="16">
        <v>38</v>
      </c>
      <c r="S181" s="16">
        <v>54</v>
      </c>
      <c r="T181" s="17">
        <v>69</v>
      </c>
      <c r="U181" s="61">
        <f t="shared" si="47"/>
        <v>300</v>
      </c>
      <c r="W181" s="33">
        <v>32</v>
      </c>
      <c r="X181" s="34"/>
      <c r="Y181" s="34"/>
      <c r="Z181" s="34"/>
      <c r="AA181" s="34"/>
      <c r="AB181" s="35"/>
      <c r="AC181" s="35">
        <f t="shared" si="48"/>
        <v>32</v>
      </c>
      <c r="AE181" s="39">
        <f t="shared" ref="AE181:AJ181" si="49">O181-W181</f>
        <v>53</v>
      </c>
      <c r="AF181" s="40">
        <f t="shared" si="49"/>
        <v>25</v>
      </c>
      <c r="AG181" s="40">
        <f t="shared" si="49"/>
        <v>29</v>
      </c>
      <c r="AH181" s="40">
        <f t="shared" si="49"/>
        <v>38</v>
      </c>
      <c r="AI181" s="40">
        <f t="shared" si="49"/>
        <v>54</v>
      </c>
      <c r="AJ181" s="41">
        <f t="shared" si="49"/>
        <v>69</v>
      </c>
      <c r="AK181" s="41">
        <f>SUM(AE181:AJ181)</f>
        <v>268</v>
      </c>
    </row>
    <row r="182" spans="2:37" ht="18" customHeight="1" x14ac:dyDescent="0.2">
      <c r="B182" s="8">
        <f>garage!B182</f>
        <v>182</v>
      </c>
      <c r="C182" s="8">
        <f>garage!C182</f>
        <v>5</v>
      </c>
      <c r="D182" s="8">
        <f>garage!D182</f>
        <v>10</v>
      </c>
      <c r="E182" s="8">
        <f>garage!E182</f>
        <v>0</v>
      </c>
      <c r="F182" s="8" t="str">
        <f>garage!F182</f>
        <v>--</v>
      </c>
      <c r="G182" s="8" t="str">
        <f>garage!G182</f>
        <v>O</v>
      </c>
      <c r="H182" s="8" t="str">
        <f>garage!H182</f>
        <v>O</v>
      </c>
      <c r="I182" s="8" t="str">
        <f>garage!I182</f>
        <v>O</v>
      </c>
      <c r="J182" s="8" t="str">
        <f>garage!J182</f>
        <v>N</v>
      </c>
      <c r="K182" s="8" t="str">
        <f>garage!K182</f>
        <v>S</v>
      </c>
      <c r="L182" s="9" t="str">
        <f>garage!L182</f>
        <v>Trion</v>
      </c>
      <c r="M182" s="9" t="str">
        <f>garage!M182</f>
        <v>Nemesis</v>
      </c>
      <c r="O182" s="18">
        <v>85</v>
      </c>
      <c r="P182" s="14">
        <v>25</v>
      </c>
      <c r="Q182" s="14">
        <v>29</v>
      </c>
      <c r="R182" s="14">
        <v>38</v>
      </c>
      <c r="S182" s="14">
        <v>54</v>
      </c>
      <c r="T182" s="15">
        <v>69</v>
      </c>
      <c r="U182" s="60">
        <f t="shared" si="47"/>
        <v>300</v>
      </c>
      <c r="W182" s="30">
        <v>60</v>
      </c>
      <c r="X182" s="31">
        <v>13</v>
      </c>
      <c r="Y182" s="31">
        <v>16</v>
      </c>
      <c r="Z182" s="31">
        <v>25</v>
      </c>
      <c r="AA182" s="31">
        <v>38</v>
      </c>
      <c r="AB182" s="32">
        <v>48</v>
      </c>
      <c r="AC182" s="32">
        <f t="shared" si="48"/>
        <v>200</v>
      </c>
      <c r="AE182" s="36"/>
      <c r="AF182" s="37"/>
      <c r="AG182" s="37"/>
      <c r="AH182" s="37"/>
      <c r="AI182" s="37"/>
      <c r="AJ182" s="38"/>
      <c r="AK182" s="38"/>
    </row>
    <row r="183" spans="2:37" ht="18" customHeight="1" x14ac:dyDescent="0.2">
      <c r="B183" s="10">
        <f>garage!B183</f>
        <v>183</v>
      </c>
      <c r="C183" s="10">
        <f>garage!C183</f>
        <v>5</v>
      </c>
      <c r="D183" s="10">
        <f>garage!D183</f>
        <v>11</v>
      </c>
      <c r="E183" s="10">
        <f>garage!E183</f>
        <v>29</v>
      </c>
      <c r="F183" s="10" t="str">
        <f>garage!F183</f>
        <v>--</v>
      </c>
      <c r="G183" s="10" t="str">
        <f>garage!G183</f>
        <v>N</v>
      </c>
      <c r="H183" s="10" t="str">
        <f>garage!H183</f>
        <v>N</v>
      </c>
      <c r="I183" s="10" t="str">
        <f>garage!I183</f>
        <v>N</v>
      </c>
      <c r="J183" s="10" t="str">
        <f>garage!J183</f>
        <v>N</v>
      </c>
      <c r="K183" s="10" t="str">
        <f>garage!K183</f>
        <v>S</v>
      </c>
      <c r="L183" s="11" t="str">
        <f>garage!L183</f>
        <v>Spania GTA</v>
      </c>
      <c r="M183" s="11" t="str">
        <f>garage!M183</f>
        <v>2015 GTA Spano</v>
      </c>
      <c r="O183" s="19">
        <v>85</v>
      </c>
      <c r="P183" s="16">
        <v>25</v>
      </c>
      <c r="Q183" s="16">
        <v>29</v>
      </c>
      <c r="R183" s="16">
        <v>38</v>
      </c>
      <c r="S183" s="16">
        <v>54</v>
      </c>
      <c r="T183" s="17">
        <v>69</v>
      </c>
      <c r="U183" s="61">
        <f t="shared" si="47"/>
        <v>300</v>
      </c>
      <c r="W183" s="33">
        <v>36</v>
      </c>
      <c r="X183" s="34"/>
      <c r="Y183" s="34"/>
      <c r="Z183" s="34"/>
      <c r="AA183" s="34"/>
      <c r="AB183" s="35"/>
      <c r="AC183" s="35">
        <f t="shared" si="48"/>
        <v>36</v>
      </c>
      <c r="AE183" s="39">
        <f t="shared" ref="AE183:AJ183" si="50">O183-W183</f>
        <v>49</v>
      </c>
      <c r="AF183" s="40">
        <f t="shared" si="50"/>
        <v>25</v>
      </c>
      <c r="AG183" s="40">
        <f t="shared" si="50"/>
        <v>29</v>
      </c>
      <c r="AH183" s="40">
        <f t="shared" si="50"/>
        <v>38</v>
      </c>
      <c r="AI183" s="40">
        <f t="shared" si="50"/>
        <v>54</v>
      </c>
      <c r="AJ183" s="41">
        <f t="shared" si="50"/>
        <v>69</v>
      </c>
      <c r="AK183" s="41">
        <f>SUM(AE183:AJ183)</f>
        <v>264</v>
      </c>
    </row>
    <row r="184" spans="2:37" ht="18" customHeight="1" x14ac:dyDescent="0.2">
      <c r="B184" s="8">
        <f>garage!B184</f>
        <v>184</v>
      </c>
      <c r="C184" s="8">
        <f>garage!C184</f>
        <v>5</v>
      </c>
      <c r="D184" s="8">
        <f>garage!D184</f>
        <v>12</v>
      </c>
      <c r="E184" s="8">
        <f>garage!E184</f>
        <v>15</v>
      </c>
      <c r="F184" s="8" t="str">
        <f>garage!F184</f>
        <v>F</v>
      </c>
      <c r="G184" s="8" t="str">
        <f>garage!G184</f>
        <v>O</v>
      </c>
      <c r="H184" s="8" t="str">
        <f>garage!H184</f>
        <v>N</v>
      </c>
      <c r="I184" s="8" t="str">
        <f>garage!I184</f>
        <v>N</v>
      </c>
      <c r="J184" s="8" t="str">
        <f>garage!J184</f>
        <v>N</v>
      </c>
      <c r="K184" s="8" t="str">
        <f>garage!K184</f>
        <v>S</v>
      </c>
      <c r="L184" s="9" t="str">
        <f>garage!L184</f>
        <v>Ferrari</v>
      </c>
      <c r="M184" s="9" t="str">
        <f>garage!M184</f>
        <v>SF90 Stradale</v>
      </c>
      <c r="O184" s="18">
        <v>60</v>
      </c>
      <c r="P184" s="14">
        <v>25</v>
      </c>
      <c r="Q184" s="14">
        <v>30</v>
      </c>
      <c r="R184" s="14">
        <v>35</v>
      </c>
      <c r="S184" s="14">
        <v>45</v>
      </c>
      <c r="T184" s="15">
        <v>55</v>
      </c>
      <c r="U184" s="60">
        <f t="shared" si="47"/>
        <v>250</v>
      </c>
      <c r="W184" s="30">
        <v>60</v>
      </c>
      <c r="X184" s="31">
        <v>25</v>
      </c>
      <c r="Y184" s="31">
        <v>18</v>
      </c>
      <c r="Z184" s="31"/>
      <c r="AA184" s="31"/>
      <c r="AB184" s="32"/>
      <c r="AC184" s="32">
        <f t="shared" si="48"/>
        <v>103</v>
      </c>
      <c r="AE184" s="36"/>
      <c r="AF184" s="37"/>
      <c r="AG184" s="37">
        <f t="shared" ref="AF184:AJ185" si="51">Q184-Y184</f>
        <v>12</v>
      </c>
      <c r="AH184" s="37">
        <f t="shared" si="51"/>
        <v>35</v>
      </c>
      <c r="AI184" s="37">
        <f t="shared" si="51"/>
        <v>45</v>
      </c>
      <c r="AJ184" s="38">
        <f t="shared" si="51"/>
        <v>55</v>
      </c>
      <c r="AK184" s="38">
        <f>SUM(AE184:AJ184)</f>
        <v>147</v>
      </c>
    </row>
    <row r="185" spans="2:37" ht="18" customHeight="1" x14ac:dyDescent="0.2">
      <c r="B185" s="10">
        <f>garage!B185</f>
        <v>185</v>
      </c>
      <c r="C185" s="10">
        <f>garage!C185</f>
        <v>5</v>
      </c>
      <c r="D185" s="10">
        <f>garage!D185</f>
        <v>13</v>
      </c>
      <c r="E185" s="10">
        <f>garage!E185</f>
        <v>30</v>
      </c>
      <c r="F185" s="10" t="str">
        <f>garage!F185</f>
        <v>--</v>
      </c>
      <c r="G185" s="10" t="str">
        <f>garage!G185</f>
        <v>N</v>
      </c>
      <c r="H185" s="10" t="str">
        <f>garage!H185</f>
        <v>N</v>
      </c>
      <c r="I185" s="10" t="str">
        <f>garage!I185</f>
        <v>N</v>
      </c>
      <c r="J185" s="10" t="str">
        <f>garage!J185</f>
        <v>N</v>
      </c>
      <c r="K185" s="10" t="str">
        <f>garage!K185</f>
        <v>S</v>
      </c>
      <c r="L185" s="11" t="str">
        <f>garage!L185</f>
        <v>FV Frangivento</v>
      </c>
      <c r="M185" s="11" t="str">
        <f>garage!M185</f>
        <v>Sorpasso GT3</v>
      </c>
      <c r="O185" s="19" t="s">
        <v>115</v>
      </c>
      <c r="P185" s="16">
        <v>40</v>
      </c>
      <c r="Q185" s="16">
        <v>45</v>
      </c>
      <c r="R185" s="16">
        <v>60</v>
      </c>
      <c r="S185" s="16">
        <v>70</v>
      </c>
      <c r="T185" s="17">
        <v>85</v>
      </c>
      <c r="U185" s="61">
        <f t="shared" si="47"/>
        <v>300</v>
      </c>
      <c r="W185" s="33"/>
      <c r="X185" s="34">
        <v>27</v>
      </c>
      <c r="Y185" s="34"/>
      <c r="Z185" s="34"/>
      <c r="AA185" s="34"/>
      <c r="AB185" s="35"/>
      <c r="AC185" s="35">
        <f t="shared" si="48"/>
        <v>27</v>
      </c>
      <c r="AE185" s="39" t="s">
        <v>115</v>
      </c>
      <c r="AF185" s="40">
        <f t="shared" si="51"/>
        <v>13</v>
      </c>
      <c r="AG185" s="40">
        <f t="shared" si="51"/>
        <v>45</v>
      </c>
      <c r="AH185" s="40">
        <f t="shared" si="51"/>
        <v>60</v>
      </c>
      <c r="AI185" s="40">
        <f t="shared" si="51"/>
        <v>70</v>
      </c>
      <c r="AJ185" s="41">
        <f t="shared" si="51"/>
        <v>85</v>
      </c>
      <c r="AK185" s="41">
        <f>SUM(AE185:AJ185)</f>
        <v>273</v>
      </c>
    </row>
    <row r="186" spans="2:37" ht="18" customHeight="1" x14ac:dyDescent="0.2">
      <c r="B186" s="8">
        <f>garage!B186</f>
        <v>186</v>
      </c>
      <c r="C186" s="8">
        <f>garage!C186</f>
        <v>5</v>
      </c>
      <c r="D186" s="8">
        <f>garage!D186</f>
        <v>14</v>
      </c>
      <c r="E186" s="8">
        <f>garage!E186</f>
        <v>7</v>
      </c>
      <c r="F186" s="8" t="str">
        <f>garage!F186</f>
        <v>M</v>
      </c>
      <c r="G186" s="8" t="str">
        <f>garage!G186</f>
        <v>O</v>
      </c>
      <c r="H186" s="8" t="str">
        <f>garage!H186</f>
        <v>N</v>
      </c>
      <c r="I186" s="8" t="str">
        <f>garage!I186</f>
        <v>N</v>
      </c>
      <c r="J186" s="8" t="str">
        <f>garage!J186</f>
        <v>N</v>
      </c>
      <c r="K186" s="8" t="str">
        <f>garage!K186</f>
        <v>S</v>
      </c>
      <c r="L186" s="9" t="str">
        <f>garage!L186</f>
        <v>McLaren</v>
      </c>
      <c r="M186" s="9" t="str">
        <f>garage!M186</f>
        <v>Senna</v>
      </c>
      <c r="O186" s="18">
        <v>60</v>
      </c>
      <c r="P186" s="14">
        <v>13</v>
      </c>
      <c r="Q186" s="14">
        <v>16</v>
      </c>
      <c r="R186" s="14">
        <v>25</v>
      </c>
      <c r="S186" s="14">
        <v>38</v>
      </c>
      <c r="T186" s="15">
        <v>48</v>
      </c>
      <c r="U186" s="60">
        <f t="shared" si="47"/>
        <v>200</v>
      </c>
      <c r="W186" s="30">
        <v>60</v>
      </c>
      <c r="X186" s="31">
        <v>13</v>
      </c>
      <c r="Y186" s="31">
        <v>16</v>
      </c>
      <c r="Z186" s="31">
        <v>25</v>
      </c>
      <c r="AA186" s="31">
        <v>38</v>
      </c>
      <c r="AB186" s="32">
        <v>9</v>
      </c>
      <c r="AC186" s="32">
        <f t="shared" si="48"/>
        <v>161</v>
      </c>
      <c r="AE186" s="36"/>
      <c r="AF186" s="37"/>
      <c r="AG186" s="37"/>
      <c r="AH186" s="37"/>
      <c r="AI186" s="37"/>
      <c r="AJ186" s="38">
        <f>T186-AB186</f>
        <v>39</v>
      </c>
      <c r="AK186" s="38">
        <f>SUM(AE186:AJ186)</f>
        <v>39</v>
      </c>
    </row>
    <row r="187" spans="2:37" ht="18" customHeight="1" x14ac:dyDescent="0.2">
      <c r="B187" s="10">
        <f>garage!B187</f>
        <v>187</v>
      </c>
      <c r="C187" s="10">
        <f>garage!C187</f>
        <v>5</v>
      </c>
      <c r="D187" s="10">
        <f>garage!D187</f>
        <v>15</v>
      </c>
      <c r="E187" s="10">
        <f>garage!E187</f>
        <v>20</v>
      </c>
      <c r="F187" s="10" t="str">
        <f>garage!F187</f>
        <v>B</v>
      </c>
      <c r="G187" s="10" t="str">
        <f>garage!G187</f>
        <v>N</v>
      </c>
      <c r="H187" s="10" t="str">
        <f>garage!H187</f>
        <v>N</v>
      </c>
      <c r="I187" s="10" t="str">
        <f>garage!I187</f>
        <v>N</v>
      </c>
      <c r="J187" s="10" t="str">
        <f>garage!J187</f>
        <v>N</v>
      </c>
      <c r="K187" s="10" t="str">
        <f>garage!K187</f>
        <v>S</v>
      </c>
      <c r="L187" s="11" t="str">
        <f>garage!L187</f>
        <v>Bugatti</v>
      </c>
      <c r="M187" s="11" t="str">
        <f>garage!M187</f>
        <v>Veyron 16.4 Grand Sport Vitesse</v>
      </c>
      <c r="O187" s="19">
        <v>85</v>
      </c>
      <c r="P187" s="16">
        <v>25</v>
      </c>
      <c r="Q187" s="16">
        <v>29</v>
      </c>
      <c r="R187" s="16">
        <v>38</v>
      </c>
      <c r="S187" s="16">
        <v>54</v>
      </c>
      <c r="T187" s="17">
        <v>69</v>
      </c>
      <c r="U187" s="61">
        <f t="shared" si="47"/>
        <v>300</v>
      </c>
      <c r="W187" s="33">
        <v>48</v>
      </c>
      <c r="X187" s="34"/>
      <c r="Y187" s="34"/>
      <c r="Z187" s="34"/>
      <c r="AA187" s="34"/>
      <c r="AB187" s="35"/>
      <c r="AC187" s="35">
        <f t="shared" si="48"/>
        <v>48</v>
      </c>
      <c r="AE187" s="39">
        <f>O187-W187</f>
        <v>37</v>
      </c>
      <c r="AF187" s="40">
        <f>P187-X187</f>
        <v>25</v>
      </c>
      <c r="AG187" s="40">
        <f>Q187-Y187</f>
        <v>29</v>
      </c>
      <c r="AH187" s="40">
        <f>R187-Z187</f>
        <v>38</v>
      </c>
      <c r="AI187" s="40">
        <f>S187-AA187</f>
        <v>54</v>
      </c>
      <c r="AJ187" s="41">
        <f>T187-AB187</f>
        <v>69</v>
      </c>
      <c r="AK187" s="41">
        <f>SUM(AE187:AJ187)</f>
        <v>252</v>
      </c>
    </row>
    <row r="188" spans="2:37" ht="18" customHeight="1" x14ac:dyDescent="0.2">
      <c r="B188" s="8">
        <f>garage!B188</f>
        <v>188</v>
      </c>
      <c r="C188" s="8">
        <f>garage!C188</f>
        <v>5</v>
      </c>
      <c r="D188" s="8">
        <f>garage!D188</f>
        <v>16</v>
      </c>
      <c r="E188" s="8">
        <f>garage!E188</f>
        <v>0</v>
      </c>
      <c r="F188" s="8" t="str">
        <f>garage!F188</f>
        <v>L</v>
      </c>
      <c r="G188" s="8" t="str">
        <f>garage!G188</f>
        <v>O</v>
      </c>
      <c r="H188" s="8" t="str">
        <f>garage!H188</f>
        <v>O</v>
      </c>
      <c r="I188" s="8" t="str">
        <f>garage!I188</f>
        <v>O</v>
      </c>
      <c r="J188" s="8" t="str">
        <f>garage!J188</f>
        <v>N</v>
      </c>
      <c r="K188" s="8" t="str">
        <f>garage!K188</f>
        <v>S</v>
      </c>
      <c r="L188" s="9" t="str">
        <f>garage!L188</f>
        <v>Lamborghini</v>
      </c>
      <c r="M188" s="9" t="str">
        <f>garage!M188</f>
        <v>Terzo Millennio</v>
      </c>
      <c r="O188" s="18">
        <v>60</v>
      </c>
      <c r="P188" s="14">
        <v>13</v>
      </c>
      <c r="Q188" s="14">
        <v>16</v>
      </c>
      <c r="R188" s="14">
        <v>25</v>
      </c>
      <c r="S188" s="14">
        <v>38</v>
      </c>
      <c r="T188" s="15">
        <v>48</v>
      </c>
      <c r="U188" s="60">
        <f t="shared" si="47"/>
        <v>200</v>
      </c>
      <c r="W188" s="30">
        <v>60</v>
      </c>
      <c r="X188" s="31">
        <v>13</v>
      </c>
      <c r="Y188" s="31">
        <v>16</v>
      </c>
      <c r="Z188" s="31">
        <v>25</v>
      </c>
      <c r="AA188" s="31">
        <v>38</v>
      </c>
      <c r="AB188" s="32">
        <v>48</v>
      </c>
      <c r="AC188" s="32">
        <f t="shared" si="48"/>
        <v>200</v>
      </c>
      <c r="AE188" s="36"/>
      <c r="AF188" s="37"/>
      <c r="AG188" s="37"/>
      <c r="AH188" s="37"/>
      <c r="AI188" s="37"/>
      <c r="AJ188" s="38"/>
      <c r="AK188" s="38"/>
    </row>
    <row r="189" spans="2:37" ht="18" customHeight="1" x14ac:dyDescent="0.2">
      <c r="B189" s="10">
        <f>garage!B189</f>
        <v>189</v>
      </c>
      <c r="C189" s="10">
        <f>garage!C189</f>
        <v>5</v>
      </c>
      <c r="D189" s="10">
        <f>garage!D189</f>
        <v>17</v>
      </c>
      <c r="E189" s="10">
        <f>garage!E189</f>
        <v>24</v>
      </c>
      <c r="F189" s="10" t="str">
        <f>garage!F189</f>
        <v>--</v>
      </c>
      <c r="G189" s="10" t="str">
        <f>garage!G189</f>
        <v>O</v>
      </c>
      <c r="H189" s="10" t="str">
        <f>garage!H189</f>
        <v>N</v>
      </c>
      <c r="I189" s="10" t="str">
        <f>garage!I189</f>
        <v>N</v>
      </c>
      <c r="J189" s="10" t="str">
        <f>garage!J189</f>
        <v>N</v>
      </c>
      <c r="K189" s="10" t="str">
        <f>garage!K189</f>
        <v>S</v>
      </c>
      <c r="L189" s="11" t="str">
        <f>garage!L189</f>
        <v>Vision</v>
      </c>
      <c r="M189" s="11">
        <f>garage!M189</f>
        <v>1789</v>
      </c>
      <c r="O189" s="19">
        <v>85</v>
      </c>
      <c r="P189" s="16">
        <v>25</v>
      </c>
      <c r="Q189" s="16">
        <v>29</v>
      </c>
      <c r="R189" s="16">
        <v>38</v>
      </c>
      <c r="S189" s="16">
        <v>54</v>
      </c>
      <c r="T189" s="17">
        <v>69</v>
      </c>
      <c r="U189" s="61">
        <f t="shared" si="47"/>
        <v>300</v>
      </c>
      <c r="W189" s="33">
        <v>85</v>
      </c>
      <c r="X189" s="34">
        <v>25</v>
      </c>
      <c r="Y189" s="34">
        <v>29</v>
      </c>
      <c r="Z189" s="34">
        <v>12</v>
      </c>
      <c r="AA189" s="34"/>
      <c r="AB189" s="35"/>
      <c r="AC189" s="35">
        <f t="shared" si="48"/>
        <v>151</v>
      </c>
      <c r="AE189" s="39"/>
      <c r="AF189" s="40"/>
      <c r="AG189" s="40"/>
      <c r="AH189" s="40">
        <f>R189-Z189</f>
        <v>26</v>
      </c>
      <c r="AI189" s="40">
        <f>S189-AA189</f>
        <v>54</v>
      </c>
      <c r="AJ189" s="41">
        <f>T189-AB189</f>
        <v>69</v>
      </c>
      <c r="AK189" s="41">
        <f>SUM(AE189:AJ189)</f>
        <v>149</v>
      </c>
    </row>
    <row r="190" spans="2:37" ht="18" customHeight="1" x14ac:dyDescent="0.2">
      <c r="B190" s="8">
        <f>garage!B190</f>
        <v>190</v>
      </c>
      <c r="C190" s="8">
        <f>garage!C190</f>
        <v>5</v>
      </c>
      <c r="D190" s="8">
        <f>garage!D190</f>
        <v>18</v>
      </c>
      <c r="E190" s="8">
        <f>garage!E190</f>
        <v>0</v>
      </c>
      <c r="F190" s="8" t="str">
        <f>garage!F190</f>
        <v>--</v>
      </c>
      <c r="G190" s="8" t="str">
        <f>garage!G190</f>
        <v>O</v>
      </c>
      <c r="H190" s="8" t="str">
        <f>garage!H190</f>
        <v>O</v>
      </c>
      <c r="I190" s="8" t="str">
        <f>garage!I190</f>
        <v>N</v>
      </c>
      <c r="J190" s="8" t="str">
        <f>garage!J190</f>
        <v>N</v>
      </c>
      <c r="K190" s="8" t="str">
        <f>garage!K190</f>
        <v>S</v>
      </c>
      <c r="L190" s="9" t="str">
        <f>garage!L190</f>
        <v>W Motors</v>
      </c>
      <c r="M190" s="9" t="str">
        <f>garage!M190</f>
        <v>Fenyr Supersport</v>
      </c>
      <c r="O190" s="18">
        <v>60</v>
      </c>
      <c r="P190" s="14">
        <v>13</v>
      </c>
      <c r="Q190" s="14">
        <v>16</v>
      </c>
      <c r="R190" s="14">
        <v>25</v>
      </c>
      <c r="S190" s="14">
        <v>38</v>
      </c>
      <c r="T190" s="15">
        <v>48</v>
      </c>
      <c r="U190" s="60">
        <f t="shared" si="47"/>
        <v>200</v>
      </c>
      <c r="W190" s="30">
        <v>60</v>
      </c>
      <c r="X190" s="31">
        <v>13</v>
      </c>
      <c r="Y190" s="31">
        <v>16</v>
      </c>
      <c r="Z190" s="31">
        <v>25</v>
      </c>
      <c r="AA190" s="31">
        <v>38</v>
      </c>
      <c r="AB190" s="32">
        <v>48</v>
      </c>
      <c r="AC190" s="32">
        <f t="shared" si="48"/>
        <v>200</v>
      </c>
      <c r="AE190" s="36"/>
      <c r="AF190" s="37"/>
      <c r="AG190" s="37"/>
      <c r="AH190" s="37"/>
      <c r="AI190" s="37"/>
      <c r="AJ190" s="38"/>
      <c r="AK190" s="38"/>
    </row>
    <row r="191" spans="2:37" ht="18" customHeight="1" x14ac:dyDescent="0.2">
      <c r="B191" s="10">
        <f>garage!B191</f>
        <v>191</v>
      </c>
      <c r="C191" s="10">
        <f>garage!C191</f>
        <v>5</v>
      </c>
      <c r="D191" s="10">
        <f>garage!D191</f>
        <v>19</v>
      </c>
      <c r="E191" s="10">
        <f>garage!E191</f>
        <v>19</v>
      </c>
      <c r="F191" s="10" t="str">
        <f>garage!F191</f>
        <v>AM</v>
      </c>
      <c r="G191" s="10" t="str">
        <f>garage!G191</f>
        <v>N</v>
      </c>
      <c r="H191" s="10" t="str">
        <f>garage!H191</f>
        <v>N</v>
      </c>
      <c r="I191" s="10" t="str">
        <f>garage!I191</f>
        <v>N</v>
      </c>
      <c r="J191" s="10" t="str">
        <f>garage!J191</f>
        <v>N</v>
      </c>
      <c r="K191" s="10" t="str">
        <f>garage!K191</f>
        <v>S</v>
      </c>
      <c r="L191" s="11" t="str">
        <f>garage!L191</f>
        <v>Aston Martin</v>
      </c>
      <c r="M191" s="11" t="str">
        <f>garage!M191</f>
        <v>Valkyrie</v>
      </c>
      <c r="O191" s="19">
        <v>85</v>
      </c>
      <c r="P191" s="16">
        <v>25</v>
      </c>
      <c r="Q191" s="16">
        <v>29</v>
      </c>
      <c r="R191" s="16">
        <v>38</v>
      </c>
      <c r="S191" s="16">
        <v>54</v>
      </c>
      <c r="T191" s="17">
        <v>69</v>
      </c>
      <c r="U191" s="61">
        <f t="shared" si="47"/>
        <v>300</v>
      </c>
      <c r="W191" s="33">
        <v>66</v>
      </c>
      <c r="X191" s="34"/>
      <c r="Y191" s="34"/>
      <c r="Z191" s="34"/>
      <c r="AA191" s="34"/>
      <c r="AB191" s="35"/>
      <c r="AC191" s="35">
        <f t="shared" si="48"/>
        <v>66</v>
      </c>
      <c r="AE191" s="39">
        <f t="shared" ref="AE191:AJ191" si="52">O191-W191</f>
        <v>19</v>
      </c>
      <c r="AF191" s="40">
        <f t="shared" si="52"/>
        <v>25</v>
      </c>
      <c r="AG191" s="40">
        <f t="shared" si="52"/>
        <v>29</v>
      </c>
      <c r="AH191" s="40">
        <f t="shared" si="52"/>
        <v>38</v>
      </c>
      <c r="AI191" s="40">
        <f t="shared" si="52"/>
        <v>54</v>
      </c>
      <c r="AJ191" s="41">
        <f t="shared" si="52"/>
        <v>69</v>
      </c>
      <c r="AK191" s="41">
        <f>SUM(AE191:AJ191)</f>
        <v>234</v>
      </c>
    </row>
    <row r="192" spans="2:37" ht="18" customHeight="1" x14ac:dyDescent="0.2">
      <c r="B192" s="8">
        <f>garage!B192</f>
        <v>192</v>
      </c>
      <c r="C192" s="8">
        <f>garage!C192</f>
        <v>5</v>
      </c>
      <c r="D192" s="8">
        <f>garage!D192</f>
        <v>20</v>
      </c>
      <c r="E192" s="8">
        <f>garage!E192</f>
        <v>0</v>
      </c>
      <c r="F192" s="8" t="str">
        <f>garage!F192</f>
        <v>--</v>
      </c>
      <c r="G192" s="8" t="str">
        <f>garage!G192</f>
        <v>O</v>
      </c>
      <c r="H192" s="8" t="str">
        <f>garage!H192</f>
        <v>O</v>
      </c>
      <c r="I192" s="8" t="str">
        <f>garage!I192</f>
        <v>N</v>
      </c>
      <c r="J192" s="8" t="str">
        <f>garage!J192</f>
        <v>N</v>
      </c>
      <c r="K192" s="8" t="str">
        <f>garage!K192</f>
        <v>S</v>
      </c>
      <c r="L192" s="9" t="str">
        <f>garage!L192</f>
        <v>Zenvo</v>
      </c>
      <c r="M192" s="9" t="str">
        <f>garage!M192</f>
        <v>TS1 GT Anniversary</v>
      </c>
      <c r="O192" s="18">
        <v>60</v>
      </c>
      <c r="P192" s="14">
        <v>13</v>
      </c>
      <c r="Q192" s="14">
        <v>16</v>
      </c>
      <c r="R192" s="14">
        <v>25</v>
      </c>
      <c r="S192" s="14">
        <v>38</v>
      </c>
      <c r="T192" s="15">
        <v>48</v>
      </c>
      <c r="U192" s="60">
        <f t="shared" si="47"/>
        <v>200</v>
      </c>
      <c r="W192" s="30">
        <v>60</v>
      </c>
      <c r="X192" s="31">
        <v>13</v>
      </c>
      <c r="Y192" s="31">
        <v>16</v>
      </c>
      <c r="Z192" s="31">
        <v>25</v>
      </c>
      <c r="AA192" s="31">
        <v>38</v>
      </c>
      <c r="AB192" s="32">
        <v>48</v>
      </c>
      <c r="AC192" s="32">
        <f t="shared" si="48"/>
        <v>200</v>
      </c>
      <c r="AE192" s="36"/>
      <c r="AF192" s="37"/>
      <c r="AG192" s="37"/>
      <c r="AH192" s="37"/>
      <c r="AI192" s="37"/>
      <c r="AJ192" s="38"/>
      <c r="AK192" s="38"/>
    </row>
    <row r="193" spans="2:37" ht="18" customHeight="1" x14ac:dyDescent="0.2">
      <c r="B193" s="10">
        <f>garage!B193</f>
        <v>193</v>
      </c>
      <c r="C193" s="10">
        <f>garage!C193</f>
        <v>5</v>
      </c>
      <c r="D193" s="10">
        <f>garage!D193</f>
        <v>21</v>
      </c>
      <c r="E193" s="10">
        <f>garage!E193</f>
        <v>8</v>
      </c>
      <c r="F193" s="10" t="str">
        <f>garage!F193</f>
        <v>--</v>
      </c>
      <c r="G193" s="10" t="str">
        <f>garage!G193</f>
        <v>O</v>
      </c>
      <c r="H193" s="10" t="str">
        <f>garage!H193</f>
        <v>N</v>
      </c>
      <c r="I193" s="10" t="str">
        <f>garage!I193</f>
        <v>N</v>
      </c>
      <c r="J193" s="10" t="str">
        <f>garage!J193</f>
        <v>N</v>
      </c>
      <c r="K193" s="10" t="str">
        <f>garage!K193</f>
        <v>S</v>
      </c>
      <c r="L193" s="11" t="str">
        <f>garage!L193</f>
        <v>Automobili Pininfarina</v>
      </c>
      <c r="M193" s="11" t="str">
        <f>garage!M193</f>
        <v>Battista</v>
      </c>
      <c r="O193" s="19">
        <v>60</v>
      </c>
      <c r="P193" s="16">
        <v>25</v>
      </c>
      <c r="Q193" s="16">
        <v>35</v>
      </c>
      <c r="R193" s="16">
        <v>46</v>
      </c>
      <c r="S193" s="16">
        <v>58</v>
      </c>
      <c r="T193" s="17">
        <v>76</v>
      </c>
      <c r="U193" s="61">
        <f t="shared" si="47"/>
        <v>300</v>
      </c>
      <c r="W193" s="33">
        <v>60</v>
      </c>
      <c r="X193" s="34">
        <v>25</v>
      </c>
      <c r="Y193" s="34">
        <v>35</v>
      </c>
      <c r="Z193" s="34">
        <v>46</v>
      </c>
      <c r="AA193" s="34">
        <v>12</v>
      </c>
      <c r="AB193" s="35"/>
      <c r="AC193" s="35">
        <f t="shared" si="48"/>
        <v>178</v>
      </c>
      <c r="AE193" s="39"/>
      <c r="AF193" s="40"/>
      <c r="AG193" s="40"/>
      <c r="AH193" s="40"/>
      <c r="AI193" s="40">
        <f>S193-AA193</f>
        <v>46</v>
      </c>
      <c r="AJ193" s="41">
        <f>T193-AB193</f>
        <v>76</v>
      </c>
      <c r="AK193" s="41">
        <f>SUM(AE193:AJ193)</f>
        <v>122</v>
      </c>
    </row>
    <row r="194" spans="2:37" ht="18" customHeight="1" x14ac:dyDescent="0.2">
      <c r="B194" s="8">
        <f>garage!B194</f>
        <v>194</v>
      </c>
      <c r="C194" s="8">
        <f>garage!C194</f>
        <v>5</v>
      </c>
      <c r="D194" s="8">
        <f>garage!D194</f>
        <v>22</v>
      </c>
      <c r="E194" s="8">
        <f>garage!E194</f>
        <v>22</v>
      </c>
      <c r="F194" s="8" t="str">
        <f>garage!F194</f>
        <v>--</v>
      </c>
      <c r="G194" s="8" t="str">
        <f>garage!G194</f>
        <v>N</v>
      </c>
      <c r="H194" s="8" t="str">
        <f>garage!H194</f>
        <v>N</v>
      </c>
      <c r="I194" s="8" t="str">
        <f>garage!I194</f>
        <v>N</v>
      </c>
      <c r="J194" s="8" t="str">
        <f>garage!J194</f>
        <v>N</v>
      </c>
      <c r="K194" s="8" t="str">
        <f>garage!K194</f>
        <v>S</v>
      </c>
      <c r="L194" s="9" t="str">
        <f>garage!L194</f>
        <v>Naran</v>
      </c>
      <c r="M194" s="9" t="str">
        <f>garage!M194</f>
        <v>Hyper Coupé</v>
      </c>
      <c r="O194" s="18">
        <v>85</v>
      </c>
      <c r="P194" s="14">
        <v>25</v>
      </c>
      <c r="Q194" s="14">
        <v>29</v>
      </c>
      <c r="R194" s="14">
        <v>38</v>
      </c>
      <c r="S194" s="14">
        <v>54</v>
      </c>
      <c r="T194" s="15">
        <v>69</v>
      </c>
      <c r="U194" s="60">
        <f t="shared" si="47"/>
        <v>300</v>
      </c>
      <c r="W194" s="30">
        <v>25</v>
      </c>
      <c r="X194" s="31"/>
      <c r="Y194" s="31"/>
      <c r="Z194" s="31"/>
      <c r="AA194" s="31"/>
      <c r="AB194" s="32"/>
      <c r="AC194" s="32">
        <f t="shared" si="48"/>
        <v>25</v>
      </c>
      <c r="AE194" s="36">
        <f>O194-W194</f>
        <v>60</v>
      </c>
      <c r="AF194" s="37">
        <f>P194-X194</f>
        <v>25</v>
      </c>
      <c r="AG194" s="37">
        <f>Q194-Y194</f>
        <v>29</v>
      </c>
      <c r="AH194" s="37">
        <f>R194-Z194</f>
        <v>38</v>
      </c>
      <c r="AI194" s="37">
        <f>S194-AA194</f>
        <v>54</v>
      </c>
      <c r="AJ194" s="38">
        <f>T194-AB194</f>
        <v>69</v>
      </c>
      <c r="AK194" s="38">
        <f>SUM(AE194:AJ194)</f>
        <v>275</v>
      </c>
    </row>
    <row r="195" spans="2:37" ht="18" customHeight="1" x14ac:dyDescent="0.2">
      <c r="B195" s="10">
        <f>garage!B195</f>
        <v>195</v>
      </c>
      <c r="C195" s="10">
        <f>garage!C195</f>
        <v>5</v>
      </c>
      <c r="D195" s="10">
        <f>garage!D195</f>
        <v>23</v>
      </c>
      <c r="E195" s="10">
        <f>garage!E195</f>
        <v>14</v>
      </c>
      <c r="F195" s="10" t="str">
        <f>garage!F195</f>
        <v>M</v>
      </c>
      <c r="G195" s="10" t="str">
        <f>garage!G195</f>
        <v>O</v>
      </c>
      <c r="H195" s="10" t="str">
        <f>garage!H195</f>
        <v>N</v>
      </c>
      <c r="I195" s="10" t="str">
        <f>garage!I195</f>
        <v>N</v>
      </c>
      <c r="J195" s="10" t="str">
        <f>garage!J195</f>
        <v>N</v>
      </c>
      <c r="K195" s="10" t="str">
        <f>garage!K195</f>
        <v>S</v>
      </c>
      <c r="L195" s="11" t="str">
        <f>garage!L195</f>
        <v>McLaren</v>
      </c>
      <c r="M195" s="11" t="str">
        <f>garage!M195</f>
        <v>Speedtail</v>
      </c>
      <c r="O195" s="19">
        <v>85</v>
      </c>
      <c r="P195" s="16">
        <v>25</v>
      </c>
      <c r="Q195" s="16">
        <v>29</v>
      </c>
      <c r="R195" s="16">
        <v>38</v>
      </c>
      <c r="S195" s="16">
        <v>54</v>
      </c>
      <c r="T195" s="17">
        <v>69</v>
      </c>
      <c r="U195" s="61">
        <f t="shared" si="47"/>
        <v>300</v>
      </c>
      <c r="W195" s="33">
        <v>85</v>
      </c>
      <c r="X195" s="34">
        <v>25</v>
      </c>
      <c r="Y195" s="34">
        <v>29</v>
      </c>
      <c r="Z195" s="34">
        <v>38</v>
      </c>
      <c r="AA195" s="34">
        <v>54</v>
      </c>
      <c r="AB195" s="35">
        <v>18</v>
      </c>
      <c r="AC195" s="35">
        <f t="shared" si="48"/>
        <v>249</v>
      </c>
      <c r="AE195" s="39"/>
      <c r="AF195" s="40"/>
      <c r="AG195" s="40"/>
      <c r="AH195" s="40"/>
      <c r="AI195" s="40"/>
      <c r="AJ195" s="41">
        <f>T195-AB195</f>
        <v>51</v>
      </c>
      <c r="AK195" s="41">
        <f>SUM(AE195:AJ195)</f>
        <v>51</v>
      </c>
    </row>
    <row r="196" spans="2:37" ht="18" customHeight="1" x14ac:dyDescent="0.2">
      <c r="B196" s="8">
        <f>garage!B196</f>
        <v>196</v>
      </c>
      <c r="C196" s="8">
        <f>garage!C196</f>
        <v>5</v>
      </c>
      <c r="D196" s="8">
        <f>garage!D196</f>
        <v>24</v>
      </c>
      <c r="E196" s="8">
        <f>garage!E196</f>
        <v>28</v>
      </c>
      <c r="F196" s="8" t="str">
        <f>garage!F196</f>
        <v>--</v>
      </c>
      <c r="G196" s="8" t="str">
        <f>garage!G196</f>
        <v>N</v>
      </c>
      <c r="H196" s="8" t="str">
        <f>garage!H196</f>
        <v>N</v>
      </c>
      <c r="I196" s="8" t="str">
        <f>garage!I196</f>
        <v>N</v>
      </c>
      <c r="J196" s="8" t="str">
        <f>garage!J196</f>
        <v>N</v>
      </c>
      <c r="K196" s="8" t="str">
        <f>garage!K196</f>
        <v>S</v>
      </c>
      <c r="L196" s="9" t="str">
        <f>garage!L196</f>
        <v>Faraday</v>
      </c>
      <c r="M196" s="9" t="str">
        <f>garage!M196</f>
        <v>FFZero1</v>
      </c>
      <c r="O196" s="18">
        <v>85</v>
      </c>
      <c r="P196" s="14">
        <v>25</v>
      </c>
      <c r="Q196" s="14">
        <v>29</v>
      </c>
      <c r="R196" s="14">
        <v>38</v>
      </c>
      <c r="S196" s="14">
        <v>54</v>
      </c>
      <c r="T196" s="15">
        <v>69</v>
      </c>
      <c r="U196" s="60">
        <f t="shared" si="47"/>
        <v>300</v>
      </c>
      <c r="W196" s="30">
        <v>28</v>
      </c>
      <c r="X196" s="31"/>
      <c r="Y196" s="31"/>
      <c r="Z196" s="31"/>
      <c r="AA196" s="31"/>
      <c r="AB196" s="32"/>
      <c r="AC196" s="32">
        <f t="shared" si="48"/>
        <v>28</v>
      </c>
      <c r="AE196" s="36">
        <f>O196-W196</f>
        <v>57</v>
      </c>
      <c r="AF196" s="37">
        <f>P196-X196</f>
        <v>25</v>
      </c>
      <c r="AG196" s="37">
        <f>Q196-Y196</f>
        <v>29</v>
      </c>
      <c r="AH196" s="37">
        <f>R196-Z196</f>
        <v>38</v>
      </c>
      <c r="AI196" s="37">
        <f>S196-AA196</f>
        <v>54</v>
      </c>
      <c r="AJ196" s="38">
        <f>T196-AB196</f>
        <v>69</v>
      </c>
      <c r="AK196" s="38">
        <f>SUM(AE196:AJ196)</f>
        <v>272</v>
      </c>
    </row>
    <row r="197" spans="2:37" ht="18" customHeight="1" x14ac:dyDescent="0.2">
      <c r="B197" s="10">
        <f>garage!B197</f>
        <v>197</v>
      </c>
      <c r="C197" s="10">
        <f>garage!C197</f>
        <v>5</v>
      </c>
      <c r="D197" s="10">
        <f>garage!D197</f>
        <v>25</v>
      </c>
      <c r="E197" s="10">
        <f>garage!E197</f>
        <v>0</v>
      </c>
      <c r="F197" s="10" t="str">
        <f>garage!F197</f>
        <v>--</v>
      </c>
      <c r="G197" s="10" t="str">
        <f>garage!G197</f>
        <v>O</v>
      </c>
      <c r="H197" s="10" t="str">
        <f>garage!H197</f>
        <v>O</v>
      </c>
      <c r="I197" s="10" t="str">
        <f>garage!I197</f>
        <v>O</v>
      </c>
      <c r="J197" s="10" t="str">
        <f>garage!J197</f>
        <v>N</v>
      </c>
      <c r="K197" s="10" t="str">
        <f>garage!K197</f>
        <v>S</v>
      </c>
      <c r="L197" s="11" t="str">
        <f>garage!L197</f>
        <v>Koenigsegg</v>
      </c>
      <c r="M197" s="11" t="str">
        <f>garage!M197</f>
        <v>Regera</v>
      </c>
      <c r="O197" s="19">
        <v>60</v>
      </c>
      <c r="P197" s="16">
        <v>13</v>
      </c>
      <c r="Q197" s="16">
        <v>16</v>
      </c>
      <c r="R197" s="16">
        <v>25</v>
      </c>
      <c r="S197" s="16">
        <v>38</v>
      </c>
      <c r="T197" s="17">
        <v>48</v>
      </c>
      <c r="U197" s="61">
        <f t="shared" si="47"/>
        <v>200</v>
      </c>
      <c r="W197" s="33">
        <v>60</v>
      </c>
      <c r="X197" s="34">
        <v>13</v>
      </c>
      <c r="Y197" s="34">
        <v>16</v>
      </c>
      <c r="Z197" s="34">
        <v>25</v>
      </c>
      <c r="AA197" s="34">
        <v>38</v>
      </c>
      <c r="AB197" s="35">
        <v>48</v>
      </c>
      <c r="AC197" s="35">
        <f t="shared" si="48"/>
        <v>200</v>
      </c>
      <c r="AE197" s="39"/>
      <c r="AF197" s="40"/>
      <c r="AG197" s="40"/>
      <c r="AH197" s="40"/>
      <c r="AI197" s="40"/>
      <c r="AJ197" s="41"/>
      <c r="AK197" s="41"/>
    </row>
    <row r="198" spans="2:37" ht="18" customHeight="1" x14ac:dyDescent="0.2">
      <c r="B198" s="10">
        <f>garage!B198</f>
        <v>198</v>
      </c>
      <c r="C198" s="10">
        <f>garage!C198</f>
        <v>5</v>
      </c>
      <c r="D198" s="10">
        <f>garage!D198</f>
        <v>26</v>
      </c>
      <c r="E198" s="10">
        <f>garage!E198</f>
        <v>32</v>
      </c>
      <c r="F198" s="10" t="str">
        <f>garage!F198</f>
        <v>--</v>
      </c>
      <c r="G198" s="10" t="str">
        <f>garage!G198</f>
        <v>N</v>
      </c>
      <c r="H198" s="10" t="str">
        <f>garage!H198</f>
        <v>N</v>
      </c>
      <c r="I198" s="10" t="str">
        <f>garage!I198</f>
        <v>N</v>
      </c>
      <c r="J198" s="10" t="str">
        <f>garage!J198</f>
        <v>N</v>
      </c>
      <c r="K198" s="10" t="str">
        <f>garage!K198</f>
        <v>S</v>
      </c>
      <c r="L198" s="11" t="str">
        <f>garage!L198</f>
        <v>Saleen</v>
      </c>
      <c r="M198" s="11" t="str">
        <f>garage!M198</f>
        <v>S7 Twin Turbo</v>
      </c>
      <c r="O198" s="19" t="s">
        <v>115</v>
      </c>
      <c r="P198" s="16">
        <v>40</v>
      </c>
      <c r="Q198" s="16">
        <v>45</v>
      </c>
      <c r="R198" s="16">
        <v>60</v>
      </c>
      <c r="S198" s="16">
        <v>70</v>
      </c>
      <c r="T198" s="17">
        <v>85</v>
      </c>
      <c r="U198" s="61"/>
      <c r="W198" s="33"/>
      <c r="X198" s="34"/>
      <c r="Y198" s="34"/>
      <c r="Z198" s="34"/>
      <c r="AA198" s="34"/>
      <c r="AB198" s="35"/>
      <c r="AC198" s="35"/>
      <c r="AE198" s="39"/>
      <c r="AF198" s="40"/>
      <c r="AG198" s="40"/>
      <c r="AH198" s="40"/>
      <c r="AI198" s="40"/>
      <c r="AJ198" s="41"/>
      <c r="AK198" s="41"/>
    </row>
    <row r="199" spans="2:37" ht="18" customHeight="1" x14ac:dyDescent="0.2">
      <c r="B199" s="8">
        <f>garage!B199</f>
        <v>199</v>
      </c>
      <c r="C199" s="8">
        <f>garage!C199</f>
        <v>5</v>
      </c>
      <c r="D199" s="8">
        <f>garage!D199</f>
        <v>27</v>
      </c>
      <c r="E199" s="8">
        <f>garage!E199</f>
        <v>23</v>
      </c>
      <c r="F199" s="8" t="str">
        <f>garage!F199</f>
        <v>--</v>
      </c>
      <c r="G199" s="8" t="str">
        <f>garage!G199</f>
        <v>N</v>
      </c>
      <c r="H199" s="8" t="str">
        <f>garage!H199</f>
        <v>N</v>
      </c>
      <c r="I199" s="8" t="str">
        <f>garage!I199</f>
        <v>N</v>
      </c>
      <c r="J199" s="8" t="str">
        <f>garage!J199</f>
        <v>N</v>
      </c>
      <c r="K199" s="8" t="str">
        <f>garage!K199</f>
        <v>S</v>
      </c>
      <c r="L199" s="9" t="str">
        <f>garage!L199</f>
        <v>Ultima</v>
      </c>
      <c r="M199" s="9" t="str">
        <f>garage!M199</f>
        <v>RS</v>
      </c>
      <c r="O199" s="18" t="s">
        <v>115</v>
      </c>
      <c r="P199" s="14">
        <v>40</v>
      </c>
      <c r="Q199" s="14">
        <v>45</v>
      </c>
      <c r="R199" s="14">
        <v>60</v>
      </c>
      <c r="S199" s="14">
        <v>70</v>
      </c>
      <c r="T199" s="15">
        <v>85</v>
      </c>
      <c r="U199" s="60">
        <f t="shared" si="47"/>
        <v>300</v>
      </c>
      <c r="W199" s="30"/>
      <c r="X199" s="31">
        <v>40</v>
      </c>
      <c r="Y199" s="31">
        <v>45</v>
      </c>
      <c r="Z199" s="31">
        <v>43</v>
      </c>
      <c r="AA199" s="31"/>
      <c r="AB199" s="32"/>
      <c r="AC199" s="32">
        <f t="shared" si="48"/>
        <v>128</v>
      </c>
      <c r="AE199" s="36" t="s">
        <v>115</v>
      </c>
      <c r="AF199" s="37"/>
      <c r="AG199" s="37"/>
      <c r="AH199" s="37">
        <f t="shared" ref="AH199:AJ203" si="53">R199-Z199</f>
        <v>17</v>
      </c>
      <c r="AI199" s="37">
        <f t="shared" si="53"/>
        <v>70</v>
      </c>
      <c r="AJ199" s="38">
        <f t="shared" si="53"/>
        <v>85</v>
      </c>
      <c r="AK199" s="38">
        <f t="shared" ref="AK199:AK203" si="54">SUM(AE199:AJ199)</f>
        <v>172</v>
      </c>
    </row>
    <row r="200" spans="2:37" ht="18" customHeight="1" x14ac:dyDescent="0.2">
      <c r="B200" s="10">
        <f>garage!B200</f>
        <v>200</v>
      </c>
      <c r="C200" s="10">
        <f>garage!C200</f>
        <v>5</v>
      </c>
      <c r="D200" s="10">
        <f>garage!D200</f>
        <v>28</v>
      </c>
      <c r="E200" s="10">
        <f>garage!E200</f>
        <v>12</v>
      </c>
      <c r="F200" s="10" t="str">
        <f>garage!F200</f>
        <v>L</v>
      </c>
      <c r="G200" s="10" t="str">
        <f>garage!G200</f>
        <v>N</v>
      </c>
      <c r="H200" s="10" t="str">
        <f>garage!H200</f>
        <v>N</v>
      </c>
      <c r="I200" s="10" t="str">
        <f>garage!I200</f>
        <v>N</v>
      </c>
      <c r="J200" s="10" t="str">
        <f>garage!J200</f>
        <v>N</v>
      </c>
      <c r="K200" s="10" t="str">
        <f>garage!K200</f>
        <v>S</v>
      </c>
      <c r="L200" s="11" t="str">
        <f>garage!L200</f>
        <v>Lamborghini</v>
      </c>
      <c r="M200" s="11" t="str">
        <f>garage!M200</f>
        <v>Sián FKP 37</v>
      </c>
      <c r="O200" s="19">
        <v>85</v>
      </c>
      <c r="P200" s="16">
        <v>25</v>
      </c>
      <c r="Q200" s="16">
        <v>29</v>
      </c>
      <c r="R200" s="16">
        <v>38</v>
      </c>
      <c r="S200" s="16">
        <v>54</v>
      </c>
      <c r="T200" s="17">
        <v>69</v>
      </c>
      <c r="U200" s="61">
        <f t="shared" si="47"/>
        <v>300</v>
      </c>
      <c r="W200" s="33">
        <v>72</v>
      </c>
      <c r="X200" s="34"/>
      <c r="Y200" s="34"/>
      <c r="Z200" s="34"/>
      <c r="AA200" s="34"/>
      <c r="AB200" s="35"/>
      <c r="AC200" s="35">
        <f t="shared" si="48"/>
        <v>72</v>
      </c>
      <c r="AE200" s="39">
        <f t="shared" ref="AE200:AG201" si="55">O200-W200</f>
        <v>13</v>
      </c>
      <c r="AF200" s="40">
        <f t="shared" si="55"/>
        <v>25</v>
      </c>
      <c r="AG200" s="40">
        <f t="shared" si="55"/>
        <v>29</v>
      </c>
      <c r="AH200" s="40">
        <f t="shared" si="53"/>
        <v>38</v>
      </c>
      <c r="AI200" s="40">
        <f t="shared" si="53"/>
        <v>54</v>
      </c>
      <c r="AJ200" s="41">
        <f t="shared" si="53"/>
        <v>69</v>
      </c>
      <c r="AK200" s="41">
        <f t="shared" si="54"/>
        <v>228</v>
      </c>
    </row>
    <row r="201" spans="2:37" ht="18" customHeight="1" x14ac:dyDescent="0.2">
      <c r="B201" s="8">
        <f>garage!B201</f>
        <v>201</v>
      </c>
      <c r="C201" s="8">
        <f>garage!C201</f>
        <v>5</v>
      </c>
      <c r="D201" s="8">
        <f>garage!D201</f>
        <v>29</v>
      </c>
      <c r="E201" s="8">
        <f>garage!E201</f>
        <v>27</v>
      </c>
      <c r="F201" s="8" t="str">
        <f>garage!F201</f>
        <v>--</v>
      </c>
      <c r="G201" s="8" t="str">
        <f>garage!G201</f>
        <v>N</v>
      </c>
      <c r="H201" s="8" t="str">
        <f>garage!H201</f>
        <v>N</v>
      </c>
      <c r="I201" s="8" t="str">
        <f>garage!I201</f>
        <v>N</v>
      </c>
      <c r="J201" s="8" t="str">
        <f>garage!J201</f>
        <v>N</v>
      </c>
      <c r="K201" s="8" t="str">
        <f>garage!K201</f>
        <v>S</v>
      </c>
      <c r="L201" s="9" t="str">
        <f>garage!L201</f>
        <v>Ajlani</v>
      </c>
      <c r="M201" s="9" t="str">
        <f>garage!M201</f>
        <v>Drakuma</v>
      </c>
      <c r="O201" s="18">
        <v>85</v>
      </c>
      <c r="P201" s="14">
        <v>25</v>
      </c>
      <c r="Q201" s="14">
        <v>29</v>
      </c>
      <c r="R201" s="14">
        <v>38</v>
      </c>
      <c r="S201" s="14">
        <v>54</v>
      </c>
      <c r="T201" s="15">
        <v>69</v>
      </c>
      <c r="U201" s="60">
        <f t="shared" si="47"/>
        <v>300</v>
      </c>
      <c r="W201" s="30">
        <v>21</v>
      </c>
      <c r="X201" s="31"/>
      <c r="Y201" s="31"/>
      <c r="Z201" s="31"/>
      <c r="AA201" s="31"/>
      <c r="AB201" s="32"/>
      <c r="AC201" s="32">
        <f t="shared" si="48"/>
        <v>21</v>
      </c>
      <c r="AE201" s="36">
        <f t="shared" si="55"/>
        <v>64</v>
      </c>
      <c r="AF201" s="37">
        <f t="shared" si="55"/>
        <v>25</v>
      </c>
      <c r="AG201" s="37">
        <f t="shared" si="55"/>
        <v>29</v>
      </c>
      <c r="AH201" s="37">
        <f t="shared" si="53"/>
        <v>38</v>
      </c>
      <c r="AI201" s="37">
        <f t="shared" si="53"/>
        <v>54</v>
      </c>
      <c r="AJ201" s="38">
        <f t="shared" si="53"/>
        <v>69</v>
      </c>
      <c r="AK201" s="38">
        <f t="shared" si="54"/>
        <v>279</v>
      </c>
    </row>
    <row r="202" spans="2:37" ht="18" customHeight="1" x14ac:dyDescent="0.2">
      <c r="B202" s="10">
        <f>garage!B202</f>
        <v>202</v>
      </c>
      <c r="C202" s="10">
        <f>garage!C202</f>
        <v>5</v>
      </c>
      <c r="D202" s="10">
        <f>garage!D202</f>
        <v>30</v>
      </c>
      <c r="E202" s="10">
        <f>garage!E202</f>
        <v>17</v>
      </c>
      <c r="F202" s="10" t="str">
        <f>garage!F202</f>
        <v>--</v>
      </c>
      <c r="G202" s="10" t="str">
        <f>garage!G202</f>
        <v>O</v>
      </c>
      <c r="H202" s="10" t="str">
        <f>garage!H202</f>
        <v>N</v>
      </c>
      <c r="I202" s="10" t="str">
        <f>garage!I202</f>
        <v>N</v>
      </c>
      <c r="J202" s="10" t="str">
        <f>garage!J202</f>
        <v>N</v>
      </c>
      <c r="K202" s="10" t="str">
        <f>garage!K202</f>
        <v>S</v>
      </c>
      <c r="L202" s="11" t="str">
        <f>garage!L202</f>
        <v>Inferno Automobili</v>
      </c>
      <c r="M202" s="11" t="str">
        <f>garage!M202</f>
        <v>Inferno</v>
      </c>
      <c r="O202" s="19">
        <v>85</v>
      </c>
      <c r="P202" s="16">
        <v>25</v>
      </c>
      <c r="Q202" s="16">
        <v>29</v>
      </c>
      <c r="R202" s="16">
        <v>38</v>
      </c>
      <c r="S202" s="16">
        <v>54</v>
      </c>
      <c r="T202" s="17">
        <v>69</v>
      </c>
      <c r="U202" s="61">
        <f t="shared" si="47"/>
        <v>300</v>
      </c>
      <c r="W202" s="33">
        <v>85</v>
      </c>
      <c r="X202" s="34">
        <v>25</v>
      </c>
      <c r="Y202" s="34">
        <v>29</v>
      </c>
      <c r="Z202" s="34">
        <v>7</v>
      </c>
      <c r="AA202" s="34"/>
      <c r="AB202" s="35"/>
      <c r="AC202" s="35">
        <f t="shared" si="48"/>
        <v>146</v>
      </c>
      <c r="AE202" s="39"/>
      <c r="AF202" s="40"/>
      <c r="AG202" s="40"/>
      <c r="AH202" s="40">
        <f t="shared" si="53"/>
        <v>31</v>
      </c>
      <c r="AI202" s="40">
        <f t="shared" si="53"/>
        <v>54</v>
      </c>
      <c r="AJ202" s="41">
        <f t="shared" si="53"/>
        <v>69</v>
      </c>
      <c r="AK202" s="41">
        <f t="shared" si="54"/>
        <v>154</v>
      </c>
    </row>
    <row r="203" spans="2:37" ht="18" customHeight="1" x14ac:dyDescent="0.2">
      <c r="B203" s="8">
        <f>garage!B203</f>
        <v>203</v>
      </c>
      <c r="C203" s="8">
        <f>garage!C203</f>
        <v>5</v>
      </c>
      <c r="D203" s="8">
        <f>garage!D203</f>
        <v>31</v>
      </c>
      <c r="E203" s="8">
        <f>garage!E203</f>
        <v>29</v>
      </c>
      <c r="F203" s="8" t="str">
        <f>garage!F203</f>
        <v>--</v>
      </c>
      <c r="G203" s="8" t="str">
        <f>garage!G203</f>
        <v>N</v>
      </c>
      <c r="H203" s="8" t="str">
        <f>garage!H203</f>
        <v>N</v>
      </c>
      <c r="I203" s="8" t="str">
        <f>garage!I203</f>
        <v>N</v>
      </c>
      <c r="J203" s="8" t="str">
        <f>garage!J203</f>
        <v>N</v>
      </c>
      <c r="K203" s="8" t="str">
        <f>garage!K203</f>
        <v>S</v>
      </c>
      <c r="L203" s="9" t="str">
        <f>garage!L203</f>
        <v>Torino Design</v>
      </c>
      <c r="M203" s="9" t="str">
        <f>garage!M203</f>
        <v>Super Sport</v>
      </c>
      <c r="O203" s="18" t="s">
        <v>115</v>
      </c>
      <c r="P203" s="14">
        <v>40</v>
      </c>
      <c r="Q203" s="14">
        <v>45</v>
      </c>
      <c r="R203" s="14">
        <v>60</v>
      </c>
      <c r="S203" s="14">
        <v>70</v>
      </c>
      <c r="T203" s="15">
        <v>85</v>
      </c>
      <c r="U203" s="60">
        <f t="shared" si="47"/>
        <v>300</v>
      </c>
      <c r="W203" s="30"/>
      <c r="X203" s="31">
        <v>24</v>
      </c>
      <c r="Y203" s="31"/>
      <c r="Z203" s="31"/>
      <c r="AA203" s="31"/>
      <c r="AB203" s="32"/>
      <c r="AC203" s="32">
        <f t="shared" si="48"/>
        <v>24</v>
      </c>
      <c r="AE203" s="36" t="s">
        <v>115</v>
      </c>
      <c r="AF203" s="37">
        <f>P203-X203</f>
        <v>16</v>
      </c>
      <c r="AG203" s="37">
        <f>Q203-Y203</f>
        <v>45</v>
      </c>
      <c r="AH203" s="37">
        <f t="shared" si="53"/>
        <v>60</v>
      </c>
      <c r="AI203" s="37">
        <f t="shared" si="53"/>
        <v>70</v>
      </c>
      <c r="AJ203" s="38">
        <f t="shared" si="53"/>
        <v>85</v>
      </c>
      <c r="AK203" s="38">
        <f t="shared" si="54"/>
        <v>276</v>
      </c>
    </row>
    <row r="204" spans="2:37" ht="18" customHeight="1" x14ac:dyDescent="0.2">
      <c r="B204" s="10">
        <f>garage!B204</f>
        <v>204</v>
      </c>
      <c r="C204" s="10">
        <f>garage!C204</f>
        <v>5</v>
      </c>
      <c r="D204" s="10">
        <f>garage!D204</f>
        <v>32</v>
      </c>
      <c r="E204" s="10">
        <f>garage!E204</f>
        <v>0</v>
      </c>
      <c r="F204" s="10" t="str">
        <f>garage!F204</f>
        <v>B</v>
      </c>
      <c r="G204" s="10" t="str">
        <f>garage!G204</f>
        <v>O</v>
      </c>
      <c r="H204" s="10" t="str">
        <f>garage!H204</f>
        <v>O</v>
      </c>
      <c r="I204" s="10" t="str">
        <f>garage!I204</f>
        <v>O</v>
      </c>
      <c r="J204" s="10" t="str">
        <f>garage!J204</f>
        <v>N</v>
      </c>
      <c r="K204" s="10" t="str">
        <f>garage!K204</f>
        <v>S</v>
      </c>
      <c r="L204" s="11" t="str">
        <f>garage!L204</f>
        <v>Bugatti</v>
      </c>
      <c r="M204" s="11" t="str">
        <f>garage!M204</f>
        <v>Chiron</v>
      </c>
      <c r="O204" s="19">
        <v>60</v>
      </c>
      <c r="P204" s="16">
        <v>13</v>
      </c>
      <c r="Q204" s="16">
        <v>16</v>
      </c>
      <c r="R204" s="16">
        <v>25</v>
      </c>
      <c r="S204" s="16">
        <v>38</v>
      </c>
      <c r="T204" s="17">
        <v>48</v>
      </c>
      <c r="U204" s="61">
        <f t="shared" ref="U204:U223" si="56">SUM(O204:T204)</f>
        <v>200</v>
      </c>
      <c r="W204" s="33">
        <v>60</v>
      </c>
      <c r="X204" s="34">
        <v>13</v>
      </c>
      <c r="Y204" s="34">
        <v>16</v>
      </c>
      <c r="Z204" s="34">
        <v>25</v>
      </c>
      <c r="AA204" s="34">
        <v>38</v>
      </c>
      <c r="AB204" s="35">
        <v>48</v>
      </c>
      <c r="AC204" s="35">
        <f t="shared" ref="AC204:AC223" si="57">SUM(W204:AB204)</f>
        <v>200</v>
      </c>
      <c r="AE204" s="39"/>
      <c r="AF204" s="40"/>
      <c r="AG204" s="40"/>
      <c r="AH204" s="40"/>
      <c r="AI204" s="40"/>
      <c r="AJ204" s="41"/>
      <c r="AK204" s="41"/>
    </row>
    <row r="205" spans="2:37" ht="18" customHeight="1" x14ac:dyDescent="0.2">
      <c r="B205" s="8">
        <f>garage!B205</f>
        <v>205</v>
      </c>
      <c r="C205" s="8">
        <f>garage!C205</f>
        <v>5</v>
      </c>
      <c r="D205" s="8">
        <f>garage!D205</f>
        <v>33</v>
      </c>
      <c r="E205" s="8">
        <f>garage!E205</f>
        <v>13</v>
      </c>
      <c r="F205" s="8" t="str">
        <f>garage!F205</f>
        <v>--</v>
      </c>
      <c r="G205" s="8" t="str">
        <f>garage!G205</f>
        <v>O</v>
      </c>
      <c r="H205" s="8" t="str">
        <f>garage!H205</f>
        <v>O</v>
      </c>
      <c r="I205" s="8" t="str">
        <f>garage!I205</f>
        <v>N</v>
      </c>
      <c r="J205" s="8" t="str">
        <f>garage!J205</f>
        <v>N</v>
      </c>
      <c r="K205" s="8" t="str">
        <f>garage!K205</f>
        <v>S</v>
      </c>
      <c r="L205" s="9" t="str">
        <f>garage!L205</f>
        <v>BXR</v>
      </c>
      <c r="M205" s="9" t="str">
        <f>garage!M205</f>
        <v>Bailey Blade GT1</v>
      </c>
      <c r="O205" s="18">
        <v>85</v>
      </c>
      <c r="P205" s="14">
        <v>25</v>
      </c>
      <c r="Q205" s="14">
        <v>29</v>
      </c>
      <c r="R205" s="14">
        <v>38</v>
      </c>
      <c r="S205" s="14">
        <v>54</v>
      </c>
      <c r="T205" s="15">
        <v>69</v>
      </c>
      <c r="U205" s="60">
        <f t="shared" si="56"/>
        <v>300</v>
      </c>
      <c r="W205" s="30">
        <v>85</v>
      </c>
      <c r="X205" s="31">
        <v>25</v>
      </c>
      <c r="Y205" s="31">
        <v>29</v>
      </c>
      <c r="Z205" s="31">
        <v>38</v>
      </c>
      <c r="AA205" s="31">
        <v>54</v>
      </c>
      <c r="AB205" s="32">
        <v>69</v>
      </c>
      <c r="AC205" s="32">
        <f t="shared" si="57"/>
        <v>300</v>
      </c>
      <c r="AE205" s="36"/>
      <c r="AF205" s="37"/>
      <c r="AG205" s="37"/>
      <c r="AH205" s="37"/>
      <c r="AI205" s="37"/>
      <c r="AJ205" s="38"/>
      <c r="AK205" s="38"/>
    </row>
    <row r="206" spans="2:37" ht="18" customHeight="1" x14ac:dyDescent="0.2">
      <c r="B206" s="10">
        <f>garage!B206</f>
        <v>206</v>
      </c>
      <c r="C206" s="10">
        <f>garage!C206</f>
        <v>5</v>
      </c>
      <c r="D206" s="10">
        <f>garage!D206</f>
        <v>34</v>
      </c>
      <c r="E206" s="10">
        <f>garage!E206</f>
        <v>16</v>
      </c>
      <c r="F206" s="10" t="str">
        <f>garage!F206</f>
        <v>B</v>
      </c>
      <c r="G206" s="10" t="str">
        <f>garage!G206</f>
        <v>N</v>
      </c>
      <c r="H206" s="10" t="str">
        <f>garage!H206</f>
        <v>N</v>
      </c>
      <c r="I206" s="10" t="str">
        <f>garage!I206</f>
        <v>N</v>
      </c>
      <c r="J206" s="10" t="str">
        <f>garage!J206</f>
        <v>N</v>
      </c>
      <c r="K206" s="10" t="str">
        <f>garage!K206</f>
        <v>S</v>
      </c>
      <c r="L206" s="11" t="str">
        <f>garage!L206</f>
        <v>Bugatti</v>
      </c>
      <c r="M206" s="11" t="str">
        <f>garage!M206</f>
        <v>Divo</v>
      </c>
      <c r="O206" s="19">
        <v>85</v>
      </c>
      <c r="P206" s="16">
        <v>25</v>
      </c>
      <c r="Q206" s="16">
        <v>29</v>
      </c>
      <c r="R206" s="16">
        <v>38</v>
      </c>
      <c r="S206" s="16">
        <v>54</v>
      </c>
      <c r="T206" s="17">
        <v>69</v>
      </c>
      <c r="U206" s="61">
        <f t="shared" si="56"/>
        <v>300</v>
      </c>
      <c r="W206" s="33">
        <v>23</v>
      </c>
      <c r="X206" s="34"/>
      <c r="Y206" s="34"/>
      <c r="Z206" s="34"/>
      <c r="AA206" s="34"/>
      <c r="AB206" s="35"/>
      <c r="AC206" s="35">
        <f t="shared" si="57"/>
        <v>23</v>
      </c>
      <c r="AE206" s="39">
        <f t="shared" ref="AE206:AJ210" si="58">O206-W206</f>
        <v>62</v>
      </c>
      <c r="AF206" s="40">
        <f t="shared" si="58"/>
        <v>25</v>
      </c>
      <c r="AG206" s="40">
        <f t="shared" si="58"/>
        <v>29</v>
      </c>
      <c r="AH206" s="40">
        <f t="shared" si="58"/>
        <v>38</v>
      </c>
      <c r="AI206" s="40">
        <f t="shared" si="58"/>
        <v>54</v>
      </c>
      <c r="AJ206" s="41">
        <f t="shared" si="58"/>
        <v>69</v>
      </c>
      <c r="AK206" s="41">
        <f t="shared" ref="AK206:AK215" si="59">SUM(AE206:AJ206)</f>
        <v>277</v>
      </c>
    </row>
    <row r="207" spans="2:37" ht="18" customHeight="1" x14ac:dyDescent="0.2">
      <c r="B207" s="8">
        <f>garage!B207</f>
        <v>207</v>
      </c>
      <c r="C207" s="8">
        <f>garage!C207</f>
        <v>5</v>
      </c>
      <c r="D207" s="8">
        <f>garage!D207</f>
        <v>35</v>
      </c>
      <c r="E207" s="8">
        <f>garage!E207</f>
        <v>24</v>
      </c>
      <c r="F207" s="8" t="str">
        <f>garage!F207</f>
        <v>--</v>
      </c>
      <c r="G207" s="8" t="str">
        <f>garage!G207</f>
        <v>N</v>
      </c>
      <c r="H207" s="8" t="str">
        <f>garage!H207</f>
        <v>N</v>
      </c>
      <c r="I207" s="8" t="str">
        <f>garage!I207</f>
        <v>N</v>
      </c>
      <c r="J207" s="8" t="str">
        <f>garage!J207</f>
        <v>N</v>
      </c>
      <c r="K207" s="8" t="str">
        <f>garage!K207</f>
        <v>S</v>
      </c>
      <c r="L207" s="9" t="str">
        <f>garage!L207</f>
        <v>Tushek</v>
      </c>
      <c r="M207" s="9" t="str">
        <f>garage!M207</f>
        <v>TS 900 Racer Pro</v>
      </c>
      <c r="O207" s="18">
        <v>85</v>
      </c>
      <c r="P207" s="14">
        <v>25</v>
      </c>
      <c r="Q207" s="14">
        <v>29</v>
      </c>
      <c r="R207" s="14">
        <v>38</v>
      </c>
      <c r="S207" s="14">
        <v>54</v>
      </c>
      <c r="T207" s="15">
        <v>69</v>
      </c>
      <c r="U207" s="60">
        <f t="shared" si="56"/>
        <v>300</v>
      </c>
      <c r="W207" s="30">
        <v>1</v>
      </c>
      <c r="X207" s="31"/>
      <c r="Y207" s="31"/>
      <c r="Z207" s="31"/>
      <c r="AA207" s="31"/>
      <c r="AB207" s="32"/>
      <c r="AC207" s="32">
        <f t="shared" si="57"/>
        <v>1</v>
      </c>
      <c r="AE207" s="36">
        <f t="shared" si="58"/>
        <v>84</v>
      </c>
      <c r="AF207" s="37">
        <f t="shared" si="58"/>
        <v>25</v>
      </c>
      <c r="AG207" s="37">
        <f t="shared" si="58"/>
        <v>29</v>
      </c>
      <c r="AH207" s="37">
        <f t="shared" si="58"/>
        <v>38</v>
      </c>
      <c r="AI207" s="37">
        <f t="shared" si="58"/>
        <v>54</v>
      </c>
      <c r="AJ207" s="38">
        <f t="shared" si="58"/>
        <v>69</v>
      </c>
      <c r="AK207" s="38">
        <f t="shared" si="59"/>
        <v>299</v>
      </c>
    </row>
    <row r="208" spans="2:37" ht="18" customHeight="1" x14ac:dyDescent="0.2">
      <c r="B208" s="10">
        <f>garage!B208</f>
        <v>208</v>
      </c>
      <c r="C208" s="10">
        <f>garage!C208</f>
        <v>5</v>
      </c>
      <c r="D208" s="10">
        <f>garage!D208</f>
        <v>36</v>
      </c>
      <c r="E208" s="10">
        <f>garage!E208</f>
        <v>18</v>
      </c>
      <c r="F208" s="10" t="str">
        <f>garage!F208</f>
        <v>--</v>
      </c>
      <c r="G208" s="10" t="str">
        <f>garage!G208</f>
        <v>N</v>
      </c>
      <c r="H208" s="10" t="str">
        <f>garage!H208</f>
        <v>N</v>
      </c>
      <c r="I208" s="10" t="str">
        <f>garage!I208</f>
        <v>N</v>
      </c>
      <c r="J208" s="10" t="str">
        <f>garage!J208</f>
        <v>N</v>
      </c>
      <c r="K208" s="10" t="str">
        <f>garage!K208</f>
        <v>S</v>
      </c>
      <c r="L208" s="11" t="str">
        <f>garage!L208</f>
        <v>Mazzanti</v>
      </c>
      <c r="M208" s="11" t="str">
        <f>garage!M208</f>
        <v>Evantra Millecavalli</v>
      </c>
      <c r="O208" s="19">
        <v>85</v>
      </c>
      <c r="P208" s="16">
        <v>25</v>
      </c>
      <c r="Q208" s="16">
        <v>29</v>
      </c>
      <c r="R208" s="16">
        <v>38</v>
      </c>
      <c r="S208" s="16">
        <v>54</v>
      </c>
      <c r="T208" s="17">
        <v>69</v>
      </c>
      <c r="U208" s="61">
        <f t="shared" si="56"/>
        <v>300</v>
      </c>
      <c r="W208" s="33">
        <v>70</v>
      </c>
      <c r="X208" s="34"/>
      <c r="Y208" s="34"/>
      <c r="Z208" s="34"/>
      <c r="AA208" s="34"/>
      <c r="AB208" s="35"/>
      <c r="AC208" s="35">
        <f t="shared" si="57"/>
        <v>70</v>
      </c>
      <c r="AE208" s="39">
        <f t="shared" si="58"/>
        <v>15</v>
      </c>
      <c r="AF208" s="40">
        <f t="shared" si="58"/>
        <v>25</v>
      </c>
      <c r="AG208" s="40">
        <f t="shared" si="58"/>
        <v>29</v>
      </c>
      <c r="AH208" s="40">
        <f t="shared" si="58"/>
        <v>38</v>
      </c>
      <c r="AI208" s="40">
        <f t="shared" si="58"/>
        <v>54</v>
      </c>
      <c r="AJ208" s="41">
        <f t="shared" si="58"/>
        <v>69</v>
      </c>
      <c r="AK208" s="41">
        <f t="shared" si="59"/>
        <v>230</v>
      </c>
    </row>
    <row r="209" spans="2:37" ht="18" customHeight="1" x14ac:dyDescent="0.2">
      <c r="B209" s="8">
        <f>garage!B209</f>
        <v>209</v>
      </c>
      <c r="C209" s="8">
        <f>garage!C209</f>
        <v>5</v>
      </c>
      <c r="D209" s="8">
        <f>garage!D209</f>
        <v>37</v>
      </c>
      <c r="E209" s="8">
        <f>garage!E209</f>
        <v>21</v>
      </c>
      <c r="F209" s="8" t="str">
        <f>garage!F209</f>
        <v>TD</v>
      </c>
      <c r="G209" s="8" t="str">
        <f>garage!G209</f>
        <v>N</v>
      </c>
      <c r="H209" s="8" t="str">
        <f>garage!H209</f>
        <v>N</v>
      </c>
      <c r="I209" s="8" t="str">
        <f>garage!I209</f>
        <v>N</v>
      </c>
      <c r="J209" s="8" t="str">
        <f>garage!J209</f>
        <v>N</v>
      </c>
      <c r="K209" s="8" t="str">
        <f>garage!K209</f>
        <v>S</v>
      </c>
      <c r="L209" s="9" t="str">
        <f>garage!L209</f>
        <v>Toroidion</v>
      </c>
      <c r="M209" s="9" t="str">
        <f>garage!M209</f>
        <v>1MW</v>
      </c>
      <c r="O209" s="18">
        <v>85</v>
      </c>
      <c r="P209" s="14">
        <v>25</v>
      </c>
      <c r="Q209" s="14">
        <v>29</v>
      </c>
      <c r="R209" s="14">
        <v>38</v>
      </c>
      <c r="S209" s="14">
        <v>54</v>
      </c>
      <c r="T209" s="15">
        <v>69</v>
      </c>
      <c r="U209" s="60">
        <f t="shared" si="56"/>
        <v>300</v>
      </c>
      <c r="W209" s="30">
        <v>6</v>
      </c>
      <c r="X209" s="31"/>
      <c r="Y209" s="31"/>
      <c r="Z209" s="31"/>
      <c r="AA209" s="31"/>
      <c r="AB209" s="32"/>
      <c r="AC209" s="32">
        <f t="shared" si="57"/>
        <v>6</v>
      </c>
      <c r="AE209" s="36">
        <f t="shared" si="58"/>
        <v>79</v>
      </c>
      <c r="AF209" s="37">
        <f t="shared" si="58"/>
        <v>25</v>
      </c>
      <c r="AG209" s="37">
        <f t="shared" si="58"/>
        <v>29</v>
      </c>
      <c r="AH209" s="37">
        <f t="shared" si="58"/>
        <v>38</v>
      </c>
      <c r="AI209" s="37">
        <f t="shared" si="58"/>
        <v>54</v>
      </c>
      <c r="AJ209" s="38">
        <f t="shared" si="58"/>
        <v>69</v>
      </c>
      <c r="AK209" s="38">
        <f t="shared" si="59"/>
        <v>294</v>
      </c>
    </row>
    <row r="210" spans="2:37" ht="18" customHeight="1" x14ac:dyDescent="0.2">
      <c r="B210" s="10">
        <f>garage!B210</f>
        <v>210</v>
      </c>
      <c r="C210" s="10">
        <f>garage!C210</f>
        <v>5</v>
      </c>
      <c r="D210" s="10">
        <f>garage!D210</f>
        <v>38</v>
      </c>
      <c r="E210" s="10">
        <f>garage!E210</f>
        <v>27</v>
      </c>
      <c r="F210" s="10" t="str">
        <f>garage!F210</f>
        <v>--</v>
      </c>
      <c r="G210" s="10" t="str">
        <f>garage!G210</f>
        <v>N</v>
      </c>
      <c r="H210" s="10" t="str">
        <f>garage!H210</f>
        <v>N</v>
      </c>
      <c r="I210" s="10" t="str">
        <f>garage!I210</f>
        <v>N</v>
      </c>
      <c r="J210" s="10" t="str">
        <f>garage!J210</f>
        <v>N</v>
      </c>
      <c r="K210" s="10" t="str">
        <f>garage!K210</f>
        <v>S</v>
      </c>
      <c r="L210" s="11" t="str">
        <f>garage!L210</f>
        <v>Inferno Automobili</v>
      </c>
      <c r="M210" s="11" t="str">
        <f>garage!M210</f>
        <v>Settimo Cerchio</v>
      </c>
      <c r="O210" s="19">
        <v>85</v>
      </c>
      <c r="P210" s="16">
        <v>25</v>
      </c>
      <c r="Q210" s="16">
        <v>29</v>
      </c>
      <c r="R210" s="16">
        <v>38</v>
      </c>
      <c r="S210" s="16">
        <v>54</v>
      </c>
      <c r="T210" s="17">
        <v>69</v>
      </c>
      <c r="U210" s="61">
        <f t="shared" si="56"/>
        <v>300</v>
      </c>
      <c r="W210" s="33">
        <v>1</v>
      </c>
      <c r="X210" s="34"/>
      <c r="Y210" s="34"/>
      <c r="Z210" s="34"/>
      <c r="AA210" s="34"/>
      <c r="AB210" s="35"/>
      <c r="AC210" s="35">
        <f t="shared" si="57"/>
        <v>1</v>
      </c>
      <c r="AE210" s="39">
        <f t="shared" si="58"/>
        <v>84</v>
      </c>
      <c r="AF210" s="40">
        <f t="shared" si="58"/>
        <v>25</v>
      </c>
      <c r="AG210" s="40">
        <f t="shared" si="58"/>
        <v>29</v>
      </c>
      <c r="AH210" s="40">
        <f t="shared" si="58"/>
        <v>38</v>
      </c>
      <c r="AI210" s="40">
        <f t="shared" si="58"/>
        <v>54</v>
      </c>
      <c r="AJ210" s="41">
        <f t="shared" si="58"/>
        <v>69</v>
      </c>
      <c r="AK210" s="41">
        <f t="shared" si="59"/>
        <v>299</v>
      </c>
    </row>
    <row r="211" spans="2:37" ht="18" customHeight="1" x14ac:dyDescent="0.2">
      <c r="B211" s="8">
        <f>garage!B211</f>
        <v>211</v>
      </c>
      <c r="C211" s="8">
        <f>garage!C211</f>
        <v>5</v>
      </c>
      <c r="D211" s="8">
        <f>garage!D211</f>
        <v>39</v>
      </c>
      <c r="E211" s="8">
        <f>garage!E211</f>
        <v>6</v>
      </c>
      <c r="F211" s="8" t="str">
        <f>garage!F211</f>
        <v>--</v>
      </c>
      <c r="G211" s="8" t="str">
        <f>garage!G211</f>
        <v>N</v>
      </c>
      <c r="H211" s="8" t="str">
        <f>garage!H211</f>
        <v>O</v>
      </c>
      <c r="I211" s="8" t="str">
        <f>garage!I211</f>
        <v>N</v>
      </c>
      <c r="J211" s="8" t="str">
        <f>garage!J211</f>
        <v>N</v>
      </c>
      <c r="K211" s="8" t="str">
        <f>garage!K211</f>
        <v>S</v>
      </c>
      <c r="L211" s="9" t="str">
        <f>garage!L211</f>
        <v>Koenigsegg</v>
      </c>
      <c r="M211" s="9" t="str">
        <f>garage!M211</f>
        <v>Jesko</v>
      </c>
      <c r="O211" s="18" t="s">
        <v>115</v>
      </c>
      <c r="P211" s="14">
        <v>40</v>
      </c>
      <c r="Q211" s="14">
        <v>45</v>
      </c>
      <c r="R211" s="14">
        <v>60</v>
      </c>
      <c r="S211" s="14">
        <v>70</v>
      </c>
      <c r="T211" s="15">
        <v>85</v>
      </c>
      <c r="U211" s="60">
        <f t="shared" si="56"/>
        <v>300</v>
      </c>
      <c r="W211" s="30"/>
      <c r="X211" s="31">
        <v>40</v>
      </c>
      <c r="Y211" s="31">
        <v>45</v>
      </c>
      <c r="Z211" s="31">
        <v>60</v>
      </c>
      <c r="AA211" s="31">
        <v>70</v>
      </c>
      <c r="AB211" s="32">
        <v>85</v>
      </c>
      <c r="AC211" s="32">
        <f t="shared" si="57"/>
        <v>300</v>
      </c>
      <c r="AE211" s="36" t="s">
        <v>115</v>
      </c>
      <c r="AF211" s="37"/>
      <c r="AG211" s="37"/>
      <c r="AH211" s="37"/>
      <c r="AI211" s="37"/>
      <c r="AJ211" s="38"/>
      <c r="AK211" s="38"/>
    </row>
    <row r="212" spans="2:37" ht="18" customHeight="1" x14ac:dyDescent="0.2">
      <c r="B212" s="10">
        <f>garage!B212</f>
        <v>212</v>
      </c>
      <c r="C212" s="10">
        <f>garage!C212</f>
        <v>5</v>
      </c>
      <c r="D212" s="10">
        <f>garage!D212</f>
        <v>40</v>
      </c>
      <c r="E212" s="10">
        <f>garage!E212</f>
        <v>26</v>
      </c>
      <c r="F212" s="10" t="str">
        <f>garage!F212</f>
        <v>B</v>
      </c>
      <c r="G212" s="10" t="str">
        <f>garage!G212</f>
        <v>N</v>
      </c>
      <c r="H212" s="10" t="str">
        <f>garage!H212</f>
        <v>N</v>
      </c>
      <c r="I212" s="10" t="str">
        <f>garage!I212</f>
        <v>N</v>
      </c>
      <c r="J212" s="10" t="str">
        <f>garage!J212</f>
        <v>N</v>
      </c>
      <c r="K212" s="10" t="str">
        <f>garage!K212</f>
        <v>S</v>
      </c>
      <c r="L212" s="11" t="str">
        <f>garage!L212</f>
        <v>Bugatti</v>
      </c>
      <c r="M212" s="11" t="str">
        <f>garage!M212</f>
        <v>Centodieci</v>
      </c>
      <c r="O212" s="19" t="s">
        <v>115</v>
      </c>
      <c r="P212" s="16">
        <v>40</v>
      </c>
      <c r="Q212" s="16">
        <v>45</v>
      </c>
      <c r="R212" s="16">
        <v>60</v>
      </c>
      <c r="S212" s="16">
        <v>70</v>
      </c>
      <c r="T212" s="17">
        <v>85</v>
      </c>
      <c r="U212" s="61">
        <f t="shared" si="56"/>
        <v>300</v>
      </c>
      <c r="W212" s="33"/>
      <c r="X212" s="34"/>
      <c r="Y212" s="34"/>
      <c r="Z212" s="34"/>
      <c r="AA212" s="34"/>
      <c r="AB212" s="35"/>
      <c r="AC212" s="35">
        <f t="shared" si="57"/>
        <v>0</v>
      </c>
      <c r="AE212" s="39" t="s">
        <v>115</v>
      </c>
      <c r="AF212" s="40">
        <f t="shared" ref="AF212:AJ213" si="60">P212-X212</f>
        <v>40</v>
      </c>
      <c r="AG212" s="40">
        <f t="shared" si="60"/>
        <v>45</v>
      </c>
      <c r="AH212" s="40">
        <f t="shared" si="60"/>
        <v>60</v>
      </c>
      <c r="AI212" s="40">
        <f t="shared" si="60"/>
        <v>70</v>
      </c>
      <c r="AJ212" s="41">
        <f t="shared" si="60"/>
        <v>85</v>
      </c>
      <c r="AK212" s="41">
        <f t="shared" si="59"/>
        <v>300</v>
      </c>
    </row>
    <row r="213" spans="2:37" ht="18" customHeight="1" x14ac:dyDescent="0.2">
      <c r="B213" s="8">
        <f>garage!B213</f>
        <v>213</v>
      </c>
      <c r="C213" s="8">
        <f>garage!C213</f>
        <v>5</v>
      </c>
      <c r="D213" s="8">
        <f>garage!D213</f>
        <v>41</v>
      </c>
      <c r="E213" s="8">
        <f>garage!E213</f>
        <v>17</v>
      </c>
      <c r="F213" s="8" t="str">
        <f>garage!F213</f>
        <v>--</v>
      </c>
      <c r="G213" s="8" t="str">
        <f>garage!G213</f>
        <v>N</v>
      </c>
      <c r="H213" s="8" t="str">
        <f>garage!H213</f>
        <v>N</v>
      </c>
      <c r="I213" s="8" t="str">
        <f>garage!I213</f>
        <v>N</v>
      </c>
      <c r="J213" s="8" t="str">
        <f>garage!J213</f>
        <v>N</v>
      </c>
      <c r="K213" s="8" t="str">
        <f>garage!K213</f>
        <v>S</v>
      </c>
      <c r="L213" s="9" t="str">
        <f>garage!L213</f>
        <v>Aspark</v>
      </c>
      <c r="M213" s="9" t="str">
        <f>garage!M213</f>
        <v>Owl</v>
      </c>
      <c r="O213" s="18">
        <v>85</v>
      </c>
      <c r="P213" s="14">
        <v>25</v>
      </c>
      <c r="Q213" s="14">
        <v>29</v>
      </c>
      <c r="R213" s="14">
        <v>38</v>
      </c>
      <c r="S213" s="14">
        <v>54</v>
      </c>
      <c r="T213" s="15">
        <v>69</v>
      </c>
      <c r="U213" s="60">
        <f t="shared" si="56"/>
        <v>300</v>
      </c>
      <c r="W213" s="30">
        <v>25</v>
      </c>
      <c r="X213" s="31"/>
      <c r="Y213" s="31"/>
      <c r="Z213" s="31"/>
      <c r="AA213" s="31"/>
      <c r="AB213" s="32"/>
      <c r="AC213" s="32">
        <f t="shared" si="57"/>
        <v>25</v>
      </c>
      <c r="AE213" s="36">
        <f>O213-W213</f>
        <v>60</v>
      </c>
      <c r="AF213" s="37">
        <f t="shared" si="60"/>
        <v>25</v>
      </c>
      <c r="AG213" s="37">
        <f t="shared" si="60"/>
        <v>29</v>
      </c>
      <c r="AH213" s="37">
        <f t="shared" si="60"/>
        <v>38</v>
      </c>
      <c r="AI213" s="37">
        <f t="shared" si="60"/>
        <v>54</v>
      </c>
      <c r="AJ213" s="38">
        <f t="shared" si="60"/>
        <v>69</v>
      </c>
      <c r="AK213" s="38">
        <f t="shared" si="59"/>
        <v>275</v>
      </c>
    </row>
    <row r="214" spans="2:37" ht="18" customHeight="1" x14ac:dyDescent="0.2">
      <c r="B214" s="10">
        <f>garage!B214</f>
        <v>214</v>
      </c>
      <c r="C214" s="10">
        <f>garage!C214</f>
        <v>5</v>
      </c>
      <c r="D214" s="10">
        <f>garage!D214</f>
        <v>42</v>
      </c>
      <c r="E214" s="10">
        <f>garage!E214</f>
        <v>0</v>
      </c>
      <c r="F214" s="10" t="str">
        <f>garage!F214</f>
        <v>--</v>
      </c>
      <c r="G214" s="10" t="str">
        <f>garage!G214</f>
        <v>N</v>
      </c>
      <c r="H214" s="10" t="str">
        <f>garage!H214</f>
        <v>N</v>
      </c>
      <c r="I214" s="10" t="str">
        <f>garage!I214</f>
        <v>N</v>
      </c>
      <c r="J214" s="10" t="str">
        <f>garage!J214</f>
        <v>N</v>
      </c>
      <c r="K214" s="10" t="str">
        <f>garage!K214</f>
        <v>S</v>
      </c>
      <c r="L214" s="11" t="str">
        <f>garage!L214</f>
        <v>Rimac</v>
      </c>
      <c r="M214" s="11" t="str">
        <f>garage!M214</f>
        <v>Nevera</v>
      </c>
      <c r="O214" s="19" t="s">
        <v>115</v>
      </c>
      <c r="P214" s="16">
        <v>40</v>
      </c>
      <c r="Q214" s="16">
        <v>45</v>
      </c>
      <c r="R214" s="16">
        <v>60</v>
      </c>
      <c r="S214" s="16">
        <v>70</v>
      </c>
      <c r="T214" s="17">
        <v>85</v>
      </c>
      <c r="U214" s="61">
        <f t="shared" si="56"/>
        <v>300</v>
      </c>
      <c r="W214" s="33"/>
      <c r="X214" s="34">
        <v>40</v>
      </c>
      <c r="Y214" s="34">
        <v>11</v>
      </c>
      <c r="Z214" s="34"/>
      <c r="AA214" s="34"/>
      <c r="AB214" s="35"/>
      <c r="AC214" s="35">
        <f t="shared" si="57"/>
        <v>51</v>
      </c>
      <c r="AE214" s="39" t="s">
        <v>115</v>
      </c>
      <c r="AF214" s="40"/>
      <c r="AG214" s="40">
        <f t="shared" ref="AG214:AJ215" si="61">Q214-Y214</f>
        <v>34</v>
      </c>
      <c r="AH214" s="40">
        <f t="shared" si="61"/>
        <v>60</v>
      </c>
      <c r="AI214" s="40">
        <f t="shared" si="61"/>
        <v>70</v>
      </c>
      <c r="AJ214" s="41">
        <f t="shared" si="61"/>
        <v>85</v>
      </c>
      <c r="AK214" s="41">
        <f t="shared" si="59"/>
        <v>249</v>
      </c>
    </row>
    <row r="215" spans="2:37" ht="18" customHeight="1" x14ac:dyDescent="0.2">
      <c r="B215" s="8">
        <f>garage!B215</f>
        <v>215</v>
      </c>
      <c r="C215" s="8">
        <f>garage!C215</f>
        <v>5</v>
      </c>
      <c r="D215" s="8">
        <f>garage!D215</f>
        <v>43</v>
      </c>
      <c r="E215" s="8">
        <f>garage!E215</f>
        <v>27</v>
      </c>
      <c r="F215" s="8" t="str">
        <f>garage!F215</f>
        <v>--</v>
      </c>
      <c r="G215" s="8" t="str">
        <f>garage!G215</f>
        <v>N</v>
      </c>
      <c r="H215" s="8" t="str">
        <f>garage!H215</f>
        <v>N</v>
      </c>
      <c r="I215" s="8" t="str">
        <f>garage!I215</f>
        <v>N</v>
      </c>
      <c r="J215" s="8" t="str">
        <f>garage!J215</f>
        <v>N</v>
      </c>
      <c r="K215" s="8" t="str">
        <f>garage!K215</f>
        <v>S</v>
      </c>
      <c r="L215" s="9" t="str">
        <f>garage!L215</f>
        <v>Koenigsegg</v>
      </c>
      <c r="M215" s="9" t="str">
        <f>garage!M215</f>
        <v>Agera RS</v>
      </c>
      <c r="O215" s="18">
        <v>85</v>
      </c>
      <c r="P215" s="14">
        <v>25</v>
      </c>
      <c r="Q215" s="14">
        <v>29</v>
      </c>
      <c r="R215" s="14">
        <v>38</v>
      </c>
      <c r="S215" s="14">
        <v>54</v>
      </c>
      <c r="T215" s="15">
        <v>69</v>
      </c>
      <c r="U215" s="60">
        <f t="shared" si="56"/>
        <v>300</v>
      </c>
      <c r="W215" s="30">
        <v>15</v>
      </c>
      <c r="X215" s="31"/>
      <c r="Y215" s="31"/>
      <c r="Z215" s="31"/>
      <c r="AA215" s="31"/>
      <c r="AB215" s="32"/>
      <c r="AC215" s="32">
        <f t="shared" si="57"/>
        <v>15</v>
      </c>
      <c r="AE215" s="36">
        <f>O215-W215</f>
        <v>70</v>
      </c>
      <c r="AF215" s="37">
        <f>P215-X215</f>
        <v>25</v>
      </c>
      <c r="AG215" s="37">
        <f t="shared" si="61"/>
        <v>29</v>
      </c>
      <c r="AH215" s="37">
        <f t="shared" si="61"/>
        <v>38</v>
      </c>
      <c r="AI215" s="37">
        <f t="shared" si="61"/>
        <v>54</v>
      </c>
      <c r="AJ215" s="38">
        <f t="shared" si="61"/>
        <v>69</v>
      </c>
      <c r="AK215" s="38">
        <f t="shared" si="59"/>
        <v>285</v>
      </c>
    </row>
    <row r="216" spans="2:37" ht="18" customHeight="1" x14ac:dyDescent="0.2">
      <c r="B216" s="10">
        <f>garage!B216</f>
        <v>216</v>
      </c>
      <c r="C216" s="10">
        <f>garage!C216</f>
        <v>5</v>
      </c>
      <c r="D216" s="10">
        <f>garage!D216</f>
        <v>44</v>
      </c>
      <c r="E216" s="10">
        <f>garage!E216</f>
        <v>13</v>
      </c>
      <c r="F216" s="10" t="str">
        <f>garage!F216</f>
        <v>--</v>
      </c>
      <c r="G216" s="10" t="str">
        <f>garage!G216</f>
        <v>N</v>
      </c>
      <c r="H216" s="10" t="str">
        <f>garage!H216</f>
        <v>O</v>
      </c>
      <c r="I216" s="10" t="str">
        <f>garage!I216</f>
        <v>N</v>
      </c>
      <c r="J216" s="10" t="str">
        <f>garage!J216</f>
        <v>N</v>
      </c>
      <c r="K216" s="10" t="str">
        <f>garage!K216</f>
        <v>S</v>
      </c>
      <c r="L216" s="11" t="str">
        <f>garage!L216</f>
        <v>SSC</v>
      </c>
      <c r="M216" s="11" t="str">
        <f>garage!M216</f>
        <v>Tuatara</v>
      </c>
      <c r="O216" s="19" t="s">
        <v>115</v>
      </c>
      <c r="P216" s="16">
        <v>40</v>
      </c>
      <c r="Q216" s="16">
        <v>45</v>
      </c>
      <c r="R216" s="16">
        <v>60</v>
      </c>
      <c r="S216" s="16">
        <v>70</v>
      </c>
      <c r="T216" s="17">
        <v>85</v>
      </c>
      <c r="U216" s="61">
        <f t="shared" si="56"/>
        <v>300</v>
      </c>
      <c r="W216" s="33"/>
      <c r="X216" s="34">
        <v>40</v>
      </c>
      <c r="Y216" s="34">
        <v>45</v>
      </c>
      <c r="Z216" s="34">
        <v>60</v>
      </c>
      <c r="AA216" s="34">
        <v>70</v>
      </c>
      <c r="AB216" s="35">
        <v>85</v>
      </c>
      <c r="AC216" s="35">
        <f t="shared" si="57"/>
        <v>300</v>
      </c>
      <c r="AE216" s="39" t="s">
        <v>115</v>
      </c>
      <c r="AF216" s="40"/>
      <c r="AG216" s="40"/>
      <c r="AH216" s="40"/>
      <c r="AI216" s="40"/>
      <c r="AJ216" s="41"/>
      <c r="AK216" s="41"/>
    </row>
    <row r="217" spans="2:37" ht="18" customHeight="1" x14ac:dyDescent="0.2">
      <c r="B217" s="8">
        <f>garage!B217</f>
        <v>217</v>
      </c>
      <c r="C217" s="8">
        <f>garage!C217</f>
        <v>5</v>
      </c>
      <c r="D217" s="8">
        <f>garage!D217</f>
        <v>45</v>
      </c>
      <c r="E217" s="8">
        <f>garage!E217</f>
        <v>30</v>
      </c>
      <c r="F217" s="8" t="str">
        <f>garage!F217</f>
        <v>--</v>
      </c>
      <c r="G217" s="8" t="str">
        <f>garage!G217</f>
        <v>N</v>
      </c>
      <c r="H217" s="8" t="str">
        <f>garage!H217</f>
        <v>N</v>
      </c>
      <c r="I217" s="8" t="str">
        <f>garage!I217</f>
        <v>N</v>
      </c>
      <c r="J217" s="8" t="str">
        <f>garage!J217</f>
        <v>N</v>
      </c>
      <c r="K217" s="8" t="str">
        <f>garage!K217</f>
        <v>S</v>
      </c>
      <c r="L217" s="9" t="str">
        <f>garage!L217</f>
        <v>Koenigsegg</v>
      </c>
      <c r="M217" s="9" t="str">
        <f>garage!M217</f>
        <v>CCXR</v>
      </c>
      <c r="O217" s="18" t="s">
        <v>115</v>
      </c>
      <c r="P217" s="14">
        <v>40</v>
      </c>
      <c r="Q217" s="14">
        <v>45</v>
      </c>
      <c r="R217" s="14">
        <v>60</v>
      </c>
      <c r="S217" s="14">
        <v>70</v>
      </c>
      <c r="T217" s="15">
        <v>85</v>
      </c>
      <c r="U217" s="60">
        <f t="shared" si="56"/>
        <v>300</v>
      </c>
      <c r="W217" s="30"/>
      <c r="X217" s="31">
        <v>19</v>
      </c>
      <c r="Y217" s="31"/>
      <c r="Z217" s="31"/>
      <c r="AA217" s="31"/>
      <c r="AB217" s="32"/>
      <c r="AC217" s="32">
        <f t="shared" si="57"/>
        <v>19</v>
      </c>
      <c r="AE217" s="36" t="s">
        <v>115</v>
      </c>
      <c r="AF217" s="37">
        <f t="shared" ref="AF217:AJ222" si="62">P217-X217</f>
        <v>21</v>
      </c>
      <c r="AG217" s="37">
        <f t="shared" si="62"/>
        <v>45</v>
      </c>
      <c r="AH217" s="37">
        <f t="shared" si="62"/>
        <v>60</v>
      </c>
      <c r="AI217" s="37">
        <f t="shared" si="62"/>
        <v>70</v>
      </c>
      <c r="AJ217" s="38">
        <f t="shared" si="62"/>
        <v>85</v>
      </c>
      <c r="AK217" s="38">
        <f t="shared" ref="AK217:AK223" si="63">SUM(AE217:AJ217)</f>
        <v>281</v>
      </c>
    </row>
    <row r="218" spans="2:37" ht="18" customHeight="1" x14ac:dyDescent="0.2">
      <c r="B218" s="10">
        <f>garage!B218</f>
        <v>218</v>
      </c>
      <c r="C218" s="10">
        <f>garage!C218</f>
        <v>5</v>
      </c>
      <c r="D218" s="10">
        <f>garage!D218</f>
        <v>46</v>
      </c>
      <c r="E218" s="10">
        <f>garage!E218</f>
        <v>16</v>
      </c>
      <c r="F218" s="10" t="str">
        <f>garage!F218</f>
        <v>B</v>
      </c>
      <c r="G218" s="10" t="str">
        <f>garage!G218</f>
        <v>N</v>
      </c>
      <c r="H218" s="10" t="str">
        <f>garage!H218</f>
        <v>N</v>
      </c>
      <c r="I218" s="10" t="str">
        <f>garage!I218</f>
        <v>N</v>
      </c>
      <c r="J218" s="10" t="str">
        <f>garage!J218</f>
        <v>N</v>
      </c>
      <c r="K218" s="10" t="str">
        <f>garage!K218</f>
        <v>S</v>
      </c>
      <c r="L218" s="11" t="str">
        <f>garage!L218</f>
        <v>Bugatti</v>
      </c>
      <c r="M218" s="11" t="str">
        <f>garage!M218</f>
        <v>La Voiture Noire</v>
      </c>
      <c r="O218" s="19" t="s">
        <v>115</v>
      </c>
      <c r="P218" s="16">
        <v>40</v>
      </c>
      <c r="Q218" s="16">
        <v>45</v>
      </c>
      <c r="R218" s="16">
        <v>60</v>
      </c>
      <c r="S218" s="16">
        <v>75</v>
      </c>
      <c r="T218" s="17">
        <v>85</v>
      </c>
      <c r="U218" s="61">
        <f t="shared" si="56"/>
        <v>305</v>
      </c>
      <c r="W218" s="33"/>
      <c r="X218" s="34">
        <v>17</v>
      </c>
      <c r="Y218" s="34"/>
      <c r="Z218" s="34"/>
      <c r="AA218" s="34"/>
      <c r="AB218" s="35"/>
      <c r="AC218" s="35">
        <f t="shared" si="57"/>
        <v>17</v>
      </c>
      <c r="AE218" s="39" t="s">
        <v>115</v>
      </c>
      <c r="AF218" s="40">
        <f t="shared" si="62"/>
        <v>23</v>
      </c>
      <c r="AG218" s="40">
        <f t="shared" si="62"/>
        <v>45</v>
      </c>
      <c r="AH218" s="40">
        <f t="shared" si="62"/>
        <v>60</v>
      </c>
      <c r="AI218" s="40">
        <f t="shared" si="62"/>
        <v>75</v>
      </c>
      <c r="AJ218" s="41">
        <f t="shared" si="62"/>
        <v>85</v>
      </c>
      <c r="AK218" s="41">
        <f t="shared" si="63"/>
        <v>288</v>
      </c>
    </row>
    <row r="219" spans="2:37" ht="18" customHeight="1" x14ac:dyDescent="0.2">
      <c r="B219" s="8">
        <f>garage!B219</f>
        <v>219</v>
      </c>
      <c r="C219" s="8">
        <f>garage!C219</f>
        <v>5</v>
      </c>
      <c r="D219" s="8">
        <f>garage!D219</f>
        <v>47</v>
      </c>
      <c r="E219" s="8">
        <f>garage!E219</f>
        <v>22</v>
      </c>
      <c r="F219" s="8" t="str">
        <f>garage!F219</f>
        <v>--</v>
      </c>
      <c r="G219" s="8" t="str">
        <f>garage!G219</f>
        <v>N</v>
      </c>
      <c r="H219" s="8" t="str">
        <f>garage!H219</f>
        <v>N</v>
      </c>
      <c r="I219" s="8" t="str">
        <f>garage!I219</f>
        <v>N</v>
      </c>
      <c r="J219" s="8" t="str">
        <f>garage!J219</f>
        <v>N</v>
      </c>
      <c r="K219" s="8" t="str">
        <f>garage!K219</f>
        <v>S</v>
      </c>
      <c r="L219" s="9" t="str">
        <f>garage!L219</f>
        <v>Koenigsegg</v>
      </c>
      <c r="M219" s="9" t="str">
        <f>garage!M219</f>
        <v>Gemera</v>
      </c>
      <c r="O219" s="18" t="s">
        <v>115</v>
      </c>
      <c r="P219" s="14">
        <v>40</v>
      </c>
      <c r="Q219" s="14">
        <v>45</v>
      </c>
      <c r="R219" s="14">
        <v>60</v>
      </c>
      <c r="S219" s="14">
        <v>70</v>
      </c>
      <c r="T219" s="15">
        <v>85</v>
      </c>
      <c r="U219" s="60">
        <f t="shared" si="56"/>
        <v>300</v>
      </c>
      <c r="W219" s="30"/>
      <c r="X219" s="31">
        <v>6</v>
      </c>
      <c r="Y219" s="31"/>
      <c r="Z219" s="31"/>
      <c r="AA219" s="31"/>
      <c r="AB219" s="32"/>
      <c r="AC219" s="32">
        <f t="shared" si="57"/>
        <v>6</v>
      </c>
      <c r="AE219" s="36" t="s">
        <v>115</v>
      </c>
      <c r="AF219" s="37">
        <f t="shared" si="62"/>
        <v>34</v>
      </c>
      <c r="AG219" s="37">
        <f t="shared" si="62"/>
        <v>45</v>
      </c>
      <c r="AH219" s="37">
        <f t="shared" si="62"/>
        <v>60</v>
      </c>
      <c r="AI219" s="37">
        <f t="shared" si="62"/>
        <v>70</v>
      </c>
      <c r="AJ219" s="38">
        <f t="shared" si="62"/>
        <v>85</v>
      </c>
      <c r="AK219" s="38">
        <f t="shared" si="63"/>
        <v>294</v>
      </c>
    </row>
    <row r="220" spans="2:37" ht="18" customHeight="1" x14ac:dyDescent="0.2">
      <c r="B220" s="10">
        <f>garage!B220</f>
        <v>220</v>
      </c>
      <c r="C220" s="10">
        <f>garage!C220</f>
        <v>5</v>
      </c>
      <c r="D220" s="10">
        <f>garage!D220</f>
        <v>48</v>
      </c>
      <c r="E220" s="10">
        <f>garage!E220</f>
        <v>20</v>
      </c>
      <c r="F220" s="10" t="str">
        <f>garage!F220</f>
        <v>TD</v>
      </c>
      <c r="G220" s="10" t="str">
        <f>garage!G220</f>
        <v>N</v>
      </c>
      <c r="H220" s="10" t="str">
        <f>garage!H220</f>
        <v>N</v>
      </c>
      <c r="I220" s="10" t="str">
        <f>garage!I220</f>
        <v>N</v>
      </c>
      <c r="J220" s="10" t="str">
        <f>garage!J220</f>
        <v>N</v>
      </c>
      <c r="K220" s="10" t="str">
        <f>garage!K220</f>
        <v>S</v>
      </c>
      <c r="L220" s="11" t="str">
        <f>garage!L220</f>
        <v>Hennessey</v>
      </c>
      <c r="M220" s="11" t="str">
        <f>garage!M220</f>
        <v>Venom F5</v>
      </c>
      <c r="O220" s="19">
        <v>85</v>
      </c>
      <c r="P220" s="16">
        <v>25</v>
      </c>
      <c r="Q220" s="16">
        <v>29</v>
      </c>
      <c r="R220" s="16">
        <v>38</v>
      </c>
      <c r="S220" s="16">
        <v>54</v>
      </c>
      <c r="T220" s="17">
        <v>69</v>
      </c>
      <c r="U220" s="61">
        <f t="shared" si="56"/>
        <v>300</v>
      </c>
      <c r="W220" s="33">
        <v>9</v>
      </c>
      <c r="X220" s="34"/>
      <c r="Y220" s="34"/>
      <c r="Z220" s="34"/>
      <c r="AA220" s="34"/>
      <c r="AB220" s="35"/>
      <c r="AC220" s="35">
        <f t="shared" si="57"/>
        <v>9</v>
      </c>
      <c r="AE220" s="39">
        <f>O220-W220</f>
        <v>76</v>
      </c>
      <c r="AF220" s="40">
        <f t="shared" si="62"/>
        <v>25</v>
      </c>
      <c r="AG220" s="40">
        <f t="shared" si="62"/>
        <v>29</v>
      </c>
      <c r="AH220" s="40">
        <f t="shared" si="62"/>
        <v>38</v>
      </c>
      <c r="AI220" s="40">
        <f t="shared" si="62"/>
        <v>54</v>
      </c>
      <c r="AJ220" s="41">
        <f t="shared" si="62"/>
        <v>69</v>
      </c>
      <c r="AK220" s="41">
        <f t="shared" si="63"/>
        <v>291</v>
      </c>
    </row>
    <row r="221" spans="2:37" ht="18" customHeight="1" x14ac:dyDescent="0.2">
      <c r="B221" s="10">
        <f>garage!B221</f>
        <v>221</v>
      </c>
      <c r="C221" s="10">
        <f>garage!C221</f>
        <v>5</v>
      </c>
      <c r="D221" s="10">
        <f>garage!D221</f>
        <v>49</v>
      </c>
      <c r="E221" s="10">
        <f>garage!E221</f>
        <v>32</v>
      </c>
      <c r="F221" s="10" t="str">
        <f>garage!F221</f>
        <v>--</v>
      </c>
      <c r="G221" s="10" t="str">
        <f>garage!G221</f>
        <v>N</v>
      </c>
      <c r="H221" s="10" t="str">
        <f>garage!H221</f>
        <v>N</v>
      </c>
      <c r="I221" s="10" t="str">
        <f>garage!I221</f>
        <v>N</v>
      </c>
      <c r="J221" s="10" t="str">
        <f>garage!J221</f>
        <v>N</v>
      </c>
      <c r="K221" s="10" t="str">
        <f>garage!K221</f>
        <v>S</v>
      </c>
      <c r="L221" s="11" t="str">
        <f>garage!L221</f>
        <v>Koenigsegg</v>
      </c>
      <c r="M221" s="11" t="str">
        <f>garage!M221</f>
        <v>CC850</v>
      </c>
      <c r="O221" s="19" t="s">
        <v>115</v>
      </c>
      <c r="P221" s="16">
        <v>40</v>
      </c>
      <c r="Q221" s="16">
        <v>45</v>
      </c>
      <c r="R221" s="16">
        <v>60</v>
      </c>
      <c r="S221" s="16">
        <v>70</v>
      </c>
      <c r="T221" s="17">
        <v>85</v>
      </c>
      <c r="U221" s="61"/>
      <c r="W221" s="33"/>
      <c r="X221" s="34"/>
      <c r="Y221" s="34"/>
      <c r="Z221" s="34"/>
      <c r="AA221" s="34"/>
      <c r="AB221" s="35"/>
      <c r="AC221" s="35"/>
      <c r="AE221" s="39"/>
      <c r="AF221" s="40"/>
      <c r="AG221" s="40"/>
      <c r="AH221" s="40"/>
      <c r="AI221" s="40"/>
      <c r="AJ221" s="41"/>
      <c r="AK221" s="41"/>
    </row>
    <row r="222" spans="2:37" ht="18" customHeight="1" x14ac:dyDescent="0.2">
      <c r="B222" s="8">
        <f>garage!B222</f>
        <v>222</v>
      </c>
      <c r="C222" s="8">
        <f>garage!C222</f>
        <v>5</v>
      </c>
      <c r="D222" s="8">
        <f>garage!D222</f>
        <v>50</v>
      </c>
      <c r="E222" s="8">
        <f>garage!E222</f>
        <v>28</v>
      </c>
      <c r="F222" s="8" t="str">
        <f>garage!F222</f>
        <v>B</v>
      </c>
      <c r="G222" s="8" t="str">
        <f>garage!G222</f>
        <v>N</v>
      </c>
      <c r="H222" s="8" t="str">
        <f>garage!H222</f>
        <v>N</v>
      </c>
      <c r="I222" s="8" t="str">
        <f>garage!I222</f>
        <v>N</v>
      </c>
      <c r="J222" s="8" t="str">
        <f>garage!J222</f>
        <v>N</v>
      </c>
      <c r="K222" s="8" t="str">
        <f>garage!K222</f>
        <v>S</v>
      </c>
      <c r="L222" s="9" t="str">
        <f>garage!L222</f>
        <v>Bugatti</v>
      </c>
      <c r="M222" s="9" t="str">
        <f>garage!M222</f>
        <v>Bolide</v>
      </c>
      <c r="O222" s="18" t="s">
        <v>115</v>
      </c>
      <c r="P222" s="14">
        <v>40</v>
      </c>
      <c r="Q222" s="14">
        <v>45</v>
      </c>
      <c r="R222" s="14">
        <v>60</v>
      </c>
      <c r="S222" s="14">
        <v>70</v>
      </c>
      <c r="T222" s="15">
        <v>85</v>
      </c>
      <c r="U222" s="60">
        <f t="shared" si="56"/>
        <v>300</v>
      </c>
      <c r="W222" s="30"/>
      <c r="X222" s="31"/>
      <c r="Y222" s="31"/>
      <c r="Z222" s="31"/>
      <c r="AA222" s="31"/>
      <c r="AB222" s="32"/>
      <c r="AC222" s="32">
        <f t="shared" si="57"/>
        <v>0</v>
      </c>
      <c r="AE222" s="36" t="s">
        <v>115</v>
      </c>
      <c r="AF222" s="37">
        <f t="shared" si="62"/>
        <v>40</v>
      </c>
      <c r="AG222" s="37">
        <f t="shared" si="62"/>
        <v>45</v>
      </c>
      <c r="AH222" s="37">
        <f t="shared" si="62"/>
        <v>60</v>
      </c>
      <c r="AI222" s="37">
        <f t="shared" si="62"/>
        <v>70</v>
      </c>
      <c r="AJ222" s="38">
        <f t="shared" si="62"/>
        <v>85</v>
      </c>
      <c r="AK222" s="38">
        <f t="shared" si="63"/>
        <v>300</v>
      </c>
    </row>
    <row r="223" spans="2:37" ht="18" customHeight="1" x14ac:dyDescent="0.2">
      <c r="B223" s="10">
        <f>garage!B223</f>
        <v>223</v>
      </c>
      <c r="C223" s="10">
        <f>garage!C223</f>
        <v>5</v>
      </c>
      <c r="D223" s="10">
        <f>garage!D223</f>
        <v>99</v>
      </c>
      <c r="E223" s="10">
        <f>garage!E223</f>
        <v>0</v>
      </c>
      <c r="F223" s="10" t="str">
        <f>garage!F223</f>
        <v>--</v>
      </c>
      <c r="G223" s="10" t="str">
        <f>garage!G223</f>
        <v>N</v>
      </c>
      <c r="H223" s="10" t="str">
        <f>garage!H223</f>
        <v>N</v>
      </c>
      <c r="I223" s="10" t="str">
        <f>garage!I223</f>
        <v>N</v>
      </c>
      <c r="J223" s="10" t="str">
        <f>garage!J223</f>
        <v>N</v>
      </c>
      <c r="K223" s="10" t="str">
        <f>garage!K223</f>
        <v>S</v>
      </c>
      <c r="L223" s="11" t="str">
        <f>garage!L223</f>
        <v>Rimac</v>
      </c>
      <c r="M223" s="11" t="str">
        <f>garage!M223</f>
        <v>C TWO</v>
      </c>
      <c r="O223" s="19"/>
      <c r="P223" s="16"/>
      <c r="Q223" s="16"/>
      <c r="R223" s="16"/>
      <c r="S223" s="16"/>
      <c r="T223" s="17"/>
      <c r="U223" s="61">
        <f t="shared" si="56"/>
        <v>0</v>
      </c>
      <c r="W223" s="33"/>
      <c r="X223" s="34"/>
      <c r="Y223" s="34"/>
      <c r="Z223" s="34"/>
      <c r="AA223" s="34"/>
      <c r="AB223" s="35"/>
      <c r="AC223" s="35">
        <f t="shared" si="57"/>
        <v>0</v>
      </c>
      <c r="AE223" s="39"/>
      <c r="AF223" s="40"/>
      <c r="AG223" s="40"/>
      <c r="AH223" s="40"/>
      <c r="AI223" s="40"/>
      <c r="AJ223" s="41"/>
      <c r="AK223" s="41">
        <f t="shared" si="63"/>
        <v>0</v>
      </c>
    </row>
  </sheetData>
  <autoFilter ref="E1:L223"/>
  <sortState ref="B2:AK218">
    <sortCondition ref="C2:C218"/>
    <sortCondition ref="D2:D218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1:CC223"/>
  <sheetViews>
    <sheetView showGridLines="0" workbookViewId="0">
      <pane ySplit="1" topLeftCell="A2" activePane="bottomLeft" state="frozenSplit"/>
      <selection activeCell="A221" sqref="A221:XFD221"/>
      <selection pane="bottomLeft" activeCell="A2" sqref="A2"/>
    </sheetView>
  </sheetViews>
  <sheetFormatPr baseColWidth="10" defaultColWidth="3.7109375" defaultRowHeight="18" customHeight="1" x14ac:dyDescent="0.2"/>
  <cols>
    <col min="2" max="11" width="3.7109375" style="2" customWidth="1"/>
    <col min="12" max="12" width="25.7109375" style="1" customWidth="1"/>
    <col min="13" max="13" width="30.7109375" style="1" customWidth="1"/>
    <col min="14" max="14" width="3.7109375" style="2"/>
    <col min="15" max="66" width="2.28515625" style="2" customWidth="1"/>
    <col min="67" max="67" width="3.7109375" style="2"/>
    <col min="68" max="71" width="2.7109375" style="2" customWidth="1"/>
    <col min="72" max="72" width="3.7109375" style="2"/>
    <col min="73" max="76" width="2.7109375" style="2" customWidth="1"/>
    <col min="77" max="77" width="3.7109375" style="2"/>
    <col min="78" max="81" width="2.7109375" style="2" customWidth="1"/>
  </cols>
  <sheetData>
    <row r="1" spans="2:81" ht="50.1" customHeight="1" x14ac:dyDescent="0.2">
      <c r="B1" s="7" t="s">
        <v>94</v>
      </c>
      <c r="C1" s="7" t="s">
        <v>95</v>
      </c>
      <c r="D1" s="7" t="s">
        <v>96</v>
      </c>
      <c r="E1" s="7" t="s">
        <v>97</v>
      </c>
      <c r="F1" s="7" t="s">
        <v>98</v>
      </c>
      <c r="G1" s="7" t="s">
        <v>65</v>
      </c>
      <c r="H1" s="7" t="s">
        <v>66</v>
      </c>
      <c r="I1" s="7" t="s">
        <v>67</v>
      </c>
      <c r="J1" s="7" t="s">
        <v>99</v>
      </c>
      <c r="K1" s="6" t="s">
        <v>100</v>
      </c>
      <c r="L1" s="6" t="s">
        <v>101</v>
      </c>
      <c r="M1" s="6" t="s">
        <v>102</v>
      </c>
      <c r="N1" s="3"/>
      <c r="O1" s="118">
        <v>1</v>
      </c>
      <c r="P1" s="116"/>
      <c r="Q1" s="116"/>
      <c r="R1" s="117"/>
      <c r="S1" s="116">
        <v>2</v>
      </c>
      <c r="T1" s="116"/>
      <c r="U1" s="116"/>
      <c r="V1" s="117"/>
      <c r="W1" s="116">
        <v>3</v>
      </c>
      <c r="X1" s="116"/>
      <c r="Y1" s="116"/>
      <c r="Z1" s="117"/>
      <c r="AA1" s="116">
        <v>4</v>
      </c>
      <c r="AB1" s="116"/>
      <c r="AC1" s="116"/>
      <c r="AD1" s="117"/>
      <c r="AE1" s="116">
        <v>5</v>
      </c>
      <c r="AF1" s="116"/>
      <c r="AG1" s="116"/>
      <c r="AH1" s="117"/>
      <c r="AI1" s="116">
        <v>6</v>
      </c>
      <c r="AJ1" s="116"/>
      <c r="AK1" s="116"/>
      <c r="AL1" s="117"/>
      <c r="AM1" s="116">
        <v>7</v>
      </c>
      <c r="AN1" s="116"/>
      <c r="AO1" s="116"/>
      <c r="AP1" s="117"/>
      <c r="AQ1" s="116">
        <v>8</v>
      </c>
      <c r="AR1" s="116"/>
      <c r="AS1" s="116"/>
      <c r="AT1" s="117"/>
      <c r="AU1" s="116">
        <v>9</v>
      </c>
      <c r="AV1" s="116"/>
      <c r="AW1" s="116"/>
      <c r="AX1" s="117"/>
      <c r="AY1" s="116">
        <v>10</v>
      </c>
      <c r="AZ1" s="116"/>
      <c r="BA1" s="116"/>
      <c r="BB1" s="117"/>
      <c r="BC1" s="116">
        <v>11</v>
      </c>
      <c r="BD1" s="116"/>
      <c r="BE1" s="116"/>
      <c r="BF1" s="117"/>
      <c r="BG1" s="116">
        <v>12</v>
      </c>
      <c r="BH1" s="116"/>
      <c r="BI1" s="116"/>
      <c r="BJ1" s="117"/>
      <c r="BK1" s="116">
        <v>13</v>
      </c>
      <c r="BL1" s="116"/>
      <c r="BM1" s="116"/>
      <c r="BN1" s="117"/>
      <c r="BO1" s="3"/>
      <c r="BP1" s="20" t="s">
        <v>442</v>
      </c>
      <c r="BQ1" s="6" t="s">
        <v>443</v>
      </c>
      <c r="BR1" s="6" t="s">
        <v>444</v>
      </c>
      <c r="BS1" s="21" t="s">
        <v>445</v>
      </c>
      <c r="BT1" s="3"/>
      <c r="BU1" s="20" t="s">
        <v>442</v>
      </c>
      <c r="BV1" s="6" t="s">
        <v>443</v>
      </c>
      <c r="BW1" s="6" t="s">
        <v>444</v>
      </c>
      <c r="BX1" s="21" t="s">
        <v>445</v>
      </c>
      <c r="BY1" s="3"/>
      <c r="BZ1" s="20" t="s">
        <v>442</v>
      </c>
      <c r="CA1" s="6" t="s">
        <v>443</v>
      </c>
      <c r="CB1" s="6" t="s">
        <v>444</v>
      </c>
      <c r="CC1" s="21" t="s">
        <v>445</v>
      </c>
    </row>
    <row r="2" spans="2:81" ht="18" customHeight="1" x14ac:dyDescent="0.2">
      <c r="B2" s="8">
        <f>garage!B2</f>
        <v>2</v>
      </c>
      <c r="C2" s="8">
        <f>garage!C2</f>
        <v>1</v>
      </c>
      <c r="D2" s="8">
        <f>garage!D2</f>
        <v>1</v>
      </c>
      <c r="E2" s="8">
        <f>garage!E2</f>
        <v>0</v>
      </c>
      <c r="F2" s="8" t="str">
        <f>garage!F2</f>
        <v>--</v>
      </c>
      <c r="G2" s="8" t="str">
        <f>garage!G2</f>
        <v>O</v>
      </c>
      <c r="H2" s="8" t="str">
        <f>garage!H2</f>
        <v>O</v>
      </c>
      <c r="I2" s="8" t="str">
        <f>garage!I2</f>
        <v>O</v>
      </c>
      <c r="J2" s="8" t="str">
        <f>garage!J2</f>
        <v>N</v>
      </c>
      <c r="K2" s="8" t="str">
        <f>garage!K2</f>
        <v>D</v>
      </c>
      <c r="L2" s="9" t="str">
        <f>garage!L2</f>
        <v>Mitsubishi</v>
      </c>
      <c r="M2" s="9" t="str">
        <f>garage!M2</f>
        <v>Lancer Evolution</v>
      </c>
      <c r="O2" s="18">
        <v>1</v>
      </c>
      <c r="P2" s="14">
        <v>1</v>
      </c>
      <c r="Q2" s="14">
        <v>1</v>
      </c>
      <c r="R2" s="15">
        <v>1</v>
      </c>
      <c r="S2" s="14">
        <v>1</v>
      </c>
      <c r="T2" s="14">
        <v>1</v>
      </c>
      <c r="U2" s="14">
        <v>1</v>
      </c>
      <c r="V2" s="15">
        <v>1</v>
      </c>
      <c r="W2" s="14">
        <v>1</v>
      </c>
      <c r="X2" s="14">
        <v>1</v>
      </c>
      <c r="Y2" s="14">
        <v>1</v>
      </c>
      <c r="Z2" s="15">
        <v>1</v>
      </c>
      <c r="AA2" s="14">
        <v>1</v>
      </c>
      <c r="AB2" s="14">
        <v>1</v>
      </c>
      <c r="AC2" s="14">
        <v>1</v>
      </c>
      <c r="AD2" s="15">
        <v>1</v>
      </c>
      <c r="AE2" s="14">
        <v>1</v>
      </c>
      <c r="AF2" s="14">
        <v>1</v>
      </c>
      <c r="AG2" s="14">
        <v>1</v>
      </c>
      <c r="AH2" s="15">
        <v>1</v>
      </c>
      <c r="AI2" s="14">
        <v>1</v>
      </c>
      <c r="AJ2" s="14">
        <v>1</v>
      </c>
      <c r="AK2" s="14">
        <v>1</v>
      </c>
      <c r="AL2" s="15">
        <v>1</v>
      </c>
      <c r="AM2" s="14">
        <v>1</v>
      </c>
      <c r="AN2" s="14">
        <v>1</v>
      </c>
      <c r="AO2" s="14">
        <v>1</v>
      </c>
      <c r="AP2" s="15">
        <v>1</v>
      </c>
      <c r="AQ2" s="14">
        <v>1</v>
      </c>
      <c r="AR2" s="14">
        <v>1</v>
      </c>
      <c r="AS2" s="14">
        <v>1</v>
      </c>
      <c r="AT2" s="15">
        <v>1</v>
      </c>
      <c r="AU2" s="14">
        <v>1</v>
      </c>
      <c r="AV2" s="14">
        <v>1</v>
      </c>
      <c r="AW2" s="14">
        <v>1</v>
      </c>
      <c r="AX2" s="15">
        <v>1</v>
      </c>
      <c r="AY2" s="14">
        <v>1</v>
      </c>
      <c r="AZ2" s="14">
        <v>1</v>
      </c>
      <c r="BA2" s="14">
        <v>1</v>
      </c>
      <c r="BB2" s="15">
        <v>1</v>
      </c>
      <c r="BC2" s="14" t="s">
        <v>446</v>
      </c>
      <c r="BD2" s="14" t="s">
        <v>446</v>
      </c>
      <c r="BE2" s="14" t="s">
        <v>446</v>
      </c>
      <c r="BF2" s="15" t="s">
        <v>446</v>
      </c>
      <c r="BG2" s="14" t="s">
        <v>446</v>
      </c>
      <c r="BH2" s="14" t="s">
        <v>446</v>
      </c>
      <c r="BI2" s="14" t="s">
        <v>446</v>
      </c>
      <c r="BJ2" s="15" t="s">
        <v>446</v>
      </c>
      <c r="BK2" s="14" t="s">
        <v>446</v>
      </c>
      <c r="BL2" s="14" t="s">
        <v>446</v>
      </c>
      <c r="BM2" s="14" t="s">
        <v>446</v>
      </c>
      <c r="BN2" s="15" t="s">
        <v>446</v>
      </c>
      <c r="BP2" s="18">
        <v>5</v>
      </c>
      <c r="BQ2" s="14">
        <v>5</v>
      </c>
      <c r="BR2" s="14">
        <v>5</v>
      </c>
      <c r="BS2" s="15">
        <v>5</v>
      </c>
      <c r="BU2" s="18">
        <v>1</v>
      </c>
      <c r="BV2" s="14">
        <v>1</v>
      </c>
      <c r="BW2" s="14">
        <v>1</v>
      </c>
      <c r="BX2" s="15">
        <v>1</v>
      </c>
      <c r="BZ2" s="18">
        <v>0</v>
      </c>
      <c r="CA2" s="14">
        <v>0</v>
      </c>
      <c r="CB2" s="14">
        <v>0</v>
      </c>
      <c r="CC2" s="15">
        <v>0</v>
      </c>
    </row>
    <row r="3" spans="2:81" ht="18" customHeight="1" x14ac:dyDescent="0.2">
      <c r="B3" s="10">
        <f>garage!B3</f>
        <v>3</v>
      </c>
      <c r="C3" s="10">
        <f>garage!C3</f>
        <v>1</v>
      </c>
      <c r="D3" s="10">
        <f>garage!D3</f>
        <v>2</v>
      </c>
      <c r="E3" s="10">
        <f>garage!E3</f>
        <v>0</v>
      </c>
      <c r="F3" s="10" t="str">
        <f>garage!F3</f>
        <v>--</v>
      </c>
      <c r="G3" s="10" t="str">
        <f>garage!G3</f>
        <v>O</v>
      </c>
      <c r="H3" s="10" t="str">
        <f>garage!H3</f>
        <v>O</v>
      </c>
      <c r="I3" s="10" t="str">
        <f>garage!I3</f>
        <v>O</v>
      </c>
      <c r="J3" s="10" t="str">
        <f>garage!J3</f>
        <v>N</v>
      </c>
      <c r="K3" s="10" t="str">
        <f>garage!K3</f>
        <v>D</v>
      </c>
      <c r="L3" s="11" t="str">
        <f>garage!L3</f>
        <v>BMW</v>
      </c>
      <c r="M3" s="11" t="str">
        <f>garage!M3</f>
        <v>Z4 LCI E89</v>
      </c>
      <c r="O3" s="19">
        <v>1</v>
      </c>
      <c r="P3" s="16">
        <v>1</v>
      </c>
      <c r="Q3" s="16">
        <v>1</v>
      </c>
      <c r="R3" s="17">
        <v>1</v>
      </c>
      <c r="S3" s="16">
        <v>1</v>
      </c>
      <c r="T3" s="16">
        <v>1</v>
      </c>
      <c r="U3" s="16">
        <v>1</v>
      </c>
      <c r="V3" s="17">
        <v>1</v>
      </c>
      <c r="W3" s="16">
        <v>1</v>
      </c>
      <c r="X3" s="16">
        <v>1</v>
      </c>
      <c r="Y3" s="16">
        <v>1</v>
      </c>
      <c r="Z3" s="17">
        <v>1</v>
      </c>
      <c r="AA3" s="16">
        <v>1</v>
      </c>
      <c r="AB3" s="16">
        <v>1</v>
      </c>
      <c r="AC3" s="16">
        <v>1</v>
      </c>
      <c r="AD3" s="17">
        <v>1</v>
      </c>
      <c r="AE3" s="16">
        <v>1</v>
      </c>
      <c r="AF3" s="16">
        <v>1</v>
      </c>
      <c r="AG3" s="16">
        <v>1</v>
      </c>
      <c r="AH3" s="17">
        <v>1</v>
      </c>
      <c r="AI3" s="16">
        <v>1</v>
      </c>
      <c r="AJ3" s="16">
        <v>1</v>
      </c>
      <c r="AK3" s="16">
        <v>1</v>
      </c>
      <c r="AL3" s="17">
        <v>1</v>
      </c>
      <c r="AM3" s="16">
        <v>1</v>
      </c>
      <c r="AN3" s="16">
        <v>1</v>
      </c>
      <c r="AO3" s="16">
        <v>1</v>
      </c>
      <c r="AP3" s="17">
        <v>1</v>
      </c>
      <c r="AQ3" s="16">
        <v>1</v>
      </c>
      <c r="AR3" s="16">
        <v>1</v>
      </c>
      <c r="AS3" s="16">
        <v>1</v>
      </c>
      <c r="AT3" s="17">
        <v>1</v>
      </c>
      <c r="AU3" s="16">
        <v>1</v>
      </c>
      <c r="AV3" s="16">
        <v>1</v>
      </c>
      <c r="AW3" s="16">
        <v>1</v>
      </c>
      <c r="AX3" s="17">
        <v>1</v>
      </c>
      <c r="AY3" s="16">
        <v>1</v>
      </c>
      <c r="AZ3" s="16">
        <v>1</v>
      </c>
      <c r="BA3" s="16">
        <v>1</v>
      </c>
      <c r="BB3" s="17">
        <v>1</v>
      </c>
      <c r="BC3" s="16" t="s">
        <v>446</v>
      </c>
      <c r="BD3" s="16" t="s">
        <v>446</v>
      </c>
      <c r="BE3" s="16" t="s">
        <v>446</v>
      </c>
      <c r="BF3" s="17" t="s">
        <v>446</v>
      </c>
      <c r="BG3" s="16" t="s">
        <v>446</v>
      </c>
      <c r="BH3" s="16" t="s">
        <v>446</v>
      </c>
      <c r="BI3" s="16" t="s">
        <v>446</v>
      </c>
      <c r="BJ3" s="17" t="s">
        <v>446</v>
      </c>
      <c r="BK3" s="16" t="s">
        <v>446</v>
      </c>
      <c r="BL3" s="16" t="s">
        <v>446</v>
      </c>
      <c r="BM3" s="16" t="s">
        <v>446</v>
      </c>
      <c r="BN3" s="17" t="s">
        <v>446</v>
      </c>
      <c r="BP3" s="19">
        <v>5</v>
      </c>
      <c r="BQ3" s="16">
        <v>5</v>
      </c>
      <c r="BR3" s="16">
        <v>5</v>
      </c>
      <c r="BS3" s="17">
        <v>5</v>
      </c>
      <c r="BU3" s="19">
        <v>1</v>
      </c>
      <c r="BV3" s="16">
        <v>1</v>
      </c>
      <c r="BW3" s="16">
        <v>1</v>
      </c>
      <c r="BX3" s="17">
        <v>1</v>
      </c>
      <c r="BZ3" s="19">
        <v>0</v>
      </c>
      <c r="CA3" s="16">
        <v>0</v>
      </c>
      <c r="CB3" s="16">
        <v>0</v>
      </c>
      <c r="CC3" s="17">
        <v>0</v>
      </c>
    </row>
    <row r="4" spans="2:81" ht="18" customHeight="1" x14ac:dyDescent="0.2">
      <c r="B4" s="8">
        <f>garage!B4</f>
        <v>4</v>
      </c>
      <c r="C4" s="8">
        <f>garage!C4</f>
        <v>1</v>
      </c>
      <c r="D4" s="8">
        <f>garage!D4</f>
        <v>3</v>
      </c>
      <c r="E4" s="8">
        <f>garage!E4</f>
        <v>0</v>
      </c>
      <c r="F4" s="8" t="str">
        <f>garage!F4</f>
        <v>C</v>
      </c>
      <c r="G4" s="8" t="str">
        <f>garage!G4</f>
        <v>O</v>
      </c>
      <c r="H4" s="8" t="str">
        <f>garage!H4</f>
        <v>O</v>
      </c>
      <c r="I4" s="8" t="str">
        <f>garage!I4</f>
        <v>O</v>
      </c>
      <c r="J4" s="8" t="str">
        <f>garage!J4</f>
        <v>N</v>
      </c>
      <c r="K4" s="8" t="str">
        <f>garage!K4</f>
        <v>D</v>
      </c>
      <c r="L4" s="9" t="str">
        <f>garage!L4</f>
        <v>Chevrolet</v>
      </c>
      <c r="M4" s="9" t="str">
        <f>garage!M4</f>
        <v>Camaro LT</v>
      </c>
      <c r="O4" s="18">
        <v>1</v>
      </c>
      <c r="P4" s="14">
        <v>1</v>
      </c>
      <c r="Q4" s="14">
        <v>1</v>
      </c>
      <c r="R4" s="15">
        <v>1</v>
      </c>
      <c r="S4" s="14">
        <v>1</v>
      </c>
      <c r="T4" s="14">
        <v>1</v>
      </c>
      <c r="U4" s="14">
        <v>1</v>
      </c>
      <c r="V4" s="15">
        <v>1</v>
      </c>
      <c r="W4" s="14">
        <v>1</v>
      </c>
      <c r="X4" s="14">
        <v>1</v>
      </c>
      <c r="Y4" s="14">
        <v>1</v>
      </c>
      <c r="Z4" s="15">
        <v>1</v>
      </c>
      <c r="AA4" s="14">
        <v>1</v>
      </c>
      <c r="AB4" s="14">
        <v>1</v>
      </c>
      <c r="AC4" s="14">
        <v>1</v>
      </c>
      <c r="AD4" s="15">
        <v>1</v>
      </c>
      <c r="AE4" s="14">
        <v>1</v>
      </c>
      <c r="AF4" s="14">
        <v>1</v>
      </c>
      <c r="AG4" s="14">
        <v>1</v>
      </c>
      <c r="AH4" s="15">
        <v>1</v>
      </c>
      <c r="AI4" s="14">
        <v>1</v>
      </c>
      <c r="AJ4" s="14">
        <v>1</v>
      </c>
      <c r="AK4" s="14">
        <v>1</v>
      </c>
      <c r="AL4" s="15">
        <v>1</v>
      </c>
      <c r="AM4" s="14">
        <v>1</v>
      </c>
      <c r="AN4" s="14">
        <v>1</v>
      </c>
      <c r="AO4" s="14">
        <v>1</v>
      </c>
      <c r="AP4" s="15">
        <v>1</v>
      </c>
      <c r="AQ4" s="14">
        <v>1</v>
      </c>
      <c r="AR4" s="14">
        <v>1</v>
      </c>
      <c r="AS4" s="14">
        <v>1</v>
      </c>
      <c r="AT4" s="15">
        <v>1</v>
      </c>
      <c r="AU4" s="14">
        <v>1</v>
      </c>
      <c r="AV4" s="14">
        <v>1</v>
      </c>
      <c r="AW4" s="14">
        <v>1</v>
      </c>
      <c r="AX4" s="15">
        <v>1</v>
      </c>
      <c r="AY4" s="14">
        <v>1</v>
      </c>
      <c r="AZ4" s="14">
        <v>1</v>
      </c>
      <c r="BA4" s="14">
        <v>1</v>
      </c>
      <c r="BB4" s="15">
        <v>1</v>
      </c>
      <c r="BC4" s="14" t="s">
        <v>446</v>
      </c>
      <c r="BD4" s="14" t="s">
        <v>446</v>
      </c>
      <c r="BE4" s="14" t="s">
        <v>446</v>
      </c>
      <c r="BF4" s="15" t="s">
        <v>446</v>
      </c>
      <c r="BG4" s="14" t="s">
        <v>446</v>
      </c>
      <c r="BH4" s="14" t="s">
        <v>446</v>
      </c>
      <c r="BI4" s="14" t="s">
        <v>446</v>
      </c>
      <c r="BJ4" s="15" t="s">
        <v>446</v>
      </c>
      <c r="BK4" s="14" t="s">
        <v>446</v>
      </c>
      <c r="BL4" s="14" t="s">
        <v>446</v>
      </c>
      <c r="BM4" s="14" t="s">
        <v>446</v>
      </c>
      <c r="BN4" s="15" t="s">
        <v>446</v>
      </c>
      <c r="BP4" s="18">
        <v>5</v>
      </c>
      <c r="BQ4" s="14">
        <v>5</v>
      </c>
      <c r="BR4" s="14">
        <v>5</v>
      </c>
      <c r="BS4" s="15">
        <v>5</v>
      </c>
      <c r="BU4" s="18">
        <v>1</v>
      </c>
      <c r="BV4" s="14">
        <v>1</v>
      </c>
      <c r="BW4" s="14">
        <v>1</v>
      </c>
      <c r="BX4" s="15">
        <v>1</v>
      </c>
      <c r="BZ4" s="18">
        <v>0</v>
      </c>
      <c r="CA4" s="14">
        <v>0</v>
      </c>
      <c r="CB4" s="14">
        <v>0</v>
      </c>
      <c r="CC4" s="15">
        <v>0</v>
      </c>
    </row>
    <row r="5" spans="2:81" ht="18" customHeight="1" x14ac:dyDescent="0.2">
      <c r="B5" s="10">
        <f>garage!B5</f>
        <v>5</v>
      </c>
      <c r="C5" s="10">
        <f>garage!C5</f>
        <v>1</v>
      </c>
      <c r="D5" s="10">
        <f>garage!D5</f>
        <v>4</v>
      </c>
      <c r="E5" s="10">
        <f>garage!E5</f>
        <v>0</v>
      </c>
      <c r="F5" s="10" t="str">
        <f>garage!F5</f>
        <v>--</v>
      </c>
      <c r="G5" s="10" t="str">
        <f>garage!G5</f>
        <v>O</v>
      </c>
      <c r="H5" s="10" t="str">
        <f>garage!H5</f>
        <v>O</v>
      </c>
      <c r="I5" s="10" t="str">
        <f>garage!I5</f>
        <v>O</v>
      </c>
      <c r="J5" s="10" t="str">
        <f>garage!J5</f>
        <v>N</v>
      </c>
      <c r="K5" s="10" t="str">
        <f>garage!K5</f>
        <v>D</v>
      </c>
      <c r="L5" s="11" t="str">
        <f>garage!L5</f>
        <v>Nissan</v>
      </c>
      <c r="M5" s="11" t="str">
        <f>garage!M5</f>
        <v>Leaf Nismo RC</v>
      </c>
      <c r="O5" s="19">
        <v>1</v>
      </c>
      <c r="P5" s="16">
        <v>1</v>
      </c>
      <c r="Q5" s="16">
        <v>1</v>
      </c>
      <c r="R5" s="17">
        <v>1</v>
      </c>
      <c r="S5" s="16">
        <v>1</v>
      </c>
      <c r="T5" s="16">
        <v>1</v>
      </c>
      <c r="U5" s="16">
        <v>1</v>
      </c>
      <c r="V5" s="17">
        <v>1</v>
      </c>
      <c r="W5" s="16">
        <v>1</v>
      </c>
      <c r="X5" s="16">
        <v>1</v>
      </c>
      <c r="Y5" s="16">
        <v>1</v>
      </c>
      <c r="Z5" s="17">
        <v>1</v>
      </c>
      <c r="AA5" s="16">
        <v>1</v>
      </c>
      <c r="AB5" s="16">
        <v>1</v>
      </c>
      <c r="AC5" s="16">
        <v>1</v>
      </c>
      <c r="AD5" s="17">
        <v>1</v>
      </c>
      <c r="AE5" s="16">
        <v>1</v>
      </c>
      <c r="AF5" s="16">
        <v>1</v>
      </c>
      <c r="AG5" s="16">
        <v>1</v>
      </c>
      <c r="AH5" s="17">
        <v>1</v>
      </c>
      <c r="AI5" s="16">
        <v>1</v>
      </c>
      <c r="AJ5" s="16">
        <v>1</v>
      </c>
      <c r="AK5" s="16">
        <v>1</v>
      </c>
      <c r="AL5" s="17">
        <v>1</v>
      </c>
      <c r="AM5" s="16">
        <v>1</v>
      </c>
      <c r="AN5" s="16">
        <v>1</v>
      </c>
      <c r="AO5" s="16">
        <v>1</v>
      </c>
      <c r="AP5" s="17">
        <v>1</v>
      </c>
      <c r="AQ5" s="16">
        <v>1</v>
      </c>
      <c r="AR5" s="16">
        <v>1</v>
      </c>
      <c r="AS5" s="16">
        <v>1</v>
      </c>
      <c r="AT5" s="17">
        <v>1</v>
      </c>
      <c r="AU5" s="16">
        <v>1</v>
      </c>
      <c r="AV5" s="16">
        <v>1</v>
      </c>
      <c r="AW5" s="16">
        <v>1</v>
      </c>
      <c r="AX5" s="17">
        <v>1</v>
      </c>
      <c r="AY5" s="16">
        <v>1</v>
      </c>
      <c r="AZ5" s="16">
        <v>1</v>
      </c>
      <c r="BA5" s="16">
        <v>1</v>
      </c>
      <c r="BB5" s="17">
        <v>1</v>
      </c>
      <c r="BC5" s="16" t="s">
        <v>446</v>
      </c>
      <c r="BD5" s="16" t="s">
        <v>446</v>
      </c>
      <c r="BE5" s="16" t="s">
        <v>446</v>
      </c>
      <c r="BF5" s="17" t="s">
        <v>446</v>
      </c>
      <c r="BG5" s="16" t="s">
        <v>446</v>
      </c>
      <c r="BH5" s="16" t="s">
        <v>446</v>
      </c>
      <c r="BI5" s="16" t="s">
        <v>446</v>
      </c>
      <c r="BJ5" s="17" t="s">
        <v>446</v>
      </c>
      <c r="BK5" s="16" t="s">
        <v>446</v>
      </c>
      <c r="BL5" s="16" t="s">
        <v>446</v>
      </c>
      <c r="BM5" s="16" t="s">
        <v>446</v>
      </c>
      <c r="BN5" s="17" t="s">
        <v>446</v>
      </c>
      <c r="BP5" s="19">
        <v>5</v>
      </c>
      <c r="BQ5" s="16">
        <v>5</v>
      </c>
      <c r="BR5" s="16">
        <v>5</v>
      </c>
      <c r="BS5" s="17">
        <v>5</v>
      </c>
      <c r="BU5" s="19">
        <v>1</v>
      </c>
      <c r="BV5" s="16">
        <v>1</v>
      </c>
      <c r="BW5" s="16">
        <v>1</v>
      </c>
      <c r="BX5" s="17">
        <v>1</v>
      </c>
      <c r="BZ5" s="19">
        <v>0</v>
      </c>
      <c r="CA5" s="16">
        <v>0</v>
      </c>
      <c r="CB5" s="16">
        <v>0</v>
      </c>
      <c r="CC5" s="17">
        <v>0</v>
      </c>
    </row>
    <row r="6" spans="2:81" ht="18" customHeight="1" x14ac:dyDescent="0.2">
      <c r="B6" s="8">
        <f>garage!B6</f>
        <v>6</v>
      </c>
      <c r="C6" s="8">
        <f>garage!C6</f>
        <v>1</v>
      </c>
      <c r="D6" s="8">
        <f>garage!D6</f>
        <v>5</v>
      </c>
      <c r="E6" s="8">
        <f>garage!E6</f>
        <v>0</v>
      </c>
      <c r="F6" s="8" t="str">
        <f>garage!F6</f>
        <v>--</v>
      </c>
      <c r="G6" s="8" t="str">
        <f>garage!G6</f>
        <v>O</v>
      </c>
      <c r="H6" s="8" t="str">
        <f>garage!H6</f>
        <v>O</v>
      </c>
      <c r="I6" s="8" t="str">
        <f>garage!I6</f>
        <v>O</v>
      </c>
      <c r="J6" s="8" t="str">
        <f>garage!J6</f>
        <v>N</v>
      </c>
      <c r="K6" s="8" t="str">
        <f>garage!K6</f>
        <v>D</v>
      </c>
      <c r="L6" s="9" t="str">
        <f>garage!L6</f>
        <v>Nissan</v>
      </c>
      <c r="M6" s="9" t="str">
        <f>garage!M6</f>
        <v>37OZ Nismo</v>
      </c>
      <c r="O6" s="18">
        <v>1</v>
      </c>
      <c r="P6" s="14">
        <v>1</v>
      </c>
      <c r="Q6" s="14">
        <v>1</v>
      </c>
      <c r="R6" s="15">
        <v>1</v>
      </c>
      <c r="S6" s="14">
        <v>1</v>
      </c>
      <c r="T6" s="14">
        <v>1</v>
      </c>
      <c r="U6" s="14">
        <v>1</v>
      </c>
      <c r="V6" s="15">
        <v>1</v>
      </c>
      <c r="W6" s="14">
        <v>1</v>
      </c>
      <c r="X6" s="14">
        <v>1</v>
      </c>
      <c r="Y6" s="14">
        <v>1</v>
      </c>
      <c r="Z6" s="15">
        <v>1</v>
      </c>
      <c r="AA6" s="14">
        <v>1</v>
      </c>
      <c r="AB6" s="14">
        <v>1</v>
      </c>
      <c r="AC6" s="14">
        <v>1</v>
      </c>
      <c r="AD6" s="15">
        <v>1</v>
      </c>
      <c r="AE6" s="14">
        <v>1</v>
      </c>
      <c r="AF6" s="14">
        <v>1</v>
      </c>
      <c r="AG6" s="14">
        <v>1</v>
      </c>
      <c r="AH6" s="15">
        <v>1</v>
      </c>
      <c r="AI6" s="14">
        <v>1</v>
      </c>
      <c r="AJ6" s="14">
        <v>1</v>
      </c>
      <c r="AK6" s="14">
        <v>1</v>
      </c>
      <c r="AL6" s="15">
        <v>1</v>
      </c>
      <c r="AM6" s="14">
        <v>1</v>
      </c>
      <c r="AN6" s="14">
        <v>1</v>
      </c>
      <c r="AO6" s="14">
        <v>1</v>
      </c>
      <c r="AP6" s="15">
        <v>1</v>
      </c>
      <c r="AQ6" s="14">
        <v>1</v>
      </c>
      <c r="AR6" s="14">
        <v>1</v>
      </c>
      <c r="AS6" s="14">
        <v>1</v>
      </c>
      <c r="AT6" s="15">
        <v>1</v>
      </c>
      <c r="AU6" s="14">
        <v>1</v>
      </c>
      <c r="AV6" s="14">
        <v>1</v>
      </c>
      <c r="AW6" s="14">
        <v>1</v>
      </c>
      <c r="AX6" s="15">
        <v>1</v>
      </c>
      <c r="AY6" s="14">
        <v>1</v>
      </c>
      <c r="AZ6" s="14">
        <v>1</v>
      </c>
      <c r="BA6" s="14">
        <v>1</v>
      </c>
      <c r="BB6" s="15">
        <v>1</v>
      </c>
      <c r="BC6" s="14" t="s">
        <v>446</v>
      </c>
      <c r="BD6" s="14" t="s">
        <v>446</v>
      </c>
      <c r="BE6" s="14" t="s">
        <v>446</v>
      </c>
      <c r="BF6" s="15" t="s">
        <v>446</v>
      </c>
      <c r="BG6" s="14" t="s">
        <v>446</v>
      </c>
      <c r="BH6" s="14" t="s">
        <v>446</v>
      </c>
      <c r="BI6" s="14" t="s">
        <v>446</v>
      </c>
      <c r="BJ6" s="15" t="s">
        <v>446</v>
      </c>
      <c r="BK6" s="14" t="s">
        <v>446</v>
      </c>
      <c r="BL6" s="14" t="s">
        <v>446</v>
      </c>
      <c r="BM6" s="14" t="s">
        <v>446</v>
      </c>
      <c r="BN6" s="15" t="s">
        <v>446</v>
      </c>
      <c r="BP6" s="18">
        <v>5</v>
      </c>
      <c r="BQ6" s="14">
        <v>5</v>
      </c>
      <c r="BR6" s="14">
        <v>5</v>
      </c>
      <c r="BS6" s="15">
        <v>5</v>
      </c>
      <c r="BU6" s="18">
        <v>1</v>
      </c>
      <c r="BV6" s="14">
        <v>1</v>
      </c>
      <c r="BW6" s="14">
        <v>1</v>
      </c>
      <c r="BX6" s="15">
        <v>1</v>
      </c>
      <c r="BZ6" s="18">
        <v>0</v>
      </c>
      <c r="CA6" s="14">
        <v>0</v>
      </c>
      <c r="CB6" s="14">
        <v>0</v>
      </c>
      <c r="CC6" s="15">
        <v>0</v>
      </c>
    </row>
    <row r="7" spans="2:81" ht="18" customHeight="1" x14ac:dyDescent="0.2">
      <c r="B7" s="10">
        <f>garage!B7</f>
        <v>7</v>
      </c>
      <c r="C7" s="10">
        <f>garage!C7</f>
        <v>1</v>
      </c>
      <c r="D7" s="10">
        <f>garage!D7</f>
        <v>6</v>
      </c>
      <c r="E7" s="10">
        <f>garage!E7</f>
        <v>30</v>
      </c>
      <c r="F7" s="10" t="str">
        <f>garage!F7</f>
        <v>--</v>
      </c>
      <c r="G7" s="10" t="str">
        <f>garage!G7</f>
        <v>O</v>
      </c>
      <c r="H7" s="10" t="str">
        <f>garage!H7</f>
        <v>O</v>
      </c>
      <c r="I7" s="10" t="str">
        <f>garage!I7</f>
        <v>N</v>
      </c>
      <c r="J7" s="10" t="str">
        <f>garage!J7</f>
        <v>N</v>
      </c>
      <c r="K7" s="10" t="str">
        <f>garage!K7</f>
        <v>D</v>
      </c>
      <c r="L7" s="11" t="str">
        <f>garage!L7</f>
        <v>KTM</v>
      </c>
      <c r="M7" s="11" t="str">
        <f>garage!M7</f>
        <v>X-Bow GTX</v>
      </c>
      <c r="O7" s="19">
        <v>1</v>
      </c>
      <c r="P7" s="16">
        <v>1</v>
      </c>
      <c r="Q7" s="16">
        <v>1</v>
      </c>
      <c r="R7" s="17">
        <v>1</v>
      </c>
      <c r="S7" s="16">
        <v>1</v>
      </c>
      <c r="T7" s="16">
        <v>1</v>
      </c>
      <c r="U7" s="16">
        <v>1</v>
      </c>
      <c r="V7" s="17">
        <v>1</v>
      </c>
      <c r="W7" s="16">
        <v>1</v>
      </c>
      <c r="X7" s="16">
        <v>1</v>
      </c>
      <c r="Y7" s="16">
        <v>1</v>
      </c>
      <c r="Z7" s="17">
        <v>1</v>
      </c>
      <c r="AA7" s="16">
        <v>1</v>
      </c>
      <c r="AB7" s="16">
        <v>1</v>
      </c>
      <c r="AC7" s="16">
        <v>1</v>
      </c>
      <c r="AD7" s="17">
        <v>1</v>
      </c>
      <c r="AE7" s="16" t="s">
        <v>446</v>
      </c>
      <c r="AF7" s="16" t="s">
        <v>446</v>
      </c>
      <c r="AG7" s="16" t="s">
        <v>446</v>
      </c>
      <c r="AH7" s="17" t="s">
        <v>446</v>
      </c>
      <c r="AI7" s="16" t="s">
        <v>446</v>
      </c>
      <c r="AJ7" s="16" t="s">
        <v>446</v>
      </c>
      <c r="AK7" s="16" t="s">
        <v>446</v>
      </c>
      <c r="AL7" s="17" t="s">
        <v>446</v>
      </c>
      <c r="AM7" s="16" t="s">
        <v>446</v>
      </c>
      <c r="AN7" s="16" t="s">
        <v>446</v>
      </c>
      <c r="AO7" s="16" t="s">
        <v>446</v>
      </c>
      <c r="AP7" s="17" t="s">
        <v>446</v>
      </c>
      <c r="AQ7" s="16" t="s">
        <v>446</v>
      </c>
      <c r="AR7" s="16" t="s">
        <v>446</v>
      </c>
      <c r="AS7" s="16" t="s">
        <v>446</v>
      </c>
      <c r="AT7" s="17" t="s">
        <v>446</v>
      </c>
      <c r="AU7" s="16" t="s">
        <v>446</v>
      </c>
      <c r="AV7" s="16" t="s">
        <v>446</v>
      </c>
      <c r="AW7" s="16" t="s">
        <v>446</v>
      </c>
      <c r="AX7" s="17" t="s">
        <v>446</v>
      </c>
      <c r="AY7" s="16" t="s">
        <v>446</v>
      </c>
      <c r="AZ7" s="16" t="s">
        <v>446</v>
      </c>
      <c r="BA7" s="16" t="s">
        <v>446</v>
      </c>
      <c r="BB7" s="17" t="s">
        <v>446</v>
      </c>
      <c r="BC7" s="16" t="s">
        <v>446</v>
      </c>
      <c r="BD7" s="16" t="s">
        <v>446</v>
      </c>
      <c r="BE7" s="16" t="s">
        <v>446</v>
      </c>
      <c r="BF7" s="17" t="s">
        <v>446</v>
      </c>
      <c r="BG7" s="16" t="s">
        <v>446</v>
      </c>
      <c r="BH7" s="16" t="s">
        <v>446</v>
      </c>
      <c r="BI7" s="16" t="s">
        <v>446</v>
      </c>
      <c r="BJ7" s="17" t="s">
        <v>446</v>
      </c>
      <c r="BK7" s="16" t="s">
        <v>446</v>
      </c>
      <c r="BL7" s="16" t="s">
        <v>446</v>
      </c>
      <c r="BM7" s="16" t="s">
        <v>446</v>
      </c>
      <c r="BN7" s="17" t="s">
        <v>446</v>
      </c>
      <c r="BP7" s="19" t="s">
        <v>446</v>
      </c>
      <c r="BQ7" s="16" t="s">
        <v>446</v>
      </c>
      <c r="BR7" s="16" t="s">
        <v>446</v>
      </c>
      <c r="BS7" s="17" t="s">
        <v>446</v>
      </c>
      <c r="BU7" s="19" t="s">
        <v>446</v>
      </c>
      <c r="BV7" s="16" t="s">
        <v>446</v>
      </c>
      <c r="BW7" s="16" t="s">
        <v>446</v>
      </c>
      <c r="BX7" s="17" t="s">
        <v>446</v>
      </c>
      <c r="BZ7" s="19" t="s">
        <v>446</v>
      </c>
      <c r="CA7" s="16" t="s">
        <v>446</v>
      </c>
      <c r="CB7" s="16" t="s">
        <v>446</v>
      </c>
      <c r="CC7" s="17" t="s">
        <v>446</v>
      </c>
    </row>
    <row r="8" spans="2:81" ht="18" customHeight="1" x14ac:dyDescent="0.2">
      <c r="B8" s="8">
        <f>garage!B8</f>
        <v>8</v>
      </c>
      <c r="C8" s="8">
        <f>garage!C8</f>
        <v>1</v>
      </c>
      <c r="D8" s="8">
        <f>garage!D8</f>
        <v>7</v>
      </c>
      <c r="E8" s="8">
        <f>garage!E8</f>
        <v>0</v>
      </c>
      <c r="F8" s="8" t="str">
        <f>garage!F8</f>
        <v>--</v>
      </c>
      <c r="G8" s="8" t="str">
        <f>garage!G8</f>
        <v>O</v>
      </c>
      <c r="H8" s="8" t="str">
        <f>garage!H8</f>
        <v>O</v>
      </c>
      <c r="I8" s="8" t="str">
        <f>garage!I8</f>
        <v>O</v>
      </c>
      <c r="J8" s="8" t="str">
        <f>garage!J8</f>
        <v>N</v>
      </c>
      <c r="K8" s="8" t="str">
        <f>garage!K8</f>
        <v>D</v>
      </c>
      <c r="L8" s="9" t="str">
        <f>garage!L8</f>
        <v>Volkswagen</v>
      </c>
      <c r="M8" s="9" t="str">
        <f>garage!M8</f>
        <v>XL Sport Concept</v>
      </c>
      <c r="O8" s="18">
        <v>1</v>
      </c>
      <c r="P8" s="14">
        <v>1</v>
      </c>
      <c r="Q8" s="14">
        <v>1</v>
      </c>
      <c r="R8" s="15">
        <v>1</v>
      </c>
      <c r="S8" s="14">
        <v>1</v>
      </c>
      <c r="T8" s="14">
        <v>1</v>
      </c>
      <c r="U8" s="14">
        <v>1</v>
      </c>
      <c r="V8" s="15">
        <v>1</v>
      </c>
      <c r="W8" s="14">
        <v>1</v>
      </c>
      <c r="X8" s="14">
        <v>1</v>
      </c>
      <c r="Y8" s="14">
        <v>1</v>
      </c>
      <c r="Z8" s="15">
        <v>1</v>
      </c>
      <c r="AA8" s="14">
        <v>1</v>
      </c>
      <c r="AB8" s="14">
        <v>1</v>
      </c>
      <c r="AC8" s="14">
        <v>1</v>
      </c>
      <c r="AD8" s="15">
        <v>1</v>
      </c>
      <c r="AE8" s="14">
        <v>1</v>
      </c>
      <c r="AF8" s="14">
        <v>1</v>
      </c>
      <c r="AG8" s="14">
        <v>1</v>
      </c>
      <c r="AH8" s="15">
        <v>1</v>
      </c>
      <c r="AI8" s="14">
        <v>1</v>
      </c>
      <c r="AJ8" s="14">
        <v>1</v>
      </c>
      <c r="AK8" s="14">
        <v>1</v>
      </c>
      <c r="AL8" s="15">
        <v>1</v>
      </c>
      <c r="AM8" s="14">
        <v>1</v>
      </c>
      <c r="AN8" s="14">
        <v>1</v>
      </c>
      <c r="AO8" s="14">
        <v>1</v>
      </c>
      <c r="AP8" s="15">
        <v>1</v>
      </c>
      <c r="AQ8" s="14">
        <v>1</v>
      </c>
      <c r="AR8" s="14">
        <v>1</v>
      </c>
      <c r="AS8" s="14">
        <v>1</v>
      </c>
      <c r="AT8" s="15">
        <v>1</v>
      </c>
      <c r="AU8" s="14">
        <v>1</v>
      </c>
      <c r="AV8" s="14">
        <v>1</v>
      </c>
      <c r="AW8" s="14">
        <v>1</v>
      </c>
      <c r="AX8" s="15">
        <v>1</v>
      </c>
      <c r="AY8" s="14">
        <v>1</v>
      </c>
      <c r="AZ8" s="14">
        <v>1</v>
      </c>
      <c r="BA8" s="14">
        <v>1</v>
      </c>
      <c r="BB8" s="15">
        <v>1</v>
      </c>
      <c r="BC8" s="14" t="s">
        <v>446</v>
      </c>
      <c r="BD8" s="14" t="s">
        <v>446</v>
      </c>
      <c r="BE8" s="14" t="s">
        <v>446</v>
      </c>
      <c r="BF8" s="15" t="s">
        <v>446</v>
      </c>
      <c r="BG8" s="14" t="s">
        <v>446</v>
      </c>
      <c r="BH8" s="14" t="s">
        <v>446</v>
      </c>
      <c r="BI8" s="14" t="s">
        <v>446</v>
      </c>
      <c r="BJ8" s="15" t="s">
        <v>446</v>
      </c>
      <c r="BK8" s="14" t="s">
        <v>446</v>
      </c>
      <c r="BL8" s="14" t="s">
        <v>446</v>
      </c>
      <c r="BM8" s="14" t="s">
        <v>446</v>
      </c>
      <c r="BN8" s="15" t="s">
        <v>446</v>
      </c>
      <c r="BP8" s="18">
        <v>5</v>
      </c>
      <c r="BQ8" s="14">
        <v>5</v>
      </c>
      <c r="BR8" s="14">
        <v>5</v>
      </c>
      <c r="BS8" s="15">
        <v>5</v>
      </c>
      <c r="BU8" s="18">
        <v>1</v>
      </c>
      <c r="BV8" s="14">
        <v>1</v>
      </c>
      <c r="BW8" s="14">
        <v>1</v>
      </c>
      <c r="BX8" s="15">
        <v>1</v>
      </c>
      <c r="BZ8" s="18">
        <v>0</v>
      </c>
      <c r="CA8" s="14">
        <v>0</v>
      </c>
      <c r="CB8" s="14">
        <v>0</v>
      </c>
      <c r="CC8" s="15">
        <v>0</v>
      </c>
    </row>
    <row r="9" spans="2:81" ht="18" customHeight="1" x14ac:dyDescent="0.2">
      <c r="B9" s="10">
        <f>garage!B9</f>
        <v>9</v>
      </c>
      <c r="C9" s="10">
        <f>garage!C9</f>
        <v>1</v>
      </c>
      <c r="D9" s="10">
        <f>garage!D9</f>
        <v>8</v>
      </c>
      <c r="E9" s="10">
        <f>garage!E9</f>
        <v>0</v>
      </c>
      <c r="F9" s="10" t="str">
        <f>garage!F9</f>
        <v>--</v>
      </c>
      <c r="G9" s="10" t="str">
        <f>garage!G9</f>
        <v>O</v>
      </c>
      <c r="H9" s="10" t="str">
        <f>garage!H9</f>
        <v>O</v>
      </c>
      <c r="I9" s="10" t="str">
        <f>garage!I9</f>
        <v>O</v>
      </c>
      <c r="J9" s="10" t="str">
        <f>garage!J9</f>
        <v>N</v>
      </c>
      <c r="K9" s="10" t="str">
        <f>garage!K9</f>
        <v>D</v>
      </c>
      <c r="L9" s="11" t="str">
        <f>garage!L9</f>
        <v>DS Automobiles</v>
      </c>
      <c r="M9" s="11" t="str">
        <f>garage!M9</f>
        <v>DS E-Tense</v>
      </c>
      <c r="O9" s="19">
        <v>1</v>
      </c>
      <c r="P9" s="16">
        <v>1</v>
      </c>
      <c r="Q9" s="16">
        <v>1</v>
      </c>
      <c r="R9" s="17">
        <v>1</v>
      </c>
      <c r="S9" s="16">
        <v>1</v>
      </c>
      <c r="T9" s="16">
        <v>1</v>
      </c>
      <c r="U9" s="16">
        <v>1</v>
      </c>
      <c r="V9" s="17">
        <v>1</v>
      </c>
      <c r="W9" s="16">
        <v>1</v>
      </c>
      <c r="X9" s="16">
        <v>1</v>
      </c>
      <c r="Y9" s="16">
        <v>1</v>
      </c>
      <c r="Z9" s="17">
        <v>1</v>
      </c>
      <c r="AA9" s="16">
        <v>1</v>
      </c>
      <c r="AB9" s="16">
        <v>1</v>
      </c>
      <c r="AC9" s="16">
        <v>1</v>
      </c>
      <c r="AD9" s="17">
        <v>1</v>
      </c>
      <c r="AE9" s="16">
        <v>1</v>
      </c>
      <c r="AF9" s="16">
        <v>1</v>
      </c>
      <c r="AG9" s="16">
        <v>1</v>
      </c>
      <c r="AH9" s="17">
        <v>1</v>
      </c>
      <c r="AI9" s="16">
        <v>1</v>
      </c>
      <c r="AJ9" s="16">
        <v>1</v>
      </c>
      <c r="AK9" s="16">
        <v>1</v>
      </c>
      <c r="AL9" s="17">
        <v>1</v>
      </c>
      <c r="AM9" s="16">
        <v>1</v>
      </c>
      <c r="AN9" s="16">
        <v>1</v>
      </c>
      <c r="AO9" s="16">
        <v>1</v>
      </c>
      <c r="AP9" s="17">
        <v>1</v>
      </c>
      <c r="AQ9" s="16">
        <v>1</v>
      </c>
      <c r="AR9" s="16">
        <v>1</v>
      </c>
      <c r="AS9" s="16">
        <v>1</v>
      </c>
      <c r="AT9" s="17">
        <v>1</v>
      </c>
      <c r="AU9" s="16">
        <v>1</v>
      </c>
      <c r="AV9" s="16">
        <v>1</v>
      </c>
      <c r="AW9" s="16">
        <v>1</v>
      </c>
      <c r="AX9" s="17">
        <v>1</v>
      </c>
      <c r="AY9" s="16">
        <v>1</v>
      </c>
      <c r="AZ9" s="16">
        <v>1</v>
      </c>
      <c r="BA9" s="16">
        <v>1</v>
      </c>
      <c r="BB9" s="17">
        <v>1</v>
      </c>
      <c r="BC9" s="16" t="s">
        <v>446</v>
      </c>
      <c r="BD9" s="16" t="s">
        <v>446</v>
      </c>
      <c r="BE9" s="16" t="s">
        <v>446</v>
      </c>
      <c r="BF9" s="17" t="s">
        <v>446</v>
      </c>
      <c r="BG9" s="16" t="s">
        <v>446</v>
      </c>
      <c r="BH9" s="16" t="s">
        <v>446</v>
      </c>
      <c r="BI9" s="16" t="s">
        <v>446</v>
      </c>
      <c r="BJ9" s="17" t="s">
        <v>446</v>
      </c>
      <c r="BK9" s="16" t="s">
        <v>446</v>
      </c>
      <c r="BL9" s="16" t="s">
        <v>446</v>
      </c>
      <c r="BM9" s="16" t="s">
        <v>446</v>
      </c>
      <c r="BN9" s="17" t="s">
        <v>446</v>
      </c>
      <c r="BP9" s="19">
        <v>5</v>
      </c>
      <c r="BQ9" s="16">
        <v>5</v>
      </c>
      <c r="BR9" s="16">
        <v>5</v>
      </c>
      <c r="BS9" s="17">
        <v>5</v>
      </c>
      <c r="BU9" s="19">
        <v>1</v>
      </c>
      <c r="BV9" s="16">
        <v>1</v>
      </c>
      <c r="BW9" s="16">
        <v>1</v>
      </c>
      <c r="BX9" s="17">
        <v>1</v>
      </c>
      <c r="BZ9" s="19">
        <v>0</v>
      </c>
      <c r="CA9" s="16">
        <v>0</v>
      </c>
      <c r="CB9" s="16">
        <v>0</v>
      </c>
      <c r="CC9" s="17">
        <v>0</v>
      </c>
    </row>
    <row r="10" spans="2:81" ht="18" customHeight="1" x14ac:dyDescent="0.2">
      <c r="B10" s="8">
        <f>garage!B10</f>
        <v>10</v>
      </c>
      <c r="C10" s="8">
        <f>garage!C10</f>
        <v>1</v>
      </c>
      <c r="D10" s="8">
        <f>garage!D10</f>
        <v>9</v>
      </c>
      <c r="E10" s="8">
        <f>garage!E10</f>
        <v>0</v>
      </c>
      <c r="F10" s="8" t="str">
        <f>garage!F10</f>
        <v>--</v>
      </c>
      <c r="G10" s="8" t="str">
        <f>garage!G10</f>
        <v>O</v>
      </c>
      <c r="H10" s="8" t="str">
        <f>garage!H10</f>
        <v>O</v>
      </c>
      <c r="I10" s="8" t="str">
        <f>garage!I10</f>
        <v>O</v>
      </c>
      <c r="J10" s="8" t="str">
        <f>garage!J10</f>
        <v>N</v>
      </c>
      <c r="K10" s="8" t="str">
        <f>garage!K10</f>
        <v>D</v>
      </c>
      <c r="L10" s="9" t="str">
        <f>garage!L10</f>
        <v>Dodge</v>
      </c>
      <c r="M10" s="9" t="str">
        <f>garage!M10</f>
        <v>Pack Challenger 392 Hemi Scat</v>
      </c>
      <c r="O10" s="18">
        <v>1</v>
      </c>
      <c r="P10" s="14">
        <v>1</v>
      </c>
      <c r="Q10" s="14">
        <v>1</v>
      </c>
      <c r="R10" s="15">
        <v>1</v>
      </c>
      <c r="S10" s="14">
        <v>1</v>
      </c>
      <c r="T10" s="14">
        <v>1</v>
      </c>
      <c r="U10" s="14">
        <v>1</v>
      </c>
      <c r="V10" s="15">
        <v>1</v>
      </c>
      <c r="W10" s="14">
        <v>1</v>
      </c>
      <c r="X10" s="14">
        <v>1</v>
      </c>
      <c r="Y10" s="14">
        <v>1</v>
      </c>
      <c r="Z10" s="15">
        <v>1</v>
      </c>
      <c r="AA10" s="14">
        <v>1</v>
      </c>
      <c r="AB10" s="14">
        <v>1</v>
      </c>
      <c r="AC10" s="14">
        <v>1</v>
      </c>
      <c r="AD10" s="15">
        <v>1</v>
      </c>
      <c r="AE10" s="14">
        <v>1</v>
      </c>
      <c r="AF10" s="14">
        <v>1</v>
      </c>
      <c r="AG10" s="14">
        <v>1</v>
      </c>
      <c r="AH10" s="15">
        <v>1</v>
      </c>
      <c r="AI10" s="14">
        <v>1</v>
      </c>
      <c r="AJ10" s="14">
        <v>1</v>
      </c>
      <c r="AK10" s="14">
        <v>1</v>
      </c>
      <c r="AL10" s="15">
        <v>1</v>
      </c>
      <c r="AM10" s="14">
        <v>1</v>
      </c>
      <c r="AN10" s="14">
        <v>1</v>
      </c>
      <c r="AO10" s="14">
        <v>1</v>
      </c>
      <c r="AP10" s="15">
        <v>1</v>
      </c>
      <c r="AQ10" s="14">
        <v>1</v>
      </c>
      <c r="AR10" s="14">
        <v>1</v>
      </c>
      <c r="AS10" s="14">
        <v>1</v>
      </c>
      <c r="AT10" s="15">
        <v>1</v>
      </c>
      <c r="AU10" s="14">
        <v>1</v>
      </c>
      <c r="AV10" s="14">
        <v>1</v>
      </c>
      <c r="AW10" s="14">
        <v>1</v>
      </c>
      <c r="AX10" s="15">
        <v>1</v>
      </c>
      <c r="AY10" s="14">
        <v>1</v>
      </c>
      <c r="AZ10" s="14">
        <v>1</v>
      </c>
      <c r="BA10" s="14">
        <v>1</v>
      </c>
      <c r="BB10" s="15">
        <v>1</v>
      </c>
      <c r="BC10" s="14" t="s">
        <v>446</v>
      </c>
      <c r="BD10" s="14" t="s">
        <v>446</v>
      </c>
      <c r="BE10" s="14" t="s">
        <v>446</v>
      </c>
      <c r="BF10" s="15" t="s">
        <v>446</v>
      </c>
      <c r="BG10" s="14" t="s">
        <v>446</v>
      </c>
      <c r="BH10" s="14" t="s">
        <v>446</v>
      </c>
      <c r="BI10" s="14" t="s">
        <v>446</v>
      </c>
      <c r="BJ10" s="15" t="s">
        <v>446</v>
      </c>
      <c r="BK10" s="14" t="s">
        <v>446</v>
      </c>
      <c r="BL10" s="14" t="s">
        <v>446</v>
      </c>
      <c r="BM10" s="14" t="s">
        <v>446</v>
      </c>
      <c r="BN10" s="15" t="s">
        <v>446</v>
      </c>
      <c r="BP10" s="18">
        <v>5</v>
      </c>
      <c r="BQ10" s="14">
        <v>5</v>
      </c>
      <c r="BR10" s="14">
        <v>5</v>
      </c>
      <c r="BS10" s="15">
        <v>5</v>
      </c>
      <c r="BU10" s="18">
        <v>1</v>
      </c>
      <c r="BV10" s="14">
        <v>1</v>
      </c>
      <c r="BW10" s="14">
        <v>1</v>
      </c>
      <c r="BX10" s="15">
        <v>1</v>
      </c>
      <c r="BZ10" s="18">
        <v>0</v>
      </c>
      <c r="CA10" s="14">
        <v>0</v>
      </c>
      <c r="CB10" s="14">
        <v>0</v>
      </c>
      <c r="CC10" s="15">
        <v>0</v>
      </c>
    </row>
    <row r="11" spans="2:81" ht="18" customHeight="1" x14ac:dyDescent="0.2">
      <c r="B11" s="10">
        <f>garage!B11</f>
        <v>11</v>
      </c>
      <c r="C11" s="10">
        <f>garage!C11</f>
        <v>1</v>
      </c>
      <c r="D11" s="10">
        <f>garage!D11</f>
        <v>10</v>
      </c>
      <c r="E11" s="10">
        <f>garage!E11</f>
        <v>26</v>
      </c>
      <c r="F11" s="10" t="str">
        <f>garage!F11</f>
        <v>--</v>
      </c>
      <c r="G11" s="10" t="str">
        <f>garage!G11</f>
        <v>O</v>
      </c>
      <c r="H11" s="10" t="str">
        <f>garage!H11</f>
        <v>N</v>
      </c>
      <c r="I11" s="10" t="str">
        <f>garage!I11</f>
        <v>N</v>
      </c>
      <c r="J11" s="10" t="str">
        <f>garage!J11</f>
        <v>O</v>
      </c>
      <c r="K11" s="10" t="str">
        <f>garage!K11</f>
        <v>D</v>
      </c>
      <c r="L11" s="11" t="str">
        <f>garage!L11</f>
        <v>Renault</v>
      </c>
      <c r="M11" s="11" t="str">
        <f>garage!M11</f>
        <v>Dezir</v>
      </c>
      <c r="O11" s="19" t="s">
        <v>446</v>
      </c>
      <c r="P11" s="16" t="s">
        <v>446</v>
      </c>
      <c r="Q11" s="16" t="s">
        <v>446</v>
      </c>
      <c r="R11" s="17" t="s">
        <v>446</v>
      </c>
      <c r="S11" s="16" t="s">
        <v>446</v>
      </c>
      <c r="T11" s="16" t="s">
        <v>446</v>
      </c>
      <c r="U11" s="16" t="s">
        <v>446</v>
      </c>
      <c r="V11" s="17" t="s">
        <v>446</v>
      </c>
      <c r="W11" s="16" t="s">
        <v>446</v>
      </c>
      <c r="X11" s="16" t="s">
        <v>446</v>
      </c>
      <c r="Y11" s="16" t="s">
        <v>446</v>
      </c>
      <c r="Z11" s="17" t="s">
        <v>446</v>
      </c>
      <c r="AA11" s="16" t="s">
        <v>446</v>
      </c>
      <c r="AB11" s="16" t="s">
        <v>446</v>
      </c>
      <c r="AC11" s="16" t="s">
        <v>446</v>
      </c>
      <c r="AD11" s="17" t="s">
        <v>446</v>
      </c>
      <c r="AE11" s="16" t="s">
        <v>446</v>
      </c>
      <c r="AF11" s="16" t="s">
        <v>446</v>
      </c>
      <c r="AG11" s="16" t="s">
        <v>446</v>
      </c>
      <c r="AH11" s="17" t="s">
        <v>446</v>
      </c>
      <c r="AI11" s="16" t="s">
        <v>446</v>
      </c>
      <c r="AJ11" s="16" t="s">
        <v>446</v>
      </c>
      <c r="AK11" s="16" t="s">
        <v>446</v>
      </c>
      <c r="AL11" s="17" t="s">
        <v>446</v>
      </c>
      <c r="AM11" s="16" t="s">
        <v>446</v>
      </c>
      <c r="AN11" s="16" t="s">
        <v>446</v>
      </c>
      <c r="AO11" s="16" t="s">
        <v>446</v>
      </c>
      <c r="AP11" s="17" t="s">
        <v>446</v>
      </c>
      <c r="AQ11" s="16" t="s">
        <v>446</v>
      </c>
      <c r="AR11" s="16" t="s">
        <v>446</v>
      </c>
      <c r="AS11" s="16" t="s">
        <v>446</v>
      </c>
      <c r="AT11" s="17" t="s">
        <v>446</v>
      </c>
      <c r="AU11" s="16" t="s">
        <v>446</v>
      </c>
      <c r="AV11" s="16" t="s">
        <v>446</v>
      </c>
      <c r="AW11" s="16" t="s">
        <v>446</v>
      </c>
      <c r="AX11" s="17" t="s">
        <v>446</v>
      </c>
      <c r="AY11" s="16" t="s">
        <v>446</v>
      </c>
      <c r="AZ11" s="16" t="s">
        <v>446</v>
      </c>
      <c r="BA11" s="16" t="s">
        <v>446</v>
      </c>
      <c r="BB11" s="17" t="s">
        <v>446</v>
      </c>
      <c r="BC11" s="16" t="s">
        <v>446</v>
      </c>
      <c r="BD11" s="16" t="s">
        <v>446</v>
      </c>
      <c r="BE11" s="16" t="s">
        <v>446</v>
      </c>
      <c r="BF11" s="17" t="s">
        <v>446</v>
      </c>
      <c r="BG11" s="16" t="s">
        <v>446</v>
      </c>
      <c r="BH11" s="16" t="s">
        <v>446</v>
      </c>
      <c r="BI11" s="16" t="s">
        <v>446</v>
      </c>
      <c r="BJ11" s="17" t="s">
        <v>446</v>
      </c>
      <c r="BK11" s="16" t="s">
        <v>446</v>
      </c>
      <c r="BL11" s="16" t="s">
        <v>446</v>
      </c>
      <c r="BM11" s="16" t="s">
        <v>446</v>
      </c>
      <c r="BN11" s="17" t="s">
        <v>446</v>
      </c>
      <c r="BP11" s="19" t="s">
        <v>446</v>
      </c>
      <c r="BQ11" s="16" t="s">
        <v>446</v>
      </c>
      <c r="BR11" s="16" t="s">
        <v>446</v>
      </c>
      <c r="BS11" s="17" t="s">
        <v>446</v>
      </c>
      <c r="BU11" s="19" t="s">
        <v>446</v>
      </c>
      <c r="BV11" s="16" t="s">
        <v>446</v>
      </c>
      <c r="BW11" s="16" t="s">
        <v>446</v>
      </c>
      <c r="BX11" s="17" t="s">
        <v>446</v>
      </c>
      <c r="BZ11" s="19" t="s">
        <v>446</v>
      </c>
      <c r="CA11" s="16" t="s">
        <v>446</v>
      </c>
      <c r="CB11" s="16" t="s">
        <v>446</v>
      </c>
      <c r="CC11" s="17" t="s">
        <v>446</v>
      </c>
    </row>
    <row r="12" spans="2:81" ht="18" customHeight="1" x14ac:dyDescent="0.2">
      <c r="B12" s="8">
        <f>garage!B12</f>
        <v>12</v>
      </c>
      <c r="C12" s="8">
        <f>garage!C12</f>
        <v>1</v>
      </c>
      <c r="D12" s="8">
        <f>garage!D12</f>
        <v>11</v>
      </c>
      <c r="E12" s="8">
        <f>garage!E12</f>
        <v>18</v>
      </c>
      <c r="F12" s="8" t="str">
        <f>garage!F12</f>
        <v>--</v>
      </c>
      <c r="G12" s="8" t="str">
        <f>garage!G12</f>
        <v>N</v>
      </c>
      <c r="H12" s="8" t="str">
        <f>garage!H12</f>
        <v>N</v>
      </c>
      <c r="I12" s="8" t="str">
        <f>garage!I12</f>
        <v>N</v>
      </c>
      <c r="J12" s="8" t="str">
        <f>garage!J12</f>
        <v>N</v>
      </c>
      <c r="K12" s="8" t="str">
        <f>garage!K12</f>
        <v>D</v>
      </c>
      <c r="L12" s="9" t="str">
        <f>garage!L12</f>
        <v>Italdesign</v>
      </c>
      <c r="M12" s="9" t="str">
        <f>garage!M12</f>
        <v>DaVinci</v>
      </c>
      <c r="O12" s="18" t="s">
        <v>446</v>
      </c>
      <c r="P12" s="14" t="s">
        <v>446</v>
      </c>
      <c r="Q12" s="14" t="s">
        <v>446</v>
      </c>
      <c r="R12" s="15" t="s">
        <v>446</v>
      </c>
      <c r="S12" s="14" t="s">
        <v>446</v>
      </c>
      <c r="T12" s="14" t="s">
        <v>446</v>
      </c>
      <c r="U12" s="14" t="s">
        <v>446</v>
      </c>
      <c r="V12" s="15" t="s">
        <v>446</v>
      </c>
      <c r="W12" s="14" t="s">
        <v>446</v>
      </c>
      <c r="X12" s="14" t="s">
        <v>446</v>
      </c>
      <c r="Y12" s="14" t="s">
        <v>446</v>
      </c>
      <c r="Z12" s="15" t="s">
        <v>446</v>
      </c>
      <c r="AA12" s="14" t="s">
        <v>446</v>
      </c>
      <c r="AB12" s="14" t="s">
        <v>446</v>
      </c>
      <c r="AC12" s="14" t="s">
        <v>446</v>
      </c>
      <c r="AD12" s="15" t="s">
        <v>446</v>
      </c>
      <c r="AE12" s="14" t="s">
        <v>446</v>
      </c>
      <c r="AF12" s="14" t="s">
        <v>446</v>
      </c>
      <c r="AG12" s="14" t="s">
        <v>446</v>
      </c>
      <c r="AH12" s="15" t="s">
        <v>446</v>
      </c>
      <c r="AI12" s="14" t="s">
        <v>446</v>
      </c>
      <c r="AJ12" s="14" t="s">
        <v>446</v>
      </c>
      <c r="AK12" s="14" t="s">
        <v>446</v>
      </c>
      <c r="AL12" s="15" t="s">
        <v>446</v>
      </c>
      <c r="AM12" s="14" t="s">
        <v>446</v>
      </c>
      <c r="AN12" s="14" t="s">
        <v>446</v>
      </c>
      <c r="AO12" s="14" t="s">
        <v>446</v>
      </c>
      <c r="AP12" s="15" t="s">
        <v>446</v>
      </c>
      <c r="AQ12" s="14" t="s">
        <v>446</v>
      </c>
      <c r="AR12" s="14" t="s">
        <v>446</v>
      </c>
      <c r="AS12" s="14" t="s">
        <v>446</v>
      </c>
      <c r="AT12" s="15" t="s">
        <v>446</v>
      </c>
      <c r="AU12" s="14" t="s">
        <v>446</v>
      </c>
      <c r="AV12" s="14" t="s">
        <v>446</v>
      </c>
      <c r="AW12" s="14" t="s">
        <v>446</v>
      </c>
      <c r="AX12" s="15" t="s">
        <v>446</v>
      </c>
      <c r="AY12" s="14" t="s">
        <v>446</v>
      </c>
      <c r="AZ12" s="14" t="s">
        <v>446</v>
      </c>
      <c r="BA12" s="14" t="s">
        <v>446</v>
      </c>
      <c r="BB12" s="15" t="s">
        <v>446</v>
      </c>
      <c r="BC12" s="14" t="s">
        <v>446</v>
      </c>
      <c r="BD12" s="14" t="s">
        <v>446</v>
      </c>
      <c r="BE12" s="14" t="s">
        <v>446</v>
      </c>
      <c r="BF12" s="15" t="s">
        <v>446</v>
      </c>
      <c r="BG12" s="14" t="s">
        <v>446</v>
      </c>
      <c r="BH12" s="14" t="s">
        <v>446</v>
      </c>
      <c r="BI12" s="14" t="s">
        <v>446</v>
      </c>
      <c r="BJ12" s="15" t="s">
        <v>446</v>
      </c>
      <c r="BK12" s="14" t="s">
        <v>446</v>
      </c>
      <c r="BL12" s="14" t="s">
        <v>446</v>
      </c>
      <c r="BM12" s="14" t="s">
        <v>446</v>
      </c>
      <c r="BN12" s="15" t="s">
        <v>446</v>
      </c>
      <c r="BP12" s="18" t="s">
        <v>446</v>
      </c>
      <c r="BQ12" s="14" t="s">
        <v>446</v>
      </c>
      <c r="BR12" s="14" t="s">
        <v>446</v>
      </c>
      <c r="BS12" s="15" t="s">
        <v>446</v>
      </c>
      <c r="BU12" s="18" t="s">
        <v>446</v>
      </c>
      <c r="BV12" s="14" t="s">
        <v>446</v>
      </c>
      <c r="BW12" s="14" t="s">
        <v>446</v>
      </c>
      <c r="BX12" s="15" t="s">
        <v>446</v>
      </c>
      <c r="BZ12" s="18" t="s">
        <v>446</v>
      </c>
      <c r="CA12" s="14" t="s">
        <v>446</v>
      </c>
      <c r="CB12" s="14" t="s">
        <v>446</v>
      </c>
      <c r="CC12" s="15" t="s">
        <v>446</v>
      </c>
    </row>
    <row r="13" spans="2:81" ht="18" customHeight="1" x14ac:dyDescent="0.2">
      <c r="B13" s="10">
        <f>garage!B13</f>
        <v>13</v>
      </c>
      <c r="C13" s="10">
        <f>garage!C13</f>
        <v>1</v>
      </c>
      <c r="D13" s="10">
        <f>garage!D13</f>
        <v>12</v>
      </c>
      <c r="E13" s="10">
        <f>garage!E13</f>
        <v>16</v>
      </c>
      <c r="F13" s="10" t="str">
        <f>garage!F13</f>
        <v>--</v>
      </c>
      <c r="G13" s="10" t="str">
        <f>garage!G13</f>
        <v>O</v>
      </c>
      <c r="H13" s="10" t="str">
        <f>garage!H13</f>
        <v>N</v>
      </c>
      <c r="I13" s="10" t="str">
        <f>garage!I13</f>
        <v>N</v>
      </c>
      <c r="J13" s="10" t="str">
        <f>garage!J13</f>
        <v>O</v>
      </c>
      <c r="K13" s="10" t="str">
        <f>garage!K13</f>
        <v>D</v>
      </c>
      <c r="L13" s="11" t="str">
        <f>garage!L13</f>
        <v>BMW</v>
      </c>
      <c r="M13" s="11" t="str">
        <f>garage!M13</f>
        <v>I8 Roadster</v>
      </c>
      <c r="O13" s="19">
        <v>1</v>
      </c>
      <c r="P13" s="16">
        <v>1</v>
      </c>
      <c r="Q13" s="16">
        <v>1</v>
      </c>
      <c r="R13" s="17">
        <v>1</v>
      </c>
      <c r="S13" s="16">
        <v>1</v>
      </c>
      <c r="T13" s="16">
        <v>1</v>
      </c>
      <c r="U13" s="16">
        <v>1</v>
      </c>
      <c r="V13" s="17">
        <v>1</v>
      </c>
      <c r="W13" s="16">
        <v>1</v>
      </c>
      <c r="X13" s="16">
        <v>1</v>
      </c>
      <c r="Y13" s="16">
        <v>1</v>
      </c>
      <c r="Z13" s="17">
        <v>1</v>
      </c>
      <c r="AA13" s="16">
        <v>1</v>
      </c>
      <c r="AB13" s="16">
        <v>1</v>
      </c>
      <c r="AC13" s="16">
        <v>1</v>
      </c>
      <c r="AD13" s="17">
        <v>1</v>
      </c>
      <c r="AE13" s="16">
        <v>1</v>
      </c>
      <c r="AF13" s="16">
        <v>1</v>
      </c>
      <c r="AG13" s="16">
        <v>1</v>
      </c>
      <c r="AH13" s="17">
        <v>1</v>
      </c>
      <c r="AI13" s="16">
        <v>1</v>
      </c>
      <c r="AJ13" s="16">
        <v>1</v>
      </c>
      <c r="AK13" s="16">
        <v>1</v>
      </c>
      <c r="AL13" s="17">
        <v>1</v>
      </c>
      <c r="AM13" s="16">
        <v>1</v>
      </c>
      <c r="AN13" s="16">
        <v>1</v>
      </c>
      <c r="AO13" s="16">
        <v>1</v>
      </c>
      <c r="AP13" s="17">
        <v>1</v>
      </c>
      <c r="AQ13" s="16" t="s">
        <v>446</v>
      </c>
      <c r="AR13" s="16" t="s">
        <v>446</v>
      </c>
      <c r="AS13" s="16" t="s">
        <v>446</v>
      </c>
      <c r="AT13" s="17" t="s">
        <v>446</v>
      </c>
      <c r="AU13" s="16" t="s">
        <v>446</v>
      </c>
      <c r="AV13" s="16" t="s">
        <v>446</v>
      </c>
      <c r="AW13" s="16" t="s">
        <v>446</v>
      </c>
      <c r="AX13" s="17" t="s">
        <v>446</v>
      </c>
      <c r="AY13" s="16" t="s">
        <v>446</v>
      </c>
      <c r="AZ13" s="16" t="s">
        <v>446</v>
      </c>
      <c r="BA13" s="16" t="s">
        <v>446</v>
      </c>
      <c r="BB13" s="17" t="s">
        <v>446</v>
      </c>
      <c r="BC13" s="16" t="s">
        <v>446</v>
      </c>
      <c r="BD13" s="16" t="s">
        <v>446</v>
      </c>
      <c r="BE13" s="16" t="s">
        <v>446</v>
      </c>
      <c r="BF13" s="17" t="s">
        <v>446</v>
      </c>
      <c r="BG13" s="16" t="s">
        <v>446</v>
      </c>
      <c r="BH13" s="16" t="s">
        <v>446</v>
      </c>
      <c r="BI13" s="16" t="s">
        <v>446</v>
      </c>
      <c r="BJ13" s="17" t="s">
        <v>446</v>
      </c>
      <c r="BK13" s="16" t="s">
        <v>446</v>
      </c>
      <c r="BL13" s="16" t="s">
        <v>446</v>
      </c>
      <c r="BM13" s="16" t="s">
        <v>446</v>
      </c>
      <c r="BN13" s="17" t="s">
        <v>446</v>
      </c>
      <c r="BP13" s="19">
        <v>6</v>
      </c>
      <c r="BQ13" s="16">
        <v>4</v>
      </c>
      <c r="BR13" s="16">
        <v>4</v>
      </c>
      <c r="BS13" s="17">
        <v>6</v>
      </c>
      <c r="BU13" s="19" t="s">
        <v>446</v>
      </c>
      <c r="BV13" s="16" t="s">
        <v>446</v>
      </c>
      <c r="BW13" s="16" t="s">
        <v>446</v>
      </c>
      <c r="BX13" s="17" t="s">
        <v>446</v>
      </c>
      <c r="BZ13" s="19" t="s">
        <v>446</v>
      </c>
      <c r="CA13" s="16" t="s">
        <v>446</v>
      </c>
      <c r="CB13" s="16" t="s">
        <v>446</v>
      </c>
      <c r="CC13" s="17" t="s">
        <v>446</v>
      </c>
    </row>
    <row r="14" spans="2:81" ht="18" customHeight="1" x14ac:dyDescent="0.2">
      <c r="B14" s="8">
        <f>garage!B14</f>
        <v>14</v>
      </c>
      <c r="C14" s="8">
        <f>garage!C14</f>
        <v>1</v>
      </c>
      <c r="D14" s="8">
        <f>garage!D14</f>
        <v>13</v>
      </c>
      <c r="E14" s="8">
        <f>garage!E14</f>
        <v>27</v>
      </c>
      <c r="F14" s="8" t="str">
        <f>garage!F14</f>
        <v>--</v>
      </c>
      <c r="G14" s="8" t="str">
        <f>garage!G14</f>
        <v>O</v>
      </c>
      <c r="H14" s="8" t="str">
        <f>garage!H14</f>
        <v>N</v>
      </c>
      <c r="I14" s="8" t="str">
        <f>garage!I14</f>
        <v>N</v>
      </c>
      <c r="J14" s="8" t="str">
        <f>garage!J14</f>
        <v>N</v>
      </c>
      <c r="K14" s="8" t="str">
        <f>garage!K14</f>
        <v>D</v>
      </c>
      <c r="L14" s="9" t="str">
        <f>garage!L14</f>
        <v>Peugeot</v>
      </c>
      <c r="M14" s="9" t="str">
        <f>garage!M14</f>
        <v>SR1</v>
      </c>
      <c r="O14" s="18">
        <v>1</v>
      </c>
      <c r="P14" s="14">
        <v>1</v>
      </c>
      <c r="Q14" s="14">
        <v>1</v>
      </c>
      <c r="R14" s="15">
        <v>1</v>
      </c>
      <c r="S14" s="14">
        <v>1</v>
      </c>
      <c r="T14" s="14">
        <v>1</v>
      </c>
      <c r="U14" s="14">
        <v>1</v>
      </c>
      <c r="V14" s="15">
        <v>1</v>
      </c>
      <c r="W14" s="14">
        <v>1</v>
      </c>
      <c r="X14" s="14">
        <v>1</v>
      </c>
      <c r="Y14" s="14">
        <v>1</v>
      </c>
      <c r="Z14" s="15">
        <v>1</v>
      </c>
      <c r="AA14" s="14">
        <v>1</v>
      </c>
      <c r="AB14" s="14">
        <v>1</v>
      </c>
      <c r="AC14" s="14">
        <v>1</v>
      </c>
      <c r="AD14" s="15">
        <v>1</v>
      </c>
      <c r="AE14" s="14" t="s">
        <v>446</v>
      </c>
      <c r="AF14" s="14" t="s">
        <v>446</v>
      </c>
      <c r="AG14" s="14" t="s">
        <v>446</v>
      </c>
      <c r="AH14" s="15" t="s">
        <v>446</v>
      </c>
      <c r="AI14" s="14" t="s">
        <v>446</v>
      </c>
      <c r="AJ14" s="14" t="s">
        <v>446</v>
      </c>
      <c r="AK14" s="14" t="s">
        <v>446</v>
      </c>
      <c r="AL14" s="15" t="s">
        <v>446</v>
      </c>
      <c r="AM14" s="14" t="s">
        <v>446</v>
      </c>
      <c r="AN14" s="14" t="s">
        <v>446</v>
      </c>
      <c r="AO14" s="14" t="s">
        <v>446</v>
      </c>
      <c r="AP14" s="15" t="s">
        <v>446</v>
      </c>
      <c r="AQ14" s="14" t="s">
        <v>446</v>
      </c>
      <c r="AR14" s="14" t="s">
        <v>446</v>
      </c>
      <c r="AS14" s="14" t="s">
        <v>446</v>
      </c>
      <c r="AT14" s="15" t="s">
        <v>446</v>
      </c>
      <c r="AU14" s="14" t="s">
        <v>446</v>
      </c>
      <c r="AV14" s="14" t="s">
        <v>446</v>
      </c>
      <c r="AW14" s="14" t="s">
        <v>446</v>
      </c>
      <c r="AX14" s="15" t="s">
        <v>446</v>
      </c>
      <c r="AY14" s="14" t="s">
        <v>446</v>
      </c>
      <c r="AZ14" s="14" t="s">
        <v>446</v>
      </c>
      <c r="BA14" s="14" t="s">
        <v>446</v>
      </c>
      <c r="BB14" s="15" t="s">
        <v>446</v>
      </c>
      <c r="BC14" s="14" t="s">
        <v>446</v>
      </c>
      <c r="BD14" s="14" t="s">
        <v>446</v>
      </c>
      <c r="BE14" s="14" t="s">
        <v>446</v>
      </c>
      <c r="BF14" s="15" t="s">
        <v>446</v>
      </c>
      <c r="BG14" s="14" t="s">
        <v>446</v>
      </c>
      <c r="BH14" s="14" t="s">
        <v>446</v>
      </c>
      <c r="BI14" s="14" t="s">
        <v>446</v>
      </c>
      <c r="BJ14" s="15" t="s">
        <v>446</v>
      </c>
      <c r="BK14" s="14" t="s">
        <v>446</v>
      </c>
      <c r="BL14" s="14" t="s">
        <v>446</v>
      </c>
      <c r="BM14" s="14" t="s">
        <v>446</v>
      </c>
      <c r="BN14" s="15" t="s">
        <v>446</v>
      </c>
      <c r="BP14" s="18">
        <v>4</v>
      </c>
      <c r="BQ14" s="14">
        <v>2</v>
      </c>
      <c r="BR14" s="14">
        <v>2</v>
      </c>
      <c r="BS14" s="15">
        <v>4</v>
      </c>
      <c r="BU14" s="18" t="s">
        <v>446</v>
      </c>
      <c r="BV14" s="14" t="s">
        <v>446</v>
      </c>
      <c r="BW14" s="14" t="s">
        <v>446</v>
      </c>
      <c r="BX14" s="15" t="s">
        <v>446</v>
      </c>
      <c r="BZ14" s="18" t="s">
        <v>446</v>
      </c>
      <c r="CA14" s="14" t="s">
        <v>446</v>
      </c>
      <c r="CB14" s="14" t="s">
        <v>446</v>
      </c>
      <c r="CC14" s="15" t="s">
        <v>446</v>
      </c>
    </row>
    <row r="15" spans="2:81" ht="18" customHeight="1" x14ac:dyDescent="0.2">
      <c r="B15" s="10">
        <f>garage!B15</f>
        <v>15</v>
      </c>
      <c r="C15" s="10">
        <f>garage!C15</f>
        <v>1</v>
      </c>
      <c r="D15" s="10">
        <f>garage!D15</f>
        <v>14</v>
      </c>
      <c r="E15" s="10">
        <f>garage!E15</f>
        <v>0</v>
      </c>
      <c r="F15" s="10" t="str">
        <f>garage!F15</f>
        <v>P</v>
      </c>
      <c r="G15" s="10" t="str">
        <f>garage!G15</f>
        <v>O</v>
      </c>
      <c r="H15" s="10" t="str">
        <f>garage!H15</f>
        <v>O</v>
      </c>
      <c r="I15" s="10" t="str">
        <f>garage!I15</f>
        <v>O</v>
      </c>
      <c r="J15" s="10" t="str">
        <f>garage!J15</f>
        <v>N</v>
      </c>
      <c r="K15" s="10" t="str">
        <f>garage!K15</f>
        <v>D</v>
      </c>
      <c r="L15" s="11" t="str">
        <f>garage!L15</f>
        <v>Porsche</v>
      </c>
      <c r="M15" s="11" t="str">
        <f>garage!M15</f>
        <v>718 Cayman</v>
      </c>
      <c r="O15" s="19">
        <v>1</v>
      </c>
      <c r="P15" s="16">
        <v>1</v>
      </c>
      <c r="Q15" s="16">
        <v>1</v>
      </c>
      <c r="R15" s="17">
        <v>1</v>
      </c>
      <c r="S15" s="16">
        <v>1</v>
      </c>
      <c r="T15" s="16">
        <v>1</v>
      </c>
      <c r="U15" s="16">
        <v>1</v>
      </c>
      <c r="V15" s="17">
        <v>1</v>
      </c>
      <c r="W15" s="16">
        <v>1</v>
      </c>
      <c r="X15" s="16">
        <v>1</v>
      </c>
      <c r="Y15" s="16">
        <v>1</v>
      </c>
      <c r="Z15" s="17">
        <v>1</v>
      </c>
      <c r="AA15" s="16">
        <v>1</v>
      </c>
      <c r="AB15" s="16">
        <v>1</v>
      </c>
      <c r="AC15" s="16">
        <v>1</v>
      </c>
      <c r="AD15" s="17">
        <v>1</v>
      </c>
      <c r="AE15" s="16">
        <v>1</v>
      </c>
      <c r="AF15" s="16">
        <v>1</v>
      </c>
      <c r="AG15" s="16">
        <v>1</v>
      </c>
      <c r="AH15" s="17">
        <v>1</v>
      </c>
      <c r="AI15" s="16">
        <v>1</v>
      </c>
      <c r="AJ15" s="16">
        <v>1</v>
      </c>
      <c r="AK15" s="16">
        <v>1</v>
      </c>
      <c r="AL15" s="17">
        <v>1</v>
      </c>
      <c r="AM15" s="16">
        <v>1</v>
      </c>
      <c r="AN15" s="16">
        <v>1</v>
      </c>
      <c r="AO15" s="16">
        <v>1</v>
      </c>
      <c r="AP15" s="17">
        <v>1</v>
      </c>
      <c r="AQ15" s="16">
        <v>1</v>
      </c>
      <c r="AR15" s="16">
        <v>1</v>
      </c>
      <c r="AS15" s="16">
        <v>1</v>
      </c>
      <c r="AT15" s="17">
        <v>1</v>
      </c>
      <c r="AU15" s="16">
        <v>1</v>
      </c>
      <c r="AV15" s="16">
        <v>1</v>
      </c>
      <c r="AW15" s="16">
        <v>1</v>
      </c>
      <c r="AX15" s="17">
        <v>1</v>
      </c>
      <c r="AY15" s="16">
        <v>1</v>
      </c>
      <c r="AZ15" s="16">
        <v>1</v>
      </c>
      <c r="BA15" s="16">
        <v>1</v>
      </c>
      <c r="BB15" s="17">
        <v>1</v>
      </c>
      <c r="BC15" s="16">
        <v>1</v>
      </c>
      <c r="BD15" s="16">
        <v>1</v>
      </c>
      <c r="BE15" s="16">
        <v>1</v>
      </c>
      <c r="BF15" s="17">
        <v>1</v>
      </c>
      <c r="BG15" s="16" t="s">
        <v>446</v>
      </c>
      <c r="BH15" s="16" t="s">
        <v>446</v>
      </c>
      <c r="BI15" s="16" t="s">
        <v>446</v>
      </c>
      <c r="BJ15" s="17" t="s">
        <v>446</v>
      </c>
      <c r="BK15" s="16" t="s">
        <v>446</v>
      </c>
      <c r="BL15" s="16" t="s">
        <v>446</v>
      </c>
      <c r="BM15" s="16" t="s">
        <v>446</v>
      </c>
      <c r="BN15" s="17" t="s">
        <v>446</v>
      </c>
      <c r="BP15" s="19">
        <v>7</v>
      </c>
      <c r="BQ15" s="16">
        <v>7</v>
      </c>
      <c r="BR15" s="16">
        <v>7</v>
      </c>
      <c r="BS15" s="17">
        <v>7</v>
      </c>
      <c r="BU15" s="19">
        <v>2</v>
      </c>
      <c r="BV15" s="16">
        <v>2</v>
      </c>
      <c r="BW15" s="16">
        <v>2</v>
      </c>
      <c r="BX15" s="17">
        <v>2</v>
      </c>
      <c r="BZ15" s="19">
        <v>1</v>
      </c>
      <c r="CA15" s="16">
        <v>1</v>
      </c>
      <c r="CB15" s="16">
        <v>1</v>
      </c>
      <c r="CC15" s="17">
        <v>1</v>
      </c>
    </row>
    <row r="16" spans="2:81" ht="18" customHeight="1" x14ac:dyDescent="0.2">
      <c r="B16" s="8">
        <f>garage!B16</f>
        <v>16</v>
      </c>
      <c r="C16" s="8">
        <f>garage!C16</f>
        <v>1</v>
      </c>
      <c r="D16" s="8">
        <f>garage!D16</f>
        <v>15</v>
      </c>
      <c r="E16" s="8">
        <f>garage!E16</f>
        <v>17</v>
      </c>
      <c r="F16" s="8" t="str">
        <f>garage!F16</f>
        <v>--</v>
      </c>
      <c r="G16" s="8" t="str">
        <f>garage!G16</f>
        <v>O</v>
      </c>
      <c r="H16" s="8" t="str">
        <f>garage!H16</f>
        <v>O</v>
      </c>
      <c r="I16" s="8" t="str">
        <f>garage!I16</f>
        <v>N</v>
      </c>
      <c r="J16" s="8" t="str">
        <f>garage!J16</f>
        <v>N</v>
      </c>
      <c r="K16" s="8" t="str">
        <f>garage!K16</f>
        <v>D</v>
      </c>
      <c r="L16" s="9" t="str">
        <f>garage!L16</f>
        <v>Infiniti</v>
      </c>
      <c r="M16" s="9" t="str">
        <f>garage!M16</f>
        <v>Projet Black S</v>
      </c>
      <c r="O16" s="18">
        <v>1</v>
      </c>
      <c r="P16" s="14">
        <v>1</v>
      </c>
      <c r="Q16" s="14">
        <v>1</v>
      </c>
      <c r="R16" s="15">
        <v>1</v>
      </c>
      <c r="S16" s="14">
        <v>1</v>
      </c>
      <c r="T16" s="14">
        <v>1</v>
      </c>
      <c r="U16" s="14">
        <v>1</v>
      </c>
      <c r="V16" s="15">
        <v>1</v>
      </c>
      <c r="W16" s="14">
        <v>1</v>
      </c>
      <c r="X16" s="14">
        <v>1</v>
      </c>
      <c r="Y16" s="14">
        <v>1</v>
      </c>
      <c r="Z16" s="15">
        <v>1</v>
      </c>
      <c r="AA16" s="14">
        <v>1</v>
      </c>
      <c r="AB16" s="14">
        <v>1</v>
      </c>
      <c r="AC16" s="14">
        <v>1</v>
      </c>
      <c r="AD16" s="15">
        <v>1</v>
      </c>
      <c r="AE16" s="14">
        <v>1</v>
      </c>
      <c r="AF16" s="14">
        <v>1</v>
      </c>
      <c r="AG16" s="14">
        <v>1</v>
      </c>
      <c r="AH16" s="15">
        <v>1</v>
      </c>
      <c r="AI16" s="14">
        <v>1</v>
      </c>
      <c r="AJ16" s="14">
        <v>1</v>
      </c>
      <c r="AK16" s="14">
        <v>1</v>
      </c>
      <c r="AL16" s="15">
        <v>1</v>
      </c>
      <c r="AM16" s="14" t="s">
        <v>446</v>
      </c>
      <c r="AN16" s="14" t="s">
        <v>446</v>
      </c>
      <c r="AO16" s="14" t="s">
        <v>446</v>
      </c>
      <c r="AP16" s="15" t="s">
        <v>446</v>
      </c>
      <c r="AQ16" s="14" t="s">
        <v>446</v>
      </c>
      <c r="AR16" s="14" t="s">
        <v>446</v>
      </c>
      <c r="AS16" s="14" t="s">
        <v>446</v>
      </c>
      <c r="AT16" s="15" t="s">
        <v>446</v>
      </c>
      <c r="AU16" s="14" t="s">
        <v>446</v>
      </c>
      <c r="AV16" s="14" t="s">
        <v>446</v>
      </c>
      <c r="AW16" s="14" t="s">
        <v>446</v>
      </c>
      <c r="AX16" s="15" t="s">
        <v>446</v>
      </c>
      <c r="AY16" s="14" t="s">
        <v>446</v>
      </c>
      <c r="AZ16" s="14" t="s">
        <v>446</v>
      </c>
      <c r="BA16" s="14" t="s">
        <v>446</v>
      </c>
      <c r="BB16" s="15" t="s">
        <v>446</v>
      </c>
      <c r="BC16" s="14" t="s">
        <v>446</v>
      </c>
      <c r="BD16" s="14" t="s">
        <v>446</v>
      </c>
      <c r="BE16" s="14" t="s">
        <v>446</v>
      </c>
      <c r="BF16" s="15" t="s">
        <v>446</v>
      </c>
      <c r="BG16" s="14" t="s">
        <v>446</v>
      </c>
      <c r="BH16" s="14" t="s">
        <v>446</v>
      </c>
      <c r="BI16" s="14" t="s">
        <v>446</v>
      </c>
      <c r="BJ16" s="15" t="s">
        <v>446</v>
      </c>
      <c r="BK16" s="14" t="s">
        <v>446</v>
      </c>
      <c r="BL16" s="14" t="s">
        <v>446</v>
      </c>
      <c r="BM16" s="14" t="s">
        <v>446</v>
      </c>
      <c r="BN16" s="15" t="s">
        <v>446</v>
      </c>
      <c r="BP16" s="18">
        <v>4</v>
      </c>
      <c r="BQ16" s="14">
        <v>2</v>
      </c>
      <c r="BR16" s="14">
        <v>2</v>
      </c>
      <c r="BS16" s="15">
        <v>4</v>
      </c>
      <c r="BU16" s="18" t="s">
        <v>446</v>
      </c>
      <c r="BV16" s="14" t="s">
        <v>446</v>
      </c>
      <c r="BW16" s="14" t="s">
        <v>446</v>
      </c>
      <c r="BX16" s="15" t="s">
        <v>446</v>
      </c>
      <c r="BZ16" s="18" t="s">
        <v>446</v>
      </c>
      <c r="CA16" s="14" t="s">
        <v>446</v>
      </c>
      <c r="CB16" s="14" t="s">
        <v>446</v>
      </c>
      <c r="CC16" s="15" t="s">
        <v>446</v>
      </c>
    </row>
    <row r="17" spans="2:81" ht="18" customHeight="1" x14ac:dyDescent="0.2">
      <c r="B17" s="10">
        <f>garage!B17</f>
        <v>17</v>
      </c>
      <c r="C17" s="10">
        <f>garage!C17</f>
        <v>1</v>
      </c>
      <c r="D17" s="10">
        <f>garage!D17</f>
        <v>16</v>
      </c>
      <c r="E17" s="10">
        <f>garage!E17</f>
        <v>0</v>
      </c>
      <c r="F17" s="10" t="str">
        <f>garage!F17</f>
        <v>--</v>
      </c>
      <c r="G17" s="10" t="str">
        <f>garage!G17</f>
        <v>O</v>
      </c>
      <c r="H17" s="10" t="str">
        <f>garage!H17</f>
        <v>O</v>
      </c>
      <c r="I17" s="10" t="str">
        <f>garage!I17</f>
        <v>O</v>
      </c>
      <c r="J17" s="10" t="str">
        <f>garage!J17</f>
        <v>N</v>
      </c>
      <c r="K17" s="10" t="str">
        <f>garage!K17</f>
        <v>D</v>
      </c>
      <c r="L17" s="11" t="str">
        <f>garage!L17</f>
        <v>Lotus</v>
      </c>
      <c r="M17" s="11" t="str">
        <f>garage!M17</f>
        <v>Elise Sprint 220</v>
      </c>
      <c r="O17" s="19">
        <v>1</v>
      </c>
      <c r="P17" s="16">
        <v>1</v>
      </c>
      <c r="Q17" s="16">
        <v>1</v>
      </c>
      <c r="R17" s="17">
        <v>1</v>
      </c>
      <c r="S17" s="16">
        <v>1</v>
      </c>
      <c r="T17" s="16">
        <v>1</v>
      </c>
      <c r="U17" s="16">
        <v>1</v>
      </c>
      <c r="V17" s="17">
        <v>1</v>
      </c>
      <c r="W17" s="16">
        <v>1</v>
      </c>
      <c r="X17" s="16">
        <v>1</v>
      </c>
      <c r="Y17" s="16">
        <v>1</v>
      </c>
      <c r="Z17" s="17">
        <v>1</v>
      </c>
      <c r="AA17" s="16">
        <v>1</v>
      </c>
      <c r="AB17" s="16">
        <v>1</v>
      </c>
      <c r="AC17" s="16">
        <v>1</v>
      </c>
      <c r="AD17" s="17">
        <v>1</v>
      </c>
      <c r="AE17" s="16">
        <v>1</v>
      </c>
      <c r="AF17" s="16">
        <v>1</v>
      </c>
      <c r="AG17" s="16">
        <v>1</v>
      </c>
      <c r="AH17" s="17">
        <v>1</v>
      </c>
      <c r="AI17" s="16">
        <v>1</v>
      </c>
      <c r="AJ17" s="16">
        <v>1</v>
      </c>
      <c r="AK17" s="16">
        <v>1</v>
      </c>
      <c r="AL17" s="17">
        <v>1</v>
      </c>
      <c r="AM17" s="16">
        <v>1</v>
      </c>
      <c r="AN17" s="16">
        <v>1</v>
      </c>
      <c r="AO17" s="16">
        <v>1</v>
      </c>
      <c r="AP17" s="17">
        <v>1</v>
      </c>
      <c r="AQ17" s="16">
        <v>1</v>
      </c>
      <c r="AR17" s="16">
        <v>1</v>
      </c>
      <c r="AS17" s="16">
        <v>1</v>
      </c>
      <c r="AT17" s="17">
        <v>1</v>
      </c>
      <c r="AU17" s="16">
        <v>1</v>
      </c>
      <c r="AV17" s="16">
        <v>1</v>
      </c>
      <c r="AW17" s="16">
        <v>1</v>
      </c>
      <c r="AX17" s="17">
        <v>1</v>
      </c>
      <c r="AY17" s="16">
        <v>1</v>
      </c>
      <c r="AZ17" s="16">
        <v>1</v>
      </c>
      <c r="BA17" s="16">
        <v>1</v>
      </c>
      <c r="BB17" s="17">
        <v>1</v>
      </c>
      <c r="BC17" s="16">
        <v>1</v>
      </c>
      <c r="BD17" s="16">
        <v>1</v>
      </c>
      <c r="BE17" s="16">
        <v>1</v>
      </c>
      <c r="BF17" s="17">
        <v>1</v>
      </c>
      <c r="BG17" s="16" t="s">
        <v>446</v>
      </c>
      <c r="BH17" s="16" t="s">
        <v>446</v>
      </c>
      <c r="BI17" s="16" t="s">
        <v>446</v>
      </c>
      <c r="BJ17" s="17" t="s">
        <v>446</v>
      </c>
      <c r="BK17" s="16" t="s">
        <v>446</v>
      </c>
      <c r="BL17" s="16" t="s">
        <v>446</v>
      </c>
      <c r="BM17" s="16" t="s">
        <v>446</v>
      </c>
      <c r="BN17" s="17" t="s">
        <v>446</v>
      </c>
      <c r="BP17" s="19">
        <v>7</v>
      </c>
      <c r="BQ17" s="16">
        <v>7</v>
      </c>
      <c r="BR17" s="16">
        <v>7</v>
      </c>
      <c r="BS17" s="17">
        <v>7</v>
      </c>
      <c r="BU17" s="19">
        <v>2</v>
      </c>
      <c r="BV17" s="16">
        <v>2</v>
      </c>
      <c r="BW17" s="16">
        <v>2</v>
      </c>
      <c r="BX17" s="17">
        <v>2</v>
      </c>
      <c r="BZ17" s="19">
        <v>1</v>
      </c>
      <c r="CA17" s="16">
        <v>1</v>
      </c>
      <c r="CB17" s="16">
        <v>1</v>
      </c>
      <c r="CC17" s="17">
        <v>1</v>
      </c>
    </row>
    <row r="18" spans="2:81" ht="18" customHeight="1" x14ac:dyDescent="0.2">
      <c r="B18" s="8">
        <f>garage!B18</f>
        <v>18</v>
      </c>
      <c r="C18" s="8">
        <f>garage!C18</f>
        <v>1</v>
      </c>
      <c r="D18" s="8">
        <f>garage!D18</f>
        <v>17</v>
      </c>
      <c r="E18" s="8">
        <f>garage!E18</f>
        <v>25</v>
      </c>
      <c r="F18" s="8" t="str">
        <f>garage!F18</f>
        <v>L</v>
      </c>
      <c r="G18" s="8" t="str">
        <f>garage!G18</f>
        <v>O</v>
      </c>
      <c r="H18" s="8" t="str">
        <f>garage!H18</f>
        <v>N</v>
      </c>
      <c r="I18" s="8" t="str">
        <f>garage!I18</f>
        <v>N</v>
      </c>
      <c r="J18" s="8" t="str">
        <f>garage!J18</f>
        <v>O</v>
      </c>
      <c r="K18" s="8" t="str">
        <f>garage!K18</f>
        <v>D</v>
      </c>
      <c r="L18" s="9" t="str">
        <f>garage!L18</f>
        <v>Lamborghini</v>
      </c>
      <c r="M18" s="9" t="str">
        <f>garage!M18</f>
        <v>Countach 25th Anniversary</v>
      </c>
      <c r="O18" s="18" t="s">
        <v>446</v>
      </c>
      <c r="P18" s="14" t="s">
        <v>446</v>
      </c>
      <c r="Q18" s="14" t="s">
        <v>446</v>
      </c>
      <c r="R18" s="15" t="s">
        <v>446</v>
      </c>
      <c r="S18" s="14" t="s">
        <v>446</v>
      </c>
      <c r="T18" s="14" t="s">
        <v>446</v>
      </c>
      <c r="U18" s="14" t="s">
        <v>446</v>
      </c>
      <c r="V18" s="15" t="s">
        <v>446</v>
      </c>
      <c r="W18" s="14" t="s">
        <v>446</v>
      </c>
      <c r="X18" s="14" t="s">
        <v>446</v>
      </c>
      <c r="Y18" s="14" t="s">
        <v>446</v>
      </c>
      <c r="Z18" s="15" t="s">
        <v>446</v>
      </c>
      <c r="AA18" s="14" t="s">
        <v>446</v>
      </c>
      <c r="AB18" s="14" t="s">
        <v>446</v>
      </c>
      <c r="AC18" s="14" t="s">
        <v>446</v>
      </c>
      <c r="AD18" s="15" t="s">
        <v>446</v>
      </c>
      <c r="AE18" s="14" t="s">
        <v>446</v>
      </c>
      <c r="AF18" s="14" t="s">
        <v>446</v>
      </c>
      <c r="AG18" s="14" t="s">
        <v>446</v>
      </c>
      <c r="AH18" s="15" t="s">
        <v>446</v>
      </c>
      <c r="AI18" s="14" t="s">
        <v>446</v>
      </c>
      <c r="AJ18" s="14" t="s">
        <v>446</v>
      </c>
      <c r="AK18" s="14" t="s">
        <v>446</v>
      </c>
      <c r="AL18" s="15" t="s">
        <v>446</v>
      </c>
      <c r="AM18" s="14" t="s">
        <v>446</v>
      </c>
      <c r="AN18" s="14" t="s">
        <v>446</v>
      </c>
      <c r="AO18" s="14" t="s">
        <v>446</v>
      </c>
      <c r="AP18" s="15" t="s">
        <v>446</v>
      </c>
      <c r="AQ18" s="14" t="s">
        <v>446</v>
      </c>
      <c r="AR18" s="14" t="s">
        <v>446</v>
      </c>
      <c r="AS18" s="14" t="s">
        <v>446</v>
      </c>
      <c r="AT18" s="15" t="s">
        <v>446</v>
      </c>
      <c r="AU18" s="14" t="s">
        <v>446</v>
      </c>
      <c r="AV18" s="14" t="s">
        <v>446</v>
      </c>
      <c r="AW18" s="14" t="s">
        <v>446</v>
      </c>
      <c r="AX18" s="15" t="s">
        <v>446</v>
      </c>
      <c r="AY18" s="14" t="s">
        <v>446</v>
      </c>
      <c r="AZ18" s="14" t="s">
        <v>446</v>
      </c>
      <c r="BA18" s="14" t="s">
        <v>446</v>
      </c>
      <c r="BB18" s="15" t="s">
        <v>446</v>
      </c>
      <c r="BC18" s="14" t="s">
        <v>446</v>
      </c>
      <c r="BD18" s="14" t="s">
        <v>446</v>
      </c>
      <c r="BE18" s="14" t="s">
        <v>446</v>
      </c>
      <c r="BF18" s="15" t="s">
        <v>446</v>
      </c>
      <c r="BG18" s="14" t="s">
        <v>446</v>
      </c>
      <c r="BH18" s="14" t="s">
        <v>446</v>
      </c>
      <c r="BI18" s="14" t="s">
        <v>446</v>
      </c>
      <c r="BJ18" s="15" t="s">
        <v>446</v>
      </c>
      <c r="BK18" s="14" t="s">
        <v>446</v>
      </c>
      <c r="BL18" s="14" t="s">
        <v>446</v>
      </c>
      <c r="BM18" s="14" t="s">
        <v>446</v>
      </c>
      <c r="BN18" s="15" t="s">
        <v>446</v>
      </c>
      <c r="BP18" s="18" t="s">
        <v>446</v>
      </c>
      <c r="BQ18" s="14" t="s">
        <v>446</v>
      </c>
      <c r="BR18" s="14" t="s">
        <v>446</v>
      </c>
      <c r="BS18" s="15" t="s">
        <v>446</v>
      </c>
      <c r="BU18" s="18" t="s">
        <v>446</v>
      </c>
      <c r="BV18" s="14" t="s">
        <v>446</v>
      </c>
      <c r="BW18" s="14" t="s">
        <v>446</v>
      </c>
      <c r="BX18" s="15" t="s">
        <v>446</v>
      </c>
      <c r="BZ18" s="18" t="s">
        <v>446</v>
      </c>
      <c r="CA18" s="14" t="s">
        <v>446</v>
      </c>
      <c r="CB18" s="14" t="s">
        <v>446</v>
      </c>
      <c r="CC18" s="15" t="s">
        <v>446</v>
      </c>
    </row>
    <row r="19" spans="2:81" ht="18" customHeight="1" x14ac:dyDescent="0.2">
      <c r="B19" s="10">
        <f>garage!B19</f>
        <v>19</v>
      </c>
      <c r="C19" s="10">
        <f>garage!C19</f>
        <v>1</v>
      </c>
      <c r="D19" s="10">
        <f>garage!D19</f>
        <v>18</v>
      </c>
      <c r="E19" s="10">
        <f>garage!E19</f>
        <v>0</v>
      </c>
      <c r="F19" s="10" t="str">
        <f>garage!F19</f>
        <v>--</v>
      </c>
      <c r="G19" s="10" t="str">
        <f>garage!G19</f>
        <v>O</v>
      </c>
      <c r="H19" s="10" t="str">
        <f>garage!H19</f>
        <v>O</v>
      </c>
      <c r="I19" s="10" t="str">
        <f>garage!I19</f>
        <v>O</v>
      </c>
      <c r="J19" s="10" t="str">
        <f>garage!J19</f>
        <v>N</v>
      </c>
      <c r="K19" s="10" t="str">
        <f>garage!K19</f>
        <v>D</v>
      </c>
      <c r="L19" s="11" t="str">
        <f>garage!L19</f>
        <v>Ford</v>
      </c>
      <c r="M19" s="11" t="str">
        <f>garage!M19</f>
        <v>Shelby GT350R</v>
      </c>
      <c r="O19" s="19">
        <v>1</v>
      </c>
      <c r="P19" s="16">
        <v>1</v>
      </c>
      <c r="Q19" s="16">
        <v>1</v>
      </c>
      <c r="R19" s="17">
        <v>1</v>
      </c>
      <c r="S19" s="16">
        <v>1</v>
      </c>
      <c r="T19" s="16">
        <v>1</v>
      </c>
      <c r="U19" s="16">
        <v>1</v>
      </c>
      <c r="V19" s="17">
        <v>1</v>
      </c>
      <c r="W19" s="16">
        <v>1</v>
      </c>
      <c r="X19" s="16">
        <v>1</v>
      </c>
      <c r="Y19" s="16">
        <v>1</v>
      </c>
      <c r="Z19" s="17">
        <v>1</v>
      </c>
      <c r="AA19" s="16">
        <v>1</v>
      </c>
      <c r="AB19" s="16">
        <v>1</v>
      </c>
      <c r="AC19" s="16">
        <v>1</v>
      </c>
      <c r="AD19" s="17">
        <v>1</v>
      </c>
      <c r="AE19" s="16">
        <v>1</v>
      </c>
      <c r="AF19" s="16">
        <v>1</v>
      </c>
      <c r="AG19" s="16">
        <v>1</v>
      </c>
      <c r="AH19" s="17">
        <v>1</v>
      </c>
      <c r="AI19" s="16">
        <v>1</v>
      </c>
      <c r="AJ19" s="16">
        <v>1</v>
      </c>
      <c r="AK19" s="16">
        <v>1</v>
      </c>
      <c r="AL19" s="17">
        <v>1</v>
      </c>
      <c r="AM19" s="16">
        <v>1</v>
      </c>
      <c r="AN19" s="16">
        <v>1</v>
      </c>
      <c r="AO19" s="16">
        <v>1</v>
      </c>
      <c r="AP19" s="17">
        <v>1</v>
      </c>
      <c r="AQ19" s="16">
        <v>1</v>
      </c>
      <c r="AR19" s="16">
        <v>1</v>
      </c>
      <c r="AS19" s="16">
        <v>1</v>
      </c>
      <c r="AT19" s="17">
        <v>1</v>
      </c>
      <c r="AU19" s="16">
        <v>1</v>
      </c>
      <c r="AV19" s="16">
        <v>1</v>
      </c>
      <c r="AW19" s="16">
        <v>1</v>
      </c>
      <c r="AX19" s="17">
        <v>1</v>
      </c>
      <c r="AY19" s="16">
        <v>1</v>
      </c>
      <c r="AZ19" s="16">
        <v>1</v>
      </c>
      <c r="BA19" s="16">
        <v>1</v>
      </c>
      <c r="BB19" s="17">
        <v>1</v>
      </c>
      <c r="BC19" s="16">
        <v>1</v>
      </c>
      <c r="BD19" s="16">
        <v>1</v>
      </c>
      <c r="BE19" s="16">
        <v>1</v>
      </c>
      <c r="BF19" s="17">
        <v>1</v>
      </c>
      <c r="BG19" s="16" t="s">
        <v>446</v>
      </c>
      <c r="BH19" s="16" t="s">
        <v>446</v>
      </c>
      <c r="BI19" s="16" t="s">
        <v>446</v>
      </c>
      <c r="BJ19" s="17" t="s">
        <v>446</v>
      </c>
      <c r="BK19" s="16" t="s">
        <v>446</v>
      </c>
      <c r="BL19" s="16" t="s">
        <v>446</v>
      </c>
      <c r="BM19" s="16" t="s">
        <v>446</v>
      </c>
      <c r="BN19" s="17" t="s">
        <v>446</v>
      </c>
      <c r="BP19" s="19">
        <v>7</v>
      </c>
      <c r="BQ19" s="16">
        <v>7</v>
      </c>
      <c r="BR19" s="16">
        <v>7</v>
      </c>
      <c r="BS19" s="17">
        <v>7</v>
      </c>
      <c r="BU19" s="19">
        <v>2</v>
      </c>
      <c r="BV19" s="16">
        <v>2</v>
      </c>
      <c r="BW19" s="16">
        <v>2</v>
      </c>
      <c r="BX19" s="17">
        <v>2</v>
      </c>
      <c r="BZ19" s="19">
        <v>1</v>
      </c>
      <c r="CA19" s="16">
        <v>1</v>
      </c>
      <c r="CB19" s="16">
        <v>1</v>
      </c>
      <c r="CC19" s="17">
        <v>1</v>
      </c>
    </row>
    <row r="20" spans="2:81" ht="18" customHeight="1" x14ac:dyDescent="0.2">
      <c r="B20" s="8">
        <f>garage!B20</f>
        <v>20</v>
      </c>
      <c r="C20" s="8">
        <f>garage!C20</f>
        <v>1</v>
      </c>
      <c r="D20" s="8">
        <f>garage!D20</f>
        <v>19</v>
      </c>
      <c r="E20" s="8">
        <f>garage!E20</f>
        <v>6</v>
      </c>
      <c r="F20" s="8" t="str">
        <f>garage!F20</f>
        <v>P</v>
      </c>
      <c r="G20" s="8" t="str">
        <f>garage!G20</f>
        <v>O</v>
      </c>
      <c r="H20" s="8" t="str">
        <f>garage!H20</f>
        <v>O</v>
      </c>
      <c r="I20" s="8" t="str">
        <f>garage!I20</f>
        <v>O</v>
      </c>
      <c r="J20" s="8" t="str">
        <f>garage!J20</f>
        <v>N</v>
      </c>
      <c r="K20" s="8" t="str">
        <f>garage!K20</f>
        <v>D</v>
      </c>
      <c r="L20" s="9" t="str">
        <f>garage!L20</f>
        <v>Porsche</v>
      </c>
      <c r="M20" s="9" t="str">
        <f>garage!M20</f>
        <v>911 Targa 4S</v>
      </c>
      <c r="O20" s="18">
        <v>1</v>
      </c>
      <c r="P20" s="14">
        <v>1</v>
      </c>
      <c r="Q20" s="14">
        <v>1</v>
      </c>
      <c r="R20" s="15">
        <v>1</v>
      </c>
      <c r="S20" s="14">
        <v>1</v>
      </c>
      <c r="T20" s="14">
        <v>1</v>
      </c>
      <c r="U20" s="14">
        <v>1</v>
      </c>
      <c r="V20" s="15">
        <v>1</v>
      </c>
      <c r="W20" s="14">
        <v>1</v>
      </c>
      <c r="X20" s="14">
        <v>1</v>
      </c>
      <c r="Y20" s="14">
        <v>1</v>
      </c>
      <c r="Z20" s="15">
        <v>1</v>
      </c>
      <c r="AA20" s="14">
        <v>1</v>
      </c>
      <c r="AB20" s="14">
        <v>1</v>
      </c>
      <c r="AC20" s="14">
        <v>1</v>
      </c>
      <c r="AD20" s="15">
        <v>1</v>
      </c>
      <c r="AE20" s="14">
        <v>1</v>
      </c>
      <c r="AF20" s="14">
        <v>1</v>
      </c>
      <c r="AG20" s="14">
        <v>1</v>
      </c>
      <c r="AH20" s="15">
        <v>1</v>
      </c>
      <c r="AI20" s="14">
        <v>1</v>
      </c>
      <c r="AJ20" s="14">
        <v>1</v>
      </c>
      <c r="AK20" s="14">
        <v>1</v>
      </c>
      <c r="AL20" s="15">
        <v>1</v>
      </c>
      <c r="AM20" s="14">
        <v>1</v>
      </c>
      <c r="AN20" s="14">
        <v>1</v>
      </c>
      <c r="AO20" s="14">
        <v>1</v>
      </c>
      <c r="AP20" s="15">
        <v>1</v>
      </c>
      <c r="AQ20" s="14">
        <v>1</v>
      </c>
      <c r="AR20" s="14">
        <v>1</v>
      </c>
      <c r="AS20" s="14">
        <v>1</v>
      </c>
      <c r="AT20" s="15">
        <v>1</v>
      </c>
      <c r="AU20" s="14">
        <v>1</v>
      </c>
      <c r="AV20" s="14">
        <v>1</v>
      </c>
      <c r="AW20" s="14">
        <v>1</v>
      </c>
      <c r="AX20" s="15">
        <v>1</v>
      </c>
      <c r="AY20" s="14">
        <v>1</v>
      </c>
      <c r="AZ20" s="14">
        <v>1</v>
      </c>
      <c r="BA20" s="14">
        <v>1</v>
      </c>
      <c r="BB20" s="15">
        <v>1</v>
      </c>
      <c r="BC20" s="14">
        <v>1</v>
      </c>
      <c r="BD20" s="14">
        <v>1</v>
      </c>
      <c r="BE20" s="14">
        <v>1</v>
      </c>
      <c r="BF20" s="15">
        <v>1</v>
      </c>
      <c r="BG20" s="14" t="s">
        <v>446</v>
      </c>
      <c r="BH20" s="14" t="s">
        <v>446</v>
      </c>
      <c r="BI20" s="14" t="s">
        <v>446</v>
      </c>
      <c r="BJ20" s="15" t="s">
        <v>446</v>
      </c>
      <c r="BK20" s="14" t="s">
        <v>446</v>
      </c>
      <c r="BL20" s="14" t="s">
        <v>446</v>
      </c>
      <c r="BM20" s="14" t="s">
        <v>446</v>
      </c>
      <c r="BN20" s="15" t="s">
        <v>446</v>
      </c>
      <c r="BP20" s="18">
        <v>7</v>
      </c>
      <c r="BQ20" s="14">
        <v>7</v>
      </c>
      <c r="BR20" s="14">
        <v>7</v>
      </c>
      <c r="BS20" s="15">
        <v>7</v>
      </c>
      <c r="BU20" s="18">
        <v>2</v>
      </c>
      <c r="BV20" s="14">
        <v>2</v>
      </c>
      <c r="BW20" s="14">
        <v>2</v>
      </c>
      <c r="BX20" s="15">
        <v>2</v>
      </c>
      <c r="BZ20" s="18">
        <v>1</v>
      </c>
      <c r="CA20" s="14">
        <v>1</v>
      </c>
      <c r="CB20" s="14">
        <v>1</v>
      </c>
      <c r="CC20" s="15">
        <v>1</v>
      </c>
    </row>
    <row r="21" spans="2:81" ht="18" customHeight="1" x14ac:dyDescent="0.2">
      <c r="B21" s="10">
        <f>garage!B21</f>
        <v>21</v>
      </c>
      <c r="C21" s="10">
        <f>garage!C21</f>
        <v>1</v>
      </c>
      <c r="D21" s="10">
        <f>garage!D21</f>
        <v>20</v>
      </c>
      <c r="E21" s="10">
        <f>garage!E21</f>
        <v>23</v>
      </c>
      <c r="F21" s="10" t="str">
        <f>garage!F21</f>
        <v>--</v>
      </c>
      <c r="G21" s="10" t="str">
        <f>garage!G21</f>
        <v>O</v>
      </c>
      <c r="H21" s="10" t="str">
        <f>garage!H21</f>
        <v>O</v>
      </c>
      <c r="I21" s="10" t="str">
        <f>garage!I21</f>
        <v>N</v>
      </c>
      <c r="J21" s="10" t="str">
        <f>garage!J21</f>
        <v>N</v>
      </c>
      <c r="K21" s="10" t="str">
        <f>garage!K21</f>
        <v>D</v>
      </c>
      <c r="L21" s="11" t="str">
        <f>garage!L21</f>
        <v>Lotus</v>
      </c>
      <c r="M21" s="11" t="str">
        <f>garage!M21</f>
        <v>Emira</v>
      </c>
      <c r="O21" s="19">
        <v>1</v>
      </c>
      <c r="P21" s="16">
        <v>1</v>
      </c>
      <c r="Q21" s="16">
        <v>1</v>
      </c>
      <c r="R21" s="17">
        <v>1</v>
      </c>
      <c r="S21" s="16">
        <v>1</v>
      </c>
      <c r="T21" s="16">
        <v>1</v>
      </c>
      <c r="U21" s="16">
        <v>1</v>
      </c>
      <c r="V21" s="17">
        <v>1</v>
      </c>
      <c r="W21" s="16">
        <v>1</v>
      </c>
      <c r="X21" s="16">
        <v>1</v>
      </c>
      <c r="Y21" s="16">
        <v>1</v>
      </c>
      <c r="Z21" s="17">
        <v>1</v>
      </c>
      <c r="AA21" s="16">
        <v>1</v>
      </c>
      <c r="AB21" s="16">
        <v>1</v>
      </c>
      <c r="AC21" s="16">
        <v>1</v>
      </c>
      <c r="AD21" s="17">
        <v>1</v>
      </c>
      <c r="AE21" s="16">
        <v>1</v>
      </c>
      <c r="AF21" s="16">
        <v>1</v>
      </c>
      <c r="AG21" s="16">
        <v>1</v>
      </c>
      <c r="AH21" s="17">
        <v>1</v>
      </c>
      <c r="AI21" s="16">
        <v>1</v>
      </c>
      <c r="AJ21" s="16">
        <v>1</v>
      </c>
      <c r="AK21" s="16">
        <v>1</v>
      </c>
      <c r="AL21" s="17">
        <v>1</v>
      </c>
      <c r="AM21" s="16">
        <v>1</v>
      </c>
      <c r="AN21" s="16">
        <v>1</v>
      </c>
      <c r="AO21" s="16">
        <v>1</v>
      </c>
      <c r="AP21" s="17">
        <v>1</v>
      </c>
      <c r="AQ21" s="16" t="s">
        <v>446</v>
      </c>
      <c r="AR21" s="16" t="s">
        <v>446</v>
      </c>
      <c r="AS21" s="16" t="s">
        <v>446</v>
      </c>
      <c r="AT21" s="17" t="s">
        <v>446</v>
      </c>
      <c r="AU21" s="16" t="s">
        <v>446</v>
      </c>
      <c r="AV21" s="16" t="s">
        <v>446</v>
      </c>
      <c r="AW21" s="16" t="s">
        <v>446</v>
      </c>
      <c r="AX21" s="17" t="s">
        <v>446</v>
      </c>
      <c r="AY21" s="16" t="s">
        <v>446</v>
      </c>
      <c r="AZ21" s="16" t="s">
        <v>446</v>
      </c>
      <c r="BA21" s="16" t="s">
        <v>446</v>
      </c>
      <c r="BB21" s="17" t="s">
        <v>446</v>
      </c>
      <c r="BC21" s="16" t="s">
        <v>446</v>
      </c>
      <c r="BD21" s="16" t="s">
        <v>446</v>
      </c>
      <c r="BE21" s="16" t="s">
        <v>446</v>
      </c>
      <c r="BF21" s="17" t="s">
        <v>446</v>
      </c>
      <c r="BG21" s="16" t="s">
        <v>446</v>
      </c>
      <c r="BH21" s="16" t="s">
        <v>446</v>
      </c>
      <c r="BI21" s="16" t="s">
        <v>446</v>
      </c>
      <c r="BJ21" s="17" t="s">
        <v>446</v>
      </c>
      <c r="BK21" s="16" t="s">
        <v>446</v>
      </c>
      <c r="BL21" s="16" t="s">
        <v>446</v>
      </c>
      <c r="BM21" s="16" t="s">
        <v>446</v>
      </c>
      <c r="BN21" s="17" t="s">
        <v>446</v>
      </c>
      <c r="BP21" s="19">
        <v>4</v>
      </c>
      <c r="BQ21" s="16">
        <v>4</v>
      </c>
      <c r="BR21" s="16">
        <v>4</v>
      </c>
      <c r="BS21" s="17">
        <v>4</v>
      </c>
      <c r="BU21" s="19" t="s">
        <v>446</v>
      </c>
      <c r="BV21" s="16" t="s">
        <v>446</v>
      </c>
      <c r="BW21" s="16" t="s">
        <v>446</v>
      </c>
      <c r="BX21" s="17" t="s">
        <v>446</v>
      </c>
      <c r="BZ21" s="19" t="s">
        <v>446</v>
      </c>
      <c r="CA21" s="16" t="s">
        <v>446</v>
      </c>
      <c r="CB21" s="16" t="s">
        <v>446</v>
      </c>
      <c r="CC21" s="17" t="s">
        <v>446</v>
      </c>
    </row>
    <row r="22" spans="2:81" ht="18" customHeight="1" x14ac:dyDescent="0.2">
      <c r="B22" s="8">
        <f>garage!B22</f>
        <v>22</v>
      </c>
      <c r="C22" s="8">
        <f>garage!C22</f>
        <v>1</v>
      </c>
      <c r="D22" s="8">
        <f>garage!D22</f>
        <v>21</v>
      </c>
      <c r="E22" s="8">
        <f>garage!E22</f>
        <v>28</v>
      </c>
      <c r="F22" s="8" t="str">
        <f>garage!F22</f>
        <v>--</v>
      </c>
      <c r="G22" s="8" t="str">
        <f>garage!G22</f>
        <v>O</v>
      </c>
      <c r="H22" s="8" t="str">
        <f>garage!H22</f>
        <v>N</v>
      </c>
      <c r="I22" s="8" t="str">
        <f>garage!I22</f>
        <v>N</v>
      </c>
      <c r="J22" s="8" t="str">
        <f>garage!J22</f>
        <v>N</v>
      </c>
      <c r="K22" s="8" t="str">
        <f>garage!K22</f>
        <v>D</v>
      </c>
      <c r="L22" s="9" t="str">
        <f>garage!L22</f>
        <v>Prague</v>
      </c>
      <c r="M22" s="9" t="str">
        <f>garage!M22</f>
        <v>R1</v>
      </c>
      <c r="O22" s="18">
        <v>1</v>
      </c>
      <c r="P22" s="14">
        <v>1</v>
      </c>
      <c r="Q22" s="14">
        <v>1</v>
      </c>
      <c r="R22" s="15">
        <v>1</v>
      </c>
      <c r="S22" s="14">
        <v>1</v>
      </c>
      <c r="T22" s="14">
        <v>1</v>
      </c>
      <c r="U22" s="14">
        <v>1</v>
      </c>
      <c r="V22" s="15">
        <v>1</v>
      </c>
      <c r="W22" s="14">
        <v>1</v>
      </c>
      <c r="X22" s="14">
        <v>1</v>
      </c>
      <c r="Y22" s="14">
        <v>1</v>
      </c>
      <c r="Z22" s="15">
        <v>1</v>
      </c>
      <c r="AA22" s="14">
        <v>1</v>
      </c>
      <c r="AB22" s="14">
        <v>1</v>
      </c>
      <c r="AC22" s="14">
        <v>1</v>
      </c>
      <c r="AD22" s="15">
        <v>1</v>
      </c>
      <c r="AE22" s="14">
        <v>1</v>
      </c>
      <c r="AF22" s="14">
        <v>1</v>
      </c>
      <c r="AG22" s="14">
        <v>1</v>
      </c>
      <c r="AH22" s="15">
        <v>1</v>
      </c>
      <c r="AI22" s="14">
        <v>1</v>
      </c>
      <c r="AJ22" s="14">
        <v>1</v>
      </c>
      <c r="AK22" s="14">
        <v>1</v>
      </c>
      <c r="AL22" s="15">
        <v>1</v>
      </c>
      <c r="AM22" s="14">
        <v>1</v>
      </c>
      <c r="AN22" s="14">
        <v>1</v>
      </c>
      <c r="AO22" s="14">
        <v>1</v>
      </c>
      <c r="AP22" s="15">
        <v>1</v>
      </c>
      <c r="AQ22" s="14" t="s">
        <v>446</v>
      </c>
      <c r="AR22" s="14" t="s">
        <v>446</v>
      </c>
      <c r="AS22" s="14" t="s">
        <v>446</v>
      </c>
      <c r="AT22" s="15" t="s">
        <v>446</v>
      </c>
      <c r="AU22" s="14" t="s">
        <v>446</v>
      </c>
      <c r="AV22" s="14" t="s">
        <v>446</v>
      </c>
      <c r="AW22" s="14" t="s">
        <v>446</v>
      </c>
      <c r="AX22" s="15" t="s">
        <v>446</v>
      </c>
      <c r="AY22" s="14" t="s">
        <v>446</v>
      </c>
      <c r="AZ22" s="14" t="s">
        <v>446</v>
      </c>
      <c r="BA22" s="14" t="s">
        <v>446</v>
      </c>
      <c r="BB22" s="15" t="s">
        <v>446</v>
      </c>
      <c r="BC22" s="14" t="s">
        <v>446</v>
      </c>
      <c r="BD22" s="14" t="s">
        <v>446</v>
      </c>
      <c r="BE22" s="14" t="s">
        <v>446</v>
      </c>
      <c r="BF22" s="15" t="s">
        <v>446</v>
      </c>
      <c r="BG22" s="14" t="s">
        <v>446</v>
      </c>
      <c r="BH22" s="14" t="s">
        <v>446</v>
      </c>
      <c r="BI22" s="14" t="s">
        <v>446</v>
      </c>
      <c r="BJ22" s="15" t="s">
        <v>446</v>
      </c>
      <c r="BK22" s="14" t="s">
        <v>446</v>
      </c>
      <c r="BL22" s="14" t="s">
        <v>446</v>
      </c>
      <c r="BM22" s="14" t="s">
        <v>446</v>
      </c>
      <c r="BN22" s="15" t="s">
        <v>446</v>
      </c>
      <c r="BP22" s="18">
        <v>6</v>
      </c>
      <c r="BQ22" s="14">
        <v>4</v>
      </c>
      <c r="BR22" s="14">
        <v>4</v>
      </c>
      <c r="BS22" s="15">
        <v>6</v>
      </c>
      <c r="BU22" s="18"/>
      <c r="BV22" s="14"/>
      <c r="BW22" s="14"/>
      <c r="BX22" s="15"/>
      <c r="BZ22" s="18"/>
      <c r="CA22" s="14"/>
      <c r="CB22" s="14"/>
      <c r="CC22" s="15"/>
    </row>
    <row r="23" spans="2:81" ht="18" customHeight="1" x14ac:dyDescent="0.2">
      <c r="B23" s="10">
        <f>garage!B23</f>
        <v>23</v>
      </c>
      <c r="C23" s="10">
        <f>garage!C23</f>
        <v>1</v>
      </c>
      <c r="D23" s="10">
        <f>garage!D23</f>
        <v>22</v>
      </c>
      <c r="E23" s="10">
        <f>garage!E23</f>
        <v>6</v>
      </c>
      <c r="F23" s="10" t="str">
        <f>garage!F23</f>
        <v>--</v>
      </c>
      <c r="G23" s="10" t="str">
        <f>garage!G23</f>
        <v>O</v>
      </c>
      <c r="H23" s="10" t="str">
        <f>garage!H23</f>
        <v>O</v>
      </c>
      <c r="I23" s="10" t="str">
        <f>garage!I23</f>
        <v>O</v>
      </c>
      <c r="J23" s="10" t="str">
        <f>garage!J23</f>
        <v>N</v>
      </c>
      <c r="K23" s="10" t="str">
        <f>garage!K23</f>
        <v>D</v>
      </c>
      <c r="L23" s="11" t="str">
        <f>garage!L23</f>
        <v>Ginetta</v>
      </c>
      <c r="M23" s="11" t="str">
        <f>garage!M23</f>
        <v>G60</v>
      </c>
      <c r="O23" s="19">
        <v>1</v>
      </c>
      <c r="P23" s="16">
        <v>1</v>
      </c>
      <c r="Q23" s="16">
        <v>1</v>
      </c>
      <c r="R23" s="17">
        <v>1</v>
      </c>
      <c r="S23" s="16">
        <v>1</v>
      </c>
      <c r="T23" s="16">
        <v>1</v>
      </c>
      <c r="U23" s="16">
        <v>1</v>
      </c>
      <c r="V23" s="17">
        <v>1</v>
      </c>
      <c r="W23" s="16">
        <v>1</v>
      </c>
      <c r="X23" s="16">
        <v>1</v>
      </c>
      <c r="Y23" s="16">
        <v>1</v>
      </c>
      <c r="Z23" s="17">
        <v>1</v>
      </c>
      <c r="AA23" s="16">
        <v>1</v>
      </c>
      <c r="AB23" s="16">
        <v>1</v>
      </c>
      <c r="AC23" s="16">
        <v>1</v>
      </c>
      <c r="AD23" s="17">
        <v>1</v>
      </c>
      <c r="AE23" s="16">
        <v>1</v>
      </c>
      <c r="AF23" s="16">
        <v>1</v>
      </c>
      <c r="AG23" s="16">
        <v>1</v>
      </c>
      <c r="AH23" s="17">
        <v>1</v>
      </c>
      <c r="AI23" s="16">
        <v>1</v>
      </c>
      <c r="AJ23" s="16">
        <v>1</v>
      </c>
      <c r="AK23" s="16">
        <v>1</v>
      </c>
      <c r="AL23" s="17">
        <v>1</v>
      </c>
      <c r="AM23" s="16">
        <v>1</v>
      </c>
      <c r="AN23" s="16">
        <v>1</v>
      </c>
      <c r="AO23" s="16">
        <v>1</v>
      </c>
      <c r="AP23" s="17">
        <v>1</v>
      </c>
      <c r="AQ23" s="16">
        <v>1</v>
      </c>
      <c r="AR23" s="16">
        <v>1</v>
      </c>
      <c r="AS23" s="16">
        <v>1</v>
      </c>
      <c r="AT23" s="17">
        <v>1</v>
      </c>
      <c r="AU23" s="16">
        <v>1</v>
      </c>
      <c r="AV23" s="16">
        <v>1</v>
      </c>
      <c r="AW23" s="16">
        <v>1</v>
      </c>
      <c r="AX23" s="17">
        <v>1</v>
      </c>
      <c r="AY23" s="16">
        <v>1</v>
      </c>
      <c r="AZ23" s="16">
        <v>1</v>
      </c>
      <c r="BA23" s="16">
        <v>1</v>
      </c>
      <c r="BB23" s="17">
        <v>1</v>
      </c>
      <c r="BC23" s="16">
        <v>1</v>
      </c>
      <c r="BD23" s="16">
        <v>1</v>
      </c>
      <c r="BE23" s="16">
        <v>1</v>
      </c>
      <c r="BF23" s="17">
        <v>1</v>
      </c>
      <c r="BG23" s="16" t="s">
        <v>446</v>
      </c>
      <c r="BH23" s="16" t="s">
        <v>446</v>
      </c>
      <c r="BI23" s="16" t="s">
        <v>446</v>
      </c>
      <c r="BJ23" s="17" t="s">
        <v>446</v>
      </c>
      <c r="BK23" s="16" t="s">
        <v>446</v>
      </c>
      <c r="BL23" s="16" t="s">
        <v>446</v>
      </c>
      <c r="BM23" s="16" t="s">
        <v>446</v>
      </c>
      <c r="BN23" s="17" t="s">
        <v>446</v>
      </c>
      <c r="BP23" s="19">
        <v>7</v>
      </c>
      <c r="BQ23" s="16">
        <v>7</v>
      </c>
      <c r="BR23" s="16">
        <v>7</v>
      </c>
      <c r="BS23" s="17">
        <v>7</v>
      </c>
      <c r="BU23" s="19">
        <v>2</v>
      </c>
      <c r="BV23" s="16">
        <v>2</v>
      </c>
      <c r="BW23" s="16">
        <v>2</v>
      </c>
      <c r="BX23" s="17">
        <v>2</v>
      </c>
      <c r="BZ23" s="19">
        <v>1</v>
      </c>
      <c r="CA23" s="16">
        <v>1</v>
      </c>
      <c r="CB23" s="16">
        <v>1</v>
      </c>
      <c r="CC23" s="17">
        <v>1</v>
      </c>
    </row>
    <row r="24" spans="2:81" ht="18" customHeight="1" x14ac:dyDescent="0.2">
      <c r="B24" s="8">
        <f>garage!B24</f>
        <v>24</v>
      </c>
      <c r="C24" s="8">
        <f>garage!C24</f>
        <v>1</v>
      </c>
      <c r="D24" s="8">
        <f>garage!D24</f>
        <v>23</v>
      </c>
      <c r="E24" s="8">
        <f>garage!E24</f>
        <v>21</v>
      </c>
      <c r="F24" s="8" t="str">
        <f>garage!F24</f>
        <v>--</v>
      </c>
      <c r="G24" s="8" t="str">
        <f>garage!G24</f>
        <v>O</v>
      </c>
      <c r="H24" s="8" t="str">
        <f>garage!H24</f>
        <v>N</v>
      </c>
      <c r="I24" s="8" t="str">
        <f>garage!I24</f>
        <v>N</v>
      </c>
      <c r="J24" s="8" t="str">
        <f>garage!J24</f>
        <v>N</v>
      </c>
      <c r="K24" s="8" t="str">
        <f>garage!K24</f>
        <v>D</v>
      </c>
      <c r="L24" s="9" t="str">
        <f>garage!L24</f>
        <v>Renault</v>
      </c>
      <c r="M24" s="9" t="str">
        <f>garage!M24</f>
        <v>TreZor</v>
      </c>
      <c r="O24" s="18">
        <v>1</v>
      </c>
      <c r="P24" s="14">
        <v>1</v>
      </c>
      <c r="Q24" s="14">
        <v>1</v>
      </c>
      <c r="R24" s="15">
        <v>1</v>
      </c>
      <c r="S24" s="14">
        <v>1</v>
      </c>
      <c r="T24" s="14">
        <v>1</v>
      </c>
      <c r="U24" s="14">
        <v>1</v>
      </c>
      <c r="V24" s="15">
        <v>1</v>
      </c>
      <c r="W24" s="14" t="s">
        <v>446</v>
      </c>
      <c r="X24" s="14" t="s">
        <v>446</v>
      </c>
      <c r="Y24" s="14" t="s">
        <v>446</v>
      </c>
      <c r="Z24" s="15" t="s">
        <v>446</v>
      </c>
      <c r="AA24" s="14" t="s">
        <v>446</v>
      </c>
      <c r="AB24" s="14" t="s">
        <v>446</v>
      </c>
      <c r="AC24" s="14" t="s">
        <v>446</v>
      </c>
      <c r="AD24" s="15" t="s">
        <v>446</v>
      </c>
      <c r="AE24" s="14" t="s">
        <v>446</v>
      </c>
      <c r="AF24" s="14" t="s">
        <v>446</v>
      </c>
      <c r="AG24" s="14" t="s">
        <v>446</v>
      </c>
      <c r="AH24" s="15" t="s">
        <v>446</v>
      </c>
      <c r="AI24" s="14" t="s">
        <v>446</v>
      </c>
      <c r="AJ24" s="14" t="s">
        <v>446</v>
      </c>
      <c r="AK24" s="14" t="s">
        <v>446</v>
      </c>
      <c r="AL24" s="15" t="s">
        <v>446</v>
      </c>
      <c r="AM24" s="14" t="s">
        <v>446</v>
      </c>
      <c r="AN24" s="14" t="s">
        <v>446</v>
      </c>
      <c r="AO24" s="14" t="s">
        <v>446</v>
      </c>
      <c r="AP24" s="15" t="s">
        <v>446</v>
      </c>
      <c r="AQ24" s="14" t="s">
        <v>446</v>
      </c>
      <c r="AR24" s="14" t="s">
        <v>446</v>
      </c>
      <c r="AS24" s="14" t="s">
        <v>446</v>
      </c>
      <c r="AT24" s="15" t="s">
        <v>446</v>
      </c>
      <c r="AU24" s="14" t="s">
        <v>446</v>
      </c>
      <c r="AV24" s="14" t="s">
        <v>446</v>
      </c>
      <c r="AW24" s="14" t="s">
        <v>446</v>
      </c>
      <c r="AX24" s="15" t="s">
        <v>446</v>
      </c>
      <c r="AY24" s="14" t="s">
        <v>446</v>
      </c>
      <c r="AZ24" s="14" t="s">
        <v>446</v>
      </c>
      <c r="BA24" s="14" t="s">
        <v>446</v>
      </c>
      <c r="BB24" s="15" t="s">
        <v>446</v>
      </c>
      <c r="BC24" s="14" t="s">
        <v>446</v>
      </c>
      <c r="BD24" s="14" t="s">
        <v>446</v>
      </c>
      <c r="BE24" s="14" t="s">
        <v>446</v>
      </c>
      <c r="BF24" s="15" t="s">
        <v>446</v>
      </c>
      <c r="BG24" s="14" t="s">
        <v>446</v>
      </c>
      <c r="BH24" s="14" t="s">
        <v>446</v>
      </c>
      <c r="BI24" s="14" t="s">
        <v>446</v>
      </c>
      <c r="BJ24" s="15" t="s">
        <v>446</v>
      </c>
      <c r="BK24" s="14" t="s">
        <v>446</v>
      </c>
      <c r="BL24" s="14" t="s">
        <v>446</v>
      </c>
      <c r="BM24" s="14" t="s">
        <v>446</v>
      </c>
      <c r="BN24" s="15" t="s">
        <v>446</v>
      </c>
      <c r="BP24" s="18" t="s">
        <v>446</v>
      </c>
      <c r="BQ24" s="14" t="s">
        <v>446</v>
      </c>
      <c r="BR24" s="14" t="s">
        <v>446</v>
      </c>
      <c r="BS24" s="15" t="s">
        <v>446</v>
      </c>
      <c r="BU24" s="18" t="s">
        <v>446</v>
      </c>
      <c r="BV24" s="14" t="s">
        <v>446</v>
      </c>
      <c r="BW24" s="14" t="s">
        <v>446</v>
      </c>
      <c r="BX24" s="15" t="s">
        <v>446</v>
      </c>
      <c r="BZ24" s="18" t="s">
        <v>446</v>
      </c>
      <c r="CA24" s="14" t="s">
        <v>446</v>
      </c>
      <c r="CB24" s="14" t="s">
        <v>446</v>
      </c>
      <c r="CC24" s="15" t="s">
        <v>446</v>
      </c>
    </row>
    <row r="25" spans="2:81" ht="18" customHeight="1" x14ac:dyDescent="0.2">
      <c r="B25" s="8">
        <f>garage!B25</f>
        <v>25</v>
      </c>
      <c r="C25" s="8">
        <f>garage!C25</f>
        <v>1</v>
      </c>
      <c r="D25" s="8">
        <f>garage!D25</f>
        <v>24</v>
      </c>
      <c r="E25" s="8">
        <f>garage!E25</f>
        <v>32</v>
      </c>
      <c r="F25" s="8" t="str">
        <f>garage!F25</f>
        <v>--</v>
      </c>
      <c r="G25" s="8" t="str">
        <f>garage!G25</f>
        <v>N</v>
      </c>
      <c r="H25" s="8" t="str">
        <f>garage!H25</f>
        <v>N</v>
      </c>
      <c r="I25" s="8" t="str">
        <f>garage!I25</f>
        <v>N</v>
      </c>
      <c r="J25" s="8" t="str">
        <f>garage!J25</f>
        <v>N</v>
      </c>
      <c r="K25" s="8" t="str">
        <f>garage!K25</f>
        <v>D</v>
      </c>
      <c r="L25" s="9" t="str">
        <f>garage!L25</f>
        <v>Nissan</v>
      </c>
      <c r="M25" s="9" t="str">
        <f>garage!M25</f>
        <v>370Z Édition Néon</v>
      </c>
      <c r="O25" s="18" t="s">
        <v>446</v>
      </c>
      <c r="P25" s="14" t="s">
        <v>446</v>
      </c>
      <c r="Q25" s="14" t="s">
        <v>446</v>
      </c>
      <c r="R25" s="15" t="s">
        <v>446</v>
      </c>
      <c r="S25" s="14" t="s">
        <v>446</v>
      </c>
      <c r="T25" s="14" t="s">
        <v>446</v>
      </c>
      <c r="U25" s="14" t="s">
        <v>446</v>
      </c>
      <c r="V25" s="15" t="s">
        <v>446</v>
      </c>
      <c r="W25" s="14" t="s">
        <v>446</v>
      </c>
      <c r="X25" s="14" t="s">
        <v>446</v>
      </c>
      <c r="Y25" s="14" t="s">
        <v>446</v>
      </c>
      <c r="Z25" s="15" t="s">
        <v>446</v>
      </c>
      <c r="AA25" s="14" t="s">
        <v>446</v>
      </c>
      <c r="AB25" s="14" t="s">
        <v>446</v>
      </c>
      <c r="AC25" s="14" t="s">
        <v>446</v>
      </c>
      <c r="AD25" s="15" t="s">
        <v>446</v>
      </c>
      <c r="AE25" s="14" t="s">
        <v>446</v>
      </c>
      <c r="AF25" s="14" t="s">
        <v>446</v>
      </c>
      <c r="AG25" s="14" t="s">
        <v>446</v>
      </c>
      <c r="AH25" s="15" t="s">
        <v>446</v>
      </c>
      <c r="AI25" s="14" t="s">
        <v>446</v>
      </c>
      <c r="AJ25" s="14" t="s">
        <v>446</v>
      </c>
      <c r="AK25" s="14" t="s">
        <v>446</v>
      </c>
      <c r="AL25" s="15" t="s">
        <v>446</v>
      </c>
      <c r="AM25" s="14" t="s">
        <v>446</v>
      </c>
      <c r="AN25" s="14" t="s">
        <v>446</v>
      </c>
      <c r="AO25" s="14" t="s">
        <v>446</v>
      </c>
      <c r="AP25" s="15" t="s">
        <v>446</v>
      </c>
      <c r="AQ25" s="14" t="s">
        <v>446</v>
      </c>
      <c r="AR25" s="14" t="s">
        <v>446</v>
      </c>
      <c r="AS25" s="14" t="s">
        <v>446</v>
      </c>
      <c r="AT25" s="15" t="s">
        <v>446</v>
      </c>
      <c r="AU25" s="14" t="s">
        <v>446</v>
      </c>
      <c r="AV25" s="14" t="s">
        <v>446</v>
      </c>
      <c r="AW25" s="14" t="s">
        <v>446</v>
      </c>
      <c r="AX25" s="15" t="s">
        <v>446</v>
      </c>
      <c r="AY25" s="14" t="s">
        <v>446</v>
      </c>
      <c r="AZ25" s="14" t="s">
        <v>446</v>
      </c>
      <c r="BA25" s="14" t="s">
        <v>446</v>
      </c>
      <c r="BB25" s="15" t="s">
        <v>446</v>
      </c>
      <c r="BC25" s="14" t="s">
        <v>446</v>
      </c>
      <c r="BD25" s="14" t="s">
        <v>446</v>
      </c>
      <c r="BE25" s="14" t="s">
        <v>446</v>
      </c>
      <c r="BF25" s="15" t="s">
        <v>446</v>
      </c>
      <c r="BG25" s="14" t="s">
        <v>446</v>
      </c>
      <c r="BH25" s="14" t="s">
        <v>446</v>
      </c>
      <c r="BI25" s="14" t="s">
        <v>446</v>
      </c>
      <c r="BJ25" s="15" t="s">
        <v>446</v>
      </c>
      <c r="BK25" s="14" t="s">
        <v>446</v>
      </c>
      <c r="BL25" s="14" t="s">
        <v>446</v>
      </c>
      <c r="BM25" s="14" t="s">
        <v>446</v>
      </c>
      <c r="BN25" s="15" t="s">
        <v>446</v>
      </c>
      <c r="BP25" s="18" t="s">
        <v>446</v>
      </c>
      <c r="BQ25" s="14" t="s">
        <v>446</v>
      </c>
      <c r="BR25" s="14" t="s">
        <v>446</v>
      </c>
      <c r="BS25" s="15" t="s">
        <v>446</v>
      </c>
      <c r="BU25" s="18" t="s">
        <v>446</v>
      </c>
      <c r="BV25" s="14" t="s">
        <v>446</v>
      </c>
      <c r="BW25" s="14" t="s">
        <v>446</v>
      </c>
      <c r="BX25" s="15" t="s">
        <v>446</v>
      </c>
      <c r="BZ25" s="18" t="s">
        <v>446</v>
      </c>
      <c r="CA25" s="14" t="s">
        <v>446</v>
      </c>
      <c r="CB25" s="14" t="s">
        <v>446</v>
      </c>
      <c r="CC25" s="15" t="s">
        <v>446</v>
      </c>
    </row>
    <row r="26" spans="2:81" ht="18" customHeight="1" x14ac:dyDescent="0.2">
      <c r="B26" s="10">
        <f>garage!B26</f>
        <v>26</v>
      </c>
      <c r="C26" s="10">
        <f>garage!C26</f>
        <v>1</v>
      </c>
      <c r="D26" s="10">
        <f>garage!D26</f>
        <v>25</v>
      </c>
      <c r="E26" s="10">
        <f>garage!E26</f>
        <v>10</v>
      </c>
      <c r="F26" s="10" t="str">
        <f>garage!F26</f>
        <v>--</v>
      </c>
      <c r="G26" s="10" t="str">
        <f>garage!G26</f>
        <v>O</v>
      </c>
      <c r="H26" s="10" t="str">
        <f>garage!H26</f>
        <v>O</v>
      </c>
      <c r="I26" s="10" t="str">
        <f>garage!I26</f>
        <v>N</v>
      </c>
      <c r="J26" s="10" t="str">
        <f>garage!J26</f>
        <v>N</v>
      </c>
      <c r="K26" s="10" t="str">
        <f>garage!K26</f>
        <v>D</v>
      </c>
      <c r="L26" s="11" t="str">
        <f>garage!L26</f>
        <v>Honda</v>
      </c>
      <c r="M26" s="11" t="str">
        <f>garage!M26</f>
        <v>Civic Type-R</v>
      </c>
      <c r="O26" s="19">
        <v>1</v>
      </c>
      <c r="P26" s="16">
        <v>1</v>
      </c>
      <c r="Q26" s="16">
        <v>1</v>
      </c>
      <c r="R26" s="17">
        <v>1</v>
      </c>
      <c r="S26" s="16">
        <v>1</v>
      </c>
      <c r="T26" s="16">
        <v>1</v>
      </c>
      <c r="U26" s="16">
        <v>1</v>
      </c>
      <c r="V26" s="17">
        <v>1</v>
      </c>
      <c r="W26" s="16">
        <v>1</v>
      </c>
      <c r="X26" s="16">
        <v>1</v>
      </c>
      <c r="Y26" s="16">
        <v>1</v>
      </c>
      <c r="Z26" s="17">
        <v>1</v>
      </c>
      <c r="AA26" s="16">
        <v>1</v>
      </c>
      <c r="AB26" s="16">
        <v>1</v>
      </c>
      <c r="AC26" s="16">
        <v>1</v>
      </c>
      <c r="AD26" s="17">
        <v>1</v>
      </c>
      <c r="AE26" s="16">
        <v>1</v>
      </c>
      <c r="AF26" s="16">
        <v>1</v>
      </c>
      <c r="AG26" s="16">
        <v>1</v>
      </c>
      <c r="AH26" s="17">
        <v>1</v>
      </c>
      <c r="AI26" s="16">
        <v>1</v>
      </c>
      <c r="AJ26" s="16">
        <v>1</v>
      </c>
      <c r="AK26" s="16">
        <v>1</v>
      </c>
      <c r="AL26" s="17">
        <v>1</v>
      </c>
      <c r="AM26" s="16">
        <v>1</v>
      </c>
      <c r="AN26" s="16">
        <v>1</v>
      </c>
      <c r="AO26" s="16">
        <v>1</v>
      </c>
      <c r="AP26" s="17">
        <v>1</v>
      </c>
      <c r="AQ26" s="16">
        <v>1</v>
      </c>
      <c r="AR26" s="16">
        <v>1</v>
      </c>
      <c r="AS26" s="16">
        <v>1</v>
      </c>
      <c r="AT26" s="17">
        <v>1</v>
      </c>
      <c r="AU26" s="16">
        <v>1</v>
      </c>
      <c r="AV26" s="16">
        <v>1</v>
      </c>
      <c r="AW26" s="16">
        <v>1</v>
      </c>
      <c r="AX26" s="17">
        <v>1</v>
      </c>
      <c r="AY26" s="16">
        <v>1</v>
      </c>
      <c r="AZ26" s="16">
        <v>1</v>
      </c>
      <c r="BA26" s="16">
        <v>1</v>
      </c>
      <c r="BB26" s="17">
        <v>1</v>
      </c>
      <c r="BC26" s="16">
        <v>1</v>
      </c>
      <c r="BD26" s="16">
        <v>1</v>
      </c>
      <c r="BE26" s="16">
        <v>1</v>
      </c>
      <c r="BF26" s="17">
        <v>1</v>
      </c>
      <c r="BG26" s="16" t="s">
        <v>446</v>
      </c>
      <c r="BH26" s="16" t="s">
        <v>446</v>
      </c>
      <c r="BI26" s="16" t="s">
        <v>446</v>
      </c>
      <c r="BJ26" s="17" t="s">
        <v>446</v>
      </c>
      <c r="BK26" s="16" t="s">
        <v>446</v>
      </c>
      <c r="BL26" s="16" t="s">
        <v>446</v>
      </c>
      <c r="BM26" s="16" t="s">
        <v>446</v>
      </c>
      <c r="BN26" s="17" t="s">
        <v>446</v>
      </c>
      <c r="BP26" s="19">
        <v>7</v>
      </c>
      <c r="BQ26" s="16">
        <v>7</v>
      </c>
      <c r="BR26" s="16">
        <v>7</v>
      </c>
      <c r="BS26" s="17">
        <v>7</v>
      </c>
      <c r="BU26" s="19">
        <v>2</v>
      </c>
      <c r="BV26" s="16">
        <v>2</v>
      </c>
      <c r="BW26" s="16">
        <v>2</v>
      </c>
      <c r="BX26" s="17">
        <v>2</v>
      </c>
      <c r="BZ26" s="19" t="s">
        <v>446</v>
      </c>
      <c r="CA26" s="16" t="s">
        <v>446</v>
      </c>
      <c r="CB26" s="16" t="s">
        <v>446</v>
      </c>
      <c r="CC26" s="17" t="s">
        <v>446</v>
      </c>
    </row>
    <row r="27" spans="2:81" ht="18" customHeight="1" x14ac:dyDescent="0.2">
      <c r="B27" s="8">
        <f>garage!B27</f>
        <v>27</v>
      </c>
      <c r="C27" s="8">
        <f>garage!C27</f>
        <v>1</v>
      </c>
      <c r="D27" s="8">
        <f>garage!D27</f>
        <v>26</v>
      </c>
      <c r="E27" s="8">
        <f>garage!E27</f>
        <v>11</v>
      </c>
      <c r="F27" s="8" t="str">
        <f>garage!F27</f>
        <v>P</v>
      </c>
      <c r="G27" s="8" t="str">
        <f>garage!G27</f>
        <v>O</v>
      </c>
      <c r="H27" s="8" t="str">
        <f>garage!H27</f>
        <v>O</v>
      </c>
      <c r="I27" s="8" t="str">
        <f>garage!I27</f>
        <v>O</v>
      </c>
      <c r="J27" s="8" t="str">
        <f>garage!J27</f>
        <v>N</v>
      </c>
      <c r="K27" s="8" t="str">
        <f>garage!K27</f>
        <v>D</v>
      </c>
      <c r="L27" s="9" t="str">
        <f>garage!L27</f>
        <v>Porsche</v>
      </c>
      <c r="M27" s="9" t="str">
        <f>garage!M27</f>
        <v>Taycan Turbo S</v>
      </c>
      <c r="O27" s="18">
        <v>1</v>
      </c>
      <c r="P27" s="14">
        <v>1</v>
      </c>
      <c r="Q27" s="14">
        <v>1</v>
      </c>
      <c r="R27" s="15">
        <v>1</v>
      </c>
      <c r="S27" s="14">
        <v>1</v>
      </c>
      <c r="T27" s="14">
        <v>1</v>
      </c>
      <c r="U27" s="14">
        <v>1</v>
      </c>
      <c r="V27" s="15">
        <v>1</v>
      </c>
      <c r="W27" s="14">
        <v>1</v>
      </c>
      <c r="X27" s="14">
        <v>1</v>
      </c>
      <c r="Y27" s="14">
        <v>1</v>
      </c>
      <c r="Z27" s="15">
        <v>1</v>
      </c>
      <c r="AA27" s="14">
        <v>1</v>
      </c>
      <c r="AB27" s="14">
        <v>1</v>
      </c>
      <c r="AC27" s="14">
        <v>1</v>
      </c>
      <c r="AD27" s="15">
        <v>1</v>
      </c>
      <c r="AE27" s="14">
        <v>1</v>
      </c>
      <c r="AF27" s="14">
        <v>1</v>
      </c>
      <c r="AG27" s="14">
        <v>1</v>
      </c>
      <c r="AH27" s="15">
        <v>1</v>
      </c>
      <c r="AI27" s="14">
        <v>1</v>
      </c>
      <c r="AJ27" s="14">
        <v>1</v>
      </c>
      <c r="AK27" s="14">
        <v>1</v>
      </c>
      <c r="AL27" s="15">
        <v>1</v>
      </c>
      <c r="AM27" s="14">
        <v>1</v>
      </c>
      <c r="AN27" s="14">
        <v>1</v>
      </c>
      <c r="AO27" s="14">
        <v>1</v>
      </c>
      <c r="AP27" s="15">
        <v>1</v>
      </c>
      <c r="AQ27" s="14">
        <v>1</v>
      </c>
      <c r="AR27" s="14">
        <v>1</v>
      </c>
      <c r="AS27" s="14">
        <v>1</v>
      </c>
      <c r="AT27" s="15">
        <v>1</v>
      </c>
      <c r="AU27" s="14">
        <v>1</v>
      </c>
      <c r="AV27" s="14">
        <v>1</v>
      </c>
      <c r="AW27" s="14">
        <v>1</v>
      </c>
      <c r="AX27" s="15">
        <v>1</v>
      </c>
      <c r="AY27" s="14">
        <v>1</v>
      </c>
      <c r="AZ27" s="14">
        <v>1</v>
      </c>
      <c r="BA27" s="14">
        <v>1</v>
      </c>
      <c r="BB27" s="15">
        <v>1</v>
      </c>
      <c r="BC27" s="14">
        <v>1</v>
      </c>
      <c r="BD27" s="14">
        <v>1</v>
      </c>
      <c r="BE27" s="14">
        <v>1</v>
      </c>
      <c r="BF27" s="15">
        <v>1</v>
      </c>
      <c r="BG27" s="14" t="s">
        <v>446</v>
      </c>
      <c r="BH27" s="14" t="s">
        <v>446</v>
      </c>
      <c r="BI27" s="14" t="s">
        <v>446</v>
      </c>
      <c r="BJ27" s="15" t="s">
        <v>446</v>
      </c>
      <c r="BK27" s="14" t="s">
        <v>446</v>
      </c>
      <c r="BL27" s="14" t="s">
        <v>446</v>
      </c>
      <c r="BM27" s="14" t="s">
        <v>446</v>
      </c>
      <c r="BN27" s="15" t="s">
        <v>446</v>
      </c>
      <c r="BP27" s="18">
        <v>7</v>
      </c>
      <c r="BQ27" s="14">
        <v>7</v>
      </c>
      <c r="BR27" s="14">
        <v>7</v>
      </c>
      <c r="BS27" s="15">
        <v>7</v>
      </c>
      <c r="BU27" s="18">
        <v>2</v>
      </c>
      <c r="BV27" s="14">
        <v>2</v>
      </c>
      <c r="BW27" s="14">
        <v>2</v>
      </c>
      <c r="BX27" s="15">
        <v>2</v>
      </c>
      <c r="BZ27" s="18">
        <v>1</v>
      </c>
      <c r="CA27" s="14">
        <v>1</v>
      </c>
      <c r="CB27" s="14">
        <v>1</v>
      </c>
      <c r="CC27" s="15">
        <v>1</v>
      </c>
    </row>
    <row r="28" spans="2:81" ht="18" customHeight="1" x14ac:dyDescent="0.2">
      <c r="B28" s="10">
        <f>garage!B28</f>
        <v>28</v>
      </c>
      <c r="C28" s="10">
        <f>garage!C28</f>
        <v>1</v>
      </c>
      <c r="D28" s="10">
        <f>garage!D28</f>
        <v>27</v>
      </c>
      <c r="E28" s="10">
        <f>garage!E28</f>
        <v>7</v>
      </c>
      <c r="F28" s="10" t="str">
        <f>garage!F28</f>
        <v>--</v>
      </c>
      <c r="G28" s="10" t="str">
        <f>garage!G28</f>
        <v>O</v>
      </c>
      <c r="H28" s="10" t="str">
        <f>garage!H28</f>
        <v>O</v>
      </c>
      <c r="I28" s="10" t="str">
        <f>garage!I28</f>
        <v>O</v>
      </c>
      <c r="J28" s="10" t="str">
        <f>garage!J28</f>
        <v>N</v>
      </c>
      <c r="K28" s="10" t="str">
        <f>garage!K28</f>
        <v>D</v>
      </c>
      <c r="L28" s="11" t="str">
        <f>garage!L28</f>
        <v>TVR</v>
      </c>
      <c r="M28" s="11" t="str">
        <f>garage!M28</f>
        <v>Griffith</v>
      </c>
      <c r="O28" s="19">
        <v>1</v>
      </c>
      <c r="P28" s="16">
        <v>1</v>
      </c>
      <c r="Q28" s="16">
        <v>1</v>
      </c>
      <c r="R28" s="17">
        <v>1</v>
      </c>
      <c r="S28" s="16">
        <v>1</v>
      </c>
      <c r="T28" s="16">
        <v>1</v>
      </c>
      <c r="U28" s="16">
        <v>1</v>
      </c>
      <c r="V28" s="17">
        <v>1</v>
      </c>
      <c r="W28" s="16">
        <v>1</v>
      </c>
      <c r="X28" s="16">
        <v>1</v>
      </c>
      <c r="Y28" s="16">
        <v>1</v>
      </c>
      <c r="Z28" s="17">
        <v>1</v>
      </c>
      <c r="AA28" s="16">
        <v>1</v>
      </c>
      <c r="AB28" s="16">
        <v>1</v>
      </c>
      <c r="AC28" s="16">
        <v>1</v>
      </c>
      <c r="AD28" s="17">
        <v>1</v>
      </c>
      <c r="AE28" s="16">
        <v>1</v>
      </c>
      <c r="AF28" s="16">
        <v>1</v>
      </c>
      <c r="AG28" s="16">
        <v>1</v>
      </c>
      <c r="AH28" s="17">
        <v>1</v>
      </c>
      <c r="AI28" s="16">
        <v>1</v>
      </c>
      <c r="AJ28" s="16">
        <v>1</v>
      </c>
      <c r="AK28" s="16">
        <v>1</v>
      </c>
      <c r="AL28" s="17">
        <v>1</v>
      </c>
      <c r="AM28" s="16">
        <v>1</v>
      </c>
      <c r="AN28" s="16">
        <v>1</v>
      </c>
      <c r="AO28" s="16">
        <v>1</v>
      </c>
      <c r="AP28" s="17">
        <v>1</v>
      </c>
      <c r="AQ28" s="16">
        <v>1</v>
      </c>
      <c r="AR28" s="16">
        <v>1</v>
      </c>
      <c r="AS28" s="16">
        <v>1</v>
      </c>
      <c r="AT28" s="17">
        <v>1</v>
      </c>
      <c r="AU28" s="16">
        <v>1</v>
      </c>
      <c r="AV28" s="16">
        <v>1</v>
      </c>
      <c r="AW28" s="16">
        <v>1</v>
      </c>
      <c r="AX28" s="17">
        <v>1</v>
      </c>
      <c r="AY28" s="16">
        <v>1</v>
      </c>
      <c r="AZ28" s="16">
        <v>1</v>
      </c>
      <c r="BA28" s="16">
        <v>1</v>
      </c>
      <c r="BB28" s="17">
        <v>1</v>
      </c>
      <c r="BC28" s="16">
        <v>1</v>
      </c>
      <c r="BD28" s="16">
        <v>1</v>
      </c>
      <c r="BE28" s="16">
        <v>1</v>
      </c>
      <c r="BF28" s="17">
        <v>1</v>
      </c>
      <c r="BG28" s="16" t="s">
        <v>446</v>
      </c>
      <c r="BH28" s="16" t="s">
        <v>446</v>
      </c>
      <c r="BI28" s="16" t="s">
        <v>446</v>
      </c>
      <c r="BJ28" s="17" t="s">
        <v>446</v>
      </c>
      <c r="BK28" s="16" t="s">
        <v>446</v>
      </c>
      <c r="BL28" s="16" t="s">
        <v>446</v>
      </c>
      <c r="BM28" s="16" t="s">
        <v>446</v>
      </c>
      <c r="BN28" s="17" t="s">
        <v>446</v>
      </c>
      <c r="BP28" s="19">
        <v>7</v>
      </c>
      <c r="BQ28" s="16">
        <v>7</v>
      </c>
      <c r="BR28" s="16">
        <v>7</v>
      </c>
      <c r="BS28" s="17">
        <v>7</v>
      </c>
      <c r="BU28" s="19">
        <v>2</v>
      </c>
      <c r="BV28" s="16">
        <v>2</v>
      </c>
      <c r="BW28" s="16">
        <v>2</v>
      </c>
      <c r="BX28" s="17">
        <v>2</v>
      </c>
      <c r="BZ28" s="19">
        <v>1</v>
      </c>
      <c r="CA28" s="16">
        <v>1</v>
      </c>
      <c r="CB28" s="16">
        <v>1</v>
      </c>
      <c r="CC28" s="17">
        <v>1</v>
      </c>
    </row>
    <row r="29" spans="2:81" ht="18" customHeight="1" x14ac:dyDescent="0.2">
      <c r="B29" s="8">
        <f>garage!B29</f>
        <v>29</v>
      </c>
      <c r="C29" s="8">
        <f>garage!C29</f>
        <v>1</v>
      </c>
      <c r="D29" s="8">
        <f>garage!D29</f>
        <v>28</v>
      </c>
      <c r="E29" s="8">
        <f>garage!E29</f>
        <v>14</v>
      </c>
      <c r="F29" s="8" t="str">
        <f>garage!F29</f>
        <v>--</v>
      </c>
      <c r="G29" s="8" t="str">
        <f>garage!G29</f>
        <v>O</v>
      </c>
      <c r="H29" s="8" t="str">
        <f>garage!H29</f>
        <v>O</v>
      </c>
      <c r="I29" s="8" t="str">
        <f>garage!I29</f>
        <v>N</v>
      </c>
      <c r="J29" s="8" t="str">
        <f>garage!J29</f>
        <v>N</v>
      </c>
      <c r="K29" s="8" t="str">
        <f>garage!K29</f>
        <v>D</v>
      </c>
      <c r="L29" s="9" t="str">
        <f>garage!L29</f>
        <v>Bentley</v>
      </c>
      <c r="M29" s="9" t="str">
        <f>garage!M29</f>
        <v>Continental GT3</v>
      </c>
      <c r="O29" s="18">
        <v>1</v>
      </c>
      <c r="P29" s="14">
        <v>1</v>
      </c>
      <c r="Q29" s="14">
        <v>1</v>
      </c>
      <c r="R29" s="15">
        <v>1</v>
      </c>
      <c r="S29" s="14">
        <v>1</v>
      </c>
      <c r="T29" s="14">
        <v>1</v>
      </c>
      <c r="U29" s="14">
        <v>1</v>
      </c>
      <c r="V29" s="15">
        <v>1</v>
      </c>
      <c r="W29" s="14">
        <v>1</v>
      </c>
      <c r="X29" s="14">
        <v>1</v>
      </c>
      <c r="Y29" s="14">
        <v>1</v>
      </c>
      <c r="Z29" s="15">
        <v>1</v>
      </c>
      <c r="AA29" s="14">
        <v>1</v>
      </c>
      <c r="AB29" s="14">
        <v>1</v>
      </c>
      <c r="AC29" s="14">
        <v>1</v>
      </c>
      <c r="AD29" s="15">
        <v>1</v>
      </c>
      <c r="AE29" s="14">
        <v>1</v>
      </c>
      <c r="AF29" s="14">
        <v>1</v>
      </c>
      <c r="AG29" s="14">
        <v>1</v>
      </c>
      <c r="AH29" s="15">
        <v>1</v>
      </c>
      <c r="AI29" s="14">
        <v>1</v>
      </c>
      <c r="AJ29" s="14">
        <v>1</v>
      </c>
      <c r="AK29" s="14">
        <v>1</v>
      </c>
      <c r="AL29" s="15">
        <v>1</v>
      </c>
      <c r="AM29" s="14">
        <v>1</v>
      </c>
      <c r="AN29" s="14">
        <v>1</v>
      </c>
      <c r="AO29" s="14">
        <v>1</v>
      </c>
      <c r="AP29" s="15">
        <v>1</v>
      </c>
      <c r="AQ29" s="14">
        <v>1</v>
      </c>
      <c r="AR29" s="14">
        <v>1</v>
      </c>
      <c r="AS29" s="14">
        <v>1</v>
      </c>
      <c r="AT29" s="15">
        <v>1</v>
      </c>
      <c r="AU29" s="14">
        <v>1</v>
      </c>
      <c r="AV29" s="14">
        <v>1</v>
      </c>
      <c r="AW29" s="14">
        <v>1</v>
      </c>
      <c r="AX29" s="15">
        <v>1</v>
      </c>
      <c r="AY29" s="14">
        <v>1</v>
      </c>
      <c r="AZ29" s="14">
        <v>1</v>
      </c>
      <c r="BA29" s="14">
        <v>1</v>
      </c>
      <c r="BB29" s="15">
        <v>1</v>
      </c>
      <c r="BC29" s="14">
        <v>1</v>
      </c>
      <c r="BD29" s="14">
        <v>1</v>
      </c>
      <c r="BE29" s="14">
        <v>1</v>
      </c>
      <c r="BF29" s="15">
        <v>1</v>
      </c>
      <c r="BG29" s="14" t="s">
        <v>446</v>
      </c>
      <c r="BH29" s="14" t="s">
        <v>446</v>
      </c>
      <c r="BI29" s="14" t="s">
        <v>446</v>
      </c>
      <c r="BJ29" s="15" t="s">
        <v>446</v>
      </c>
      <c r="BK29" s="14" t="s">
        <v>446</v>
      </c>
      <c r="BL29" s="14" t="s">
        <v>446</v>
      </c>
      <c r="BM29" s="14" t="s">
        <v>446</v>
      </c>
      <c r="BN29" s="15" t="s">
        <v>446</v>
      </c>
      <c r="BP29" s="18">
        <v>7</v>
      </c>
      <c r="BQ29" s="14">
        <v>7</v>
      </c>
      <c r="BR29" s="14">
        <v>7</v>
      </c>
      <c r="BS29" s="15">
        <v>7</v>
      </c>
      <c r="BU29" s="18">
        <v>2</v>
      </c>
      <c r="BV29" s="14">
        <v>2</v>
      </c>
      <c r="BW29" s="14">
        <v>2</v>
      </c>
      <c r="BX29" s="15">
        <v>2</v>
      </c>
      <c r="BZ29" s="18">
        <v>1</v>
      </c>
      <c r="CA29" s="14" t="s">
        <v>446</v>
      </c>
      <c r="CB29" s="14" t="s">
        <v>446</v>
      </c>
      <c r="CC29" s="15" t="s">
        <v>446</v>
      </c>
    </row>
    <row r="30" spans="2:81" ht="18" customHeight="1" x14ac:dyDescent="0.2">
      <c r="B30" s="10">
        <f>garage!B30</f>
        <v>30</v>
      </c>
      <c r="C30" s="10">
        <f>garage!C30</f>
        <v>1</v>
      </c>
      <c r="D30" s="10">
        <f>garage!D30</f>
        <v>29</v>
      </c>
      <c r="E30" s="10">
        <f>garage!E30</f>
        <v>0</v>
      </c>
      <c r="F30" s="10" t="str">
        <f>garage!F30</f>
        <v>--</v>
      </c>
      <c r="G30" s="10" t="str">
        <f>garage!G30</f>
        <v>O</v>
      </c>
      <c r="H30" s="10" t="str">
        <f>garage!H30</f>
        <v>O</v>
      </c>
      <c r="I30" s="10" t="str">
        <f>garage!I30</f>
        <v>O</v>
      </c>
      <c r="J30" s="10" t="str">
        <f>garage!J30</f>
        <v>N</v>
      </c>
      <c r="K30" s="10" t="str">
        <f>garage!K30</f>
        <v>D</v>
      </c>
      <c r="L30" s="11" t="str">
        <f>garage!L30</f>
        <v>Mazda</v>
      </c>
      <c r="M30" s="11" t="str">
        <f>garage!M30</f>
        <v>Furai</v>
      </c>
      <c r="O30" s="19">
        <v>1</v>
      </c>
      <c r="P30" s="16">
        <v>1</v>
      </c>
      <c r="Q30" s="16">
        <v>1</v>
      </c>
      <c r="R30" s="17">
        <v>1</v>
      </c>
      <c r="S30" s="16">
        <v>1</v>
      </c>
      <c r="T30" s="16">
        <v>1</v>
      </c>
      <c r="U30" s="16">
        <v>1</v>
      </c>
      <c r="V30" s="17">
        <v>1</v>
      </c>
      <c r="W30" s="16">
        <v>1</v>
      </c>
      <c r="X30" s="16">
        <v>1</v>
      </c>
      <c r="Y30" s="16">
        <v>1</v>
      </c>
      <c r="Z30" s="17">
        <v>1</v>
      </c>
      <c r="AA30" s="16">
        <v>1</v>
      </c>
      <c r="AB30" s="16">
        <v>1</v>
      </c>
      <c r="AC30" s="16">
        <v>1</v>
      </c>
      <c r="AD30" s="17">
        <v>1</v>
      </c>
      <c r="AE30" s="16">
        <v>1</v>
      </c>
      <c r="AF30" s="16">
        <v>1</v>
      </c>
      <c r="AG30" s="16">
        <v>1</v>
      </c>
      <c r="AH30" s="17">
        <v>1</v>
      </c>
      <c r="AI30" s="16">
        <v>1</v>
      </c>
      <c r="AJ30" s="16">
        <v>1</v>
      </c>
      <c r="AK30" s="16">
        <v>1</v>
      </c>
      <c r="AL30" s="17">
        <v>1</v>
      </c>
      <c r="AM30" s="16">
        <v>1</v>
      </c>
      <c r="AN30" s="16">
        <v>1</v>
      </c>
      <c r="AO30" s="16">
        <v>1</v>
      </c>
      <c r="AP30" s="17">
        <v>1</v>
      </c>
      <c r="AQ30" s="16">
        <v>1</v>
      </c>
      <c r="AR30" s="16">
        <v>1</v>
      </c>
      <c r="AS30" s="16">
        <v>1</v>
      </c>
      <c r="AT30" s="17">
        <v>1</v>
      </c>
      <c r="AU30" s="16">
        <v>1</v>
      </c>
      <c r="AV30" s="16">
        <v>1</v>
      </c>
      <c r="AW30" s="16">
        <v>1</v>
      </c>
      <c r="AX30" s="17">
        <v>1</v>
      </c>
      <c r="AY30" s="16">
        <v>1</v>
      </c>
      <c r="AZ30" s="16">
        <v>1</v>
      </c>
      <c r="BA30" s="16">
        <v>1</v>
      </c>
      <c r="BB30" s="17">
        <v>1</v>
      </c>
      <c r="BC30" s="16">
        <v>1</v>
      </c>
      <c r="BD30" s="16">
        <v>1</v>
      </c>
      <c r="BE30" s="16">
        <v>1</v>
      </c>
      <c r="BF30" s="17">
        <v>1</v>
      </c>
      <c r="BG30" s="16" t="s">
        <v>446</v>
      </c>
      <c r="BH30" s="16" t="s">
        <v>446</v>
      </c>
      <c r="BI30" s="16" t="s">
        <v>446</v>
      </c>
      <c r="BJ30" s="17" t="s">
        <v>446</v>
      </c>
      <c r="BK30" s="16" t="s">
        <v>446</v>
      </c>
      <c r="BL30" s="16" t="s">
        <v>446</v>
      </c>
      <c r="BM30" s="16" t="s">
        <v>446</v>
      </c>
      <c r="BN30" s="17" t="s">
        <v>446</v>
      </c>
      <c r="BP30" s="19">
        <v>7</v>
      </c>
      <c r="BQ30" s="16">
        <v>7</v>
      </c>
      <c r="BR30" s="16">
        <v>7</v>
      </c>
      <c r="BS30" s="17">
        <v>7</v>
      </c>
      <c r="BU30" s="19">
        <v>2</v>
      </c>
      <c r="BV30" s="16">
        <v>2</v>
      </c>
      <c r="BW30" s="16">
        <v>2</v>
      </c>
      <c r="BX30" s="17">
        <v>2</v>
      </c>
      <c r="BZ30" s="19">
        <v>1</v>
      </c>
      <c r="CA30" s="16">
        <v>1</v>
      </c>
      <c r="CB30" s="16">
        <v>1</v>
      </c>
      <c r="CC30" s="17">
        <v>1</v>
      </c>
    </row>
    <row r="31" spans="2:81" ht="18" customHeight="1" x14ac:dyDescent="0.2">
      <c r="B31" s="8">
        <f>garage!B31</f>
        <v>31</v>
      </c>
      <c r="C31" s="8">
        <f>garage!C31</f>
        <v>1</v>
      </c>
      <c r="D31" s="8">
        <f>garage!D31</f>
        <v>30</v>
      </c>
      <c r="E31" s="8">
        <f>garage!E31</f>
        <v>13</v>
      </c>
      <c r="F31" s="8" t="str">
        <f>garage!F31</f>
        <v>C</v>
      </c>
      <c r="G31" s="8" t="str">
        <f>garage!G31</f>
        <v>O</v>
      </c>
      <c r="H31" s="8" t="str">
        <f>garage!H31</f>
        <v>O</v>
      </c>
      <c r="I31" s="8" t="str">
        <f>garage!I31</f>
        <v>N</v>
      </c>
      <c r="J31" s="8" t="str">
        <f>garage!J31</f>
        <v>N</v>
      </c>
      <c r="K31" s="8" t="str">
        <f>garage!K31</f>
        <v>D</v>
      </c>
      <c r="L31" s="9" t="str">
        <f>garage!L31</f>
        <v>Chevrolet</v>
      </c>
      <c r="M31" s="9" t="str">
        <f>garage!M31</f>
        <v>Corvette C7.R</v>
      </c>
      <c r="O31" s="18">
        <v>1</v>
      </c>
      <c r="P31" s="14">
        <v>1</v>
      </c>
      <c r="Q31" s="14">
        <v>1</v>
      </c>
      <c r="R31" s="15">
        <v>1</v>
      </c>
      <c r="S31" s="14">
        <v>1</v>
      </c>
      <c r="T31" s="14">
        <v>1</v>
      </c>
      <c r="U31" s="14">
        <v>1</v>
      </c>
      <c r="V31" s="15">
        <v>1</v>
      </c>
      <c r="W31" s="14">
        <v>1</v>
      </c>
      <c r="X31" s="14">
        <v>1</v>
      </c>
      <c r="Y31" s="14">
        <v>1</v>
      </c>
      <c r="Z31" s="15">
        <v>1</v>
      </c>
      <c r="AA31" s="14">
        <v>1</v>
      </c>
      <c r="AB31" s="14">
        <v>1</v>
      </c>
      <c r="AC31" s="14">
        <v>1</v>
      </c>
      <c r="AD31" s="15">
        <v>1</v>
      </c>
      <c r="AE31" s="14">
        <v>1</v>
      </c>
      <c r="AF31" s="14">
        <v>1</v>
      </c>
      <c r="AG31" s="14">
        <v>1</v>
      </c>
      <c r="AH31" s="15">
        <v>1</v>
      </c>
      <c r="AI31" s="14">
        <v>1</v>
      </c>
      <c r="AJ31" s="14">
        <v>1</v>
      </c>
      <c r="AK31" s="14">
        <v>1</v>
      </c>
      <c r="AL31" s="15">
        <v>1</v>
      </c>
      <c r="AM31" s="14">
        <v>1</v>
      </c>
      <c r="AN31" s="14">
        <v>1</v>
      </c>
      <c r="AO31" s="14">
        <v>1</v>
      </c>
      <c r="AP31" s="15">
        <v>1</v>
      </c>
      <c r="AQ31" s="14">
        <v>1</v>
      </c>
      <c r="AR31" s="14">
        <v>1</v>
      </c>
      <c r="AS31" s="14">
        <v>1</v>
      </c>
      <c r="AT31" s="15">
        <v>1</v>
      </c>
      <c r="AU31" s="14">
        <v>1</v>
      </c>
      <c r="AV31" s="14">
        <v>1</v>
      </c>
      <c r="AW31" s="14">
        <v>1</v>
      </c>
      <c r="AX31" s="15">
        <v>1</v>
      </c>
      <c r="AY31" s="14">
        <v>1</v>
      </c>
      <c r="AZ31" s="14">
        <v>1</v>
      </c>
      <c r="BA31" s="14">
        <v>1</v>
      </c>
      <c r="BB31" s="15">
        <v>1</v>
      </c>
      <c r="BC31" s="14">
        <v>1</v>
      </c>
      <c r="BD31" s="14">
        <v>1</v>
      </c>
      <c r="BE31" s="14">
        <v>1</v>
      </c>
      <c r="BF31" s="15">
        <v>1</v>
      </c>
      <c r="BG31" s="14">
        <v>1</v>
      </c>
      <c r="BH31" s="14">
        <v>1</v>
      </c>
      <c r="BI31" s="14">
        <v>1</v>
      </c>
      <c r="BJ31" s="15">
        <v>1</v>
      </c>
      <c r="BK31" s="14" t="s">
        <v>446</v>
      </c>
      <c r="BL31" s="14" t="s">
        <v>446</v>
      </c>
      <c r="BM31" s="14" t="s">
        <v>446</v>
      </c>
      <c r="BN31" s="15" t="s">
        <v>446</v>
      </c>
      <c r="BP31" s="18">
        <v>8</v>
      </c>
      <c r="BQ31" s="14">
        <v>8</v>
      </c>
      <c r="BR31" s="14">
        <v>8</v>
      </c>
      <c r="BS31" s="15">
        <v>8</v>
      </c>
      <c r="BU31" s="18">
        <v>4</v>
      </c>
      <c r="BV31" s="14">
        <v>4</v>
      </c>
      <c r="BW31" s="14">
        <v>4</v>
      </c>
      <c r="BX31" s="15">
        <v>4</v>
      </c>
      <c r="BZ31" s="18" t="s">
        <v>446</v>
      </c>
      <c r="CA31" s="14" t="s">
        <v>446</v>
      </c>
      <c r="CB31" s="14" t="s">
        <v>446</v>
      </c>
      <c r="CC31" s="15" t="s">
        <v>446</v>
      </c>
    </row>
    <row r="32" spans="2:81" ht="18" customHeight="1" x14ac:dyDescent="0.2">
      <c r="B32" s="10">
        <f>garage!B32</f>
        <v>32</v>
      </c>
      <c r="C32" s="10">
        <f>garage!C32</f>
        <v>1</v>
      </c>
      <c r="D32" s="10">
        <f>garage!D32</f>
        <v>31</v>
      </c>
      <c r="E32" s="10">
        <f>garage!E32</f>
        <v>16</v>
      </c>
      <c r="F32" s="10" t="str">
        <f>garage!F32</f>
        <v>L</v>
      </c>
      <c r="G32" s="10" t="str">
        <f>garage!G32</f>
        <v>N</v>
      </c>
      <c r="H32" s="10" t="str">
        <f>garage!H32</f>
        <v>N</v>
      </c>
      <c r="I32" s="10" t="str">
        <f>garage!I32</f>
        <v>N</v>
      </c>
      <c r="J32" s="10" t="str">
        <f>garage!J32</f>
        <v>N</v>
      </c>
      <c r="K32" s="10" t="str">
        <f>garage!K32</f>
        <v>D</v>
      </c>
      <c r="L32" s="11" t="str">
        <f>garage!L32</f>
        <v>Lamborghini</v>
      </c>
      <c r="M32" s="11" t="str">
        <f>garage!M32</f>
        <v>Huracan Super Trofeo Evo</v>
      </c>
      <c r="O32" s="19">
        <v>1</v>
      </c>
      <c r="P32" s="16">
        <v>1</v>
      </c>
      <c r="Q32" s="16">
        <v>1</v>
      </c>
      <c r="R32" s="17">
        <v>1</v>
      </c>
      <c r="S32" s="16" t="s">
        <v>446</v>
      </c>
      <c r="T32" s="16" t="s">
        <v>446</v>
      </c>
      <c r="U32" s="16" t="s">
        <v>446</v>
      </c>
      <c r="V32" s="17" t="s">
        <v>446</v>
      </c>
      <c r="W32" s="16" t="s">
        <v>446</v>
      </c>
      <c r="X32" s="16" t="s">
        <v>446</v>
      </c>
      <c r="Y32" s="16" t="s">
        <v>446</v>
      </c>
      <c r="Z32" s="17" t="s">
        <v>446</v>
      </c>
      <c r="AA32" s="16" t="s">
        <v>446</v>
      </c>
      <c r="AB32" s="16" t="s">
        <v>446</v>
      </c>
      <c r="AC32" s="16" t="s">
        <v>446</v>
      </c>
      <c r="AD32" s="17" t="s">
        <v>446</v>
      </c>
      <c r="AE32" s="16" t="s">
        <v>446</v>
      </c>
      <c r="AF32" s="16" t="s">
        <v>446</v>
      </c>
      <c r="AG32" s="16" t="s">
        <v>446</v>
      </c>
      <c r="AH32" s="17" t="s">
        <v>446</v>
      </c>
      <c r="AI32" s="16" t="s">
        <v>446</v>
      </c>
      <c r="AJ32" s="16" t="s">
        <v>446</v>
      </c>
      <c r="AK32" s="16" t="s">
        <v>446</v>
      </c>
      <c r="AL32" s="17" t="s">
        <v>446</v>
      </c>
      <c r="AM32" s="16" t="s">
        <v>446</v>
      </c>
      <c r="AN32" s="16" t="s">
        <v>446</v>
      </c>
      <c r="AO32" s="16" t="s">
        <v>446</v>
      </c>
      <c r="AP32" s="17" t="s">
        <v>446</v>
      </c>
      <c r="AQ32" s="16" t="s">
        <v>446</v>
      </c>
      <c r="AR32" s="16" t="s">
        <v>446</v>
      </c>
      <c r="AS32" s="16" t="s">
        <v>446</v>
      </c>
      <c r="AT32" s="17" t="s">
        <v>446</v>
      </c>
      <c r="AU32" s="16" t="s">
        <v>446</v>
      </c>
      <c r="AV32" s="16" t="s">
        <v>446</v>
      </c>
      <c r="AW32" s="16" t="s">
        <v>446</v>
      </c>
      <c r="AX32" s="17" t="s">
        <v>446</v>
      </c>
      <c r="AY32" s="16" t="s">
        <v>446</v>
      </c>
      <c r="AZ32" s="16" t="s">
        <v>446</v>
      </c>
      <c r="BA32" s="16" t="s">
        <v>446</v>
      </c>
      <c r="BB32" s="17" t="s">
        <v>446</v>
      </c>
      <c r="BC32" s="16" t="s">
        <v>446</v>
      </c>
      <c r="BD32" s="16" t="s">
        <v>446</v>
      </c>
      <c r="BE32" s="16" t="s">
        <v>446</v>
      </c>
      <c r="BF32" s="17" t="s">
        <v>446</v>
      </c>
      <c r="BG32" s="16" t="s">
        <v>446</v>
      </c>
      <c r="BH32" s="16" t="s">
        <v>446</v>
      </c>
      <c r="BI32" s="16" t="s">
        <v>446</v>
      </c>
      <c r="BJ32" s="17" t="s">
        <v>446</v>
      </c>
      <c r="BK32" s="16" t="s">
        <v>446</v>
      </c>
      <c r="BL32" s="16" t="s">
        <v>446</v>
      </c>
      <c r="BM32" s="16" t="s">
        <v>446</v>
      </c>
      <c r="BN32" s="17" t="s">
        <v>446</v>
      </c>
      <c r="BP32" s="19" t="s">
        <v>446</v>
      </c>
      <c r="BQ32" s="16" t="s">
        <v>446</v>
      </c>
      <c r="BR32" s="16" t="s">
        <v>446</v>
      </c>
      <c r="BS32" s="17" t="s">
        <v>446</v>
      </c>
      <c r="BU32" s="19" t="s">
        <v>446</v>
      </c>
      <c r="BV32" s="16" t="s">
        <v>446</v>
      </c>
      <c r="BW32" s="16" t="s">
        <v>446</v>
      </c>
      <c r="BX32" s="17" t="s">
        <v>446</v>
      </c>
      <c r="BZ32" s="19" t="s">
        <v>446</v>
      </c>
      <c r="CA32" s="16" t="s">
        <v>446</v>
      </c>
      <c r="CB32" s="16" t="s">
        <v>446</v>
      </c>
      <c r="CC32" s="17" t="s">
        <v>446</v>
      </c>
    </row>
    <row r="33" spans="2:81" ht="18" customHeight="1" x14ac:dyDescent="0.2">
      <c r="B33" s="8">
        <f>garage!B33</f>
        <v>33</v>
      </c>
      <c r="C33" s="8">
        <f>garage!C33</f>
        <v>1</v>
      </c>
      <c r="D33" s="8">
        <f>garage!D33</f>
        <v>32</v>
      </c>
      <c r="E33" s="8">
        <f>garage!E33</f>
        <v>21</v>
      </c>
      <c r="F33" s="8" t="str">
        <f>garage!F33</f>
        <v>--</v>
      </c>
      <c r="G33" s="8" t="str">
        <f>garage!G33</f>
        <v>N</v>
      </c>
      <c r="H33" s="8" t="str">
        <f>garage!H33</f>
        <v>N</v>
      </c>
      <c r="I33" s="8" t="str">
        <f>garage!I33</f>
        <v>N</v>
      </c>
      <c r="J33" s="8" t="str">
        <f>garage!J33</f>
        <v>N</v>
      </c>
      <c r="K33" s="8" t="str">
        <f>garage!K33</f>
        <v>D</v>
      </c>
      <c r="L33" s="9" t="str">
        <f>garage!L33</f>
        <v>Volkswagen</v>
      </c>
      <c r="M33" s="9" t="str">
        <f>garage!M33</f>
        <v>Electric R</v>
      </c>
      <c r="O33" s="18" t="s">
        <v>446</v>
      </c>
      <c r="P33" s="14" t="s">
        <v>446</v>
      </c>
      <c r="Q33" s="14" t="s">
        <v>446</v>
      </c>
      <c r="R33" s="15" t="s">
        <v>446</v>
      </c>
      <c r="S33" s="14" t="s">
        <v>446</v>
      </c>
      <c r="T33" s="14" t="s">
        <v>446</v>
      </c>
      <c r="U33" s="14" t="s">
        <v>446</v>
      </c>
      <c r="V33" s="15" t="s">
        <v>446</v>
      </c>
      <c r="W33" s="14" t="s">
        <v>446</v>
      </c>
      <c r="X33" s="14" t="s">
        <v>446</v>
      </c>
      <c r="Y33" s="14" t="s">
        <v>446</v>
      </c>
      <c r="Z33" s="15" t="s">
        <v>446</v>
      </c>
      <c r="AA33" s="14" t="s">
        <v>446</v>
      </c>
      <c r="AB33" s="14" t="s">
        <v>446</v>
      </c>
      <c r="AC33" s="14" t="s">
        <v>446</v>
      </c>
      <c r="AD33" s="15" t="s">
        <v>446</v>
      </c>
      <c r="AE33" s="14" t="s">
        <v>446</v>
      </c>
      <c r="AF33" s="14" t="s">
        <v>446</v>
      </c>
      <c r="AG33" s="14" t="s">
        <v>446</v>
      </c>
      <c r="AH33" s="15" t="s">
        <v>446</v>
      </c>
      <c r="AI33" s="14" t="s">
        <v>446</v>
      </c>
      <c r="AJ33" s="14" t="s">
        <v>446</v>
      </c>
      <c r="AK33" s="14" t="s">
        <v>446</v>
      </c>
      <c r="AL33" s="15" t="s">
        <v>446</v>
      </c>
      <c r="AM33" s="14" t="s">
        <v>446</v>
      </c>
      <c r="AN33" s="14" t="s">
        <v>446</v>
      </c>
      <c r="AO33" s="14" t="s">
        <v>446</v>
      </c>
      <c r="AP33" s="15" t="s">
        <v>446</v>
      </c>
      <c r="AQ33" s="14" t="s">
        <v>446</v>
      </c>
      <c r="AR33" s="14" t="s">
        <v>446</v>
      </c>
      <c r="AS33" s="14" t="s">
        <v>446</v>
      </c>
      <c r="AT33" s="15" t="s">
        <v>446</v>
      </c>
      <c r="AU33" s="14" t="s">
        <v>446</v>
      </c>
      <c r="AV33" s="14" t="s">
        <v>446</v>
      </c>
      <c r="AW33" s="14" t="s">
        <v>446</v>
      </c>
      <c r="AX33" s="15" t="s">
        <v>446</v>
      </c>
      <c r="AY33" s="14" t="s">
        <v>446</v>
      </c>
      <c r="AZ33" s="14" t="s">
        <v>446</v>
      </c>
      <c r="BA33" s="14" t="s">
        <v>446</v>
      </c>
      <c r="BB33" s="15" t="s">
        <v>446</v>
      </c>
      <c r="BC33" s="14" t="s">
        <v>446</v>
      </c>
      <c r="BD33" s="14" t="s">
        <v>446</v>
      </c>
      <c r="BE33" s="14" t="s">
        <v>446</v>
      </c>
      <c r="BF33" s="15" t="s">
        <v>446</v>
      </c>
      <c r="BG33" s="14" t="s">
        <v>446</v>
      </c>
      <c r="BH33" s="14" t="s">
        <v>446</v>
      </c>
      <c r="BI33" s="14" t="s">
        <v>446</v>
      </c>
      <c r="BJ33" s="15" t="s">
        <v>446</v>
      </c>
      <c r="BK33" s="14" t="s">
        <v>446</v>
      </c>
      <c r="BL33" s="14" t="s">
        <v>446</v>
      </c>
      <c r="BM33" s="14" t="s">
        <v>446</v>
      </c>
      <c r="BN33" s="15" t="s">
        <v>446</v>
      </c>
      <c r="BP33" s="18" t="s">
        <v>446</v>
      </c>
      <c r="BQ33" s="14" t="s">
        <v>446</v>
      </c>
      <c r="BR33" s="14" t="s">
        <v>446</v>
      </c>
      <c r="BS33" s="15" t="s">
        <v>446</v>
      </c>
      <c r="BU33" s="18" t="s">
        <v>446</v>
      </c>
      <c r="BV33" s="14" t="s">
        <v>446</v>
      </c>
      <c r="BW33" s="14" t="s">
        <v>446</v>
      </c>
      <c r="BX33" s="15" t="s">
        <v>446</v>
      </c>
      <c r="BZ33" s="18" t="s">
        <v>446</v>
      </c>
      <c r="CA33" s="14" t="s">
        <v>446</v>
      </c>
      <c r="CB33" s="14" t="s">
        <v>446</v>
      </c>
      <c r="CC33" s="15" t="s">
        <v>446</v>
      </c>
    </row>
    <row r="34" spans="2:81" ht="18" customHeight="1" x14ac:dyDescent="0.2">
      <c r="B34" s="10">
        <f>garage!B34</f>
        <v>34</v>
      </c>
      <c r="C34" s="10">
        <f>garage!C34</f>
        <v>1</v>
      </c>
      <c r="D34" s="10">
        <f>garage!D34</f>
        <v>33</v>
      </c>
      <c r="E34" s="10">
        <f>garage!E34</f>
        <v>27</v>
      </c>
      <c r="F34" s="10" t="str">
        <f>garage!F34</f>
        <v>--</v>
      </c>
      <c r="G34" s="10" t="str">
        <f>garage!G34</f>
        <v>N</v>
      </c>
      <c r="H34" s="10" t="str">
        <f>garage!H34</f>
        <v>N</v>
      </c>
      <c r="I34" s="10" t="str">
        <f>garage!I34</f>
        <v>N</v>
      </c>
      <c r="J34" s="10" t="str">
        <f>garage!J34</f>
        <v>N</v>
      </c>
      <c r="K34" s="10" t="str">
        <f>garage!K34</f>
        <v>D</v>
      </c>
      <c r="L34" s="11" t="str">
        <f>garage!L34</f>
        <v>Glickhaus</v>
      </c>
      <c r="M34" s="11" t="str">
        <f>garage!M34</f>
        <v>004C</v>
      </c>
      <c r="O34" s="19">
        <v>1</v>
      </c>
      <c r="P34" s="16">
        <v>1</v>
      </c>
      <c r="Q34" s="16">
        <v>1</v>
      </c>
      <c r="R34" s="17">
        <v>1</v>
      </c>
      <c r="S34" s="16">
        <v>1</v>
      </c>
      <c r="T34" s="16">
        <v>1</v>
      </c>
      <c r="U34" s="16">
        <v>1</v>
      </c>
      <c r="V34" s="17">
        <v>1</v>
      </c>
      <c r="W34" s="16">
        <v>1</v>
      </c>
      <c r="X34" s="16">
        <v>1</v>
      </c>
      <c r="Y34" s="16">
        <v>1</v>
      </c>
      <c r="Z34" s="17">
        <v>1</v>
      </c>
      <c r="AA34" s="16">
        <v>1</v>
      </c>
      <c r="AB34" s="16">
        <v>1</v>
      </c>
      <c r="AC34" s="16">
        <v>1</v>
      </c>
      <c r="AD34" s="17">
        <v>1</v>
      </c>
      <c r="AE34" s="16">
        <v>1</v>
      </c>
      <c r="AF34" s="16">
        <v>1</v>
      </c>
      <c r="AG34" s="16">
        <v>1</v>
      </c>
      <c r="AH34" s="17">
        <v>1</v>
      </c>
      <c r="AI34" s="16">
        <v>1</v>
      </c>
      <c r="AJ34" s="16">
        <v>1</v>
      </c>
      <c r="AK34" s="16">
        <v>1</v>
      </c>
      <c r="AL34" s="17">
        <v>1</v>
      </c>
      <c r="AM34" s="16" t="s">
        <v>446</v>
      </c>
      <c r="AN34" s="16" t="s">
        <v>446</v>
      </c>
      <c r="AO34" s="16" t="s">
        <v>446</v>
      </c>
      <c r="AP34" s="17" t="s">
        <v>446</v>
      </c>
      <c r="AQ34" s="16" t="s">
        <v>446</v>
      </c>
      <c r="AR34" s="16" t="s">
        <v>446</v>
      </c>
      <c r="AS34" s="16" t="s">
        <v>446</v>
      </c>
      <c r="AT34" s="17" t="s">
        <v>446</v>
      </c>
      <c r="AU34" s="16" t="s">
        <v>446</v>
      </c>
      <c r="AV34" s="16" t="s">
        <v>446</v>
      </c>
      <c r="AW34" s="16" t="s">
        <v>446</v>
      </c>
      <c r="AX34" s="17" t="s">
        <v>446</v>
      </c>
      <c r="AY34" s="16" t="s">
        <v>446</v>
      </c>
      <c r="AZ34" s="16" t="s">
        <v>446</v>
      </c>
      <c r="BA34" s="16" t="s">
        <v>446</v>
      </c>
      <c r="BB34" s="17" t="s">
        <v>446</v>
      </c>
      <c r="BC34" s="16" t="s">
        <v>446</v>
      </c>
      <c r="BD34" s="16" t="s">
        <v>446</v>
      </c>
      <c r="BE34" s="16" t="s">
        <v>446</v>
      </c>
      <c r="BF34" s="17" t="s">
        <v>446</v>
      </c>
      <c r="BG34" s="16" t="s">
        <v>446</v>
      </c>
      <c r="BH34" s="16" t="s">
        <v>446</v>
      </c>
      <c r="BI34" s="16" t="s">
        <v>446</v>
      </c>
      <c r="BJ34" s="17" t="s">
        <v>446</v>
      </c>
      <c r="BK34" s="16" t="s">
        <v>446</v>
      </c>
      <c r="BL34" s="16" t="s">
        <v>446</v>
      </c>
      <c r="BM34" s="16" t="s">
        <v>446</v>
      </c>
      <c r="BN34" s="17" t="s">
        <v>446</v>
      </c>
      <c r="BP34" s="19">
        <v>3</v>
      </c>
      <c r="BQ34" s="16">
        <v>3</v>
      </c>
      <c r="BR34" s="16">
        <v>3</v>
      </c>
      <c r="BS34" s="17">
        <v>3</v>
      </c>
      <c r="BU34" s="19" t="s">
        <v>446</v>
      </c>
      <c r="BV34" s="16" t="s">
        <v>446</v>
      </c>
      <c r="BW34" s="16" t="s">
        <v>446</v>
      </c>
      <c r="BX34" s="17" t="s">
        <v>446</v>
      </c>
      <c r="BZ34" s="19" t="s">
        <v>446</v>
      </c>
      <c r="CA34" s="16" t="s">
        <v>446</v>
      </c>
      <c r="CB34" s="16" t="s">
        <v>446</v>
      </c>
      <c r="CC34" s="17" t="s">
        <v>446</v>
      </c>
    </row>
    <row r="35" spans="2:81" ht="18" customHeight="1" x14ac:dyDescent="0.2">
      <c r="B35" s="8">
        <f>garage!B35</f>
        <v>35</v>
      </c>
      <c r="C35" s="8">
        <f>garage!C35</f>
        <v>2</v>
      </c>
      <c r="D35" s="8">
        <f>garage!D35</f>
        <v>1</v>
      </c>
      <c r="E35" s="8">
        <f>garage!E35</f>
        <v>0</v>
      </c>
      <c r="F35" s="8" t="str">
        <f>garage!F35</f>
        <v>--</v>
      </c>
      <c r="G35" s="8" t="str">
        <f>garage!G35</f>
        <v>O</v>
      </c>
      <c r="H35" s="8" t="str">
        <f>garage!H35</f>
        <v>O</v>
      </c>
      <c r="I35" s="8" t="str">
        <f>garage!I35</f>
        <v>O</v>
      </c>
      <c r="J35" s="8" t="str">
        <f>garage!J35</f>
        <v>N</v>
      </c>
      <c r="K35" s="8" t="str">
        <f>garage!K35</f>
        <v>C</v>
      </c>
      <c r="L35" s="9" t="str">
        <f>garage!L35</f>
        <v>Dodge</v>
      </c>
      <c r="M35" s="9" t="str">
        <f>garage!M35</f>
        <v>Challenger SRT8</v>
      </c>
      <c r="O35" s="18">
        <v>1</v>
      </c>
      <c r="P35" s="14">
        <v>1</v>
      </c>
      <c r="Q35" s="14">
        <v>1</v>
      </c>
      <c r="R35" s="15">
        <v>1</v>
      </c>
      <c r="S35" s="14">
        <v>1</v>
      </c>
      <c r="T35" s="14">
        <v>1</v>
      </c>
      <c r="U35" s="14">
        <v>1</v>
      </c>
      <c r="V35" s="15">
        <v>1</v>
      </c>
      <c r="W35" s="14">
        <v>1</v>
      </c>
      <c r="X35" s="14">
        <v>1</v>
      </c>
      <c r="Y35" s="14">
        <v>1</v>
      </c>
      <c r="Z35" s="15">
        <v>1</v>
      </c>
      <c r="AA35" s="14">
        <v>1</v>
      </c>
      <c r="AB35" s="14">
        <v>1</v>
      </c>
      <c r="AC35" s="14">
        <v>1</v>
      </c>
      <c r="AD35" s="15">
        <v>1</v>
      </c>
      <c r="AE35" s="14">
        <v>1</v>
      </c>
      <c r="AF35" s="14">
        <v>1</v>
      </c>
      <c r="AG35" s="14">
        <v>1</v>
      </c>
      <c r="AH35" s="15">
        <v>1</v>
      </c>
      <c r="AI35" s="14">
        <v>1</v>
      </c>
      <c r="AJ35" s="14">
        <v>1</v>
      </c>
      <c r="AK35" s="14">
        <v>1</v>
      </c>
      <c r="AL35" s="15">
        <v>1</v>
      </c>
      <c r="AM35" s="14">
        <v>1</v>
      </c>
      <c r="AN35" s="14">
        <v>1</v>
      </c>
      <c r="AO35" s="14">
        <v>1</v>
      </c>
      <c r="AP35" s="15">
        <v>1</v>
      </c>
      <c r="AQ35" s="14">
        <v>1</v>
      </c>
      <c r="AR35" s="14">
        <v>1</v>
      </c>
      <c r="AS35" s="14">
        <v>1</v>
      </c>
      <c r="AT35" s="15">
        <v>1</v>
      </c>
      <c r="AU35" s="14">
        <v>1</v>
      </c>
      <c r="AV35" s="14">
        <v>1</v>
      </c>
      <c r="AW35" s="14">
        <v>1</v>
      </c>
      <c r="AX35" s="15">
        <v>1</v>
      </c>
      <c r="AY35" s="14">
        <v>1</v>
      </c>
      <c r="AZ35" s="14">
        <v>1</v>
      </c>
      <c r="BA35" s="14">
        <v>1</v>
      </c>
      <c r="BB35" s="15">
        <v>1</v>
      </c>
      <c r="BC35" s="14" t="s">
        <v>446</v>
      </c>
      <c r="BD35" s="14" t="s">
        <v>446</v>
      </c>
      <c r="BE35" s="14" t="s">
        <v>446</v>
      </c>
      <c r="BF35" s="15" t="s">
        <v>446</v>
      </c>
      <c r="BG35" s="14" t="s">
        <v>446</v>
      </c>
      <c r="BH35" s="14" t="s">
        <v>446</v>
      </c>
      <c r="BI35" s="14" t="s">
        <v>446</v>
      </c>
      <c r="BJ35" s="15" t="s">
        <v>446</v>
      </c>
      <c r="BK35" s="14" t="s">
        <v>446</v>
      </c>
      <c r="BL35" s="14" t="s">
        <v>446</v>
      </c>
      <c r="BM35" s="14" t="s">
        <v>446</v>
      </c>
      <c r="BN35" s="15" t="s">
        <v>446</v>
      </c>
      <c r="BP35" s="18">
        <v>4</v>
      </c>
      <c r="BQ35" s="14">
        <v>4</v>
      </c>
      <c r="BR35" s="14">
        <v>4</v>
      </c>
      <c r="BS35" s="15">
        <v>4</v>
      </c>
      <c r="BU35" s="18">
        <v>1</v>
      </c>
      <c r="BV35" s="14">
        <v>1</v>
      </c>
      <c r="BW35" s="14">
        <v>1</v>
      </c>
      <c r="BX35" s="15">
        <v>1</v>
      </c>
      <c r="BZ35" s="18">
        <v>1</v>
      </c>
      <c r="CA35" s="14">
        <v>1</v>
      </c>
      <c r="CB35" s="14">
        <v>1</v>
      </c>
      <c r="CC35" s="15">
        <v>1</v>
      </c>
    </row>
    <row r="36" spans="2:81" ht="18" customHeight="1" x14ac:dyDescent="0.2">
      <c r="B36" s="10">
        <f>garage!B36</f>
        <v>36</v>
      </c>
      <c r="C36" s="10">
        <f>garage!C36</f>
        <v>2</v>
      </c>
      <c r="D36" s="10">
        <f>garage!D36</f>
        <v>2</v>
      </c>
      <c r="E36" s="10">
        <f>garage!E36</f>
        <v>0</v>
      </c>
      <c r="F36" s="10" t="str">
        <f>garage!F36</f>
        <v>--</v>
      </c>
      <c r="G36" s="10" t="str">
        <f>garage!G36</f>
        <v>O</v>
      </c>
      <c r="H36" s="10" t="str">
        <f>garage!H36</f>
        <v>O</v>
      </c>
      <c r="I36" s="10" t="str">
        <f>garage!I36</f>
        <v>O</v>
      </c>
      <c r="J36" s="10" t="str">
        <f>garage!J36</f>
        <v>N</v>
      </c>
      <c r="K36" s="10" t="str">
        <f>garage!K36</f>
        <v>C</v>
      </c>
      <c r="L36" s="11" t="str">
        <f>garage!L36</f>
        <v>BMW</v>
      </c>
      <c r="M36" s="11" t="str">
        <f>garage!M36</f>
        <v>3.0 CSL Hommage</v>
      </c>
      <c r="O36" s="19">
        <v>1</v>
      </c>
      <c r="P36" s="16">
        <v>1</v>
      </c>
      <c r="Q36" s="16">
        <v>1</v>
      </c>
      <c r="R36" s="17">
        <v>1</v>
      </c>
      <c r="S36" s="16">
        <v>1</v>
      </c>
      <c r="T36" s="16">
        <v>1</v>
      </c>
      <c r="U36" s="16">
        <v>1</v>
      </c>
      <c r="V36" s="17">
        <v>1</v>
      </c>
      <c r="W36" s="16">
        <v>1</v>
      </c>
      <c r="X36" s="16">
        <v>1</v>
      </c>
      <c r="Y36" s="16">
        <v>1</v>
      </c>
      <c r="Z36" s="17">
        <v>1</v>
      </c>
      <c r="AA36" s="16">
        <v>1</v>
      </c>
      <c r="AB36" s="16">
        <v>1</v>
      </c>
      <c r="AC36" s="16">
        <v>1</v>
      </c>
      <c r="AD36" s="17">
        <v>1</v>
      </c>
      <c r="AE36" s="16">
        <v>1</v>
      </c>
      <c r="AF36" s="16">
        <v>1</v>
      </c>
      <c r="AG36" s="16">
        <v>1</v>
      </c>
      <c r="AH36" s="17">
        <v>1</v>
      </c>
      <c r="AI36" s="16">
        <v>1</v>
      </c>
      <c r="AJ36" s="16">
        <v>1</v>
      </c>
      <c r="AK36" s="16">
        <v>1</v>
      </c>
      <c r="AL36" s="17">
        <v>1</v>
      </c>
      <c r="AM36" s="16">
        <v>1</v>
      </c>
      <c r="AN36" s="16">
        <v>1</v>
      </c>
      <c r="AO36" s="16">
        <v>1</v>
      </c>
      <c r="AP36" s="17">
        <v>1</v>
      </c>
      <c r="AQ36" s="16">
        <v>1</v>
      </c>
      <c r="AR36" s="16">
        <v>1</v>
      </c>
      <c r="AS36" s="16">
        <v>1</v>
      </c>
      <c r="AT36" s="17">
        <v>1</v>
      </c>
      <c r="AU36" s="16">
        <v>1</v>
      </c>
      <c r="AV36" s="16">
        <v>1</v>
      </c>
      <c r="AW36" s="16">
        <v>1</v>
      </c>
      <c r="AX36" s="17">
        <v>1</v>
      </c>
      <c r="AY36" s="16">
        <v>1</v>
      </c>
      <c r="AZ36" s="16">
        <v>1</v>
      </c>
      <c r="BA36" s="16">
        <v>1</v>
      </c>
      <c r="BB36" s="17">
        <v>1</v>
      </c>
      <c r="BC36" s="16" t="s">
        <v>446</v>
      </c>
      <c r="BD36" s="16" t="s">
        <v>446</v>
      </c>
      <c r="BE36" s="16" t="s">
        <v>446</v>
      </c>
      <c r="BF36" s="17" t="s">
        <v>446</v>
      </c>
      <c r="BG36" s="16" t="s">
        <v>446</v>
      </c>
      <c r="BH36" s="16" t="s">
        <v>446</v>
      </c>
      <c r="BI36" s="16" t="s">
        <v>446</v>
      </c>
      <c r="BJ36" s="17" t="s">
        <v>446</v>
      </c>
      <c r="BK36" s="16" t="s">
        <v>446</v>
      </c>
      <c r="BL36" s="16" t="s">
        <v>446</v>
      </c>
      <c r="BM36" s="16" t="s">
        <v>446</v>
      </c>
      <c r="BN36" s="17" t="s">
        <v>446</v>
      </c>
      <c r="BP36" s="19">
        <v>4</v>
      </c>
      <c r="BQ36" s="16">
        <v>4</v>
      </c>
      <c r="BR36" s="16">
        <v>4</v>
      </c>
      <c r="BS36" s="17">
        <v>4</v>
      </c>
      <c r="BU36" s="19">
        <v>1</v>
      </c>
      <c r="BV36" s="16">
        <v>1</v>
      </c>
      <c r="BW36" s="16">
        <v>1</v>
      </c>
      <c r="BX36" s="17">
        <v>1</v>
      </c>
      <c r="BZ36" s="19">
        <v>1</v>
      </c>
      <c r="CA36" s="16">
        <v>1</v>
      </c>
      <c r="CB36" s="16">
        <v>1</v>
      </c>
      <c r="CC36" s="17">
        <v>1</v>
      </c>
    </row>
    <row r="37" spans="2:81" ht="18" customHeight="1" x14ac:dyDescent="0.2">
      <c r="B37" s="8">
        <f>garage!B37</f>
        <v>37</v>
      </c>
      <c r="C37" s="8">
        <f>garage!C37</f>
        <v>2</v>
      </c>
      <c r="D37" s="8">
        <f>garage!D37</f>
        <v>3</v>
      </c>
      <c r="E37" s="8">
        <f>garage!E37</f>
        <v>28</v>
      </c>
      <c r="F37" s="8" t="str">
        <f>garage!F37</f>
        <v>P</v>
      </c>
      <c r="G37" s="8" t="str">
        <f>garage!G37</f>
        <v>O</v>
      </c>
      <c r="H37" s="8" t="str">
        <f>garage!H37</f>
        <v>O</v>
      </c>
      <c r="I37" s="8" t="str">
        <f>garage!I37</f>
        <v>N</v>
      </c>
      <c r="J37" s="8" t="str">
        <f>garage!J37</f>
        <v>N</v>
      </c>
      <c r="K37" s="8" t="str">
        <f>garage!K37</f>
        <v>C</v>
      </c>
      <c r="L37" s="9" t="str">
        <f>garage!L37</f>
        <v>Porsche</v>
      </c>
      <c r="M37" s="9" t="str">
        <f>garage!M37</f>
        <v>Boxster 25th</v>
      </c>
      <c r="O37" s="18" t="s">
        <v>446</v>
      </c>
      <c r="P37" s="14" t="s">
        <v>446</v>
      </c>
      <c r="Q37" s="14" t="s">
        <v>446</v>
      </c>
      <c r="R37" s="15" t="s">
        <v>446</v>
      </c>
      <c r="S37" s="14" t="s">
        <v>446</v>
      </c>
      <c r="T37" s="14" t="s">
        <v>446</v>
      </c>
      <c r="U37" s="14" t="s">
        <v>446</v>
      </c>
      <c r="V37" s="15" t="s">
        <v>446</v>
      </c>
      <c r="W37" s="14" t="s">
        <v>446</v>
      </c>
      <c r="X37" s="14" t="s">
        <v>446</v>
      </c>
      <c r="Y37" s="14" t="s">
        <v>446</v>
      </c>
      <c r="Z37" s="15" t="s">
        <v>446</v>
      </c>
      <c r="AA37" s="14" t="s">
        <v>446</v>
      </c>
      <c r="AB37" s="14" t="s">
        <v>446</v>
      </c>
      <c r="AC37" s="14" t="s">
        <v>446</v>
      </c>
      <c r="AD37" s="15" t="s">
        <v>446</v>
      </c>
      <c r="AE37" s="14" t="s">
        <v>446</v>
      </c>
      <c r="AF37" s="14" t="s">
        <v>446</v>
      </c>
      <c r="AG37" s="14" t="s">
        <v>446</v>
      </c>
      <c r="AH37" s="15" t="s">
        <v>446</v>
      </c>
      <c r="AI37" s="14" t="s">
        <v>446</v>
      </c>
      <c r="AJ37" s="14" t="s">
        <v>446</v>
      </c>
      <c r="AK37" s="14" t="s">
        <v>446</v>
      </c>
      <c r="AL37" s="15" t="s">
        <v>446</v>
      </c>
      <c r="AM37" s="14" t="s">
        <v>446</v>
      </c>
      <c r="AN37" s="14" t="s">
        <v>446</v>
      </c>
      <c r="AO37" s="14" t="s">
        <v>446</v>
      </c>
      <c r="AP37" s="15" t="s">
        <v>446</v>
      </c>
      <c r="AQ37" s="14" t="s">
        <v>446</v>
      </c>
      <c r="AR37" s="14" t="s">
        <v>446</v>
      </c>
      <c r="AS37" s="14" t="s">
        <v>446</v>
      </c>
      <c r="AT37" s="15" t="s">
        <v>446</v>
      </c>
      <c r="AU37" s="14" t="s">
        <v>446</v>
      </c>
      <c r="AV37" s="14" t="s">
        <v>446</v>
      </c>
      <c r="AW37" s="14" t="s">
        <v>446</v>
      </c>
      <c r="AX37" s="15" t="s">
        <v>446</v>
      </c>
      <c r="AY37" s="14" t="s">
        <v>446</v>
      </c>
      <c r="AZ37" s="14" t="s">
        <v>446</v>
      </c>
      <c r="BA37" s="14" t="s">
        <v>446</v>
      </c>
      <c r="BB37" s="15" t="s">
        <v>446</v>
      </c>
      <c r="BC37" s="14" t="s">
        <v>446</v>
      </c>
      <c r="BD37" s="14" t="s">
        <v>446</v>
      </c>
      <c r="BE37" s="14" t="s">
        <v>446</v>
      </c>
      <c r="BF37" s="15" t="s">
        <v>446</v>
      </c>
      <c r="BG37" s="14" t="s">
        <v>446</v>
      </c>
      <c r="BH37" s="14" t="s">
        <v>446</v>
      </c>
      <c r="BI37" s="14" t="s">
        <v>446</v>
      </c>
      <c r="BJ37" s="15" t="s">
        <v>446</v>
      </c>
      <c r="BK37" s="14" t="s">
        <v>446</v>
      </c>
      <c r="BL37" s="14" t="s">
        <v>446</v>
      </c>
      <c r="BM37" s="14" t="s">
        <v>446</v>
      </c>
      <c r="BN37" s="15" t="s">
        <v>446</v>
      </c>
      <c r="BP37" s="18" t="s">
        <v>446</v>
      </c>
      <c r="BQ37" s="14" t="s">
        <v>446</v>
      </c>
      <c r="BR37" s="14" t="s">
        <v>446</v>
      </c>
      <c r="BS37" s="15" t="s">
        <v>446</v>
      </c>
      <c r="BU37" s="18" t="s">
        <v>446</v>
      </c>
      <c r="BV37" s="14" t="s">
        <v>446</v>
      </c>
      <c r="BW37" s="14" t="s">
        <v>446</v>
      </c>
      <c r="BX37" s="15" t="s">
        <v>446</v>
      </c>
      <c r="BZ37" s="18" t="s">
        <v>446</v>
      </c>
      <c r="CA37" s="14" t="s">
        <v>446</v>
      </c>
      <c r="CB37" s="14" t="s">
        <v>446</v>
      </c>
      <c r="CC37" s="15" t="s">
        <v>446</v>
      </c>
    </row>
    <row r="38" spans="2:81" ht="18" customHeight="1" x14ac:dyDescent="0.2">
      <c r="B38" s="10">
        <f>garage!B38</f>
        <v>38</v>
      </c>
      <c r="C38" s="10">
        <f>garage!C38</f>
        <v>2</v>
      </c>
      <c r="D38" s="10">
        <f>garage!D38</f>
        <v>4</v>
      </c>
      <c r="E38" s="10">
        <f>garage!E38</f>
        <v>0</v>
      </c>
      <c r="F38" s="10" t="str">
        <f>garage!F38</f>
        <v>C</v>
      </c>
      <c r="G38" s="10" t="str">
        <f>garage!G38</f>
        <v>O</v>
      </c>
      <c r="H38" s="10" t="str">
        <f>garage!H38</f>
        <v>O</v>
      </c>
      <c r="I38" s="10" t="str">
        <f>garage!I38</f>
        <v>O</v>
      </c>
      <c r="J38" s="10" t="str">
        <f>garage!J38</f>
        <v>N</v>
      </c>
      <c r="K38" s="10" t="str">
        <f>garage!K38</f>
        <v>C</v>
      </c>
      <c r="L38" s="11" t="str">
        <f>garage!L38</f>
        <v>Chevrolet</v>
      </c>
      <c r="M38" s="11" t="str">
        <f>garage!M38</f>
        <v>Camaro ZL1 50th Edition</v>
      </c>
      <c r="O38" s="19">
        <v>1</v>
      </c>
      <c r="P38" s="16">
        <v>1</v>
      </c>
      <c r="Q38" s="16">
        <v>1</v>
      </c>
      <c r="R38" s="17">
        <v>1</v>
      </c>
      <c r="S38" s="16">
        <v>1</v>
      </c>
      <c r="T38" s="16">
        <v>1</v>
      </c>
      <c r="U38" s="16">
        <v>1</v>
      </c>
      <c r="V38" s="17">
        <v>1</v>
      </c>
      <c r="W38" s="16">
        <v>1</v>
      </c>
      <c r="X38" s="16">
        <v>1</v>
      </c>
      <c r="Y38" s="16">
        <v>1</v>
      </c>
      <c r="Z38" s="17">
        <v>1</v>
      </c>
      <c r="AA38" s="16">
        <v>1</v>
      </c>
      <c r="AB38" s="16">
        <v>1</v>
      </c>
      <c r="AC38" s="16">
        <v>1</v>
      </c>
      <c r="AD38" s="17">
        <v>1</v>
      </c>
      <c r="AE38" s="16">
        <v>1</v>
      </c>
      <c r="AF38" s="16">
        <v>1</v>
      </c>
      <c r="AG38" s="16">
        <v>1</v>
      </c>
      <c r="AH38" s="17">
        <v>1</v>
      </c>
      <c r="AI38" s="16">
        <v>1</v>
      </c>
      <c r="AJ38" s="16">
        <v>1</v>
      </c>
      <c r="AK38" s="16">
        <v>1</v>
      </c>
      <c r="AL38" s="17">
        <v>1</v>
      </c>
      <c r="AM38" s="16">
        <v>1</v>
      </c>
      <c r="AN38" s="16">
        <v>1</v>
      </c>
      <c r="AO38" s="16">
        <v>1</v>
      </c>
      <c r="AP38" s="17">
        <v>1</v>
      </c>
      <c r="AQ38" s="16">
        <v>1</v>
      </c>
      <c r="AR38" s="16">
        <v>1</v>
      </c>
      <c r="AS38" s="16">
        <v>1</v>
      </c>
      <c r="AT38" s="17">
        <v>1</v>
      </c>
      <c r="AU38" s="16">
        <v>1</v>
      </c>
      <c r="AV38" s="16">
        <v>1</v>
      </c>
      <c r="AW38" s="16">
        <v>1</v>
      </c>
      <c r="AX38" s="17">
        <v>1</v>
      </c>
      <c r="AY38" s="16">
        <v>1</v>
      </c>
      <c r="AZ38" s="16">
        <v>1</v>
      </c>
      <c r="BA38" s="16">
        <v>1</v>
      </c>
      <c r="BB38" s="17">
        <v>1</v>
      </c>
      <c r="BC38" s="16" t="s">
        <v>446</v>
      </c>
      <c r="BD38" s="16" t="s">
        <v>446</v>
      </c>
      <c r="BE38" s="16" t="s">
        <v>446</v>
      </c>
      <c r="BF38" s="17" t="s">
        <v>446</v>
      </c>
      <c r="BG38" s="16" t="s">
        <v>446</v>
      </c>
      <c r="BH38" s="16" t="s">
        <v>446</v>
      </c>
      <c r="BI38" s="16" t="s">
        <v>446</v>
      </c>
      <c r="BJ38" s="17" t="s">
        <v>446</v>
      </c>
      <c r="BK38" s="16" t="s">
        <v>446</v>
      </c>
      <c r="BL38" s="16" t="s">
        <v>446</v>
      </c>
      <c r="BM38" s="16" t="s">
        <v>446</v>
      </c>
      <c r="BN38" s="17" t="s">
        <v>446</v>
      </c>
      <c r="BP38" s="19">
        <v>4</v>
      </c>
      <c r="BQ38" s="16">
        <v>4</v>
      </c>
      <c r="BR38" s="16">
        <v>4</v>
      </c>
      <c r="BS38" s="17">
        <v>4</v>
      </c>
      <c r="BU38" s="19">
        <v>1</v>
      </c>
      <c r="BV38" s="16">
        <v>1</v>
      </c>
      <c r="BW38" s="16">
        <v>1</v>
      </c>
      <c r="BX38" s="17">
        <v>1</v>
      </c>
      <c r="BZ38" s="19">
        <v>1</v>
      </c>
      <c r="CA38" s="16">
        <v>1</v>
      </c>
      <c r="CB38" s="16">
        <v>1</v>
      </c>
      <c r="CC38" s="17">
        <v>1</v>
      </c>
    </row>
    <row r="39" spans="2:81" ht="18" customHeight="1" x14ac:dyDescent="0.2">
      <c r="B39" s="8">
        <f>garage!B39</f>
        <v>39</v>
      </c>
      <c r="C39" s="8">
        <f>garage!C39</f>
        <v>2</v>
      </c>
      <c r="D39" s="8">
        <f>garage!D39</f>
        <v>5</v>
      </c>
      <c r="E39" s="8">
        <f>garage!E39</f>
        <v>0</v>
      </c>
      <c r="F39" s="8" t="str">
        <f>garage!F39</f>
        <v>--</v>
      </c>
      <c r="G39" s="8" t="str">
        <f>garage!G39</f>
        <v>O</v>
      </c>
      <c r="H39" s="8" t="str">
        <f>garage!H39</f>
        <v>O</v>
      </c>
      <c r="I39" s="8" t="str">
        <f>garage!I39</f>
        <v>O</v>
      </c>
      <c r="J39" s="8" t="str">
        <f>garage!J39</f>
        <v>N</v>
      </c>
      <c r="K39" s="8" t="str">
        <f>garage!K39</f>
        <v>C</v>
      </c>
      <c r="L39" s="9" t="str">
        <f>garage!L39</f>
        <v>Lotus</v>
      </c>
      <c r="M39" s="9" t="str">
        <f>garage!M39</f>
        <v>Evora Sport 410</v>
      </c>
      <c r="O39" s="18">
        <v>1</v>
      </c>
      <c r="P39" s="14">
        <v>1</v>
      </c>
      <c r="Q39" s="14">
        <v>1</v>
      </c>
      <c r="R39" s="15">
        <v>1</v>
      </c>
      <c r="S39" s="14">
        <v>1</v>
      </c>
      <c r="T39" s="14">
        <v>1</v>
      </c>
      <c r="U39" s="14">
        <v>1</v>
      </c>
      <c r="V39" s="15">
        <v>1</v>
      </c>
      <c r="W39" s="14">
        <v>1</v>
      </c>
      <c r="X39" s="14">
        <v>1</v>
      </c>
      <c r="Y39" s="14">
        <v>1</v>
      </c>
      <c r="Z39" s="15">
        <v>1</v>
      </c>
      <c r="AA39" s="14">
        <v>1</v>
      </c>
      <c r="AB39" s="14">
        <v>1</v>
      </c>
      <c r="AC39" s="14">
        <v>1</v>
      </c>
      <c r="AD39" s="15">
        <v>1</v>
      </c>
      <c r="AE39" s="14">
        <v>1</v>
      </c>
      <c r="AF39" s="14">
        <v>1</v>
      </c>
      <c r="AG39" s="14">
        <v>1</v>
      </c>
      <c r="AH39" s="15">
        <v>1</v>
      </c>
      <c r="AI39" s="14">
        <v>1</v>
      </c>
      <c r="AJ39" s="14">
        <v>1</v>
      </c>
      <c r="AK39" s="14">
        <v>1</v>
      </c>
      <c r="AL39" s="15">
        <v>1</v>
      </c>
      <c r="AM39" s="14">
        <v>1</v>
      </c>
      <c r="AN39" s="14">
        <v>1</v>
      </c>
      <c r="AO39" s="14">
        <v>1</v>
      </c>
      <c r="AP39" s="15">
        <v>1</v>
      </c>
      <c r="AQ39" s="14">
        <v>1</v>
      </c>
      <c r="AR39" s="14">
        <v>1</v>
      </c>
      <c r="AS39" s="14">
        <v>1</v>
      </c>
      <c r="AT39" s="15">
        <v>1</v>
      </c>
      <c r="AU39" s="14">
        <v>1</v>
      </c>
      <c r="AV39" s="14">
        <v>1</v>
      </c>
      <c r="AW39" s="14">
        <v>1</v>
      </c>
      <c r="AX39" s="15">
        <v>1</v>
      </c>
      <c r="AY39" s="14">
        <v>1</v>
      </c>
      <c r="AZ39" s="14">
        <v>1</v>
      </c>
      <c r="BA39" s="14">
        <v>1</v>
      </c>
      <c r="BB39" s="15">
        <v>1</v>
      </c>
      <c r="BC39" s="14" t="s">
        <v>446</v>
      </c>
      <c r="BD39" s="14" t="s">
        <v>446</v>
      </c>
      <c r="BE39" s="14" t="s">
        <v>446</v>
      </c>
      <c r="BF39" s="15" t="s">
        <v>446</v>
      </c>
      <c r="BG39" s="14" t="s">
        <v>446</v>
      </c>
      <c r="BH39" s="14" t="s">
        <v>446</v>
      </c>
      <c r="BI39" s="14" t="s">
        <v>446</v>
      </c>
      <c r="BJ39" s="15" t="s">
        <v>446</v>
      </c>
      <c r="BK39" s="14" t="s">
        <v>446</v>
      </c>
      <c r="BL39" s="14" t="s">
        <v>446</v>
      </c>
      <c r="BM39" s="14" t="s">
        <v>446</v>
      </c>
      <c r="BN39" s="15" t="s">
        <v>446</v>
      </c>
      <c r="BP39" s="18">
        <v>4</v>
      </c>
      <c r="BQ39" s="14">
        <v>4</v>
      </c>
      <c r="BR39" s="14">
        <v>4</v>
      </c>
      <c r="BS39" s="15">
        <v>4</v>
      </c>
      <c r="BU39" s="18">
        <v>1</v>
      </c>
      <c r="BV39" s="14">
        <v>1</v>
      </c>
      <c r="BW39" s="14">
        <v>1</v>
      </c>
      <c r="BX39" s="15">
        <v>1</v>
      </c>
      <c r="BZ39" s="18">
        <v>1</v>
      </c>
      <c r="CA39" s="14">
        <v>1</v>
      </c>
      <c r="CB39" s="14">
        <v>1</v>
      </c>
      <c r="CC39" s="15">
        <v>1</v>
      </c>
    </row>
    <row r="40" spans="2:81" ht="18" customHeight="1" x14ac:dyDescent="0.2">
      <c r="B40" s="10">
        <f>garage!B40</f>
        <v>40</v>
      </c>
      <c r="C40" s="10">
        <f>garage!C40</f>
        <v>2</v>
      </c>
      <c r="D40" s="10">
        <f>garage!D40</f>
        <v>6</v>
      </c>
      <c r="E40" s="10">
        <f>garage!E40</f>
        <v>0</v>
      </c>
      <c r="F40" s="10" t="str">
        <f>garage!F40</f>
        <v>--</v>
      </c>
      <c r="G40" s="10" t="str">
        <f>garage!G40</f>
        <v>O</v>
      </c>
      <c r="H40" s="10" t="str">
        <f>garage!H40</f>
        <v>O</v>
      </c>
      <c r="I40" s="10" t="str">
        <f>garage!I40</f>
        <v>O</v>
      </c>
      <c r="J40" s="10" t="str">
        <f>garage!J40</f>
        <v>N</v>
      </c>
      <c r="K40" s="10" t="str">
        <f>garage!K40</f>
        <v>C</v>
      </c>
      <c r="L40" s="11" t="str">
        <f>garage!L40</f>
        <v>Mercedes-Benz</v>
      </c>
      <c r="M40" s="11" t="str">
        <f>garage!M40</f>
        <v>AMG GT S</v>
      </c>
      <c r="O40" s="19">
        <v>1</v>
      </c>
      <c r="P40" s="16">
        <v>1</v>
      </c>
      <c r="Q40" s="16">
        <v>1</v>
      </c>
      <c r="R40" s="17">
        <v>1</v>
      </c>
      <c r="S40" s="16">
        <v>1</v>
      </c>
      <c r="T40" s="16">
        <v>1</v>
      </c>
      <c r="U40" s="16">
        <v>1</v>
      </c>
      <c r="V40" s="17">
        <v>1</v>
      </c>
      <c r="W40" s="16">
        <v>1</v>
      </c>
      <c r="X40" s="16">
        <v>1</v>
      </c>
      <c r="Y40" s="16">
        <v>1</v>
      </c>
      <c r="Z40" s="17">
        <v>1</v>
      </c>
      <c r="AA40" s="16">
        <v>1</v>
      </c>
      <c r="AB40" s="16">
        <v>1</v>
      </c>
      <c r="AC40" s="16">
        <v>1</v>
      </c>
      <c r="AD40" s="17">
        <v>1</v>
      </c>
      <c r="AE40" s="16">
        <v>1</v>
      </c>
      <c r="AF40" s="16">
        <v>1</v>
      </c>
      <c r="AG40" s="16">
        <v>1</v>
      </c>
      <c r="AH40" s="17">
        <v>1</v>
      </c>
      <c r="AI40" s="16">
        <v>1</v>
      </c>
      <c r="AJ40" s="16">
        <v>1</v>
      </c>
      <c r="AK40" s="16">
        <v>1</v>
      </c>
      <c r="AL40" s="17">
        <v>1</v>
      </c>
      <c r="AM40" s="16">
        <v>1</v>
      </c>
      <c r="AN40" s="16">
        <v>1</v>
      </c>
      <c r="AO40" s="16">
        <v>1</v>
      </c>
      <c r="AP40" s="17">
        <v>1</v>
      </c>
      <c r="AQ40" s="16">
        <v>1</v>
      </c>
      <c r="AR40" s="16">
        <v>1</v>
      </c>
      <c r="AS40" s="16">
        <v>1</v>
      </c>
      <c r="AT40" s="17">
        <v>1</v>
      </c>
      <c r="AU40" s="16">
        <v>1</v>
      </c>
      <c r="AV40" s="16">
        <v>1</v>
      </c>
      <c r="AW40" s="16">
        <v>1</v>
      </c>
      <c r="AX40" s="17">
        <v>1</v>
      </c>
      <c r="AY40" s="16">
        <v>1</v>
      </c>
      <c r="AZ40" s="16">
        <v>1</v>
      </c>
      <c r="BA40" s="16">
        <v>1</v>
      </c>
      <c r="BB40" s="17">
        <v>1</v>
      </c>
      <c r="BC40" s="16" t="s">
        <v>446</v>
      </c>
      <c r="BD40" s="16" t="s">
        <v>446</v>
      </c>
      <c r="BE40" s="16" t="s">
        <v>446</v>
      </c>
      <c r="BF40" s="17" t="s">
        <v>446</v>
      </c>
      <c r="BG40" s="16" t="s">
        <v>446</v>
      </c>
      <c r="BH40" s="16" t="s">
        <v>446</v>
      </c>
      <c r="BI40" s="16" t="s">
        <v>446</v>
      </c>
      <c r="BJ40" s="17" t="s">
        <v>446</v>
      </c>
      <c r="BK40" s="16" t="s">
        <v>446</v>
      </c>
      <c r="BL40" s="16" t="s">
        <v>446</v>
      </c>
      <c r="BM40" s="16" t="s">
        <v>446</v>
      </c>
      <c r="BN40" s="17" t="s">
        <v>446</v>
      </c>
      <c r="BP40" s="19">
        <v>4</v>
      </c>
      <c r="BQ40" s="16">
        <v>4</v>
      </c>
      <c r="BR40" s="16">
        <v>4</v>
      </c>
      <c r="BS40" s="17">
        <v>4</v>
      </c>
      <c r="BU40" s="19">
        <v>1</v>
      </c>
      <c r="BV40" s="16">
        <v>1</v>
      </c>
      <c r="BW40" s="16">
        <v>1</v>
      </c>
      <c r="BX40" s="17">
        <v>1</v>
      </c>
      <c r="BZ40" s="19">
        <v>1</v>
      </c>
      <c r="CA40" s="16">
        <v>1</v>
      </c>
      <c r="CB40" s="16">
        <v>1</v>
      </c>
      <c r="CC40" s="17">
        <v>1</v>
      </c>
    </row>
    <row r="41" spans="2:81" ht="18" customHeight="1" x14ac:dyDescent="0.2">
      <c r="B41" s="8">
        <f>garage!B41</f>
        <v>41</v>
      </c>
      <c r="C41" s="8">
        <f>garage!C41</f>
        <v>2</v>
      </c>
      <c r="D41" s="8">
        <f>garage!D41</f>
        <v>7</v>
      </c>
      <c r="E41" s="8">
        <f>garage!E41</f>
        <v>0</v>
      </c>
      <c r="F41" s="8" t="str">
        <f>garage!F41</f>
        <v>--</v>
      </c>
      <c r="G41" s="8" t="str">
        <f>garage!G41</f>
        <v>O</v>
      </c>
      <c r="H41" s="8" t="str">
        <f>garage!H41</f>
        <v>O</v>
      </c>
      <c r="I41" s="8" t="str">
        <f>garage!I41</f>
        <v>O</v>
      </c>
      <c r="J41" s="8" t="str">
        <f>garage!J41</f>
        <v>N</v>
      </c>
      <c r="K41" s="8" t="str">
        <f>garage!K41</f>
        <v>C</v>
      </c>
      <c r="L41" s="9" t="str">
        <f>garage!L41</f>
        <v>BMW</v>
      </c>
      <c r="M41" s="9" t="str">
        <f>garage!M41</f>
        <v>M4 GTS</v>
      </c>
      <c r="O41" s="18">
        <v>1</v>
      </c>
      <c r="P41" s="14">
        <v>1</v>
      </c>
      <c r="Q41" s="14">
        <v>1</v>
      </c>
      <c r="R41" s="15">
        <v>1</v>
      </c>
      <c r="S41" s="14">
        <v>1</v>
      </c>
      <c r="T41" s="14">
        <v>1</v>
      </c>
      <c r="U41" s="14">
        <v>1</v>
      </c>
      <c r="V41" s="15">
        <v>1</v>
      </c>
      <c r="W41" s="14">
        <v>1</v>
      </c>
      <c r="X41" s="14">
        <v>1</v>
      </c>
      <c r="Y41" s="14">
        <v>1</v>
      </c>
      <c r="Z41" s="15">
        <v>1</v>
      </c>
      <c r="AA41" s="14">
        <v>1</v>
      </c>
      <c r="AB41" s="14">
        <v>1</v>
      </c>
      <c r="AC41" s="14">
        <v>1</v>
      </c>
      <c r="AD41" s="15">
        <v>1</v>
      </c>
      <c r="AE41" s="14">
        <v>1</v>
      </c>
      <c r="AF41" s="14">
        <v>1</v>
      </c>
      <c r="AG41" s="14">
        <v>1</v>
      </c>
      <c r="AH41" s="15">
        <v>1</v>
      </c>
      <c r="AI41" s="14">
        <v>1</v>
      </c>
      <c r="AJ41" s="14">
        <v>1</v>
      </c>
      <c r="AK41" s="14">
        <v>1</v>
      </c>
      <c r="AL41" s="15">
        <v>1</v>
      </c>
      <c r="AM41" s="14">
        <v>1</v>
      </c>
      <c r="AN41" s="14">
        <v>1</v>
      </c>
      <c r="AO41" s="14">
        <v>1</v>
      </c>
      <c r="AP41" s="15">
        <v>1</v>
      </c>
      <c r="AQ41" s="14">
        <v>1</v>
      </c>
      <c r="AR41" s="14">
        <v>1</v>
      </c>
      <c r="AS41" s="14">
        <v>1</v>
      </c>
      <c r="AT41" s="15">
        <v>1</v>
      </c>
      <c r="AU41" s="14">
        <v>1</v>
      </c>
      <c r="AV41" s="14">
        <v>1</v>
      </c>
      <c r="AW41" s="14">
        <v>1</v>
      </c>
      <c r="AX41" s="15">
        <v>1</v>
      </c>
      <c r="AY41" s="14">
        <v>1</v>
      </c>
      <c r="AZ41" s="14">
        <v>1</v>
      </c>
      <c r="BA41" s="14">
        <v>1</v>
      </c>
      <c r="BB41" s="15">
        <v>1</v>
      </c>
      <c r="BC41" s="14" t="s">
        <v>446</v>
      </c>
      <c r="BD41" s="14" t="s">
        <v>446</v>
      </c>
      <c r="BE41" s="14" t="s">
        <v>446</v>
      </c>
      <c r="BF41" s="15" t="s">
        <v>446</v>
      </c>
      <c r="BG41" s="14" t="s">
        <v>446</v>
      </c>
      <c r="BH41" s="14" t="s">
        <v>446</v>
      </c>
      <c r="BI41" s="14" t="s">
        <v>446</v>
      </c>
      <c r="BJ41" s="15" t="s">
        <v>446</v>
      </c>
      <c r="BK41" s="14" t="s">
        <v>446</v>
      </c>
      <c r="BL41" s="14" t="s">
        <v>446</v>
      </c>
      <c r="BM41" s="14" t="s">
        <v>446</v>
      </c>
      <c r="BN41" s="15" t="s">
        <v>446</v>
      </c>
      <c r="BP41" s="18">
        <v>4</v>
      </c>
      <c r="BQ41" s="14">
        <v>4</v>
      </c>
      <c r="BR41" s="14">
        <v>4</v>
      </c>
      <c r="BS41" s="15">
        <v>4</v>
      </c>
      <c r="BU41" s="18">
        <v>1</v>
      </c>
      <c r="BV41" s="14">
        <v>1</v>
      </c>
      <c r="BW41" s="14">
        <v>1</v>
      </c>
      <c r="BX41" s="15">
        <v>1</v>
      </c>
      <c r="BZ41" s="18">
        <v>1</v>
      </c>
      <c r="CA41" s="14">
        <v>1</v>
      </c>
      <c r="CB41" s="14">
        <v>1</v>
      </c>
      <c r="CC41" s="15">
        <v>1</v>
      </c>
    </row>
    <row r="42" spans="2:81" ht="18" customHeight="1" x14ac:dyDescent="0.2">
      <c r="B42" s="10">
        <f>garage!B42</f>
        <v>42</v>
      </c>
      <c r="C42" s="10">
        <f>garage!C42</f>
        <v>2</v>
      </c>
      <c r="D42" s="10">
        <f>garage!D42</f>
        <v>8</v>
      </c>
      <c r="E42" s="10">
        <f>garage!E42</f>
        <v>0</v>
      </c>
      <c r="F42" s="10" t="str">
        <f>garage!F42</f>
        <v>--</v>
      </c>
      <c r="G42" s="10" t="str">
        <f>garage!G42</f>
        <v>O</v>
      </c>
      <c r="H42" s="10" t="str">
        <f>garage!H42</f>
        <v>O</v>
      </c>
      <c r="I42" s="10" t="str">
        <f>garage!I42</f>
        <v>O</v>
      </c>
      <c r="J42" s="10" t="str">
        <f>garage!J42</f>
        <v>N</v>
      </c>
      <c r="K42" s="10" t="str">
        <f>garage!K42</f>
        <v>C</v>
      </c>
      <c r="L42" s="11" t="str">
        <f>garage!L42</f>
        <v>Rezvani</v>
      </c>
      <c r="M42" s="11" t="str">
        <f>garage!M42</f>
        <v>Beast X</v>
      </c>
      <c r="O42" s="19">
        <v>1</v>
      </c>
      <c r="P42" s="16">
        <v>1</v>
      </c>
      <c r="Q42" s="16">
        <v>1</v>
      </c>
      <c r="R42" s="17">
        <v>1</v>
      </c>
      <c r="S42" s="16">
        <v>1</v>
      </c>
      <c r="T42" s="16">
        <v>1</v>
      </c>
      <c r="U42" s="16">
        <v>1</v>
      </c>
      <c r="V42" s="17">
        <v>1</v>
      </c>
      <c r="W42" s="16">
        <v>1</v>
      </c>
      <c r="X42" s="16">
        <v>1</v>
      </c>
      <c r="Y42" s="16">
        <v>1</v>
      </c>
      <c r="Z42" s="17">
        <v>1</v>
      </c>
      <c r="AA42" s="16">
        <v>1</v>
      </c>
      <c r="AB42" s="16">
        <v>1</v>
      </c>
      <c r="AC42" s="16">
        <v>1</v>
      </c>
      <c r="AD42" s="17">
        <v>1</v>
      </c>
      <c r="AE42" s="16">
        <v>1</v>
      </c>
      <c r="AF42" s="16">
        <v>1</v>
      </c>
      <c r="AG42" s="16">
        <v>1</v>
      </c>
      <c r="AH42" s="17">
        <v>1</v>
      </c>
      <c r="AI42" s="16">
        <v>1</v>
      </c>
      <c r="AJ42" s="16">
        <v>1</v>
      </c>
      <c r="AK42" s="16">
        <v>1</v>
      </c>
      <c r="AL42" s="17">
        <v>1</v>
      </c>
      <c r="AM42" s="16">
        <v>1</v>
      </c>
      <c r="AN42" s="16">
        <v>1</v>
      </c>
      <c r="AO42" s="16">
        <v>1</v>
      </c>
      <c r="AP42" s="17">
        <v>1</v>
      </c>
      <c r="AQ42" s="16">
        <v>1</v>
      </c>
      <c r="AR42" s="16">
        <v>1</v>
      </c>
      <c r="AS42" s="16">
        <v>1</v>
      </c>
      <c r="AT42" s="17">
        <v>1</v>
      </c>
      <c r="AU42" s="16">
        <v>1</v>
      </c>
      <c r="AV42" s="16">
        <v>1</v>
      </c>
      <c r="AW42" s="16">
        <v>1</v>
      </c>
      <c r="AX42" s="17">
        <v>1</v>
      </c>
      <c r="AY42" s="16">
        <v>1</v>
      </c>
      <c r="AZ42" s="16">
        <v>1</v>
      </c>
      <c r="BA42" s="16">
        <v>1</v>
      </c>
      <c r="BB42" s="17">
        <v>1</v>
      </c>
      <c r="BC42" s="16">
        <v>1</v>
      </c>
      <c r="BD42" s="16">
        <v>1</v>
      </c>
      <c r="BE42" s="16">
        <v>1</v>
      </c>
      <c r="BF42" s="17">
        <v>1</v>
      </c>
      <c r="BG42" s="16" t="s">
        <v>446</v>
      </c>
      <c r="BH42" s="16" t="s">
        <v>446</v>
      </c>
      <c r="BI42" s="16" t="s">
        <v>446</v>
      </c>
      <c r="BJ42" s="17" t="s">
        <v>446</v>
      </c>
      <c r="BK42" s="16" t="s">
        <v>446</v>
      </c>
      <c r="BL42" s="16" t="s">
        <v>446</v>
      </c>
      <c r="BM42" s="16" t="s">
        <v>446</v>
      </c>
      <c r="BN42" s="17" t="s">
        <v>446</v>
      </c>
      <c r="BP42" s="19">
        <v>6</v>
      </c>
      <c r="BQ42" s="16">
        <v>6</v>
      </c>
      <c r="BR42" s="16">
        <v>6</v>
      </c>
      <c r="BS42" s="17">
        <v>6</v>
      </c>
      <c r="BU42" s="19">
        <v>3</v>
      </c>
      <c r="BV42" s="16">
        <v>3</v>
      </c>
      <c r="BW42" s="16">
        <v>3</v>
      </c>
      <c r="BX42" s="17">
        <v>3</v>
      </c>
      <c r="BZ42" s="19">
        <v>1</v>
      </c>
      <c r="CA42" s="16">
        <v>1</v>
      </c>
      <c r="CB42" s="16">
        <v>1</v>
      </c>
      <c r="CC42" s="17">
        <v>1</v>
      </c>
    </row>
    <row r="43" spans="2:81" ht="18" customHeight="1" x14ac:dyDescent="0.2">
      <c r="B43" s="8">
        <f>garage!B43</f>
        <v>43</v>
      </c>
      <c r="C43" s="8">
        <f>garage!C43</f>
        <v>2</v>
      </c>
      <c r="D43" s="8">
        <f>garage!D43</f>
        <v>9</v>
      </c>
      <c r="E43" s="8">
        <f>garage!E43</f>
        <v>20</v>
      </c>
      <c r="F43" s="8" t="str">
        <f>garage!F43</f>
        <v>AM</v>
      </c>
      <c r="G43" s="8" t="str">
        <f>garage!G43</f>
        <v>O</v>
      </c>
      <c r="H43" s="8" t="str">
        <f>garage!H43</f>
        <v>N</v>
      </c>
      <c r="I43" s="8" t="str">
        <f>garage!I43</f>
        <v>N</v>
      </c>
      <c r="J43" s="8" t="str">
        <f>garage!J43</f>
        <v>N</v>
      </c>
      <c r="K43" s="8" t="str">
        <f>garage!K43</f>
        <v>C</v>
      </c>
      <c r="L43" s="9" t="str">
        <f>garage!L43</f>
        <v>Aston Martin</v>
      </c>
      <c r="M43" s="9" t="str">
        <f>garage!M43</f>
        <v>V12 Speedster</v>
      </c>
      <c r="O43" s="18">
        <v>1</v>
      </c>
      <c r="P43" s="14">
        <v>1</v>
      </c>
      <c r="Q43" s="14">
        <v>1</v>
      </c>
      <c r="R43" s="15">
        <v>1</v>
      </c>
      <c r="S43" s="14">
        <v>1</v>
      </c>
      <c r="T43" s="14">
        <v>1</v>
      </c>
      <c r="U43" s="14">
        <v>1</v>
      </c>
      <c r="V43" s="15">
        <v>1</v>
      </c>
      <c r="W43" s="14">
        <v>1</v>
      </c>
      <c r="X43" s="14">
        <v>1</v>
      </c>
      <c r="Y43" s="14">
        <v>1</v>
      </c>
      <c r="Z43" s="15">
        <v>1</v>
      </c>
      <c r="AA43" s="14">
        <v>1</v>
      </c>
      <c r="AB43" s="14">
        <v>1</v>
      </c>
      <c r="AC43" s="14">
        <v>1</v>
      </c>
      <c r="AD43" s="15">
        <v>1</v>
      </c>
      <c r="AE43" s="14">
        <v>1</v>
      </c>
      <c r="AF43" s="14">
        <v>1</v>
      </c>
      <c r="AG43" s="14">
        <v>1</v>
      </c>
      <c r="AH43" s="15">
        <v>1</v>
      </c>
      <c r="AI43" s="14">
        <v>1</v>
      </c>
      <c r="AJ43" s="14">
        <v>1</v>
      </c>
      <c r="AK43" s="14">
        <v>1</v>
      </c>
      <c r="AL43" s="15">
        <v>1</v>
      </c>
      <c r="AM43" s="14">
        <v>1</v>
      </c>
      <c r="AN43" s="14">
        <v>1</v>
      </c>
      <c r="AO43" s="14">
        <v>1</v>
      </c>
      <c r="AP43" s="15">
        <v>1</v>
      </c>
      <c r="AQ43" s="14" t="s">
        <v>446</v>
      </c>
      <c r="AR43" s="14" t="s">
        <v>446</v>
      </c>
      <c r="AS43" s="14" t="s">
        <v>446</v>
      </c>
      <c r="AT43" s="15" t="s">
        <v>446</v>
      </c>
      <c r="AU43" s="14" t="s">
        <v>446</v>
      </c>
      <c r="AV43" s="14" t="s">
        <v>446</v>
      </c>
      <c r="AW43" s="14" t="s">
        <v>446</v>
      </c>
      <c r="AX43" s="15" t="s">
        <v>446</v>
      </c>
      <c r="AY43" s="14" t="s">
        <v>446</v>
      </c>
      <c r="AZ43" s="14" t="s">
        <v>446</v>
      </c>
      <c r="BA43" s="14" t="s">
        <v>446</v>
      </c>
      <c r="BB43" s="15" t="s">
        <v>446</v>
      </c>
      <c r="BC43" s="14" t="s">
        <v>446</v>
      </c>
      <c r="BD43" s="14" t="s">
        <v>446</v>
      </c>
      <c r="BE43" s="14" t="s">
        <v>446</v>
      </c>
      <c r="BF43" s="15" t="s">
        <v>446</v>
      </c>
      <c r="BG43" s="14" t="s">
        <v>446</v>
      </c>
      <c r="BH43" s="14" t="s">
        <v>446</v>
      </c>
      <c r="BI43" s="14" t="s">
        <v>446</v>
      </c>
      <c r="BJ43" s="15" t="s">
        <v>446</v>
      </c>
      <c r="BK43" s="14" t="s">
        <v>446</v>
      </c>
      <c r="BL43" s="14" t="s">
        <v>446</v>
      </c>
      <c r="BM43" s="14" t="s">
        <v>446</v>
      </c>
      <c r="BN43" s="15" t="s">
        <v>446</v>
      </c>
      <c r="BP43" s="18">
        <v>3</v>
      </c>
      <c r="BQ43" s="14">
        <v>5</v>
      </c>
      <c r="BR43" s="14">
        <v>5</v>
      </c>
      <c r="BS43" s="15">
        <v>3</v>
      </c>
      <c r="BU43" s="18">
        <v>1</v>
      </c>
      <c r="BV43" s="14" t="s">
        <v>446</v>
      </c>
      <c r="BW43" s="14" t="s">
        <v>446</v>
      </c>
      <c r="BX43" s="15">
        <v>1</v>
      </c>
      <c r="BZ43" s="18" t="s">
        <v>446</v>
      </c>
      <c r="CA43" s="14" t="s">
        <v>446</v>
      </c>
      <c r="CB43" s="14" t="s">
        <v>446</v>
      </c>
      <c r="CC43" s="15" t="s">
        <v>446</v>
      </c>
    </row>
    <row r="44" spans="2:81" ht="18" customHeight="1" x14ac:dyDescent="0.2">
      <c r="B44" s="10">
        <f>garage!B44</f>
        <v>44</v>
      </c>
      <c r="C44" s="10">
        <f>garage!C44</f>
        <v>2</v>
      </c>
      <c r="D44" s="10">
        <f>garage!D44</f>
        <v>10</v>
      </c>
      <c r="E44" s="10">
        <f>garage!E44</f>
        <v>29</v>
      </c>
      <c r="F44" s="10" t="str">
        <f>garage!F44</f>
        <v>--</v>
      </c>
      <c r="G44" s="10" t="str">
        <f>garage!G44</f>
        <v>O</v>
      </c>
      <c r="H44" s="10" t="str">
        <f>garage!H44</f>
        <v>N</v>
      </c>
      <c r="I44" s="10" t="str">
        <f>garage!I44</f>
        <v>N</v>
      </c>
      <c r="J44" s="10" t="str">
        <f>garage!J44</f>
        <v>N</v>
      </c>
      <c r="K44" s="10" t="str">
        <f>garage!K44</f>
        <v>C</v>
      </c>
      <c r="L44" s="11" t="str">
        <f>garage!L44</f>
        <v>Donkervoort</v>
      </c>
      <c r="M44" s="11" t="str">
        <f>garage!M44</f>
        <v>D8 GTO</v>
      </c>
      <c r="O44" s="19" t="s">
        <v>446</v>
      </c>
      <c r="P44" s="16" t="s">
        <v>446</v>
      </c>
      <c r="Q44" s="16" t="s">
        <v>446</v>
      </c>
      <c r="R44" s="17" t="s">
        <v>446</v>
      </c>
      <c r="S44" s="16" t="s">
        <v>446</v>
      </c>
      <c r="T44" s="16" t="s">
        <v>446</v>
      </c>
      <c r="U44" s="16" t="s">
        <v>446</v>
      </c>
      <c r="V44" s="17" t="s">
        <v>446</v>
      </c>
      <c r="W44" s="16" t="s">
        <v>446</v>
      </c>
      <c r="X44" s="16" t="s">
        <v>446</v>
      </c>
      <c r="Y44" s="16" t="s">
        <v>446</v>
      </c>
      <c r="Z44" s="17" t="s">
        <v>446</v>
      </c>
      <c r="AA44" s="16" t="s">
        <v>446</v>
      </c>
      <c r="AB44" s="16" t="s">
        <v>446</v>
      </c>
      <c r="AC44" s="16" t="s">
        <v>446</v>
      </c>
      <c r="AD44" s="17" t="s">
        <v>446</v>
      </c>
      <c r="AE44" s="16" t="s">
        <v>446</v>
      </c>
      <c r="AF44" s="16" t="s">
        <v>446</v>
      </c>
      <c r="AG44" s="16" t="s">
        <v>446</v>
      </c>
      <c r="AH44" s="17" t="s">
        <v>446</v>
      </c>
      <c r="AI44" s="16" t="s">
        <v>446</v>
      </c>
      <c r="AJ44" s="16" t="s">
        <v>446</v>
      </c>
      <c r="AK44" s="16" t="s">
        <v>446</v>
      </c>
      <c r="AL44" s="17" t="s">
        <v>446</v>
      </c>
      <c r="AM44" s="16" t="s">
        <v>446</v>
      </c>
      <c r="AN44" s="16" t="s">
        <v>446</v>
      </c>
      <c r="AO44" s="16" t="s">
        <v>446</v>
      </c>
      <c r="AP44" s="17" t="s">
        <v>446</v>
      </c>
      <c r="AQ44" s="16" t="s">
        <v>446</v>
      </c>
      <c r="AR44" s="16" t="s">
        <v>446</v>
      </c>
      <c r="AS44" s="16" t="s">
        <v>446</v>
      </c>
      <c r="AT44" s="17" t="s">
        <v>446</v>
      </c>
      <c r="AU44" s="16" t="s">
        <v>446</v>
      </c>
      <c r="AV44" s="16" t="s">
        <v>446</v>
      </c>
      <c r="AW44" s="16" t="s">
        <v>446</v>
      </c>
      <c r="AX44" s="17" t="s">
        <v>446</v>
      </c>
      <c r="AY44" s="16" t="s">
        <v>446</v>
      </c>
      <c r="AZ44" s="16" t="s">
        <v>446</v>
      </c>
      <c r="BA44" s="16" t="s">
        <v>446</v>
      </c>
      <c r="BB44" s="17" t="s">
        <v>446</v>
      </c>
      <c r="BC44" s="16" t="s">
        <v>446</v>
      </c>
      <c r="BD44" s="16" t="s">
        <v>446</v>
      </c>
      <c r="BE44" s="16" t="s">
        <v>446</v>
      </c>
      <c r="BF44" s="17" t="s">
        <v>446</v>
      </c>
      <c r="BG44" s="16" t="s">
        <v>446</v>
      </c>
      <c r="BH44" s="16" t="s">
        <v>446</v>
      </c>
      <c r="BI44" s="16" t="s">
        <v>446</v>
      </c>
      <c r="BJ44" s="17" t="s">
        <v>446</v>
      </c>
      <c r="BK44" s="16" t="s">
        <v>446</v>
      </c>
      <c r="BL44" s="16" t="s">
        <v>446</v>
      </c>
      <c r="BM44" s="16" t="s">
        <v>446</v>
      </c>
      <c r="BN44" s="17" t="s">
        <v>446</v>
      </c>
      <c r="BP44" s="19" t="s">
        <v>446</v>
      </c>
      <c r="BQ44" s="16" t="s">
        <v>446</v>
      </c>
      <c r="BR44" s="16" t="s">
        <v>446</v>
      </c>
      <c r="BS44" s="17" t="s">
        <v>446</v>
      </c>
      <c r="BU44" s="19" t="s">
        <v>446</v>
      </c>
      <c r="BV44" s="16" t="s">
        <v>446</v>
      </c>
      <c r="BW44" s="16" t="s">
        <v>446</v>
      </c>
      <c r="BX44" s="17" t="s">
        <v>446</v>
      </c>
      <c r="BZ44" s="19" t="s">
        <v>446</v>
      </c>
      <c r="CA44" s="16" t="s">
        <v>446</v>
      </c>
      <c r="CB44" s="16" t="s">
        <v>446</v>
      </c>
      <c r="CC44" s="17" t="s">
        <v>446</v>
      </c>
    </row>
    <row r="45" spans="2:81" ht="18" customHeight="1" x14ac:dyDescent="0.2">
      <c r="B45" s="8">
        <f>garage!B45</f>
        <v>45</v>
      </c>
      <c r="C45" s="8">
        <f>garage!C45</f>
        <v>2</v>
      </c>
      <c r="D45" s="8">
        <f>garage!D45</f>
        <v>11</v>
      </c>
      <c r="E45" s="8">
        <f>garage!E45</f>
        <v>0</v>
      </c>
      <c r="F45" s="8" t="str">
        <f>garage!F45</f>
        <v>--</v>
      </c>
      <c r="G45" s="8" t="str">
        <f>garage!G45</f>
        <v>O</v>
      </c>
      <c r="H45" s="8" t="str">
        <f>garage!H45</f>
        <v>O</v>
      </c>
      <c r="I45" s="8" t="str">
        <f>garage!I45</f>
        <v>O</v>
      </c>
      <c r="J45" s="8" t="str">
        <f>garage!J45</f>
        <v>N</v>
      </c>
      <c r="K45" s="8" t="str">
        <f>garage!K45</f>
        <v>C</v>
      </c>
      <c r="L45" s="9" t="str">
        <f>garage!L45</f>
        <v>Dodge</v>
      </c>
      <c r="M45" s="9" t="str">
        <f>garage!M45</f>
        <v>Viper ACR</v>
      </c>
      <c r="O45" s="18">
        <v>1</v>
      </c>
      <c r="P45" s="14">
        <v>1</v>
      </c>
      <c r="Q45" s="14">
        <v>1</v>
      </c>
      <c r="R45" s="15">
        <v>1</v>
      </c>
      <c r="S45" s="14">
        <v>1</v>
      </c>
      <c r="T45" s="14">
        <v>1</v>
      </c>
      <c r="U45" s="14">
        <v>1</v>
      </c>
      <c r="V45" s="15">
        <v>1</v>
      </c>
      <c r="W45" s="14">
        <v>1</v>
      </c>
      <c r="X45" s="14">
        <v>1</v>
      </c>
      <c r="Y45" s="14">
        <v>1</v>
      </c>
      <c r="Z45" s="15">
        <v>1</v>
      </c>
      <c r="AA45" s="14">
        <v>1</v>
      </c>
      <c r="AB45" s="14">
        <v>1</v>
      </c>
      <c r="AC45" s="14">
        <v>1</v>
      </c>
      <c r="AD45" s="15">
        <v>1</v>
      </c>
      <c r="AE45" s="14">
        <v>1</v>
      </c>
      <c r="AF45" s="14">
        <v>1</v>
      </c>
      <c r="AG45" s="14">
        <v>1</v>
      </c>
      <c r="AH45" s="15">
        <v>1</v>
      </c>
      <c r="AI45" s="14">
        <v>1</v>
      </c>
      <c r="AJ45" s="14">
        <v>1</v>
      </c>
      <c r="AK45" s="14">
        <v>1</v>
      </c>
      <c r="AL45" s="15">
        <v>1</v>
      </c>
      <c r="AM45" s="14">
        <v>1</v>
      </c>
      <c r="AN45" s="14">
        <v>1</v>
      </c>
      <c r="AO45" s="14">
        <v>1</v>
      </c>
      <c r="AP45" s="15">
        <v>1</v>
      </c>
      <c r="AQ45" s="14">
        <v>1</v>
      </c>
      <c r="AR45" s="14">
        <v>1</v>
      </c>
      <c r="AS45" s="14">
        <v>1</v>
      </c>
      <c r="AT45" s="15">
        <v>1</v>
      </c>
      <c r="AU45" s="14">
        <v>1</v>
      </c>
      <c r="AV45" s="14">
        <v>1</v>
      </c>
      <c r="AW45" s="14">
        <v>1</v>
      </c>
      <c r="AX45" s="15">
        <v>1</v>
      </c>
      <c r="AY45" s="14">
        <v>1</v>
      </c>
      <c r="AZ45" s="14">
        <v>1</v>
      </c>
      <c r="BA45" s="14">
        <v>1</v>
      </c>
      <c r="BB45" s="15">
        <v>1</v>
      </c>
      <c r="BC45" s="14">
        <v>1</v>
      </c>
      <c r="BD45" s="14">
        <v>1</v>
      </c>
      <c r="BE45" s="14">
        <v>1</v>
      </c>
      <c r="BF45" s="15">
        <v>1</v>
      </c>
      <c r="BG45" s="14" t="s">
        <v>446</v>
      </c>
      <c r="BH45" s="14" t="s">
        <v>446</v>
      </c>
      <c r="BI45" s="14" t="s">
        <v>446</v>
      </c>
      <c r="BJ45" s="15" t="s">
        <v>446</v>
      </c>
      <c r="BK45" s="14" t="s">
        <v>446</v>
      </c>
      <c r="BL45" s="14" t="s">
        <v>446</v>
      </c>
      <c r="BM45" s="14" t="s">
        <v>446</v>
      </c>
      <c r="BN45" s="15" t="s">
        <v>446</v>
      </c>
      <c r="BP45" s="18">
        <v>6</v>
      </c>
      <c r="BQ45" s="14">
        <v>6</v>
      </c>
      <c r="BR45" s="14">
        <v>6</v>
      </c>
      <c r="BS45" s="15">
        <v>6</v>
      </c>
      <c r="BU45" s="18">
        <v>3</v>
      </c>
      <c r="BV45" s="14">
        <v>3</v>
      </c>
      <c r="BW45" s="14">
        <v>3</v>
      </c>
      <c r="BX45" s="15">
        <v>3</v>
      </c>
      <c r="BZ45" s="18">
        <v>1</v>
      </c>
      <c r="CA45" s="14">
        <v>1</v>
      </c>
      <c r="CB45" s="14">
        <v>1</v>
      </c>
      <c r="CC45" s="15">
        <v>1</v>
      </c>
    </row>
    <row r="46" spans="2:81" ht="18" customHeight="1" x14ac:dyDescent="0.2">
      <c r="B46" s="10">
        <f>garage!B46</f>
        <v>46</v>
      </c>
      <c r="C46" s="10">
        <f>garage!C46</f>
        <v>2</v>
      </c>
      <c r="D46" s="10">
        <f>garage!D46</f>
        <v>12</v>
      </c>
      <c r="E46" s="10">
        <f>garage!E46</f>
        <v>24</v>
      </c>
      <c r="F46" s="10" t="str">
        <f>garage!F46</f>
        <v>--</v>
      </c>
      <c r="G46" s="10" t="str">
        <f>garage!G46</f>
        <v>O</v>
      </c>
      <c r="H46" s="10" t="str">
        <f>garage!H46</f>
        <v>N</v>
      </c>
      <c r="I46" s="10" t="str">
        <f>garage!I46</f>
        <v>N</v>
      </c>
      <c r="J46" s="10" t="str">
        <f>garage!J46</f>
        <v>O</v>
      </c>
      <c r="K46" s="10" t="str">
        <f>garage!K46</f>
        <v>C</v>
      </c>
      <c r="L46" s="11" t="str">
        <f>garage!L46</f>
        <v>Bolwell</v>
      </c>
      <c r="M46" s="11" t="str">
        <f>garage!M46</f>
        <v>MK X Nagari 500</v>
      </c>
      <c r="O46" s="19" t="s">
        <v>446</v>
      </c>
      <c r="P46" s="16" t="s">
        <v>446</v>
      </c>
      <c r="Q46" s="16" t="s">
        <v>446</v>
      </c>
      <c r="R46" s="17" t="s">
        <v>446</v>
      </c>
      <c r="S46" s="16" t="s">
        <v>446</v>
      </c>
      <c r="T46" s="16" t="s">
        <v>446</v>
      </c>
      <c r="U46" s="16" t="s">
        <v>446</v>
      </c>
      <c r="V46" s="17" t="s">
        <v>446</v>
      </c>
      <c r="W46" s="16" t="s">
        <v>446</v>
      </c>
      <c r="X46" s="16" t="s">
        <v>446</v>
      </c>
      <c r="Y46" s="16" t="s">
        <v>446</v>
      </c>
      <c r="Z46" s="17" t="s">
        <v>446</v>
      </c>
      <c r="AA46" s="16" t="s">
        <v>446</v>
      </c>
      <c r="AB46" s="16" t="s">
        <v>446</v>
      </c>
      <c r="AC46" s="16" t="s">
        <v>446</v>
      </c>
      <c r="AD46" s="17" t="s">
        <v>446</v>
      </c>
      <c r="AE46" s="16" t="s">
        <v>446</v>
      </c>
      <c r="AF46" s="16" t="s">
        <v>446</v>
      </c>
      <c r="AG46" s="16" t="s">
        <v>446</v>
      </c>
      <c r="AH46" s="17" t="s">
        <v>446</v>
      </c>
      <c r="AI46" s="16" t="s">
        <v>446</v>
      </c>
      <c r="AJ46" s="16" t="s">
        <v>446</v>
      </c>
      <c r="AK46" s="16" t="s">
        <v>446</v>
      </c>
      <c r="AL46" s="17" t="s">
        <v>446</v>
      </c>
      <c r="AM46" s="16" t="s">
        <v>446</v>
      </c>
      <c r="AN46" s="16" t="s">
        <v>446</v>
      </c>
      <c r="AO46" s="16" t="s">
        <v>446</v>
      </c>
      <c r="AP46" s="17" t="s">
        <v>446</v>
      </c>
      <c r="AQ46" s="16" t="s">
        <v>446</v>
      </c>
      <c r="AR46" s="16" t="s">
        <v>446</v>
      </c>
      <c r="AS46" s="16" t="s">
        <v>446</v>
      </c>
      <c r="AT46" s="17" t="s">
        <v>446</v>
      </c>
      <c r="AU46" s="16" t="s">
        <v>446</v>
      </c>
      <c r="AV46" s="16" t="s">
        <v>446</v>
      </c>
      <c r="AW46" s="16" t="s">
        <v>446</v>
      </c>
      <c r="AX46" s="17" t="s">
        <v>446</v>
      </c>
      <c r="AY46" s="16" t="s">
        <v>446</v>
      </c>
      <c r="AZ46" s="16" t="s">
        <v>446</v>
      </c>
      <c r="BA46" s="16" t="s">
        <v>446</v>
      </c>
      <c r="BB46" s="17" t="s">
        <v>446</v>
      </c>
      <c r="BC46" s="16" t="s">
        <v>446</v>
      </c>
      <c r="BD46" s="16" t="s">
        <v>446</v>
      </c>
      <c r="BE46" s="16" t="s">
        <v>446</v>
      </c>
      <c r="BF46" s="17" t="s">
        <v>446</v>
      </c>
      <c r="BG46" s="16" t="s">
        <v>446</v>
      </c>
      <c r="BH46" s="16" t="s">
        <v>446</v>
      </c>
      <c r="BI46" s="16" t="s">
        <v>446</v>
      </c>
      <c r="BJ46" s="17" t="s">
        <v>446</v>
      </c>
      <c r="BK46" s="16" t="s">
        <v>446</v>
      </c>
      <c r="BL46" s="16" t="s">
        <v>446</v>
      </c>
      <c r="BM46" s="16" t="s">
        <v>446</v>
      </c>
      <c r="BN46" s="17" t="s">
        <v>446</v>
      </c>
      <c r="BP46" s="19" t="s">
        <v>446</v>
      </c>
      <c r="BQ46" s="16" t="s">
        <v>446</v>
      </c>
      <c r="BR46" s="16" t="s">
        <v>446</v>
      </c>
      <c r="BS46" s="17" t="s">
        <v>446</v>
      </c>
      <c r="BU46" s="19" t="s">
        <v>446</v>
      </c>
      <c r="BV46" s="16" t="s">
        <v>446</v>
      </c>
      <c r="BW46" s="16" t="s">
        <v>446</v>
      </c>
      <c r="BX46" s="17" t="s">
        <v>446</v>
      </c>
      <c r="BZ46" s="19" t="s">
        <v>446</v>
      </c>
      <c r="CA46" s="16" t="s">
        <v>446</v>
      </c>
      <c r="CB46" s="16" t="s">
        <v>446</v>
      </c>
      <c r="CC46" s="17" t="s">
        <v>446</v>
      </c>
    </row>
    <row r="47" spans="2:81" ht="18" customHeight="1" x14ac:dyDescent="0.2">
      <c r="B47" s="8">
        <f>garage!B47</f>
        <v>47</v>
      </c>
      <c r="C47" s="8">
        <f>garage!C47</f>
        <v>2</v>
      </c>
      <c r="D47" s="8">
        <f>garage!D47</f>
        <v>13</v>
      </c>
      <c r="E47" s="8">
        <f>garage!E47</f>
        <v>0</v>
      </c>
      <c r="F47" s="8" t="str">
        <f>garage!F47</f>
        <v>--</v>
      </c>
      <c r="G47" s="8" t="str">
        <f>garage!G47</f>
        <v>O</v>
      </c>
      <c r="H47" s="8" t="str">
        <f>garage!H47</f>
        <v>O</v>
      </c>
      <c r="I47" s="8" t="str">
        <f>garage!I47</f>
        <v>O</v>
      </c>
      <c r="J47" s="8" t="str">
        <f>garage!J47</f>
        <v>N</v>
      </c>
      <c r="K47" s="8" t="str">
        <f>garage!K47</f>
        <v>C</v>
      </c>
      <c r="L47" s="9" t="str">
        <f>garage!L47</f>
        <v>Ford</v>
      </c>
      <c r="M47" s="9" t="str">
        <f>garage!M47</f>
        <v>Shelby GR-1</v>
      </c>
      <c r="O47" s="18">
        <v>1</v>
      </c>
      <c r="P47" s="14">
        <v>1</v>
      </c>
      <c r="Q47" s="14">
        <v>1</v>
      </c>
      <c r="R47" s="15">
        <v>1</v>
      </c>
      <c r="S47" s="14">
        <v>1</v>
      </c>
      <c r="T47" s="14">
        <v>1</v>
      </c>
      <c r="U47" s="14">
        <v>1</v>
      </c>
      <c r="V47" s="15">
        <v>1</v>
      </c>
      <c r="W47" s="14">
        <v>1</v>
      </c>
      <c r="X47" s="14">
        <v>1</v>
      </c>
      <c r="Y47" s="14">
        <v>1</v>
      </c>
      <c r="Z47" s="15">
        <v>1</v>
      </c>
      <c r="AA47" s="14">
        <v>1</v>
      </c>
      <c r="AB47" s="14">
        <v>1</v>
      </c>
      <c r="AC47" s="14">
        <v>1</v>
      </c>
      <c r="AD47" s="15">
        <v>1</v>
      </c>
      <c r="AE47" s="14">
        <v>1</v>
      </c>
      <c r="AF47" s="14">
        <v>1</v>
      </c>
      <c r="AG47" s="14">
        <v>1</v>
      </c>
      <c r="AH47" s="15">
        <v>1</v>
      </c>
      <c r="AI47" s="14">
        <v>1</v>
      </c>
      <c r="AJ47" s="14">
        <v>1</v>
      </c>
      <c r="AK47" s="14">
        <v>1</v>
      </c>
      <c r="AL47" s="15">
        <v>1</v>
      </c>
      <c r="AM47" s="14">
        <v>1</v>
      </c>
      <c r="AN47" s="14">
        <v>1</v>
      </c>
      <c r="AO47" s="14">
        <v>1</v>
      </c>
      <c r="AP47" s="15">
        <v>1</v>
      </c>
      <c r="AQ47" s="14">
        <v>1</v>
      </c>
      <c r="AR47" s="14">
        <v>1</v>
      </c>
      <c r="AS47" s="14">
        <v>1</v>
      </c>
      <c r="AT47" s="15">
        <v>1</v>
      </c>
      <c r="AU47" s="14">
        <v>1</v>
      </c>
      <c r="AV47" s="14">
        <v>1</v>
      </c>
      <c r="AW47" s="14">
        <v>1</v>
      </c>
      <c r="AX47" s="15">
        <v>1</v>
      </c>
      <c r="AY47" s="14">
        <v>1</v>
      </c>
      <c r="AZ47" s="14">
        <v>1</v>
      </c>
      <c r="BA47" s="14">
        <v>1</v>
      </c>
      <c r="BB47" s="15">
        <v>1</v>
      </c>
      <c r="BC47" s="14">
        <v>1</v>
      </c>
      <c r="BD47" s="14">
        <v>1</v>
      </c>
      <c r="BE47" s="14">
        <v>1</v>
      </c>
      <c r="BF47" s="15">
        <v>1</v>
      </c>
      <c r="BG47" s="14" t="s">
        <v>446</v>
      </c>
      <c r="BH47" s="14" t="s">
        <v>446</v>
      </c>
      <c r="BI47" s="14" t="s">
        <v>446</v>
      </c>
      <c r="BJ47" s="15" t="s">
        <v>446</v>
      </c>
      <c r="BK47" s="14" t="s">
        <v>446</v>
      </c>
      <c r="BL47" s="14" t="s">
        <v>446</v>
      </c>
      <c r="BM47" s="14" t="s">
        <v>446</v>
      </c>
      <c r="BN47" s="15" t="s">
        <v>446</v>
      </c>
      <c r="BP47" s="18">
        <v>6</v>
      </c>
      <c r="BQ47" s="14">
        <v>6</v>
      </c>
      <c r="BR47" s="14">
        <v>6</v>
      </c>
      <c r="BS47" s="15">
        <v>6</v>
      </c>
      <c r="BU47" s="18">
        <v>3</v>
      </c>
      <c r="BV47" s="14">
        <v>3</v>
      </c>
      <c r="BW47" s="14">
        <v>3</v>
      </c>
      <c r="BX47" s="15">
        <v>3</v>
      </c>
      <c r="BZ47" s="18">
        <v>1</v>
      </c>
      <c r="CA47" s="14">
        <v>1</v>
      </c>
      <c r="CB47" s="14">
        <v>1</v>
      </c>
      <c r="CC47" s="15">
        <v>1</v>
      </c>
    </row>
    <row r="48" spans="2:81" ht="18" customHeight="1" x14ac:dyDescent="0.2">
      <c r="B48" s="10">
        <f>garage!B48</f>
        <v>48</v>
      </c>
      <c r="C48" s="10">
        <f>garage!C48</f>
        <v>2</v>
      </c>
      <c r="D48" s="10">
        <f>garage!D48</f>
        <v>14</v>
      </c>
      <c r="E48" s="10">
        <f>garage!E48</f>
        <v>0</v>
      </c>
      <c r="F48" s="10" t="str">
        <f>garage!F48</f>
        <v>--</v>
      </c>
      <c r="G48" s="10" t="str">
        <f>garage!G48</f>
        <v>O</v>
      </c>
      <c r="H48" s="10" t="str">
        <f>garage!H48</f>
        <v>O</v>
      </c>
      <c r="I48" s="10" t="str">
        <f>garage!I48</f>
        <v>O</v>
      </c>
      <c r="J48" s="10" t="str">
        <f>garage!J48</f>
        <v>N</v>
      </c>
      <c r="K48" s="10" t="str">
        <f>garage!K48</f>
        <v>C</v>
      </c>
      <c r="L48" s="11" t="str">
        <f>garage!L48</f>
        <v>Pininfarina</v>
      </c>
      <c r="M48" s="11" t="str">
        <f>garage!M48</f>
        <v>H2 Speed</v>
      </c>
      <c r="O48" s="19">
        <v>1</v>
      </c>
      <c r="P48" s="16">
        <v>1</v>
      </c>
      <c r="Q48" s="16">
        <v>1</v>
      </c>
      <c r="R48" s="17">
        <v>1</v>
      </c>
      <c r="S48" s="16">
        <v>1</v>
      </c>
      <c r="T48" s="16">
        <v>1</v>
      </c>
      <c r="U48" s="16">
        <v>1</v>
      </c>
      <c r="V48" s="17">
        <v>1</v>
      </c>
      <c r="W48" s="16">
        <v>1</v>
      </c>
      <c r="X48" s="16">
        <v>1</v>
      </c>
      <c r="Y48" s="16">
        <v>1</v>
      </c>
      <c r="Z48" s="17">
        <v>1</v>
      </c>
      <c r="AA48" s="16">
        <v>1</v>
      </c>
      <c r="AB48" s="16">
        <v>1</v>
      </c>
      <c r="AC48" s="16">
        <v>1</v>
      </c>
      <c r="AD48" s="17">
        <v>1</v>
      </c>
      <c r="AE48" s="16">
        <v>1</v>
      </c>
      <c r="AF48" s="16">
        <v>1</v>
      </c>
      <c r="AG48" s="16">
        <v>1</v>
      </c>
      <c r="AH48" s="17">
        <v>1</v>
      </c>
      <c r="AI48" s="16">
        <v>1</v>
      </c>
      <c r="AJ48" s="16">
        <v>1</v>
      </c>
      <c r="AK48" s="16">
        <v>1</v>
      </c>
      <c r="AL48" s="17">
        <v>1</v>
      </c>
      <c r="AM48" s="16">
        <v>1</v>
      </c>
      <c r="AN48" s="16">
        <v>1</v>
      </c>
      <c r="AO48" s="16">
        <v>1</v>
      </c>
      <c r="AP48" s="17">
        <v>1</v>
      </c>
      <c r="AQ48" s="16">
        <v>1</v>
      </c>
      <c r="AR48" s="16">
        <v>1</v>
      </c>
      <c r="AS48" s="16">
        <v>1</v>
      </c>
      <c r="AT48" s="17">
        <v>1</v>
      </c>
      <c r="AU48" s="16">
        <v>1</v>
      </c>
      <c r="AV48" s="16">
        <v>1</v>
      </c>
      <c r="AW48" s="16">
        <v>1</v>
      </c>
      <c r="AX48" s="17">
        <v>1</v>
      </c>
      <c r="AY48" s="16">
        <v>1</v>
      </c>
      <c r="AZ48" s="16">
        <v>1</v>
      </c>
      <c r="BA48" s="16">
        <v>1</v>
      </c>
      <c r="BB48" s="17">
        <v>1</v>
      </c>
      <c r="BC48" s="16">
        <v>1</v>
      </c>
      <c r="BD48" s="16">
        <v>1</v>
      </c>
      <c r="BE48" s="16">
        <v>1</v>
      </c>
      <c r="BF48" s="17">
        <v>1</v>
      </c>
      <c r="BG48" s="16" t="s">
        <v>446</v>
      </c>
      <c r="BH48" s="16" t="s">
        <v>446</v>
      </c>
      <c r="BI48" s="16" t="s">
        <v>446</v>
      </c>
      <c r="BJ48" s="17" t="s">
        <v>446</v>
      </c>
      <c r="BK48" s="16" t="s">
        <v>446</v>
      </c>
      <c r="BL48" s="16" t="s">
        <v>446</v>
      </c>
      <c r="BM48" s="16" t="s">
        <v>446</v>
      </c>
      <c r="BN48" s="17" t="s">
        <v>446</v>
      </c>
      <c r="BP48" s="19">
        <v>6</v>
      </c>
      <c r="BQ48" s="16">
        <v>6</v>
      </c>
      <c r="BR48" s="16">
        <v>6</v>
      </c>
      <c r="BS48" s="17">
        <v>6</v>
      </c>
      <c r="BU48" s="19">
        <v>3</v>
      </c>
      <c r="BV48" s="16">
        <v>3</v>
      </c>
      <c r="BW48" s="16">
        <v>3</v>
      </c>
      <c r="BX48" s="17">
        <v>3</v>
      </c>
      <c r="BZ48" s="19">
        <v>1</v>
      </c>
      <c r="CA48" s="16">
        <v>1</v>
      </c>
      <c r="CB48" s="16">
        <v>1</v>
      </c>
      <c r="CC48" s="17">
        <v>1</v>
      </c>
    </row>
    <row r="49" spans="2:81" ht="18" customHeight="1" x14ac:dyDescent="0.2">
      <c r="B49" s="8">
        <f>garage!B49</f>
        <v>49</v>
      </c>
      <c r="C49" s="8">
        <f>garage!C49</f>
        <v>2</v>
      </c>
      <c r="D49" s="8">
        <f>garage!D49</f>
        <v>15</v>
      </c>
      <c r="E49" s="8">
        <f>garage!E49</f>
        <v>7</v>
      </c>
      <c r="F49" s="8" t="str">
        <f>garage!F49</f>
        <v>--</v>
      </c>
      <c r="G49" s="8" t="str">
        <f>garage!G49</f>
        <v>O</v>
      </c>
      <c r="H49" s="8" t="str">
        <f>garage!H49</f>
        <v>O</v>
      </c>
      <c r="I49" s="8" t="str">
        <f>garage!I49</f>
        <v>O</v>
      </c>
      <c r="J49" s="8" t="str">
        <f>garage!J49</f>
        <v>N</v>
      </c>
      <c r="K49" s="8" t="str">
        <f>garage!K49</f>
        <v>C</v>
      </c>
      <c r="L49" s="9" t="str">
        <f>garage!L49</f>
        <v>Artega</v>
      </c>
      <c r="M49" s="9" t="str">
        <f>garage!M49</f>
        <v>Scalo Superelletra</v>
      </c>
      <c r="O49" s="18">
        <v>1</v>
      </c>
      <c r="P49" s="14">
        <v>1</v>
      </c>
      <c r="Q49" s="14">
        <v>1</v>
      </c>
      <c r="R49" s="15">
        <v>1</v>
      </c>
      <c r="S49" s="14">
        <v>1</v>
      </c>
      <c r="T49" s="14">
        <v>1</v>
      </c>
      <c r="U49" s="14">
        <v>1</v>
      </c>
      <c r="V49" s="15">
        <v>1</v>
      </c>
      <c r="W49" s="14">
        <v>1</v>
      </c>
      <c r="X49" s="14">
        <v>1</v>
      </c>
      <c r="Y49" s="14">
        <v>1</v>
      </c>
      <c r="Z49" s="15">
        <v>1</v>
      </c>
      <c r="AA49" s="14">
        <v>1</v>
      </c>
      <c r="AB49" s="14">
        <v>1</v>
      </c>
      <c r="AC49" s="14">
        <v>1</v>
      </c>
      <c r="AD49" s="15">
        <v>1</v>
      </c>
      <c r="AE49" s="14">
        <v>1</v>
      </c>
      <c r="AF49" s="14">
        <v>1</v>
      </c>
      <c r="AG49" s="14">
        <v>1</v>
      </c>
      <c r="AH49" s="15">
        <v>1</v>
      </c>
      <c r="AI49" s="14">
        <v>1</v>
      </c>
      <c r="AJ49" s="14">
        <v>1</v>
      </c>
      <c r="AK49" s="14">
        <v>1</v>
      </c>
      <c r="AL49" s="15">
        <v>1</v>
      </c>
      <c r="AM49" s="14">
        <v>1</v>
      </c>
      <c r="AN49" s="14">
        <v>1</v>
      </c>
      <c r="AO49" s="14">
        <v>1</v>
      </c>
      <c r="AP49" s="15">
        <v>1</v>
      </c>
      <c r="AQ49" s="14">
        <v>1</v>
      </c>
      <c r="AR49" s="14">
        <v>1</v>
      </c>
      <c r="AS49" s="14">
        <v>1</v>
      </c>
      <c r="AT49" s="15">
        <v>1</v>
      </c>
      <c r="AU49" s="14">
        <v>1</v>
      </c>
      <c r="AV49" s="14">
        <v>1</v>
      </c>
      <c r="AW49" s="14">
        <v>1</v>
      </c>
      <c r="AX49" s="15">
        <v>1</v>
      </c>
      <c r="AY49" s="14">
        <v>1</v>
      </c>
      <c r="AZ49" s="14">
        <v>1</v>
      </c>
      <c r="BA49" s="14">
        <v>1</v>
      </c>
      <c r="BB49" s="15">
        <v>1</v>
      </c>
      <c r="BC49" s="14">
        <v>1</v>
      </c>
      <c r="BD49" s="14">
        <v>1</v>
      </c>
      <c r="BE49" s="14">
        <v>1</v>
      </c>
      <c r="BF49" s="15">
        <v>1</v>
      </c>
      <c r="BG49" s="14" t="s">
        <v>446</v>
      </c>
      <c r="BH49" s="14" t="s">
        <v>446</v>
      </c>
      <c r="BI49" s="14" t="s">
        <v>446</v>
      </c>
      <c r="BJ49" s="15" t="s">
        <v>446</v>
      </c>
      <c r="BK49" s="14" t="s">
        <v>446</v>
      </c>
      <c r="BL49" s="14" t="s">
        <v>446</v>
      </c>
      <c r="BM49" s="14" t="s">
        <v>446</v>
      </c>
      <c r="BN49" s="15" t="s">
        <v>446</v>
      </c>
      <c r="BP49" s="18">
        <v>6</v>
      </c>
      <c r="BQ49" s="14">
        <v>6</v>
      </c>
      <c r="BR49" s="14">
        <v>6</v>
      </c>
      <c r="BS49" s="15">
        <v>6</v>
      </c>
      <c r="BU49" s="18">
        <v>3</v>
      </c>
      <c r="BV49" s="14">
        <v>3</v>
      </c>
      <c r="BW49" s="14">
        <v>3</v>
      </c>
      <c r="BX49" s="15">
        <v>3</v>
      </c>
      <c r="BZ49" s="18">
        <v>1</v>
      </c>
      <c r="CA49" s="14">
        <v>1</v>
      </c>
      <c r="CB49" s="14">
        <v>1</v>
      </c>
      <c r="CC49" s="15">
        <v>1</v>
      </c>
    </row>
    <row r="50" spans="2:81" ht="18" customHeight="1" x14ac:dyDescent="0.2">
      <c r="B50" s="10">
        <f>garage!B50</f>
        <v>50</v>
      </c>
      <c r="C50" s="10">
        <f>garage!C50</f>
        <v>2</v>
      </c>
      <c r="D50" s="10">
        <f>garage!D50</f>
        <v>16</v>
      </c>
      <c r="E50" s="10">
        <f>garage!E50</f>
        <v>22</v>
      </c>
      <c r="F50" s="10" t="str">
        <f>garage!F50</f>
        <v>--</v>
      </c>
      <c r="G50" s="10" t="str">
        <f>garage!G50</f>
        <v>O</v>
      </c>
      <c r="H50" s="10" t="str">
        <f>garage!H50</f>
        <v>N</v>
      </c>
      <c r="I50" s="10" t="str">
        <f>garage!I50</f>
        <v>N</v>
      </c>
      <c r="J50" s="10" t="str">
        <f>garage!J50</f>
        <v>N</v>
      </c>
      <c r="K50" s="10" t="str">
        <f>garage!K50</f>
        <v>C</v>
      </c>
      <c r="L50" s="11" t="str">
        <f>garage!L50</f>
        <v>Saleen</v>
      </c>
      <c r="M50" s="11" t="str">
        <f>garage!M50</f>
        <v>S1</v>
      </c>
      <c r="O50" s="19">
        <v>1</v>
      </c>
      <c r="P50" s="16">
        <v>1</v>
      </c>
      <c r="Q50" s="16">
        <v>1</v>
      </c>
      <c r="R50" s="17">
        <v>1</v>
      </c>
      <c r="S50" s="16">
        <v>1</v>
      </c>
      <c r="T50" s="16">
        <v>1</v>
      </c>
      <c r="U50" s="16">
        <v>1</v>
      </c>
      <c r="V50" s="17">
        <v>1</v>
      </c>
      <c r="W50" s="16">
        <v>1</v>
      </c>
      <c r="X50" s="16">
        <v>1</v>
      </c>
      <c r="Y50" s="16">
        <v>1</v>
      </c>
      <c r="Z50" s="17">
        <v>1</v>
      </c>
      <c r="AA50" s="16">
        <v>1</v>
      </c>
      <c r="AB50" s="16">
        <v>1</v>
      </c>
      <c r="AC50" s="16">
        <v>1</v>
      </c>
      <c r="AD50" s="17">
        <v>1</v>
      </c>
      <c r="AE50" s="16">
        <v>1</v>
      </c>
      <c r="AF50" s="16">
        <v>1</v>
      </c>
      <c r="AG50" s="16">
        <v>1</v>
      </c>
      <c r="AH50" s="17">
        <v>1</v>
      </c>
      <c r="AI50" s="16">
        <v>1</v>
      </c>
      <c r="AJ50" s="16">
        <v>1</v>
      </c>
      <c r="AK50" s="16">
        <v>1</v>
      </c>
      <c r="AL50" s="17">
        <v>1</v>
      </c>
      <c r="AM50" s="16">
        <v>1</v>
      </c>
      <c r="AN50" s="16">
        <v>1</v>
      </c>
      <c r="AO50" s="16">
        <v>1</v>
      </c>
      <c r="AP50" s="17">
        <v>1</v>
      </c>
      <c r="AQ50" s="16" t="s">
        <v>446</v>
      </c>
      <c r="AR50" s="16" t="s">
        <v>446</v>
      </c>
      <c r="AS50" s="16" t="s">
        <v>446</v>
      </c>
      <c r="AT50" s="17" t="s">
        <v>446</v>
      </c>
      <c r="AU50" s="16" t="s">
        <v>446</v>
      </c>
      <c r="AV50" s="16" t="s">
        <v>446</v>
      </c>
      <c r="AW50" s="16" t="s">
        <v>446</v>
      </c>
      <c r="AX50" s="17" t="s">
        <v>446</v>
      </c>
      <c r="AY50" s="16" t="s">
        <v>446</v>
      </c>
      <c r="AZ50" s="16" t="s">
        <v>446</v>
      </c>
      <c r="BA50" s="16" t="s">
        <v>446</v>
      </c>
      <c r="BB50" s="17" t="s">
        <v>446</v>
      </c>
      <c r="BC50" s="16" t="s">
        <v>446</v>
      </c>
      <c r="BD50" s="16" t="s">
        <v>446</v>
      </c>
      <c r="BE50" s="16" t="s">
        <v>446</v>
      </c>
      <c r="BF50" s="17" t="s">
        <v>446</v>
      </c>
      <c r="BG50" s="16" t="s">
        <v>446</v>
      </c>
      <c r="BH50" s="16" t="s">
        <v>446</v>
      </c>
      <c r="BI50" s="16" t="s">
        <v>446</v>
      </c>
      <c r="BJ50" s="17" t="s">
        <v>446</v>
      </c>
      <c r="BK50" s="16" t="s">
        <v>446</v>
      </c>
      <c r="BL50" s="16" t="s">
        <v>446</v>
      </c>
      <c r="BM50" s="16" t="s">
        <v>446</v>
      </c>
      <c r="BN50" s="17" t="s">
        <v>446</v>
      </c>
      <c r="BP50" s="19">
        <v>5</v>
      </c>
      <c r="BQ50" s="16">
        <v>5</v>
      </c>
      <c r="BR50" s="16">
        <v>5</v>
      </c>
      <c r="BS50" s="17">
        <v>5</v>
      </c>
      <c r="BU50" s="19">
        <v>1</v>
      </c>
      <c r="BV50" s="16" t="s">
        <v>446</v>
      </c>
      <c r="BW50" s="16" t="s">
        <v>446</v>
      </c>
      <c r="BX50" s="17">
        <v>1</v>
      </c>
      <c r="BZ50" s="19" t="s">
        <v>446</v>
      </c>
      <c r="CA50" s="16" t="s">
        <v>446</v>
      </c>
      <c r="CB50" s="16" t="s">
        <v>446</v>
      </c>
      <c r="CC50" s="17" t="s">
        <v>446</v>
      </c>
    </row>
    <row r="51" spans="2:81" ht="18" customHeight="1" x14ac:dyDescent="0.2">
      <c r="B51" s="8">
        <f>garage!B51</f>
        <v>51</v>
      </c>
      <c r="C51" s="8">
        <f>garage!C51</f>
        <v>2</v>
      </c>
      <c r="D51" s="8">
        <f>garage!D51</f>
        <v>17</v>
      </c>
      <c r="E51" s="8">
        <f>garage!E51</f>
        <v>0</v>
      </c>
      <c r="F51" s="8" t="str">
        <f>garage!F51</f>
        <v>--</v>
      </c>
      <c r="G51" s="8" t="str">
        <f>garage!G51</f>
        <v>O</v>
      </c>
      <c r="H51" s="8" t="str">
        <f>garage!H51</f>
        <v>O</v>
      </c>
      <c r="I51" s="8" t="str">
        <f>garage!I51</f>
        <v>O</v>
      </c>
      <c r="J51" s="8" t="str">
        <f>garage!J51</f>
        <v>N</v>
      </c>
      <c r="K51" s="8" t="str">
        <f>garage!K51</f>
        <v>C</v>
      </c>
      <c r="L51" s="9" t="str">
        <f>garage!L51</f>
        <v>Acura</v>
      </c>
      <c r="M51" s="9" t="str">
        <f>garage!M51</f>
        <v>2017 NSX</v>
      </c>
      <c r="O51" s="18">
        <v>1</v>
      </c>
      <c r="P51" s="14">
        <v>1</v>
      </c>
      <c r="Q51" s="14">
        <v>1</v>
      </c>
      <c r="R51" s="15">
        <v>1</v>
      </c>
      <c r="S51" s="14">
        <v>1</v>
      </c>
      <c r="T51" s="14">
        <v>1</v>
      </c>
      <c r="U51" s="14">
        <v>1</v>
      </c>
      <c r="V51" s="15">
        <v>1</v>
      </c>
      <c r="W51" s="14">
        <v>1</v>
      </c>
      <c r="X51" s="14">
        <v>1</v>
      </c>
      <c r="Y51" s="14">
        <v>1</v>
      </c>
      <c r="Z51" s="15">
        <v>1</v>
      </c>
      <c r="AA51" s="14">
        <v>1</v>
      </c>
      <c r="AB51" s="14">
        <v>1</v>
      </c>
      <c r="AC51" s="14">
        <v>1</v>
      </c>
      <c r="AD51" s="15">
        <v>1</v>
      </c>
      <c r="AE51" s="14">
        <v>1</v>
      </c>
      <c r="AF51" s="14">
        <v>1</v>
      </c>
      <c r="AG51" s="14">
        <v>1</v>
      </c>
      <c r="AH51" s="15">
        <v>1</v>
      </c>
      <c r="AI51" s="14">
        <v>1</v>
      </c>
      <c r="AJ51" s="14">
        <v>1</v>
      </c>
      <c r="AK51" s="14">
        <v>1</v>
      </c>
      <c r="AL51" s="15">
        <v>1</v>
      </c>
      <c r="AM51" s="14">
        <v>1</v>
      </c>
      <c r="AN51" s="14">
        <v>1</v>
      </c>
      <c r="AO51" s="14">
        <v>1</v>
      </c>
      <c r="AP51" s="15">
        <v>1</v>
      </c>
      <c r="AQ51" s="14">
        <v>1</v>
      </c>
      <c r="AR51" s="14">
        <v>1</v>
      </c>
      <c r="AS51" s="14">
        <v>1</v>
      </c>
      <c r="AT51" s="15">
        <v>1</v>
      </c>
      <c r="AU51" s="14">
        <v>1</v>
      </c>
      <c r="AV51" s="14">
        <v>1</v>
      </c>
      <c r="AW51" s="14">
        <v>1</v>
      </c>
      <c r="AX51" s="15">
        <v>1</v>
      </c>
      <c r="AY51" s="14">
        <v>1</v>
      </c>
      <c r="AZ51" s="14">
        <v>1</v>
      </c>
      <c r="BA51" s="14">
        <v>1</v>
      </c>
      <c r="BB51" s="15">
        <v>1</v>
      </c>
      <c r="BC51" s="14">
        <v>1</v>
      </c>
      <c r="BD51" s="14">
        <v>1</v>
      </c>
      <c r="BE51" s="14">
        <v>1</v>
      </c>
      <c r="BF51" s="15">
        <v>1</v>
      </c>
      <c r="BG51" s="14" t="s">
        <v>446</v>
      </c>
      <c r="BH51" s="14" t="s">
        <v>446</v>
      </c>
      <c r="BI51" s="14" t="s">
        <v>446</v>
      </c>
      <c r="BJ51" s="15" t="s">
        <v>446</v>
      </c>
      <c r="BK51" s="14" t="s">
        <v>446</v>
      </c>
      <c r="BL51" s="14" t="s">
        <v>446</v>
      </c>
      <c r="BM51" s="14" t="s">
        <v>446</v>
      </c>
      <c r="BN51" s="15" t="s">
        <v>446</v>
      </c>
      <c r="BP51" s="18">
        <v>6</v>
      </c>
      <c r="BQ51" s="14">
        <v>6</v>
      </c>
      <c r="BR51" s="14">
        <v>6</v>
      </c>
      <c r="BS51" s="15">
        <v>6</v>
      </c>
      <c r="BU51" s="18">
        <v>3</v>
      </c>
      <c r="BV51" s="14">
        <v>3</v>
      </c>
      <c r="BW51" s="14">
        <v>3</v>
      </c>
      <c r="BX51" s="15">
        <v>3</v>
      </c>
      <c r="BZ51" s="18">
        <v>1</v>
      </c>
      <c r="CA51" s="14">
        <v>1</v>
      </c>
      <c r="CB51" s="14">
        <v>1</v>
      </c>
      <c r="CC51" s="15">
        <v>1</v>
      </c>
    </row>
    <row r="52" spans="2:81" ht="18" customHeight="1" x14ac:dyDescent="0.2">
      <c r="B52" s="10">
        <f>garage!B52</f>
        <v>52</v>
      </c>
      <c r="C52" s="10">
        <f>garage!C52</f>
        <v>2</v>
      </c>
      <c r="D52" s="10">
        <f>garage!D52</f>
        <v>18</v>
      </c>
      <c r="E52" s="10">
        <f>garage!E52</f>
        <v>0</v>
      </c>
      <c r="F52" s="10" t="str">
        <f>garage!F52</f>
        <v>--</v>
      </c>
      <c r="G52" s="10" t="str">
        <f>garage!G52</f>
        <v>O</v>
      </c>
      <c r="H52" s="10" t="str">
        <f>garage!H52</f>
        <v>O</v>
      </c>
      <c r="I52" s="10" t="str">
        <f>garage!I52</f>
        <v>O</v>
      </c>
      <c r="J52" s="10" t="str">
        <f>garage!J52</f>
        <v>N</v>
      </c>
      <c r="K52" s="10" t="str">
        <f>garage!K52</f>
        <v>C</v>
      </c>
      <c r="L52" s="11" t="str">
        <f>garage!L52</f>
        <v>Maserati</v>
      </c>
      <c r="M52" s="11" t="str">
        <f>garage!M52</f>
        <v>Alfieri</v>
      </c>
      <c r="O52" s="19">
        <v>1</v>
      </c>
      <c r="P52" s="16">
        <v>1</v>
      </c>
      <c r="Q52" s="16">
        <v>1</v>
      </c>
      <c r="R52" s="17">
        <v>1</v>
      </c>
      <c r="S52" s="16">
        <v>1</v>
      </c>
      <c r="T52" s="16">
        <v>1</v>
      </c>
      <c r="U52" s="16">
        <v>1</v>
      </c>
      <c r="V52" s="17">
        <v>1</v>
      </c>
      <c r="W52" s="16">
        <v>1</v>
      </c>
      <c r="X52" s="16">
        <v>1</v>
      </c>
      <c r="Y52" s="16">
        <v>1</v>
      </c>
      <c r="Z52" s="17">
        <v>1</v>
      </c>
      <c r="AA52" s="16">
        <v>1</v>
      </c>
      <c r="AB52" s="16">
        <v>1</v>
      </c>
      <c r="AC52" s="16">
        <v>1</v>
      </c>
      <c r="AD52" s="17">
        <v>1</v>
      </c>
      <c r="AE52" s="16">
        <v>1</v>
      </c>
      <c r="AF52" s="16">
        <v>1</v>
      </c>
      <c r="AG52" s="16">
        <v>1</v>
      </c>
      <c r="AH52" s="17">
        <v>1</v>
      </c>
      <c r="AI52" s="16">
        <v>1</v>
      </c>
      <c r="AJ52" s="16">
        <v>1</v>
      </c>
      <c r="AK52" s="16">
        <v>1</v>
      </c>
      <c r="AL52" s="17">
        <v>1</v>
      </c>
      <c r="AM52" s="16">
        <v>1</v>
      </c>
      <c r="AN52" s="16">
        <v>1</v>
      </c>
      <c r="AO52" s="16">
        <v>1</v>
      </c>
      <c r="AP52" s="17">
        <v>1</v>
      </c>
      <c r="AQ52" s="16">
        <v>1</v>
      </c>
      <c r="AR52" s="16">
        <v>1</v>
      </c>
      <c r="AS52" s="16">
        <v>1</v>
      </c>
      <c r="AT52" s="17">
        <v>1</v>
      </c>
      <c r="AU52" s="16">
        <v>1</v>
      </c>
      <c r="AV52" s="16">
        <v>1</v>
      </c>
      <c r="AW52" s="16">
        <v>1</v>
      </c>
      <c r="AX52" s="17">
        <v>1</v>
      </c>
      <c r="AY52" s="16">
        <v>1</v>
      </c>
      <c r="AZ52" s="16">
        <v>1</v>
      </c>
      <c r="BA52" s="16">
        <v>1</v>
      </c>
      <c r="BB52" s="17">
        <v>1</v>
      </c>
      <c r="BC52" s="16">
        <v>1</v>
      </c>
      <c r="BD52" s="16">
        <v>1</v>
      </c>
      <c r="BE52" s="16">
        <v>1</v>
      </c>
      <c r="BF52" s="17">
        <v>1</v>
      </c>
      <c r="BG52" s="16" t="s">
        <v>446</v>
      </c>
      <c r="BH52" s="16" t="s">
        <v>446</v>
      </c>
      <c r="BI52" s="16" t="s">
        <v>446</v>
      </c>
      <c r="BJ52" s="17" t="s">
        <v>446</v>
      </c>
      <c r="BK52" s="16" t="s">
        <v>446</v>
      </c>
      <c r="BL52" s="16" t="s">
        <v>446</v>
      </c>
      <c r="BM52" s="16" t="s">
        <v>446</v>
      </c>
      <c r="BN52" s="17" t="s">
        <v>446</v>
      </c>
      <c r="BP52" s="19">
        <v>6</v>
      </c>
      <c r="BQ52" s="16">
        <v>6</v>
      </c>
      <c r="BR52" s="16">
        <v>6</v>
      </c>
      <c r="BS52" s="17">
        <v>6</v>
      </c>
      <c r="BU52" s="19">
        <v>3</v>
      </c>
      <c r="BV52" s="16">
        <v>3</v>
      </c>
      <c r="BW52" s="16">
        <v>3</v>
      </c>
      <c r="BX52" s="17">
        <v>3</v>
      </c>
      <c r="BZ52" s="19">
        <v>1</v>
      </c>
      <c r="CA52" s="16">
        <v>1</v>
      </c>
      <c r="CB52" s="16">
        <v>1</v>
      </c>
      <c r="CC52" s="17">
        <v>1</v>
      </c>
    </row>
    <row r="53" spans="2:81" ht="18" customHeight="1" x14ac:dyDescent="0.2">
      <c r="B53" s="10">
        <f>garage!B53</f>
        <v>53</v>
      </c>
      <c r="C53" s="10">
        <f>garage!C53</f>
        <v>2</v>
      </c>
      <c r="D53" s="10">
        <f>garage!D53</f>
        <v>19</v>
      </c>
      <c r="E53" s="10">
        <f>garage!E53</f>
        <v>32</v>
      </c>
      <c r="F53" s="10" t="str">
        <f>garage!F53</f>
        <v>--</v>
      </c>
      <c r="G53" s="10" t="str">
        <f>garage!G53</f>
        <v>N</v>
      </c>
      <c r="H53" s="10" t="str">
        <f>garage!H53</f>
        <v>N</v>
      </c>
      <c r="I53" s="10" t="str">
        <f>garage!I53</f>
        <v>N</v>
      </c>
      <c r="J53" s="10" t="str">
        <f>garage!J53</f>
        <v>N</v>
      </c>
      <c r="K53" s="10" t="str">
        <f>garage!K53</f>
        <v>C</v>
      </c>
      <c r="L53" s="11" t="str">
        <f>garage!L53</f>
        <v>Jaguar</v>
      </c>
      <c r="M53" s="11" t="str">
        <f>garage!M53</f>
        <v>XJR-15</v>
      </c>
      <c r="O53" s="19" t="s">
        <v>446</v>
      </c>
      <c r="P53" s="16" t="s">
        <v>446</v>
      </c>
      <c r="Q53" s="16" t="s">
        <v>446</v>
      </c>
      <c r="R53" s="17" t="s">
        <v>446</v>
      </c>
      <c r="S53" s="16" t="s">
        <v>446</v>
      </c>
      <c r="T53" s="16" t="s">
        <v>446</v>
      </c>
      <c r="U53" s="16" t="s">
        <v>446</v>
      </c>
      <c r="V53" s="17" t="s">
        <v>446</v>
      </c>
      <c r="W53" s="16" t="s">
        <v>446</v>
      </c>
      <c r="X53" s="16" t="s">
        <v>446</v>
      </c>
      <c r="Y53" s="16" t="s">
        <v>446</v>
      </c>
      <c r="Z53" s="17" t="s">
        <v>446</v>
      </c>
      <c r="AA53" s="16" t="s">
        <v>446</v>
      </c>
      <c r="AB53" s="16" t="s">
        <v>446</v>
      </c>
      <c r="AC53" s="16" t="s">
        <v>446</v>
      </c>
      <c r="AD53" s="17" t="s">
        <v>446</v>
      </c>
      <c r="AE53" s="16" t="s">
        <v>446</v>
      </c>
      <c r="AF53" s="16" t="s">
        <v>446</v>
      </c>
      <c r="AG53" s="16" t="s">
        <v>446</v>
      </c>
      <c r="AH53" s="17" t="s">
        <v>446</v>
      </c>
      <c r="AI53" s="16" t="s">
        <v>446</v>
      </c>
      <c r="AJ53" s="16" t="s">
        <v>446</v>
      </c>
      <c r="AK53" s="16" t="s">
        <v>446</v>
      </c>
      <c r="AL53" s="17" t="s">
        <v>446</v>
      </c>
      <c r="AM53" s="16" t="s">
        <v>446</v>
      </c>
      <c r="AN53" s="16" t="s">
        <v>446</v>
      </c>
      <c r="AO53" s="16" t="s">
        <v>446</v>
      </c>
      <c r="AP53" s="17" t="s">
        <v>446</v>
      </c>
      <c r="AQ53" s="16" t="s">
        <v>446</v>
      </c>
      <c r="AR53" s="16" t="s">
        <v>446</v>
      </c>
      <c r="AS53" s="16" t="s">
        <v>446</v>
      </c>
      <c r="AT53" s="17" t="s">
        <v>446</v>
      </c>
      <c r="AU53" s="16" t="s">
        <v>446</v>
      </c>
      <c r="AV53" s="16" t="s">
        <v>446</v>
      </c>
      <c r="AW53" s="16" t="s">
        <v>446</v>
      </c>
      <c r="AX53" s="17" t="s">
        <v>446</v>
      </c>
      <c r="AY53" s="16" t="s">
        <v>446</v>
      </c>
      <c r="AZ53" s="16" t="s">
        <v>446</v>
      </c>
      <c r="BA53" s="16" t="s">
        <v>446</v>
      </c>
      <c r="BB53" s="17" t="s">
        <v>446</v>
      </c>
      <c r="BC53" s="16" t="s">
        <v>446</v>
      </c>
      <c r="BD53" s="16" t="s">
        <v>446</v>
      </c>
      <c r="BE53" s="16" t="s">
        <v>446</v>
      </c>
      <c r="BF53" s="17" t="s">
        <v>446</v>
      </c>
      <c r="BG53" s="16" t="s">
        <v>446</v>
      </c>
      <c r="BH53" s="16" t="s">
        <v>446</v>
      </c>
      <c r="BI53" s="16" t="s">
        <v>446</v>
      </c>
      <c r="BJ53" s="17" t="s">
        <v>446</v>
      </c>
      <c r="BK53" s="16" t="s">
        <v>446</v>
      </c>
      <c r="BL53" s="16" t="s">
        <v>446</v>
      </c>
      <c r="BM53" s="16" t="s">
        <v>446</v>
      </c>
      <c r="BN53" s="17" t="s">
        <v>446</v>
      </c>
      <c r="BP53" s="19" t="s">
        <v>446</v>
      </c>
      <c r="BQ53" s="16" t="s">
        <v>446</v>
      </c>
      <c r="BR53" s="16" t="s">
        <v>446</v>
      </c>
      <c r="BS53" s="17" t="s">
        <v>446</v>
      </c>
      <c r="BU53" s="19" t="s">
        <v>446</v>
      </c>
      <c r="BV53" s="16" t="s">
        <v>446</v>
      </c>
      <c r="BW53" s="16" t="s">
        <v>446</v>
      </c>
      <c r="BX53" s="17" t="s">
        <v>446</v>
      </c>
      <c r="BZ53" s="19" t="s">
        <v>446</v>
      </c>
      <c r="CA53" s="16" t="s">
        <v>446</v>
      </c>
      <c r="CB53" s="16" t="s">
        <v>446</v>
      </c>
      <c r="CC53" s="17" t="s">
        <v>446</v>
      </c>
    </row>
    <row r="54" spans="2:81" ht="18" customHeight="1" x14ac:dyDescent="0.2">
      <c r="B54" s="8">
        <f>garage!B54</f>
        <v>54</v>
      </c>
      <c r="C54" s="8">
        <f>garage!C54</f>
        <v>2</v>
      </c>
      <c r="D54" s="8">
        <f>garage!D54</f>
        <v>20</v>
      </c>
      <c r="E54" s="8">
        <f>garage!E54</f>
        <v>26</v>
      </c>
      <c r="F54" s="8" t="str">
        <f>garage!F54</f>
        <v>F</v>
      </c>
      <c r="G54" s="8" t="str">
        <f>garage!G54</f>
        <v>O</v>
      </c>
      <c r="H54" s="8" t="str">
        <f>garage!H54</f>
        <v>N</v>
      </c>
      <c r="I54" s="8" t="str">
        <f>garage!I54</f>
        <v>N</v>
      </c>
      <c r="J54" s="8" t="str">
        <f>garage!J54</f>
        <v>O</v>
      </c>
      <c r="K54" s="8" t="str">
        <f>garage!K54</f>
        <v>C</v>
      </c>
      <c r="L54" s="9" t="str">
        <f>garage!L54</f>
        <v>Ferrari</v>
      </c>
      <c r="M54" s="9" t="str">
        <f>garage!M54</f>
        <v>Monza SP1</v>
      </c>
      <c r="O54" s="18" t="s">
        <v>446</v>
      </c>
      <c r="P54" s="14" t="s">
        <v>446</v>
      </c>
      <c r="Q54" s="14" t="s">
        <v>446</v>
      </c>
      <c r="R54" s="15" t="s">
        <v>446</v>
      </c>
      <c r="S54" s="14" t="s">
        <v>446</v>
      </c>
      <c r="T54" s="14" t="s">
        <v>446</v>
      </c>
      <c r="U54" s="14" t="s">
        <v>446</v>
      </c>
      <c r="V54" s="15" t="s">
        <v>446</v>
      </c>
      <c r="W54" s="14" t="s">
        <v>446</v>
      </c>
      <c r="X54" s="14" t="s">
        <v>446</v>
      </c>
      <c r="Y54" s="14" t="s">
        <v>446</v>
      </c>
      <c r="Z54" s="15" t="s">
        <v>446</v>
      </c>
      <c r="AA54" s="14" t="s">
        <v>446</v>
      </c>
      <c r="AB54" s="14" t="s">
        <v>446</v>
      </c>
      <c r="AC54" s="14" t="s">
        <v>446</v>
      </c>
      <c r="AD54" s="15" t="s">
        <v>446</v>
      </c>
      <c r="AE54" s="14" t="s">
        <v>446</v>
      </c>
      <c r="AF54" s="14" t="s">
        <v>446</v>
      </c>
      <c r="AG54" s="14" t="s">
        <v>446</v>
      </c>
      <c r="AH54" s="15" t="s">
        <v>446</v>
      </c>
      <c r="AI54" s="14" t="s">
        <v>446</v>
      </c>
      <c r="AJ54" s="14" t="s">
        <v>446</v>
      </c>
      <c r="AK54" s="14" t="s">
        <v>446</v>
      </c>
      <c r="AL54" s="15" t="s">
        <v>446</v>
      </c>
      <c r="AM54" s="14" t="s">
        <v>446</v>
      </c>
      <c r="AN54" s="14" t="s">
        <v>446</v>
      </c>
      <c r="AO54" s="14" t="s">
        <v>446</v>
      </c>
      <c r="AP54" s="15" t="s">
        <v>446</v>
      </c>
      <c r="AQ54" s="14" t="s">
        <v>446</v>
      </c>
      <c r="AR54" s="14" t="s">
        <v>446</v>
      </c>
      <c r="AS54" s="14" t="s">
        <v>446</v>
      </c>
      <c r="AT54" s="15" t="s">
        <v>446</v>
      </c>
      <c r="AU54" s="14" t="s">
        <v>446</v>
      </c>
      <c r="AV54" s="14" t="s">
        <v>446</v>
      </c>
      <c r="AW54" s="14" t="s">
        <v>446</v>
      </c>
      <c r="AX54" s="15" t="s">
        <v>446</v>
      </c>
      <c r="AY54" s="14" t="s">
        <v>446</v>
      </c>
      <c r="AZ54" s="14" t="s">
        <v>446</v>
      </c>
      <c r="BA54" s="14" t="s">
        <v>446</v>
      </c>
      <c r="BB54" s="15" t="s">
        <v>446</v>
      </c>
      <c r="BC54" s="14" t="s">
        <v>446</v>
      </c>
      <c r="BD54" s="14" t="s">
        <v>446</v>
      </c>
      <c r="BE54" s="14" t="s">
        <v>446</v>
      </c>
      <c r="BF54" s="15" t="s">
        <v>446</v>
      </c>
      <c r="BG54" s="14" t="s">
        <v>446</v>
      </c>
      <c r="BH54" s="14" t="s">
        <v>446</v>
      </c>
      <c r="BI54" s="14" t="s">
        <v>446</v>
      </c>
      <c r="BJ54" s="15" t="s">
        <v>446</v>
      </c>
      <c r="BK54" s="14" t="s">
        <v>446</v>
      </c>
      <c r="BL54" s="14" t="s">
        <v>446</v>
      </c>
      <c r="BM54" s="14" t="s">
        <v>446</v>
      </c>
      <c r="BN54" s="15" t="s">
        <v>446</v>
      </c>
      <c r="BP54" s="18" t="s">
        <v>446</v>
      </c>
      <c r="BQ54" s="14" t="s">
        <v>446</v>
      </c>
      <c r="BR54" s="14" t="s">
        <v>446</v>
      </c>
      <c r="BS54" s="15" t="s">
        <v>446</v>
      </c>
      <c r="BU54" s="18" t="s">
        <v>446</v>
      </c>
      <c r="BV54" s="14" t="s">
        <v>446</v>
      </c>
      <c r="BW54" s="14" t="s">
        <v>446</v>
      </c>
      <c r="BX54" s="15" t="s">
        <v>446</v>
      </c>
      <c r="BZ54" s="18" t="s">
        <v>446</v>
      </c>
      <c r="CA54" s="14" t="s">
        <v>446</v>
      </c>
      <c r="CB54" s="14" t="s">
        <v>446</v>
      </c>
      <c r="CC54" s="15" t="s">
        <v>446</v>
      </c>
    </row>
    <row r="55" spans="2:81" ht="18" customHeight="1" x14ac:dyDescent="0.2">
      <c r="B55" s="10">
        <f>garage!B55</f>
        <v>55</v>
      </c>
      <c r="C55" s="10">
        <f>garage!C55</f>
        <v>2</v>
      </c>
      <c r="D55" s="10">
        <f>garage!D55</f>
        <v>21</v>
      </c>
      <c r="E55" s="10">
        <f>garage!E55</f>
        <v>18</v>
      </c>
      <c r="F55" s="10" t="str">
        <f>garage!F55</f>
        <v>--</v>
      </c>
      <c r="G55" s="10" t="str">
        <f>garage!G55</f>
        <v>O</v>
      </c>
      <c r="H55" s="10" t="str">
        <f>garage!H55</f>
        <v>O</v>
      </c>
      <c r="I55" s="10" t="str">
        <f>garage!I55</f>
        <v>N</v>
      </c>
      <c r="J55" s="10" t="str">
        <f>garage!J55</f>
        <v>N</v>
      </c>
      <c r="K55" s="10" t="str">
        <f>garage!K55</f>
        <v>C</v>
      </c>
      <c r="L55" s="11" t="str">
        <f>garage!L55</f>
        <v>ATS Automobili</v>
      </c>
      <c r="M55" s="11" t="str">
        <f>garage!M55</f>
        <v>Corsa RRTurbo</v>
      </c>
      <c r="O55" s="19">
        <v>1</v>
      </c>
      <c r="P55" s="16">
        <v>1</v>
      </c>
      <c r="Q55" s="16">
        <v>1</v>
      </c>
      <c r="R55" s="17">
        <v>1</v>
      </c>
      <c r="S55" s="16">
        <v>1</v>
      </c>
      <c r="T55" s="16">
        <v>1</v>
      </c>
      <c r="U55" s="16">
        <v>1</v>
      </c>
      <c r="V55" s="17">
        <v>1</v>
      </c>
      <c r="W55" s="16">
        <v>1</v>
      </c>
      <c r="X55" s="16">
        <v>1</v>
      </c>
      <c r="Y55" s="16">
        <v>1</v>
      </c>
      <c r="Z55" s="17">
        <v>1</v>
      </c>
      <c r="AA55" s="16">
        <v>1</v>
      </c>
      <c r="AB55" s="16">
        <v>1</v>
      </c>
      <c r="AC55" s="16">
        <v>1</v>
      </c>
      <c r="AD55" s="17">
        <v>1</v>
      </c>
      <c r="AE55" s="16">
        <v>1</v>
      </c>
      <c r="AF55" s="16">
        <v>1</v>
      </c>
      <c r="AG55" s="16">
        <v>1</v>
      </c>
      <c r="AH55" s="17">
        <v>1</v>
      </c>
      <c r="AI55" s="16">
        <v>1</v>
      </c>
      <c r="AJ55" s="16">
        <v>1</v>
      </c>
      <c r="AK55" s="16">
        <v>1</v>
      </c>
      <c r="AL55" s="17">
        <v>1</v>
      </c>
      <c r="AM55" s="16">
        <v>1</v>
      </c>
      <c r="AN55" s="16">
        <v>1</v>
      </c>
      <c r="AO55" s="16">
        <v>1</v>
      </c>
      <c r="AP55" s="17">
        <v>1</v>
      </c>
      <c r="AQ55" s="16">
        <v>1</v>
      </c>
      <c r="AR55" s="16">
        <v>1</v>
      </c>
      <c r="AS55" s="16">
        <v>1</v>
      </c>
      <c r="AT55" s="17">
        <v>1</v>
      </c>
      <c r="AU55" s="16">
        <v>1</v>
      </c>
      <c r="AV55" s="16">
        <v>1</v>
      </c>
      <c r="AW55" s="16">
        <v>1</v>
      </c>
      <c r="AX55" s="17">
        <v>1</v>
      </c>
      <c r="AY55" s="16">
        <v>1</v>
      </c>
      <c r="AZ55" s="16">
        <v>1</v>
      </c>
      <c r="BA55" s="16">
        <v>1</v>
      </c>
      <c r="BB55" s="17">
        <v>1</v>
      </c>
      <c r="BC55" s="16">
        <v>1</v>
      </c>
      <c r="BD55" s="16">
        <v>1</v>
      </c>
      <c r="BE55" s="16">
        <v>1</v>
      </c>
      <c r="BF55" s="17">
        <v>1</v>
      </c>
      <c r="BG55" s="16" t="s">
        <v>446</v>
      </c>
      <c r="BH55" s="16" t="s">
        <v>446</v>
      </c>
      <c r="BI55" s="16" t="s">
        <v>446</v>
      </c>
      <c r="BJ55" s="17" t="s">
        <v>446</v>
      </c>
      <c r="BK55" s="16" t="s">
        <v>446</v>
      </c>
      <c r="BL55" s="16" t="s">
        <v>446</v>
      </c>
      <c r="BM55" s="16" t="s">
        <v>446</v>
      </c>
      <c r="BN55" s="17" t="s">
        <v>446</v>
      </c>
      <c r="BP55" s="19">
        <v>6</v>
      </c>
      <c r="BQ55" s="16">
        <v>6</v>
      </c>
      <c r="BR55" s="16">
        <v>6</v>
      </c>
      <c r="BS55" s="17">
        <v>6</v>
      </c>
      <c r="BU55" s="19">
        <v>3</v>
      </c>
      <c r="BV55" s="16">
        <v>3</v>
      </c>
      <c r="BW55" s="16">
        <v>3</v>
      </c>
      <c r="BX55" s="17">
        <v>3</v>
      </c>
      <c r="BZ55" s="19" t="s">
        <v>446</v>
      </c>
      <c r="CA55" s="16" t="s">
        <v>446</v>
      </c>
      <c r="CB55" s="16" t="s">
        <v>446</v>
      </c>
      <c r="CC55" s="17" t="s">
        <v>446</v>
      </c>
    </row>
    <row r="56" spans="2:81" ht="18" customHeight="1" x14ac:dyDescent="0.2">
      <c r="B56" s="8">
        <f>garage!B56</f>
        <v>56</v>
      </c>
      <c r="C56" s="8">
        <f>garage!C56</f>
        <v>2</v>
      </c>
      <c r="D56" s="8">
        <f>garage!D56</f>
        <v>22</v>
      </c>
      <c r="E56" s="8">
        <f>garage!E56</f>
        <v>27</v>
      </c>
      <c r="F56" s="8" t="str">
        <f>garage!F56</f>
        <v>--</v>
      </c>
      <c r="G56" s="8" t="str">
        <f>garage!G56</f>
        <v>N</v>
      </c>
      <c r="H56" s="8" t="str">
        <f>garage!H56</f>
        <v>N</v>
      </c>
      <c r="I56" s="8" t="str">
        <f>garage!I56</f>
        <v>N</v>
      </c>
      <c r="J56" s="8" t="str">
        <f>garage!J56</f>
        <v>N</v>
      </c>
      <c r="K56" s="8" t="str">
        <f>garage!K56</f>
        <v>C</v>
      </c>
      <c r="L56" s="9" t="str">
        <f>garage!L56</f>
        <v>Jaguar</v>
      </c>
      <c r="M56" s="9" t="str">
        <f>garage!M56</f>
        <v>XE SV Project 8</v>
      </c>
      <c r="O56" s="18" t="s">
        <v>446</v>
      </c>
      <c r="P56" s="14" t="s">
        <v>446</v>
      </c>
      <c r="Q56" s="14" t="s">
        <v>446</v>
      </c>
      <c r="R56" s="15" t="s">
        <v>446</v>
      </c>
      <c r="S56" s="14" t="s">
        <v>446</v>
      </c>
      <c r="T56" s="14" t="s">
        <v>446</v>
      </c>
      <c r="U56" s="14" t="s">
        <v>446</v>
      </c>
      <c r="V56" s="15" t="s">
        <v>446</v>
      </c>
      <c r="W56" s="14" t="s">
        <v>446</v>
      </c>
      <c r="X56" s="14" t="s">
        <v>446</v>
      </c>
      <c r="Y56" s="14" t="s">
        <v>446</v>
      </c>
      <c r="Z56" s="15" t="s">
        <v>446</v>
      </c>
      <c r="AA56" s="14" t="s">
        <v>446</v>
      </c>
      <c r="AB56" s="14" t="s">
        <v>446</v>
      </c>
      <c r="AC56" s="14" t="s">
        <v>446</v>
      </c>
      <c r="AD56" s="15" t="s">
        <v>446</v>
      </c>
      <c r="AE56" s="14" t="s">
        <v>446</v>
      </c>
      <c r="AF56" s="14" t="s">
        <v>446</v>
      </c>
      <c r="AG56" s="14" t="s">
        <v>446</v>
      </c>
      <c r="AH56" s="15" t="s">
        <v>446</v>
      </c>
      <c r="AI56" s="14" t="s">
        <v>446</v>
      </c>
      <c r="AJ56" s="14" t="s">
        <v>446</v>
      </c>
      <c r="AK56" s="14" t="s">
        <v>446</v>
      </c>
      <c r="AL56" s="15" t="s">
        <v>446</v>
      </c>
      <c r="AM56" s="14" t="s">
        <v>446</v>
      </c>
      <c r="AN56" s="14" t="s">
        <v>446</v>
      </c>
      <c r="AO56" s="14" t="s">
        <v>446</v>
      </c>
      <c r="AP56" s="15" t="s">
        <v>446</v>
      </c>
      <c r="AQ56" s="14" t="s">
        <v>446</v>
      </c>
      <c r="AR56" s="14" t="s">
        <v>446</v>
      </c>
      <c r="AS56" s="14" t="s">
        <v>446</v>
      </c>
      <c r="AT56" s="15" t="s">
        <v>446</v>
      </c>
      <c r="AU56" s="14" t="s">
        <v>446</v>
      </c>
      <c r="AV56" s="14" t="s">
        <v>446</v>
      </c>
      <c r="AW56" s="14" t="s">
        <v>446</v>
      </c>
      <c r="AX56" s="15" t="s">
        <v>446</v>
      </c>
      <c r="AY56" s="14" t="s">
        <v>446</v>
      </c>
      <c r="AZ56" s="14" t="s">
        <v>446</v>
      </c>
      <c r="BA56" s="14" t="s">
        <v>446</v>
      </c>
      <c r="BB56" s="15" t="s">
        <v>446</v>
      </c>
      <c r="BC56" s="14" t="s">
        <v>446</v>
      </c>
      <c r="BD56" s="14" t="s">
        <v>446</v>
      </c>
      <c r="BE56" s="14" t="s">
        <v>446</v>
      </c>
      <c r="BF56" s="15" t="s">
        <v>446</v>
      </c>
      <c r="BG56" s="14" t="s">
        <v>446</v>
      </c>
      <c r="BH56" s="14" t="s">
        <v>446</v>
      </c>
      <c r="BI56" s="14" t="s">
        <v>446</v>
      </c>
      <c r="BJ56" s="15" t="s">
        <v>446</v>
      </c>
      <c r="BK56" s="14" t="s">
        <v>446</v>
      </c>
      <c r="BL56" s="14" t="s">
        <v>446</v>
      </c>
      <c r="BM56" s="14" t="s">
        <v>446</v>
      </c>
      <c r="BN56" s="15" t="s">
        <v>446</v>
      </c>
      <c r="BP56" s="18" t="s">
        <v>446</v>
      </c>
      <c r="BQ56" s="14" t="s">
        <v>446</v>
      </c>
      <c r="BR56" s="14" t="s">
        <v>446</v>
      </c>
      <c r="BS56" s="15" t="s">
        <v>446</v>
      </c>
      <c r="BU56" s="18" t="s">
        <v>446</v>
      </c>
      <c r="BV56" s="14" t="s">
        <v>446</v>
      </c>
      <c r="BW56" s="14" t="s">
        <v>446</v>
      </c>
      <c r="BX56" s="15" t="s">
        <v>446</v>
      </c>
      <c r="BZ56" s="18" t="s">
        <v>446</v>
      </c>
      <c r="CA56" s="14" t="s">
        <v>446</v>
      </c>
      <c r="CB56" s="14" t="s">
        <v>446</v>
      </c>
      <c r="CC56" s="15" t="s">
        <v>446</v>
      </c>
    </row>
    <row r="57" spans="2:81" ht="18" customHeight="1" x14ac:dyDescent="0.2">
      <c r="B57" s="10">
        <f>garage!B57</f>
        <v>57</v>
      </c>
      <c r="C57" s="10">
        <f>garage!C57</f>
        <v>2</v>
      </c>
      <c r="D57" s="10">
        <f>garage!D57</f>
        <v>23</v>
      </c>
      <c r="E57" s="10">
        <f>garage!E57</f>
        <v>15</v>
      </c>
      <c r="F57" s="10" t="str">
        <f>garage!F57</f>
        <v>F</v>
      </c>
      <c r="G57" s="10" t="str">
        <f>garage!G57</f>
        <v>O</v>
      </c>
      <c r="H57" s="10" t="str">
        <f>garage!H57</f>
        <v>O</v>
      </c>
      <c r="I57" s="10" t="str">
        <f>garage!I57</f>
        <v>N</v>
      </c>
      <c r="J57" s="10" t="str">
        <f>garage!J57</f>
        <v>N</v>
      </c>
      <c r="K57" s="10" t="str">
        <f>garage!K57</f>
        <v>C</v>
      </c>
      <c r="L57" s="11" t="str">
        <f>garage!L57</f>
        <v>Ferrari</v>
      </c>
      <c r="M57" s="11" t="str">
        <f>garage!M57</f>
        <v>F40</v>
      </c>
      <c r="O57" s="19">
        <v>1</v>
      </c>
      <c r="P57" s="16">
        <v>1</v>
      </c>
      <c r="Q57" s="16">
        <v>1</v>
      </c>
      <c r="R57" s="17">
        <v>1</v>
      </c>
      <c r="S57" s="16">
        <v>1</v>
      </c>
      <c r="T57" s="16">
        <v>1</v>
      </c>
      <c r="U57" s="16">
        <v>1</v>
      </c>
      <c r="V57" s="17">
        <v>1</v>
      </c>
      <c r="W57" s="16">
        <v>1</v>
      </c>
      <c r="X57" s="16">
        <v>1</v>
      </c>
      <c r="Y57" s="16">
        <v>1</v>
      </c>
      <c r="Z57" s="17">
        <v>1</v>
      </c>
      <c r="AA57" s="16">
        <v>1</v>
      </c>
      <c r="AB57" s="16">
        <v>1</v>
      </c>
      <c r="AC57" s="16">
        <v>1</v>
      </c>
      <c r="AD57" s="17">
        <v>1</v>
      </c>
      <c r="AE57" s="16">
        <v>1</v>
      </c>
      <c r="AF57" s="16">
        <v>1</v>
      </c>
      <c r="AG57" s="16">
        <v>1</v>
      </c>
      <c r="AH57" s="17">
        <v>1</v>
      </c>
      <c r="AI57" s="16">
        <v>1</v>
      </c>
      <c r="AJ57" s="16">
        <v>1</v>
      </c>
      <c r="AK57" s="16">
        <v>1</v>
      </c>
      <c r="AL57" s="17">
        <v>1</v>
      </c>
      <c r="AM57" s="16">
        <v>1</v>
      </c>
      <c r="AN57" s="16">
        <v>1</v>
      </c>
      <c r="AO57" s="16">
        <v>1</v>
      </c>
      <c r="AP57" s="17">
        <v>1</v>
      </c>
      <c r="AQ57" s="16">
        <v>1</v>
      </c>
      <c r="AR57" s="16">
        <v>1</v>
      </c>
      <c r="AS57" s="16">
        <v>1</v>
      </c>
      <c r="AT57" s="17">
        <v>1</v>
      </c>
      <c r="AU57" s="16">
        <v>1</v>
      </c>
      <c r="AV57" s="16">
        <v>1</v>
      </c>
      <c r="AW57" s="16">
        <v>1</v>
      </c>
      <c r="AX57" s="17">
        <v>1</v>
      </c>
      <c r="AY57" s="16">
        <v>1</v>
      </c>
      <c r="AZ57" s="16">
        <v>1</v>
      </c>
      <c r="BA57" s="16">
        <v>1</v>
      </c>
      <c r="BB57" s="17">
        <v>1</v>
      </c>
      <c r="BC57" s="16">
        <v>1</v>
      </c>
      <c r="BD57" s="16">
        <v>1</v>
      </c>
      <c r="BE57" s="16">
        <v>1</v>
      </c>
      <c r="BF57" s="17">
        <v>1</v>
      </c>
      <c r="BG57" s="16">
        <v>1</v>
      </c>
      <c r="BH57" s="16">
        <v>1</v>
      </c>
      <c r="BI57" s="16">
        <v>1</v>
      </c>
      <c r="BJ57" s="17">
        <v>1</v>
      </c>
      <c r="BK57" s="16" t="s">
        <v>446</v>
      </c>
      <c r="BL57" s="16" t="s">
        <v>446</v>
      </c>
      <c r="BM57" s="16" t="s">
        <v>446</v>
      </c>
      <c r="BN57" s="17" t="s">
        <v>446</v>
      </c>
      <c r="BP57" s="19">
        <v>9</v>
      </c>
      <c r="BQ57" s="16">
        <v>9</v>
      </c>
      <c r="BR57" s="16">
        <v>9</v>
      </c>
      <c r="BS57" s="17">
        <v>9</v>
      </c>
      <c r="BU57" s="19">
        <v>4</v>
      </c>
      <c r="BV57" s="16">
        <v>4</v>
      </c>
      <c r="BW57" s="16">
        <v>4</v>
      </c>
      <c r="BX57" s="17">
        <v>4</v>
      </c>
      <c r="BZ57" s="19" t="s">
        <v>446</v>
      </c>
      <c r="CA57" s="16" t="s">
        <v>446</v>
      </c>
      <c r="CB57" s="16" t="s">
        <v>446</v>
      </c>
      <c r="CC57" s="17" t="s">
        <v>446</v>
      </c>
    </row>
    <row r="58" spans="2:81" ht="18" customHeight="1" x14ac:dyDescent="0.2">
      <c r="B58" s="8">
        <f>garage!B58</f>
        <v>58</v>
      </c>
      <c r="C58" s="8">
        <f>garage!C58</f>
        <v>2</v>
      </c>
      <c r="D58" s="8">
        <f>garage!D58</f>
        <v>24</v>
      </c>
      <c r="E58" s="8">
        <f>garage!E58</f>
        <v>19</v>
      </c>
      <c r="F58" s="8" t="str">
        <f>garage!F58</f>
        <v>--</v>
      </c>
      <c r="G58" s="8" t="str">
        <f>garage!G58</f>
        <v>N</v>
      </c>
      <c r="H58" s="8" t="str">
        <f>garage!H58</f>
        <v>N</v>
      </c>
      <c r="I58" s="8" t="str">
        <f>garage!I58</f>
        <v>N</v>
      </c>
      <c r="J58" s="8" t="str">
        <f>garage!J58</f>
        <v>N</v>
      </c>
      <c r="K58" s="8" t="str">
        <f>garage!K58</f>
        <v>C</v>
      </c>
      <c r="L58" s="9" t="str">
        <f>garage!L58</f>
        <v>Renault</v>
      </c>
      <c r="M58" s="9" t="str">
        <f>garage!M58</f>
        <v>R.S. 01</v>
      </c>
      <c r="O58" s="18" t="s">
        <v>446</v>
      </c>
      <c r="P58" s="14" t="s">
        <v>446</v>
      </c>
      <c r="Q58" s="14" t="s">
        <v>446</v>
      </c>
      <c r="R58" s="15" t="s">
        <v>446</v>
      </c>
      <c r="S58" s="14" t="s">
        <v>446</v>
      </c>
      <c r="T58" s="14" t="s">
        <v>446</v>
      </c>
      <c r="U58" s="14" t="s">
        <v>446</v>
      </c>
      <c r="V58" s="15" t="s">
        <v>446</v>
      </c>
      <c r="W58" s="14" t="s">
        <v>446</v>
      </c>
      <c r="X58" s="14" t="s">
        <v>446</v>
      </c>
      <c r="Y58" s="14" t="s">
        <v>446</v>
      </c>
      <c r="Z58" s="15" t="s">
        <v>446</v>
      </c>
      <c r="AA58" s="14" t="s">
        <v>446</v>
      </c>
      <c r="AB58" s="14" t="s">
        <v>446</v>
      </c>
      <c r="AC58" s="14" t="s">
        <v>446</v>
      </c>
      <c r="AD58" s="15" t="s">
        <v>446</v>
      </c>
      <c r="AE58" s="14" t="s">
        <v>446</v>
      </c>
      <c r="AF58" s="14" t="s">
        <v>446</v>
      </c>
      <c r="AG58" s="14" t="s">
        <v>446</v>
      </c>
      <c r="AH58" s="15" t="s">
        <v>446</v>
      </c>
      <c r="AI58" s="14" t="s">
        <v>446</v>
      </c>
      <c r="AJ58" s="14" t="s">
        <v>446</v>
      </c>
      <c r="AK58" s="14" t="s">
        <v>446</v>
      </c>
      <c r="AL58" s="15" t="s">
        <v>446</v>
      </c>
      <c r="AM58" s="14" t="s">
        <v>446</v>
      </c>
      <c r="AN58" s="14" t="s">
        <v>446</v>
      </c>
      <c r="AO58" s="14" t="s">
        <v>446</v>
      </c>
      <c r="AP58" s="15" t="s">
        <v>446</v>
      </c>
      <c r="AQ58" s="14" t="s">
        <v>446</v>
      </c>
      <c r="AR58" s="14" t="s">
        <v>446</v>
      </c>
      <c r="AS58" s="14" t="s">
        <v>446</v>
      </c>
      <c r="AT58" s="15" t="s">
        <v>446</v>
      </c>
      <c r="AU58" s="14" t="s">
        <v>446</v>
      </c>
      <c r="AV58" s="14" t="s">
        <v>446</v>
      </c>
      <c r="AW58" s="14" t="s">
        <v>446</v>
      </c>
      <c r="AX58" s="15" t="s">
        <v>446</v>
      </c>
      <c r="AY58" s="14" t="s">
        <v>446</v>
      </c>
      <c r="AZ58" s="14" t="s">
        <v>446</v>
      </c>
      <c r="BA58" s="14" t="s">
        <v>446</v>
      </c>
      <c r="BB58" s="15" t="s">
        <v>446</v>
      </c>
      <c r="BC58" s="14" t="s">
        <v>446</v>
      </c>
      <c r="BD58" s="14" t="s">
        <v>446</v>
      </c>
      <c r="BE58" s="14" t="s">
        <v>446</v>
      </c>
      <c r="BF58" s="15" t="s">
        <v>446</v>
      </c>
      <c r="BG58" s="14" t="s">
        <v>446</v>
      </c>
      <c r="BH58" s="14" t="s">
        <v>446</v>
      </c>
      <c r="BI58" s="14" t="s">
        <v>446</v>
      </c>
      <c r="BJ58" s="15" t="s">
        <v>446</v>
      </c>
      <c r="BK58" s="14" t="s">
        <v>446</v>
      </c>
      <c r="BL58" s="14" t="s">
        <v>446</v>
      </c>
      <c r="BM58" s="14" t="s">
        <v>446</v>
      </c>
      <c r="BN58" s="15" t="s">
        <v>446</v>
      </c>
      <c r="BP58" s="18" t="s">
        <v>446</v>
      </c>
      <c r="BQ58" s="14" t="s">
        <v>446</v>
      </c>
      <c r="BR58" s="14" t="s">
        <v>446</v>
      </c>
      <c r="BS58" s="15" t="s">
        <v>446</v>
      </c>
      <c r="BU58" s="18" t="s">
        <v>446</v>
      </c>
      <c r="BV58" s="14" t="s">
        <v>446</v>
      </c>
      <c r="BW58" s="14" t="s">
        <v>446</v>
      </c>
      <c r="BX58" s="15" t="s">
        <v>446</v>
      </c>
      <c r="BZ58" s="18" t="s">
        <v>446</v>
      </c>
      <c r="CA58" s="14" t="s">
        <v>446</v>
      </c>
      <c r="CB58" s="14" t="s">
        <v>446</v>
      </c>
      <c r="CC58" s="15" t="s">
        <v>446</v>
      </c>
    </row>
    <row r="59" spans="2:81" ht="18" customHeight="1" x14ac:dyDescent="0.2">
      <c r="B59" s="10">
        <f>garage!B59</f>
        <v>59</v>
      </c>
      <c r="C59" s="10">
        <f>garage!C59</f>
        <v>2</v>
      </c>
      <c r="D59" s="10">
        <f>garage!D59</f>
        <v>25</v>
      </c>
      <c r="E59" s="10">
        <f>garage!E59</f>
        <v>31</v>
      </c>
      <c r="F59" s="10" t="str">
        <f>garage!F59</f>
        <v>--</v>
      </c>
      <c r="G59" s="10" t="str">
        <f>garage!G59</f>
        <v>N</v>
      </c>
      <c r="H59" s="10" t="str">
        <f>garage!H59</f>
        <v>N</v>
      </c>
      <c r="I59" s="10" t="str">
        <f>garage!I59</f>
        <v>N</v>
      </c>
      <c r="J59" s="10" t="str">
        <f>garage!J59</f>
        <v>N</v>
      </c>
      <c r="K59" s="10" t="str">
        <f>garage!K59</f>
        <v>C</v>
      </c>
      <c r="L59" s="11" t="str">
        <f>garage!L59</f>
        <v>Mercedes-Benz</v>
      </c>
      <c r="M59" s="11" t="str">
        <f>garage!M59</f>
        <v>CLK-GTR</v>
      </c>
      <c r="O59" s="19" t="s">
        <v>446</v>
      </c>
      <c r="P59" s="16" t="s">
        <v>446</v>
      </c>
      <c r="Q59" s="16" t="s">
        <v>446</v>
      </c>
      <c r="R59" s="17" t="s">
        <v>446</v>
      </c>
      <c r="S59" s="16" t="s">
        <v>446</v>
      </c>
      <c r="T59" s="16" t="s">
        <v>446</v>
      </c>
      <c r="U59" s="16" t="s">
        <v>446</v>
      </c>
      <c r="V59" s="17" t="s">
        <v>446</v>
      </c>
      <c r="W59" s="16" t="s">
        <v>446</v>
      </c>
      <c r="X59" s="16" t="s">
        <v>446</v>
      </c>
      <c r="Y59" s="16" t="s">
        <v>446</v>
      </c>
      <c r="Z59" s="17" t="s">
        <v>446</v>
      </c>
      <c r="AA59" s="16" t="s">
        <v>446</v>
      </c>
      <c r="AB59" s="16" t="s">
        <v>446</v>
      </c>
      <c r="AC59" s="16" t="s">
        <v>446</v>
      </c>
      <c r="AD59" s="17" t="s">
        <v>446</v>
      </c>
      <c r="AE59" s="16" t="s">
        <v>446</v>
      </c>
      <c r="AF59" s="16" t="s">
        <v>446</v>
      </c>
      <c r="AG59" s="16" t="s">
        <v>446</v>
      </c>
      <c r="AH59" s="17" t="s">
        <v>446</v>
      </c>
      <c r="AI59" s="16" t="s">
        <v>446</v>
      </c>
      <c r="AJ59" s="16" t="s">
        <v>446</v>
      </c>
      <c r="AK59" s="16" t="s">
        <v>446</v>
      </c>
      <c r="AL59" s="17" t="s">
        <v>446</v>
      </c>
      <c r="AM59" s="16" t="s">
        <v>446</v>
      </c>
      <c r="AN59" s="16" t="s">
        <v>446</v>
      </c>
      <c r="AO59" s="16" t="s">
        <v>446</v>
      </c>
      <c r="AP59" s="17" t="s">
        <v>446</v>
      </c>
      <c r="AQ59" s="16" t="s">
        <v>446</v>
      </c>
      <c r="AR59" s="16" t="s">
        <v>446</v>
      </c>
      <c r="AS59" s="16" t="s">
        <v>446</v>
      </c>
      <c r="AT59" s="17" t="s">
        <v>446</v>
      </c>
      <c r="AU59" s="16" t="s">
        <v>446</v>
      </c>
      <c r="AV59" s="16" t="s">
        <v>446</v>
      </c>
      <c r="AW59" s="16" t="s">
        <v>446</v>
      </c>
      <c r="AX59" s="17" t="s">
        <v>446</v>
      </c>
      <c r="AY59" s="16" t="s">
        <v>446</v>
      </c>
      <c r="AZ59" s="16" t="s">
        <v>446</v>
      </c>
      <c r="BA59" s="16" t="s">
        <v>446</v>
      </c>
      <c r="BB59" s="17" t="s">
        <v>446</v>
      </c>
      <c r="BC59" s="16" t="s">
        <v>446</v>
      </c>
      <c r="BD59" s="16" t="s">
        <v>446</v>
      </c>
      <c r="BE59" s="16" t="s">
        <v>446</v>
      </c>
      <c r="BF59" s="17" t="s">
        <v>446</v>
      </c>
      <c r="BG59" s="16" t="s">
        <v>446</v>
      </c>
      <c r="BH59" s="16" t="s">
        <v>446</v>
      </c>
      <c r="BI59" s="16" t="s">
        <v>446</v>
      </c>
      <c r="BJ59" s="17" t="s">
        <v>446</v>
      </c>
      <c r="BK59" s="16" t="s">
        <v>446</v>
      </c>
      <c r="BL59" s="16" t="s">
        <v>446</v>
      </c>
      <c r="BM59" s="16" t="s">
        <v>446</v>
      </c>
      <c r="BN59" s="17" t="s">
        <v>446</v>
      </c>
      <c r="BP59" s="19" t="s">
        <v>446</v>
      </c>
      <c r="BQ59" s="16" t="s">
        <v>446</v>
      </c>
      <c r="BR59" s="16" t="s">
        <v>446</v>
      </c>
      <c r="BS59" s="17" t="s">
        <v>446</v>
      </c>
      <c r="BU59" s="19" t="s">
        <v>446</v>
      </c>
      <c r="BV59" s="16" t="s">
        <v>446</v>
      </c>
      <c r="BW59" s="16" t="s">
        <v>446</v>
      </c>
      <c r="BX59" s="17" t="s">
        <v>446</v>
      </c>
      <c r="BZ59" s="19" t="s">
        <v>446</v>
      </c>
      <c r="CA59" s="16" t="s">
        <v>446</v>
      </c>
      <c r="CB59" s="16" t="s">
        <v>446</v>
      </c>
      <c r="CC59" s="17" t="s">
        <v>446</v>
      </c>
    </row>
    <row r="60" spans="2:81" ht="18" customHeight="1" x14ac:dyDescent="0.2">
      <c r="B60" s="8">
        <f>garage!B60</f>
        <v>60</v>
      </c>
      <c r="C60" s="8">
        <f>garage!C60</f>
        <v>2</v>
      </c>
      <c r="D60" s="8">
        <f>garage!D60</f>
        <v>26</v>
      </c>
      <c r="E60" s="8">
        <f>garage!E60</f>
        <v>17</v>
      </c>
      <c r="F60" s="8" t="str">
        <f>garage!F60</f>
        <v>--</v>
      </c>
      <c r="G60" s="8" t="str">
        <f>garage!G60</f>
        <v>O</v>
      </c>
      <c r="H60" s="8" t="str">
        <f>garage!H60</f>
        <v>O</v>
      </c>
      <c r="I60" s="8" t="str">
        <f>garage!I60</f>
        <v>N</v>
      </c>
      <c r="J60" s="8" t="str">
        <f>garage!J60</f>
        <v>N</v>
      </c>
      <c r="K60" s="8" t="str">
        <f>garage!K60</f>
        <v>C</v>
      </c>
      <c r="L60" s="9" t="str">
        <f>garage!L60</f>
        <v>Acura</v>
      </c>
      <c r="M60" s="9" t="str">
        <f>garage!M60</f>
        <v>NSX GT3 EVO</v>
      </c>
      <c r="O60" s="18">
        <v>1</v>
      </c>
      <c r="P60" s="14">
        <v>1</v>
      </c>
      <c r="Q60" s="14">
        <v>1</v>
      </c>
      <c r="R60" s="15">
        <v>1</v>
      </c>
      <c r="S60" s="14">
        <v>1</v>
      </c>
      <c r="T60" s="14">
        <v>1</v>
      </c>
      <c r="U60" s="14">
        <v>1</v>
      </c>
      <c r="V60" s="15">
        <v>1</v>
      </c>
      <c r="W60" s="14">
        <v>1</v>
      </c>
      <c r="X60" s="14">
        <v>1</v>
      </c>
      <c r="Y60" s="14">
        <v>1</v>
      </c>
      <c r="Z60" s="15">
        <v>1</v>
      </c>
      <c r="AA60" s="14">
        <v>1</v>
      </c>
      <c r="AB60" s="14">
        <v>1</v>
      </c>
      <c r="AC60" s="14">
        <v>1</v>
      </c>
      <c r="AD60" s="15">
        <v>1</v>
      </c>
      <c r="AE60" s="14">
        <v>1</v>
      </c>
      <c r="AF60" s="14">
        <v>1</v>
      </c>
      <c r="AG60" s="14">
        <v>1</v>
      </c>
      <c r="AH60" s="15">
        <v>1</v>
      </c>
      <c r="AI60" s="14">
        <v>1</v>
      </c>
      <c r="AJ60" s="14">
        <v>1</v>
      </c>
      <c r="AK60" s="14">
        <v>1</v>
      </c>
      <c r="AL60" s="15">
        <v>1</v>
      </c>
      <c r="AM60" s="14">
        <v>1</v>
      </c>
      <c r="AN60" s="14">
        <v>1</v>
      </c>
      <c r="AO60" s="14">
        <v>1</v>
      </c>
      <c r="AP60" s="15">
        <v>1</v>
      </c>
      <c r="AQ60" s="14">
        <v>1</v>
      </c>
      <c r="AR60" s="14">
        <v>1</v>
      </c>
      <c r="AS60" s="14">
        <v>1</v>
      </c>
      <c r="AT60" s="15">
        <v>1</v>
      </c>
      <c r="AU60" s="14">
        <v>1</v>
      </c>
      <c r="AV60" s="14">
        <v>1</v>
      </c>
      <c r="AW60" s="14">
        <v>1</v>
      </c>
      <c r="AX60" s="15">
        <v>1</v>
      </c>
      <c r="AY60" s="14">
        <v>1</v>
      </c>
      <c r="AZ60" s="14">
        <v>1</v>
      </c>
      <c r="BA60" s="14">
        <v>1</v>
      </c>
      <c r="BB60" s="15">
        <v>1</v>
      </c>
      <c r="BC60" s="14">
        <v>1</v>
      </c>
      <c r="BD60" s="14">
        <v>1</v>
      </c>
      <c r="BE60" s="14">
        <v>1</v>
      </c>
      <c r="BF60" s="15">
        <v>1</v>
      </c>
      <c r="BG60" s="14">
        <v>1</v>
      </c>
      <c r="BH60" s="14">
        <v>1</v>
      </c>
      <c r="BI60" s="14">
        <v>1</v>
      </c>
      <c r="BJ60" s="15">
        <v>1</v>
      </c>
      <c r="BK60" s="14" t="s">
        <v>446</v>
      </c>
      <c r="BL60" s="14" t="s">
        <v>446</v>
      </c>
      <c r="BM60" s="14" t="s">
        <v>446</v>
      </c>
      <c r="BN60" s="15" t="s">
        <v>446</v>
      </c>
      <c r="BP60" s="18">
        <v>9</v>
      </c>
      <c r="BQ60" s="14">
        <v>9</v>
      </c>
      <c r="BR60" s="14">
        <v>9</v>
      </c>
      <c r="BS60" s="15">
        <v>9</v>
      </c>
      <c r="BU60" s="18">
        <v>4</v>
      </c>
      <c r="BV60" s="14">
        <v>4</v>
      </c>
      <c r="BW60" s="14">
        <v>4</v>
      </c>
      <c r="BX60" s="15">
        <v>4</v>
      </c>
      <c r="BZ60" s="18" t="s">
        <v>446</v>
      </c>
      <c r="CA60" s="14" t="s">
        <v>446</v>
      </c>
      <c r="CB60" s="14" t="s">
        <v>446</v>
      </c>
      <c r="CC60" s="15" t="s">
        <v>446</v>
      </c>
    </row>
    <row r="61" spans="2:81" ht="18" customHeight="1" x14ac:dyDescent="0.2">
      <c r="B61" s="10">
        <f>garage!B61</f>
        <v>61</v>
      </c>
      <c r="C61" s="10">
        <f>garage!C61</f>
        <v>2</v>
      </c>
      <c r="D61" s="10">
        <f>garage!D61</f>
        <v>27</v>
      </c>
      <c r="E61" s="10">
        <f>garage!E61</f>
        <v>0</v>
      </c>
      <c r="F61" s="10" t="str">
        <f>garage!F61</f>
        <v>--</v>
      </c>
      <c r="G61" s="10" t="str">
        <f>garage!G61</f>
        <v>O</v>
      </c>
      <c r="H61" s="10" t="str">
        <f>garage!H61</f>
        <v>O</v>
      </c>
      <c r="I61" s="10" t="str">
        <f>garage!I61</f>
        <v>O</v>
      </c>
      <c r="J61" s="10" t="str">
        <f>garage!J61</f>
        <v>N</v>
      </c>
      <c r="K61" s="10" t="str">
        <f>garage!K61</f>
        <v>C</v>
      </c>
      <c r="L61" s="11" t="str">
        <f>garage!L61</f>
        <v>Vencer</v>
      </c>
      <c r="M61" s="11" t="str">
        <f>garage!M61</f>
        <v>Sarthe</v>
      </c>
      <c r="O61" s="19">
        <v>1</v>
      </c>
      <c r="P61" s="16">
        <v>1</v>
      </c>
      <c r="Q61" s="16">
        <v>1</v>
      </c>
      <c r="R61" s="17">
        <v>1</v>
      </c>
      <c r="S61" s="16">
        <v>1</v>
      </c>
      <c r="T61" s="16">
        <v>1</v>
      </c>
      <c r="U61" s="16">
        <v>1</v>
      </c>
      <c r="V61" s="17">
        <v>1</v>
      </c>
      <c r="W61" s="16">
        <v>1</v>
      </c>
      <c r="X61" s="16">
        <v>1</v>
      </c>
      <c r="Y61" s="16">
        <v>1</v>
      </c>
      <c r="Z61" s="17">
        <v>1</v>
      </c>
      <c r="AA61" s="16">
        <v>1</v>
      </c>
      <c r="AB61" s="16">
        <v>1</v>
      </c>
      <c r="AC61" s="16">
        <v>1</v>
      </c>
      <c r="AD61" s="17">
        <v>1</v>
      </c>
      <c r="AE61" s="16">
        <v>1</v>
      </c>
      <c r="AF61" s="16">
        <v>1</v>
      </c>
      <c r="AG61" s="16">
        <v>1</v>
      </c>
      <c r="AH61" s="17">
        <v>1</v>
      </c>
      <c r="AI61" s="16">
        <v>1</v>
      </c>
      <c r="AJ61" s="16">
        <v>1</v>
      </c>
      <c r="AK61" s="16">
        <v>1</v>
      </c>
      <c r="AL61" s="17">
        <v>1</v>
      </c>
      <c r="AM61" s="16">
        <v>1</v>
      </c>
      <c r="AN61" s="16">
        <v>1</v>
      </c>
      <c r="AO61" s="16">
        <v>1</v>
      </c>
      <c r="AP61" s="17">
        <v>1</v>
      </c>
      <c r="AQ61" s="16">
        <v>1</v>
      </c>
      <c r="AR61" s="16">
        <v>1</v>
      </c>
      <c r="AS61" s="16">
        <v>1</v>
      </c>
      <c r="AT61" s="17">
        <v>1</v>
      </c>
      <c r="AU61" s="16">
        <v>1</v>
      </c>
      <c r="AV61" s="16">
        <v>1</v>
      </c>
      <c r="AW61" s="16">
        <v>1</v>
      </c>
      <c r="AX61" s="17">
        <v>1</v>
      </c>
      <c r="AY61" s="16">
        <v>1</v>
      </c>
      <c r="AZ61" s="16">
        <v>1</v>
      </c>
      <c r="BA61" s="16">
        <v>1</v>
      </c>
      <c r="BB61" s="17">
        <v>1</v>
      </c>
      <c r="BC61" s="16">
        <v>1</v>
      </c>
      <c r="BD61" s="16">
        <v>1</v>
      </c>
      <c r="BE61" s="16">
        <v>1</v>
      </c>
      <c r="BF61" s="17">
        <v>1</v>
      </c>
      <c r="BG61" s="16">
        <v>1</v>
      </c>
      <c r="BH61" s="16">
        <v>1</v>
      </c>
      <c r="BI61" s="16">
        <v>1</v>
      </c>
      <c r="BJ61" s="17">
        <v>1</v>
      </c>
      <c r="BK61" s="16" t="s">
        <v>446</v>
      </c>
      <c r="BL61" s="16" t="s">
        <v>446</v>
      </c>
      <c r="BM61" s="16" t="s">
        <v>446</v>
      </c>
      <c r="BN61" s="17" t="s">
        <v>446</v>
      </c>
      <c r="BP61" s="19">
        <v>9</v>
      </c>
      <c r="BQ61" s="16">
        <v>9</v>
      </c>
      <c r="BR61" s="16">
        <v>9</v>
      </c>
      <c r="BS61" s="17">
        <v>9</v>
      </c>
      <c r="BU61" s="19">
        <v>4</v>
      </c>
      <c r="BV61" s="16">
        <v>4</v>
      </c>
      <c r="BW61" s="16">
        <v>4</v>
      </c>
      <c r="BX61" s="17">
        <v>4</v>
      </c>
      <c r="BZ61" s="19">
        <v>2</v>
      </c>
      <c r="CA61" s="16">
        <v>2</v>
      </c>
      <c r="CB61" s="16">
        <v>2</v>
      </c>
      <c r="CC61" s="17">
        <v>2</v>
      </c>
    </row>
    <row r="62" spans="2:81" ht="18" customHeight="1" x14ac:dyDescent="0.2">
      <c r="B62" s="8">
        <f>garage!B62</f>
        <v>62</v>
      </c>
      <c r="C62" s="8">
        <f>garage!C62</f>
        <v>2</v>
      </c>
      <c r="D62" s="8">
        <f>garage!D62</f>
        <v>28</v>
      </c>
      <c r="E62" s="8">
        <f>garage!E62</f>
        <v>30</v>
      </c>
      <c r="F62" s="8" t="str">
        <f>garage!F62</f>
        <v>--</v>
      </c>
      <c r="G62" s="8" t="str">
        <f>garage!G62</f>
        <v>N</v>
      </c>
      <c r="H62" s="8" t="str">
        <f>garage!H62</f>
        <v>N</v>
      </c>
      <c r="I62" s="8" t="str">
        <f>garage!I62</f>
        <v>N</v>
      </c>
      <c r="J62" s="8" t="str">
        <f>garage!J62</f>
        <v>N</v>
      </c>
      <c r="K62" s="8" t="str">
        <f>garage!K62</f>
        <v>C</v>
      </c>
      <c r="L62" s="9" t="str">
        <f>garage!L62</f>
        <v>Maserati</v>
      </c>
      <c r="M62" s="9" t="str">
        <f>garage!M62</f>
        <v>MC12</v>
      </c>
      <c r="O62" s="18" t="s">
        <v>446</v>
      </c>
      <c r="P62" s="14" t="s">
        <v>446</v>
      </c>
      <c r="Q62" s="14" t="s">
        <v>446</v>
      </c>
      <c r="R62" s="15" t="s">
        <v>446</v>
      </c>
      <c r="S62" s="14" t="s">
        <v>446</v>
      </c>
      <c r="T62" s="14" t="s">
        <v>446</v>
      </c>
      <c r="U62" s="14" t="s">
        <v>446</v>
      </c>
      <c r="V62" s="15" t="s">
        <v>446</v>
      </c>
      <c r="W62" s="14" t="s">
        <v>446</v>
      </c>
      <c r="X62" s="14" t="s">
        <v>446</v>
      </c>
      <c r="Y62" s="14" t="s">
        <v>446</v>
      </c>
      <c r="Z62" s="15" t="s">
        <v>446</v>
      </c>
      <c r="AA62" s="14" t="s">
        <v>446</v>
      </c>
      <c r="AB62" s="14" t="s">
        <v>446</v>
      </c>
      <c r="AC62" s="14" t="s">
        <v>446</v>
      </c>
      <c r="AD62" s="15" t="s">
        <v>446</v>
      </c>
      <c r="AE62" s="14" t="s">
        <v>446</v>
      </c>
      <c r="AF62" s="14" t="s">
        <v>446</v>
      </c>
      <c r="AG62" s="14" t="s">
        <v>446</v>
      </c>
      <c r="AH62" s="15" t="s">
        <v>446</v>
      </c>
      <c r="AI62" s="14" t="s">
        <v>446</v>
      </c>
      <c r="AJ62" s="14" t="s">
        <v>446</v>
      </c>
      <c r="AK62" s="14" t="s">
        <v>446</v>
      </c>
      <c r="AL62" s="15" t="s">
        <v>446</v>
      </c>
      <c r="AM62" s="14" t="s">
        <v>446</v>
      </c>
      <c r="AN62" s="14" t="s">
        <v>446</v>
      </c>
      <c r="AO62" s="14" t="s">
        <v>446</v>
      </c>
      <c r="AP62" s="15" t="s">
        <v>446</v>
      </c>
      <c r="AQ62" s="14" t="s">
        <v>446</v>
      </c>
      <c r="AR62" s="14" t="s">
        <v>446</v>
      </c>
      <c r="AS62" s="14" t="s">
        <v>446</v>
      </c>
      <c r="AT62" s="15" t="s">
        <v>446</v>
      </c>
      <c r="AU62" s="14" t="s">
        <v>446</v>
      </c>
      <c r="AV62" s="14" t="s">
        <v>446</v>
      </c>
      <c r="AW62" s="14" t="s">
        <v>446</v>
      </c>
      <c r="AX62" s="15" t="s">
        <v>446</v>
      </c>
      <c r="AY62" s="14" t="s">
        <v>446</v>
      </c>
      <c r="AZ62" s="14" t="s">
        <v>446</v>
      </c>
      <c r="BA62" s="14" t="s">
        <v>446</v>
      </c>
      <c r="BB62" s="15" t="s">
        <v>446</v>
      </c>
      <c r="BC62" s="14" t="s">
        <v>446</v>
      </c>
      <c r="BD62" s="14" t="s">
        <v>446</v>
      </c>
      <c r="BE62" s="14" t="s">
        <v>446</v>
      </c>
      <c r="BF62" s="15" t="s">
        <v>446</v>
      </c>
      <c r="BG62" s="14" t="s">
        <v>446</v>
      </c>
      <c r="BH62" s="14" t="s">
        <v>446</v>
      </c>
      <c r="BI62" s="14" t="s">
        <v>446</v>
      </c>
      <c r="BJ62" s="15" t="s">
        <v>446</v>
      </c>
      <c r="BK62" s="14" t="s">
        <v>446</v>
      </c>
      <c r="BL62" s="14" t="s">
        <v>446</v>
      </c>
      <c r="BM62" s="14" t="s">
        <v>446</v>
      </c>
      <c r="BN62" s="15" t="s">
        <v>446</v>
      </c>
      <c r="BP62" s="18" t="s">
        <v>446</v>
      </c>
      <c r="BQ62" s="14" t="s">
        <v>446</v>
      </c>
      <c r="BR62" s="14" t="s">
        <v>446</v>
      </c>
      <c r="BS62" s="15" t="s">
        <v>446</v>
      </c>
      <c r="BU62" s="18" t="s">
        <v>446</v>
      </c>
      <c r="BV62" s="14" t="s">
        <v>446</v>
      </c>
      <c r="BW62" s="14" t="s">
        <v>446</v>
      </c>
      <c r="BX62" s="15" t="s">
        <v>446</v>
      </c>
      <c r="BZ62" s="18" t="s">
        <v>446</v>
      </c>
      <c r="CA62" s="14" t="s">
        <v>446</v>
      </c>
      <c r="CB62" s="14" t="s">
        <v>446</v>
      </c>
      <c r="CC62" s="15" t="s">
        <v>446</v>
      </c>
    </row>
    <row r="63" spans="2:81" ht="18" customHeight="1" x14ac:dyDescent="0.2">
      <c r="B63" s="10">
        <f>garage!B63</f>
        <v>63</v>
      </c>
      <c r="C63" s="10">
        <f>garage!C63</f>
        <v>2</v>
      </c>
      <c r="D63" s="10">
        <f>garage!D63</f>
        <v>29</v>
      </c>
      <c r="E63" s="10">
        <f>garage!E63</f>
        <v>14</v>
      </c>
      <c r="F63" s="10" t="str">
        <f>garage!F63</f>
        <v>--</v>
      </c>
      <c r="G63" s="10" t="str">
        <f>garage!G63</f>
        <v>O</v>
      </c>
      <c r="H63" s="10" t="str">
        <f>garage!H63</f>
        <v>N</v>
      </c>
      <c r="I63" s="10" t="str">
        <f>garage!I63</f>
        <v>N</v>
      </c>
      <c r="J63" s="10" t="str">
        <f>garage!J63</f>
        <v>N</v>
      </c>
      <c r="K63" s="10" t="str">
        <f>garage!K63</f>
        <v>C</v>
      </c>
      <c r="L63" s="11" t="str">
        <f>garage!L63</f>
        <v>Bentley</v>
      </c>
      <c r="M63" s="11" t="str">
        <f>garage!M63</f>
        <v>Mulliner Bacalar</v>
      </c>
      <c r="O63" s="19">
        <v>1</v>
      </c>
      <c r="P63" s="16">
        <v>1</v>
      </c>
      <c r="Q63" s="16">
        <v>1</v>
      </c>
      <c r="R63" s="17">
        <v>1</v>
      </c>
      <c r="S63" s="16">
        <v>1</v>
      </c>
      <c r="T63" s="16">
        <v>1</v>
      </c>
      <c r="U63" s="16">
        <v>1</v>
      </c>
      <c r="V63" s="17">
        <v>1</v>
      </c>
      <c r="W63" s="16">
        <v>1</v>
      </c>
      <c r="X63" s="16">
        <v>1</v>
      </c>
      <c r="Y63" s="16">
        <v>1</v>
      </c>
      <c r="Z63" s="17">
        <v>1</v>
      </c>
      <c r="AA63" s="16">
        <v>1</v>
      </c>
      <c r="AB63" s="16">
        <v>1</v>
      </c>
      <c r="AC63" s="16">
        <v>1</v>
      </c>
      <c r="AD63" s="17">
        <v>1</v>
      </c>
      <c r="AE63" s="16">
        <v>1</v>
      </c>
      <c r="AF63" s="16">
        <v>1</v>
      </c>
      <c r="AG63" s="16">
        <v>1</v>
      </c>
      <c r="AH63" s="17">
        <v>1</v>
      </c>
      <c r="AI63" s="16">
        <v>1</v>
      </c>
      <c r="AJ63" s="16">
        <v>1</v>
      </c>
      <c r="AK63" s="16">
        <v>1</v>
      </c>
      <c r="AL63" s="17">
        <v>1</v>
      </c>
      <c r="AM63" s="16" t="s">
        <v>446</v>
      </c>
      <c r="AN63" s="16" t="s">
        <v>446</v>
      </c>
      <c r="AO63" s="16" t="s">
        <v>446</v>
      </c>
      <c r="AP63" s="17" t="s">
        <v>446</v>
      </c>
      <c r="AQ63" s="16" t="s">
        <v>446</v>
      </c>
      <c r="AR63" s="16" t="s">
        <v>446</v>
      </c>
      <c r="AS63" s="16" t="s">
        <v>446</v>
      </c>
      <c r="AT63" s="17" t="s">
        <v>446</v>
      </c>
      <c r="AU63" s="16" t="s">
        <v>446</v>
      </c>
      <c r="AV63" s="16" t="s">
        <v>446</v>
      </c>
      <c r="AW63" s="16" t="s">
        <v>446</v>
      </c>
      <c r="AX63" s="17" t="s">
        <v>446</v>
      </c>
      <c r="AY63" s="16" t="s">
        <v>446</v>
      </c>
      <c r="AZ63" s="16" t="s">
        <v>446</v>
      </c>
      <c r="BA63" s="16" t="s">
        <v>446</v>
      </c>
      <c r="BB63" s="17" t="s">
        <v>446</v>
      </c>
      <c r="BC63" s="16" t="s">
        <v>446</v>
      </c>
      <c r="BD63" s="16" t="s">
        <v>446</v>
      </c>
      <c r="BE63" s="16" t="s">
        <v>446</v>
      </c>
      <c r="BF63" s="17" t="s">
        <v>446</v>
      </c>
      <c r="BG63" s="16" t="s">
        <v>446</v>
      </c>
      <c r="BH63" s="16" t="s">
        <v>446</v>
      </c>
      <c r="BI63" s="16" t="s">
        <v>446</v>
      </c>
      <c r="BJ63" s="17" t="s">
        <v>446</v>
      </c>
      <c r="BK63" s="16" t="s">
        <v>446</v>
      </c>
      <c r="BL63" s="16" t="s">
        <v>446</v>
      </c>
      <c r="BM63" s="16" t="s">
        <v>446</v>
      </c>
      <c r="BN63" s="17" t="s">
        <v>446</v>
      </c>
      <c r="BP63" s="19">
        <v>5</v>
      </c>
      <c r="BQ63" s="16">
        <v>4</v>
      </c>
      <c r="BR63" s="16">
        <v>4</v>
      </c>
      <c r="BS63" s="17">
        <v>5</v>
      </c>
      <c r="BU63" s="19" t="s">
        <v>446</v>
      </c>
      <c r="BV63" s="16" t="s">
        <v>446</v>
      </c>
      <c r="BW63" s="16" t="s">
        <v>446</v>
      </c>
      <c r="BX63" s="17" t="s">
        <v>446</v>
      </c>
      <c r="BZ63" s="19" t="s">
        <v>446</v>
      </c>
      <c r="CA63" s="16" t="s">
        <v>446</v>
      </c>
      <c r="CB63" s="16" t="s">
        <v>446</v>
      </c>
      <c r="CC63" s="17" t="s">
        <v>446</v>
      </c>
    </row>
    <row r="64" spans="2:81" ht="18" customHeight="1" x14ac:dyDescent="0.2">
      <c r="B64" s="8">
        <f>garage!B64</f>
        <v>64</v>
      </c>
      <c r="C64" s="8">
        <f>garage!C64</f>
        <v>2</v>
      </c>
      <c r="D64" s="8">
        <f>garage!D64</f>
        <v>30</v>
      </c>
      <c r="E64" s="8">
        <f>garage!E64</f>
        <v>25</v>
      </c>
      <c r="F64" s="8" t="str">
        <f>garage!F64</f>
        <v>L</v>
      </c>
      <c r="G64" s="8" t="str">
        <f>garage!G64</f>
        <v>N</v>
      </c>
      <c r="H64" s="8" t="str">
        <f>garage!H64</f>
        <v>N</v>
      </c>
      <c r="I64" s="8" t="str">
        <f>garage!I64</f>
        <v>N</v>
      </c>
      <c r="J64" s="8" t="str">
        <f>garage!J64</f>
        <v>N</v>
      </c>
      <c r="K64" s="8" t="str">
        <f>garage!K64</f>
        <v>C</v>
      </c>
      <c r="L64" s="9" t="str">
        <f>garage!L64</f>
        <v>Lamborghini</v>
      </c>
      <c r="M64" s="9" t="str">
        <f>garage!M64</f>
        <v>Miura Concept</v>
      </c>
      <c r="O64" s="18" t="s">
        <v>446</v>
      </c>
      <c r="P64" s="14" t="s">
        <v>446</v>
      </c>
      <c r="Q64" s="14" t="s">
        <v>446</v>
      </c>
      <c r="R64" s="15" t="s">
        <v>446</v>
      </c>
      <c r="S64" s="14" t="s">
        <v>446</v>
      </c>
      <c r="T64" s="14" t="s">
        <v>446</v>
      </c>
      <c r="U64" s="14" t="s">
        <v>446</v>
      </c>
      <c r="V64" s="15" t="s">
        <v>446</v>
      </c>
      <c r="W64" s="14" t="s">
        <v>446</v>
      </c>
      <c r="X64" s="14" t="s">
        <v>446</v>
      </c>
      <c r="Y64" s="14" t="s">
        <v>446</v>
      </c>
      <c r="Z64" s="15" t="s">
        <v>446</v>
      </c>
      <c r="AA64" s="14" t="s">
        <v>446</v>
      </c>
      <c r="AB64" s="14" t="s">
        <v>446</v>
      </c>
      <c r="AC64" s="14" t="s">
        <v>446</v>
      </c>
      <c r="AD64" s="15" t="s">
        <v>446</v>
      </c>
      <c r="AE64" s="14" t="s">
        <v>446</v>
      </c>
      <c r="AF64" s="14" t="s">
        <v>446</v>
      </c>
      <c r="AG64" s="14" t="s">
        <v>446</v>
      </c>
      <c r="AH64" s="15" t="s">
        <v>446</v>
      </c>
      <c r="AI64" s="14" t="s">
        <v>446</v>
      </c>
      <c r="AJ64" s="14" t="s">
        <v>446</v>
      </c>
      <c r="AK64" s="14" t="s">
        <v>446</v>
      </c>
      <c r="AL64" s="15" t="s">
        <v>446</v>
      </c>
      <c r="AM64" s="14" t="s">
        <v>446</v>
      </c>
      <c r="AN64" s="14" t="s">
        <v>446</v>
      </c>
      <c r="AO64" s="14" t="s">
        <v>446</v>
      </c>
      <c r="AP64" s="15" t="s">
        <v>446</v>
      </c>
      <c r="AQ64" s="14" t="s">
        <v>446</v>
      </c>
      <c r="AR64" s="14" t="s">
        <v>446</v>
      </c>
      <c r="AS64" s="14" t="s">
        <v>446</v>
      </c>
      <c r="AT64" s="15" t="s">
        <v>446</v>
      </c>
      <c r="AU64" s="14" t="s">
        <v>446</v>
      </c>
      <c r="AV64" s="14" t="s">
        <v>446</v>
      </c>
      <c r="AW64" s="14" t="s">
        <v>446</v>
      </c>
      <c r="AX64" s="15" t="s">
        <v>446</v>
      </c>
      <c r="AY64" s="14" t="s">
        <v>446</v>
      </c>
      <c r="AZ64" s="14" t="s">
        <v>446</v>
      </c>
      <c r="BA64" s="14" t="s">
        <v>446</v>
      </c>
      <c r="BB64" s="15" t="s">
        <v>446</v>
      </c>
      <c r="BC64" s="14" t="s">
        <v>446</v>
      </c>
      <c r="BD64" s="14" t="s">
        <v>446</v>
      </c>
      <c r="BE64" s="14" t="s">
        <v>446</v>
      </c>
      <c r="BF64" s="15" t="s">
        <v>446</v>
      </c>
      <c r="BG64" s="14" t="s">
        <v>446</v>
      </c>
      <c r="BH64" s="14" t="s">
        <v>446</v>
      </c>
      <c r="BI64" s="14" t="s">
        <v>446</v>
      </c>
      <c r="BJ64" s="15" t="s">
        <v>446</v>
      </c>
      <c r="BK64" s="14" t="s">
        <v>446</v>
      </c>
      <c r="BL64" s="14" t="s">
        <v>446</v>
      </c>
      <c r="BM64" s="14" t="s">
        <v>446</v>
      </c>
      <c r="BN64" s="15" t="s">
        <v>446</v>
      </c>
      <c r="BP64" s="18" t="s">
        <v>446</v>
      </c>
      <c r="BQ64" s="14" t="s">
        <v>446</v>
      </c>
      <c r="BR64" s="14" t="s">
        <v>446</v>
      </c>
      <c r="BS64" s="15" t="s">
        <v>446</v>
      </c>
      <c r="BU64" s="18" t="s">
        <v>446</v>
      </c>
      <c r="BV64" s="14" t="s">
        <v>446</v>
      </c>
      <c r="BW64" s="14" t="s">
        <v>446</v>
      </c>
      <c r="BX64" s="15" t="s">
        <v>446</v>
      </c>
      <c r="BZ64" s="18" t="s">
        <v>446</v>
      </c>
      <c r="CA64" s="14" t="s">
        <v>446</v>
      </c>
      <c r="CB64" s="14" t="s">
        <v>446</v>
      </c>
      <c r="CC64" s="15" t="s">
        <v>446</v>
      </c>
    </row>
    <row r="65" spans="2:81" ht="18" customHeight="1" x14ac:dyDescent="0.2">
      <c r="B65" s="10">
        <f>garage!B65</f>
        <v>65</v>
      </c>
      <c r="C65" s="10">
        <f>garage!C65</f>
        <v>2</v>
      </c>
      <c r="D65" s="10">
        <f>garage!D65</f>
        <v>31</v>
      </c>
      <c r="E65" s="10">
        <f>garage!E65</f>
        <v>11</v>
      </c>
      <c r="F65" s="10" t="str">
        <f>garage!F65</f>
        <v>P</v>
      </c>
      <c r="G65" s="10" t="str">
        <f>garage!G65</f>
        <v>O</v>
      </c>
      <c r="H65" s="10" t="str">
        <f>garage!H65</f>
        <v>O</v>
      </c>
      <c r="I65" s="10" t="str">
        <f>garage!I65</f>
        <v>N</v>
      </c>
      <c r="J65" s="10" t="str">
        <f>garage!J65</f>
        <v>N</v>
      </c>
      <c r="K65" s="10" t="str">
        <f>garage!K65</f>
        <v>C</v>
      </c>
      <c r="L65" s="11" t="str">
        <f>garage!L65</f>
        <v>Porsche</v>
      </c>
      <c r="M65" s="11" t="str">
        <f>garage!M65</f>
        <v>718 Cayman GT4 Clubsport</v>
      </c>
      <c r="O65" s="19">
        <v>1</v>
      </c>
      <c r="P65" s="16">
        <v>1</v>
      </c>
      <c r="Q65" s="16">
        <v>1</v>
      </c>
      <c r="R65" s="17">
        <v>1</v>
      </c>
      <c r="S65" s="16">
        <v>1</v>
      </c>
      <c r="T65" s="16">
        <v>1</v>
      </c>
      <c r="U65" s="16">
        <v>1</v>
      </c>
      <c r="V65" s="17">
        <v>1</v>
      </c>
      <c r="W65" s="16">
        <v>1</v>
      </c>
      <c r="X65" s="16">
        <v>1</v>
      </c>
      <c r="Y65" s="16">
        <v>1</v>
      </c>
      <c r="Z65" s="17">
        <v>1</v>
      </c>
      <c r="AA65" s="16">
        <v>1</v>
      </c>
      <c r="AB65" s="16">
        <v>1</v>
      </c>
      <c r="AC65" s="16">
        <v>1</v>
      </c>
      <c r="AD65" s="17">
        <v>1</v>
      </c>
      <c r="AE65" s="16">
        <v>1</v>
      </c>
      <c r="AF65" s="16">
        <v>1</v>
      </c>
      <c r="AG65" s="16">
        <v>1</v>
      </c>
      <c r="AH65" s="17">
        <v>1</v>
      </c>
      <c r="AI65" s="16">
        <v>1</v>
      </c>
      <c r="AJ65" s="16">
        <v>1</v>
      </c>
      <c r="AK65" s="16">
        <v>1</v>
      </c>
      <c r="AL65" s="17">
        <v>1</v>
      </c>
      <c r="AM65" s="16">
        <v>1</v>
      </c>
      <c r="AN65" s="16">
        <v>1</v>
      </c>
      <c r="AO65" s="16">
        <v>1</v>
      </c>
      <c r="AP65" s="17">
        <v>1</v>
      </c>
      <c r="AQ65" s="16">
        <v>1</v>
      </c>
      <c r="AR65" s="16">
        <v>1</v>
      </c>
      <c r="AS65" s="16">
        <v>1</v>
      </c>
      <c r="AT65" s="17">
        <v>1</v>
      </c>
      <c r="AU65" s="16">
        <v>1</v>
      </c>
      <c r="AV65" s="16">
        <v>1</v>
      </c>
      <c r="AW65" s="16">
        <v>1</v>
      </c>
      <c r="AX65" s="17">
        <v>1</v>
      </c>
      <c r="AY65" s="16">
        <v>1</v>
      </c>
      <c r="AZ65" s="16">
        <v>1</v>
      </c>
      <c r="BA65" s="16">
        <v>1</v>
      </c>
      <c r="BB65" s="17">
        <v>1</v>
      </c>
      <c r="BC65" s="16">
        <v>1</v>
      </c>
      <c r="BD65" s="16">
        <v>1</v>
      </c>
      <c r="BE65" s="16">
        <v>1</v>
      </c>
      <c r="BF65" s="17">
        <v>1</v>
      </c>
      <c r="BG65" s="16">
        <v>1</v>
      </c>
      <c r="BH65" s="16">
        <v>1</v>
      </c>
      <c r="BI65" s="16">
        <v>1</v>
      </c>
      <c r="BJ65" s="17">
        <v>1</v>
      </c>
      <c r="BK65" s="16" t="s">
        <v>446</v>
      </c>
      <c r="BL65" s="16" t="s">
        <v>446</v>
      </c>
      <c r="BM65" s="16" t="s">
        <v>446</v>
      </c>
      <c r="BN65" s="17" t="s">
        <v>446</v>
      </c>
      <c r="BP65" s="19">
        <v>9</v>
      </c>
      <c r="BQ65" s="16">
        <v>9</v>
      </c>
      <c r="BR65" s="16">
        <v>9</v>
      </c>
      <c r="BS65" s="17">
        <v>9</v>
      </c>
      <c r="BU65" s="19">
        <v>4</v>
      </c>
      <c r="BV65" s="16">
        <v>4</v>
      </c>
      <c r="BW65" s="16">
        <v>4</v>
      </c>
      <c r="BX65" s="17">
        <v>4</v>
      </c>
      <c r="BZ65" s="19">
        <v>1</v>
      </c>
      <c r="CA65" s="16">
        <v>1</v>
      </c>
      <c r="CB65" s="16">
        <v>1</v>
      </c>
      <c r="CC65" s="17">
        <v>1</v>
      </c>
    </row>
    <row r="66" spans="2:81" ht="18" customHeight="1" x14ac:dyDescent="0.2">
      <c r="B66" s="8">
        <f>garage!B66</f>
        <v>66</v>
      </c>
      <c r="C66" s="8">
        <f>garage!C66</f>
        <v>2</v>
      </c>
      <c r="D66" s="8">
        <f>garage!D66</f>
        <v>32</v>
      </c>
      <c r="E66" s="8">
        <f>garage!E66</f>
        <v>13</v>
      </c>
      <c r="F66" s="8" t="str">
        <f>garage!F66</f>
        <v>C</v>
      </c>
      <c r="G66" s="8" t="str">
        <f>garage!G66</f>
        <v>O</v>
      </c>
      <c r="H66" s="8" t="str">
        <f>garage!H66</f>
        <v>N</v>
      </c>
      <c r="I66" s="8" t="str">
        <f>garage!I66</f>
        <v>N</v>
      </c>
      <c r="J66" s="8" t="str">
        <f>garage!J66</f>
        <v>N</v>
      </c>
      <c r="K66" s="8" t="str">
        <f>garage!K66</f>
        <v>C</v>
      </c>
      <c r="L66" s="9" t="str">
        <f>garage!L66</f>
        <v>Chevrolet</v>
      </c>
      <c r="M66" s="9" t="str">
        <f>garage!M66</f>
        <v>Corvette Stingray</v>
      </c>
      <c r="O66" s="18" t="s">
        <v>446</v>
      </c>
      <c r="P66" s="14" t="s">
        <v>446</v>
      </c>
      <c r="Q66" s="14" t="s">
        <v>446</v>
      </c>
      <c r="R66" s="15" t="s">
        <v>446</v>
      </c>
      <c r="S66" s="14" t="s">
        <v>446</v>
      </c>
      <c r="T66" s="14" t="s">
        <v>446</v>
      </c>
      <c r="U66" s="14" t="s">
        <v>446</v>
      </c>
      <c r="V66" s="15" t="s">
        <v>446</v>
      </c>
      <c r="W66" s="14" t="s">
        <v>446</v>
      </c>
      <c r="X66" s="14" t="s">
        <v>446</v>
      </c>
      <c r="Y66" s="14" t="s">
        <v>446</v>
      </c>
      <c r="Z66" s="15" t="s">
        <v>446</v>
      </c>
      <c r="AA66" s="14" t="s">
        <v>446</v>
      </c>
      <c r="AB66" s="14" t="s">
        <v>446</v>
      </c>
      <c r="AC66" s="14" t="s">
        <v>446</v>
      </c>
      <c r="AD66" s="15" t="s">
        <v>446</v>
      </c>
      <c r="AE66" s="14" t="s">
        <v>446</v>
      </c>
      <c r="AF66" s="14" t="s">
        <v>446</v>
      </c>
      <c r="AG66" s="14" t="s">
        <v>446</v>
      </c>
      <c r="AH66" s="15" t="s">
        <v>446</v>
      </c>
      <c r="AI66" s="14" t="s">
        <v>446</v>
      </c>
      <c r="AJ66" s="14" t="s">
        <v>446</v>
      </c>
      <c r="AK66" s="14" t="s">
        <v>446</v>
      </c>
      <c r="AL66" s="15" t="s">
        <v>446</v>
      </c>
      <c r="AM66" s="14" t="s">
        <v>446</v>
      </c>
      <c r="AN66" s="14" t="s">
        <v>446</v>
      </c>
      <c r="AO66" s="14" t="s">
        <v>446</v>
      </c>
      <c r="AP66" s="15" t="s">
        <v>446</v>
      </c>
      <c r="AQ66" s="14" t="s">
        <v>446</v>
      </c>
      <c r="AR66" s="14" t="s">
        <v>446</v>
      </c>
      <c r="AS66" s="14" t="s">
        <v>446</v>
      </c>
      <c r="AT66" s="15" t="s">
        <v>446</v>
      </c>
      <c r="AU66" s="14" t="s">
        <v>446</v>
      </c>
      <c r="AV66" s="14" t="s">
        <v>446</v>
      </c>
      <c r="AW66" s="14" t="s">
        <v>446</v>
      </c>
      <c r="AX66" s="15" t="s">
        <v>446</v>
      </c>
      <c r="AY66" s="14" t="s">
        <v>446</v>
      </c>
      <c r="AZ66" s="14" t="s">
        <v>446</v>
      </c>
      <c r="BA66" s="14" t="s">
        <v>446</v>
      </c>
      <c r="BB66" s="15" t="s">
        <v>446</v>
      </c>
      <c r="BC66" s="14" t="s">
        <v>446</v>
      </c>
      <c r="BD66" s="14" t="s">
        <v>446</v>
      </c>
      <c r="BE66" s="14" t="s">
        <v>446</v>
      </c>
      <c r="BF66" s="15" t="s">
        <v>446</v>
      </c>
      <c r="BG66" s="14" t="s">
        <v>446</v>
      </c>
      <c r="BH66" s="14" t="s">
        <v>446</v>
      </c>
      <c r="BI66" s="14" t="s">
        <v>446</v>
      </c>
      <c r="BJ66" s="15" t="s">
        <v>446</v>
      </c>
      <c r="BK66" s="14" t="s">
        <v>446</v>
      </c>
      <c r="BL66" s="14" t="s">
        <v>446</v>
      </c>
      <c r="BM66" s="14" t="s">
        <v>446</v>
      </c>
      <c r="BN66" s="15" t="s">
        <v>446</v>
      </c>
      <c r="BP66" s="18" t="s">
        <v>446</v>
      </c>
      <c r="BQ66" s="14" t="s">
        <v>446</v>
      </c>
      <c r="BR66" s="14" t="s">
        <v>446</v>
      </c>
      <c r="BS66" s="15" t="s">
        <v>446</v>
      </c>
      <c r="BU66" s="18" t="s">
        <v>446</v>
      </c>
      <c r="BV66" s="14" t="s">
        <v>446</v>
      </c>
      <c r="BW66" s="14" t="s">
        <v>446</v>
      </c>
      <c r="BX66" s="15" t="s">
        <v>446</v>
      </c>
      <c r="BZ66" s="18" t="s">
        <v>446</v>
      </c>
      <c r="CA66" s="14" t="s">
        <v>446</v>
      </c>
      <c r="CB66" s="14" t="s">
        <v>446</v>
      </c>
      <c r="CC66" s="15" t="s">
        <v>446</v>
      </c>
    </row>
    <row r="67" spans="2:81" ht="18" customHeight="1" x14ac:dyDescent="0.2">
      <c r="B67" s="10">
        <f>garage!B67</f>
        <v>67</v>
      </c>
      <c r="C67" s="10">
        <f>garage!C67</f>
        <v>2</v>
      </c>
      <c r="D67" s="10">
        <f>garage!D67</f>
        <v>33</v>
      </c>
      <c r="E67" s="10">
        <f>garage!E67</f>
        <v>24</v>
      </c>
      <c r="F67" s="10" t="str">
        <f>garage!F67</f>
        <v>--</v>
      </c>
      <c r="G67" s="10" t="str">
        <f>garage!G67</f>
        <v>N</v>
      </c>
      <c r="H67" s="10" t="str">
        <f>garage!H67</f>
        <v>N</v>
      </c>
      <c r="I67" s="10" t="str">
        <f>garage!I67</f>
        <v>N</v>
      </c>
      <c r="J67" s="10" t="str">
        <f>garage!J67</f>
        <v>O</v>
      </c>
      <c r="K67" s="10" t="str">
        <f>garage!K67</f>
        <v>C</v>
      </c>
      <c r="L67" s="11" t="str">
        <f>garage!L67</f>
        <v>Brabham</v>
      </c>
      <c r="M67" s="11" t="str">
        <f>garage!M67</f>
        <v>BT62</v>
      </c>
      <c r="O67" s="19" t="s">
        <v>446</v>
      </c>
      <c r="P67" s="16" t="s">
        <v>446</v>
      </c>
      <c r="Q67" s="16" t="s">
        <v>446</v>
      </c>
      <c r="R67" s="17" t="s">
        <v>446</v>
      </c>
      <c r="S67" s="16" t="s">
        <v>446</v>
      </c>
      <c r="T67" s="16" t="s">
        <v>446</v>
      </c>
      <c r="U67" s="16" t="s">
        <v>446</v>
      </c>
      <c r="V67" s="17" t="s">
        <v>446</v>
      </c>
      <c r="W67" s="16" t="s">
        <v>446</v>
      </c>
      <c r="X67" s="16" t="s">
        <v>446</v>
      </c>
      <c r="Y67" s="16" t="s">
        <v>446</v>
      </c>
      <c r="Z67" s="17" t="s">
        <v>446</v>
      </c>
      <c r="AA67" s="16" t="s">
        <v>446</v>
      </c>
      <c r="AB67" s="16" t="s">
        <v>446</v>
      </c>
      <c r="AC67" s="16" t="s">
        <v>446</v>
      </c>
      <c r="AD67" s="17" t="s">
        <v>446</v>
      </c>
      <c r="AE67" s="16" t="s">
        <v>446</v>
      </c>
      <c r="AF67" s="16" t="s">
        <v>446</v>
      </c>
      <c r="AG67" s="16" t="s">
        <v>446</v>
      </c>
      <c r="AH67" s="17" t="s">
        <v>446</v>
      </c>
      <c r="AI67" s="16" t="s">
        <v>446</v>
      </c>
      <c r="AJ67" s="16" t="s">
        <v>446</v>
      </c>
      <c r="AK67" s="16" t="s">
        <v>446</v>
      </c>
      <c r="AL67" s="17" t="s">
        <v>446</v>
      </c>
      <c r="AM67" s="16" t="s">
        <v>446</v>
      </c>
      <c r="AN67" s="16" t="s">
        <v>446</v>
      </c>
      <c r="AO67" s="16" t="s">
        <v>446</v>
      </c>
      <c r="AP67" s="17" t="s">
        <v>446</v>
      </c>
      <c r="AQ67" s="16" t="s">
        <v>446</v>
      </c>
      <c r="AR67" s="16" t="s">
        <v>446</v>
      </c>
      <c r="AS67" s="16" t="s">
        <v>446</v>
      </c>
      <c r="AT67" s="17" t="s">
        <v>446</v>
      </c>
      <c r="AU67" s="16" t="s">
        <v>446</v>
      </c>
      <c r="AV67" s="16" t="s">
        <v>446</v>
      </c>
      <c r="AW67" s="16" t="s">
        <v>446</v>
      </c>
      <c r="AX67" s="17" t="s">
        <v>446</v>
      </c>
      <c r="AY67" s="16" t="s">
        <v>446</v>
      </c>
      <c r="AZ67" s="16" t="s">
        <v>446</v>
      </c>
      <c r="BA67" s="16" t="s">
        <v>446</v>
      </c>
      <c r="BB67" s="17" t="s">
        <v>446</v>
      </c>
      <c r="BC67" s="16" t="s">
        <v>446</v>
      </c>
      <c r="BD67" s="16" t="s">
        <v>446</v>
      </c>
      <c r="BE67" s="16" t="s">
        <v>446</v>
      </c>
      <c r="BF67" s="17" t="s">
        <v>446</v>
      </c>
      <c r="BG67" s="16" t="s">
        <v>446</v>
      </c>
      <c r="BH67" s="16" t="s">
        <v>446</v>
      </c>
      <c r="BI67" s="16" t="s">
        <v>446</v>
      </c>
      <c r="BJ67" s="17" t="s">
        <v>446</v>
      </c>
      <c r="BK67" s="16" t="s">
        <v>446</v>
      </c>
      <c r="BL67" s="16" t="s">
        <v>446</v>
      </c>
      <c r="BM67" s="16" t="s">
        <v>446</v>
      </c>
      <c r="BN67" s="17" t="s">
        <v>446</v>
      </c>
      <c r="BP67" s="19" t="s">
        <v>446</v>
      </c>
      <c r="BQ67" s="16" t="s">
        <v>446</v>
      </c>
      <c r="BR67" s="16" t="s">
        <v>446</v>
      </c>
      <c r="BS67" s="17" t="s">
        <v>446</v>
      </c>
      <c r="BU67" s="19" t="s">
        <v>446</v>
      </c>
      <c r="BV67" s="16" t="s">
        <v>446</v>
      </c>
      <c r="BW67" s="16" t="s">
        <v>446</v>
      </c>
      <c r="BX67" s="17" t="s">
        <v>446</v>
      </c>
      <c r="BZ67" s="19" t="s">
        <v>446</v>
      </c>
      <c r="CA67" s="16" t="s">
        <v>446</v>
      </c>
      <c r="CB67" s="16" t="s">
        <v>446</v>
      </c>
      <c r="CC67" s="17" t="s">
        <v>446</v>
      </c>
    </row>
    <row r="68" spans="2:81" ht="18" customHeight="1" x14ac:dyDescent="0.2">
      <c r="B68" s="8">
        <f>garage!B68</f>
        <v>68</v>
      </c>
      <c r="C68" s="8">
        <f>garage!C68</f>
        <v>2</v>
      </c>
      <c r="D68" s="8">
        <f>garage!D68</f>
        <v>34</v>
      </c>
      <c r="E68" s="8">
        <f>garage!E68</f>
        <v>15</v>
      </c>
      <c r="F68" s="8" t="str">
        <f>garage!F68</f>
        <v>F</v>
      </c>
      <c r="G68" s="8" t="str">
        <f>garage!G68</f>
        <v>O</v>
      </c>
      <c r="H68" s="8" t="str">
        <f>garage!H68</f>
        <v>O</v>
      </c>
      <c r="I68" s="8" t="str">
        <f>garage!I68</f>
        <v>N</v>
      </c>
      <c r="J68" s="8" t="str">
        <f>garage!J68</f>
        <v>N</v>
      </c>
      <c r="K68" s="8" t="str">
        <f>garage!K68</f>
        <v>C</v>
      </c>
      <c r="L68" s="9" t="str">
        <f>garage!L68</f>
        <v>Ferrari</v>
      </c>
      <c r="M68" s="9" t="str">
        <f>garage!M68</f>
        <v>599XX EVO</v>
      </c>
      <c r="O68" s="18">
        <v>1</v>
      </c>
      <c r="P68" s="14">
        <v>1</v>
      </c>
      <c r="Q68" s="14">
        <v>1</v>
      </c>
      <c r="R68" s="15">
        <v>1</v>
      </c>
      <c r="S68" s="14">
        <v>1</v>
      </c>
      <c r="T68" s="14">
        <v>1</v>
      </c>
      <c r="U68" s="14">
        <v>1</v>
      </c>
      <c r="V68" s="15">
        <v>1</v>
      </c>
      <c r="W68" s="14">
        <v>1</v>
      </c>
      <c r="X68" s="14">
        <v>1</v>
      </c>
      <c r="Y68" s="14">
        <v>1</v>
      </c>
      <c r="Z68" s="15">
        <v>1</v>
      </c>
      <c r="AA68" s="14">
        <v>1</v>
      </c>
      <c r="AB68" s="14">
        <v>1</v>
      </c>
      <c r="AC68" s="14">
        <v>1</v>
      </c>
      <c r="AD68" s="15">
        <v>1</v>
      </c>
      <c r="AE68" s="14">
        <v>1</v>
      </c>
      <c r="AF68" s="14">
        <v>1</v>
      </c>
      <c r="AG68" s="14">
        <v>1</v>
      </c>
      <c r="AH68" s="15">
        <v>1</v>
      </c>
      <c r="AI68" s="14">
        <v>1</v>
      </c>
      <c r="AJ68" s="14">
        <v>1</v>
      </c>
      <c r="AK68" s="14">
        <v>1</v>
      </c>
      <c r="AL68" s="15">
        <v>1</v>
      </c>
      <c r="AM68" s="14">
        <v>1</v>
      </c>
      <c r="AN68" s="14">
        <v>1</v>
      </c>
      <c r="AO68" s="14">
        <v>1</v>
      </c>
      <c r="AP68" s="15">
        <v>1</v>
      </c>
      <c r="AQ68" s="14">
        <v>1</v>
      </c>
      <c r="AR68" s="14">
        <v>1</v>
      </c>
      <c r="AS68" s="14">
        <v>1</v>
      </c>
      <c r="AT68" s="15">
        <v>1</v>
      </c>
      <c r="AU68" s="14">
        <v>1</v>
      </c>
      <c r="AV68" s="14">
        <v>1</v>
      </c>
      <c r="AW68" s="14">
        <v>1</v>
      </c>
      <c r="AX68" s="15">
        <v>1</v>
      </c>
      <c r="AY68" s="14">
        <v>1</v>
      </c>
      <c r="AZ68" s="14">
        <v>1</v>
      </c>
      <c r="BA68" s="14">
        <v>1</v>
      </c>
      <c r="BB68" s="15">
        <v>1</v>
      </c>
      <c r="BC68" s="14">
        <v>1</v>
      </c>
      <c r="BD68" s="14">
        <v>1</v>
      </c>
      <c r="BE68" s="14">
        <v>1</v>
      </c>
      <c r="BF68" s="15">
        <v>1</v>
      </c>
      <c r="BG68" s="14">
        <v>1</v>
      </c>
      <c r="BH68" s="14">
        <v>1</v>
      </c>
      <c r="BI68" s="14">
        <v>1</v>
      </c>
      <c r="BJ68" s="15">
        <v>1</v>
      </c>
      <c r="BK68" s="14" t="s">
        <v>446</v>
      </c>
      <c r="BL68" s="14" t="s">
        <v>446</v>
      </c>
      <c r="BM68" s="14" t="s">
        <v>446</v>
      </c>
      <c r="BN68" s="15" t="s">
        <v>446</v>
      </c>
      <c r="BP68" s="18">
        <v>9</v>
      </c>
      <c r="BQ68" s="14">
        <v>9</v>
      </c>
      <c r="BR68" s="14">
        <v>9</v>
      </c>
      <c r="BS68" s="15">
        <v>9</v>
      </c>
      <c r="BU68" s="18">
        <v>4</v>
      </c>
      <c r="BV68" s="14">
        <v>4</v>
      </c>
      <c r="BW68" s="14">
        <v>4</v>
      </c>
      <c r="BX68" s="15">
        <v>4</v>
      </c>
      <c r="BZ68" s="18" t="s">
        <v>446</v>
      </c>
      <c r="CA68" s="14" t="s">
        <v>446</v>
      </c>
      <c r="CB68" s="14" t="s">
        <v>446</v>
      </c>
      <c r="CC68" s="15" t="s">
        <v>446</v>
      </c>
    </row>
    <row r="69" spans="2:81" ht="18" customHeight="1" x14ac:dyDescent="0.2">
      <c r="B69" s="10">
        <f>garage!B69</f>
        <v>69</v>
      </c>
      <c r="C69" s="10">
        <f>garage!C69</f>
        <v>2</v>
      </c>
      <c r="D69" s="10">
        <f>garage!D69</f>
        <v>35</v>
      </c>
      <c r="E69" s="10">
        <f>garage!E69</f>
        <v>28</v>
      </c>
      <c r="F69" s="10" t="str">
        <f>garage!F69</f>
        <v>--</v>
      </c>
      <c r="G69" s="10" t="str">
        <f>garage!G69</f>
        <v>O</v>
      </c>
      <c r="H69" s="10" t="str">
        <f>garage!H69</f>
        <v>N</v>
      </c>
      <c r="I69" s="10" t="str">
        <f>garage!I69</f>
        <v>N</v>
      </c>
      <c r="J69" s="10" t="str">
        <f>garage!J69</f>
        <v>N</v>
      </c>
      <c r="K69" s="10" t="str">
        <f>garage!K69</f>
        <v>C</v>
      </c>
      <c r="L69" s="11" t="str">
        <f>garage!L69</f>
        <v>Ares</v>
      </c>
      <c r="M69" s="11" t="str">
        <f>garage!M69</f>
        <v>S1</v>
      </c>
      <c r="O69" s="19">
        <v>1</v>
      </c>
      <c r="P69" s="16">
        <v>1</v>
      </c>
      <c r="Q69" s="16">
        <v>1</v>
      </c>
      <c r="R69" s="17">
        <v>1</v>
      </c>
      <c r="S69" s="16">
        <v>1</v>
      </c>
      <c r="T69" s="16">
        <v>1</v>
      </c>
      <c r="U69" s="16">
        <v>1</v>
      </c>
      <c r="V69" s="17">
        <v>1</v>
      </c>
      <c r="W69" s="16">
        <v>1</v>
      </c>
      <c r="X69" s="16">
        <v>1</v>
      </c>
      <c r="Y69" s="16">
        <v>1</v>
      </c>
      <c r="Z69" s="17">
        <v>1</v>
      </c>
      <c r="AA69" s="16">
        <v>1</v>
      </c>
      <c r="AB69" s="16">
        <v>1</v>
      </c>
      <c r="AC69" s="16">
        <v>1</v>
      </c>
      <c r="AD69" s="17">
        <v>1</v>
      </c>
      <c r="AE69" s="16">
        <v>1</v>
      </c>
      <c r="AF69" s="16">
        <v>1</v>
      </c>
      <c r="AG69" s="16">
        <v>1</v>
      </c>
      <c r="AH69" s="17">
        <v>1</v>
      </c>
      <c r="AI69" s="16">
        <v>1</v>
      </c>
      <c r="AJ69" s="16">
        <v>1</v>
      </c>
      <c r="AK69" s="16">
        <v>1</v>
      </c>
      <c r="AL69" s="17">
        <v>1</v>
      </c>
      <c r="AM69" s="16">
        <v>1</v>
      </c>
      <c r="AN69" s="16">
        <v>1</v>
      </c>
      <c r="AO69" s="16">
        <v>1</v>
      </c>
      <c r="AP69" s="17">
        <v>1</v>
      </c>
      <c r="AQ69" s="16">
        <v>1</v>
      </c>
      <c r="AR69" s="16">
        <v>1</v>
      </c>
      <c r="AS69" s="16">
        <v>1</v>
      </c>
      <c r="AT69" s="17">
        <v>1</v>
      </c>
      <c r="AU69" s="16" t="s">
        <v>446</v>
      </c>
      <c r="AV69" s="16" t="s">
        <v>446</v>
      </c>
      <c r="AW69" s="16" t="s">
        <v>446</v>
      </c>
      <c r="AX69" s="17" t="s">
        <v>446</v>
      </c>
      <c r="AY69" s="16" t="s">
        <v>446</v>
      </c>
      <c r="AZ69" s="16" t="s">
        <v>446</v>
      </c>
      <c r="BA69" s="16" t="s">
        <v>446</v>
      </c>
      <c r="BB69" s="17" t="s">
        <v>446</v>
      </c>
      <c r="BC69" s="16" t="s">
        <v>446</v>
      </c>
      <c r="BD69" s="16" t="s">
        <v>446</v>
      </c>
      <c r="BE69" s="16" t="s">
        <v>446</v>
      </c>
      <c r="BF69" s="17" t="s">
        <v>446</v>
      </c>
      <c r="BG69" s="16" t="s">
        <v>446</v>
      </c>
      <c r="BH69" s="16" t="s">
        <v>446</v>
      </c>
      <c r="BI69" s="16" t="s">
        <v>446</v>
      </c>
      <c r="BJ69" s="17" t="s">
        <v>446</v>
      </c>
      <c r="BK69" s="16" t="s">
        <v>446</v>
      </c>
      <c r="BL69" s="16" t="s">
        <v>446</v>
      </c>
      <c r="BM69" s="16" t="s">
        <v>446</v>
      </c>
      <c r="BN69" s="17" t="s">
        <v>446</v>
      </c>
      <c r="BP69" s="19">
        <v>6</v>
      </c>
      <c r="BQ69" s="16">
        <v>6</v>
      </c>
      <c r="BR69" s="16">
        <v>6</v>
      </c>
      <c r="BS69" s="17">
        <v>6</v>
      </c>
      <c r="BU69" s="19">
        <v>1</v>
      </c>
      <c r="BV69" s="16">
        <v>0</v>
      </c>
      <c r="BW69" s="16">
        <v>0</v>
      </c>
      <c r="BX69" s="17">
        <v>1</v>
      </c>
      <c r="BZ69" s="19">
        <v>0</v>
      </c>
      <c r="CA69" s="16">
        <v>0</v>
      </c>
      <c r="CB69" s="16">
        <v>0</v>
      </c>
      <c r="CC69" s="17">
        <v>0</v>
      </c>
    </row>
    <row r="70" spans="2:81" ht="18" customHeight="1" x14ac:dyDescent="0.2">
      <c r="B70" s="8">
        <f>garage!B70</f>
        <v>70</v>
      </c>
      <c r="C70" s="8">
        <f>garage!C70</f>
        <v>2</v>
      </c>
      <c r="D70" s="8">
        <f>garage!D70</f>
        <v>36</v>
      </c>
      <c r="E70" s="8">
        <f>garage!E70</f>
        <v>25</v>
      </c>
      <c r="F70" s="8" t="str">
        <f>garage!F70</f>
        <v>L</v>
      </c>
      <c r="G70" s="8" t="str">
        <f>garage!G70</f>
        <v>N</v>
      </c>
      <c r="H70" s="8" t="str">
        <f>garage!H70</f>
        <v>N</v>
      </c>
      <c r="I70" s="8" t="str">
        <f>garage!I70</f>
        <v>N</v>
      </c>
      <c r="J70" s="8" t="str">
        <f>garage!J70</f>
        <v>N</v>
      </c>
      <c r="K70" s="8" t="str">
        <f>garage!K70</f>
        <v>C</v>
      </c>
      <c r="L70" s="9" t="str">
        <f>garage!L70</f>
        <v>Lamborghini</v>
      </c>
      <c r="M70" s="9" t="str">
        <f>garage!M70</f>
        <v>Diablo GT</v>
      </c>
      <c r="O70" s="18" t="s">
        <v>446</v>
      </c>
      <c r="P70" s="14" t="s">
        <v>446</v>
      </c>
      <c r="Q70" s="14" t="s">
        <v>446</v>
      </c>
      <c r="R70" s="15" t="s">
        <v>446</v>
      </c>
      <c r="S70" s="14" t="s">
        <v>446</v>
      </c>
      <c r="T70" s="14" t="s">
        <v>446</v>
      </c>
      <c r="U70" s="14" t="s">
        <v>446</v>
      </c>
      <c r="V70" s="15" t="s">
        <v>446</v>
      </c>
      <c r="W70" s="14" t="s">
        <v>446</v>
      </c>
      <c r="X70" s="14" t="s">
        <v>446</v>
      </c>
      <c r="Y70" s="14" t="s">
        <v>446</v>
      </c>
      <c r="Z70" s="15" t="s">
        <v>446</v>
      </c>
      <c r="AA70" s="14" t="s">
        <v>446</v>
      </c>
      <c r="AB70" s="14" t="s">
        <v>446</v>
      </c>
      <c r="AC70" s="14" t="s">
        <v>446</v>
      </c>
      <c r="AD70" s="15" t="s">
        <v>446</v>
      </c>
      <c r="AE70" s="14" t="s">
        <v>446</v>
      </c>
      <c r="AF70" s="14" t="s">
        <v>446</v>
      </c>
      <c r="AG70" s="14" t="s">
        <v>446</v>
      </c>
      <c r="AH70" s="15" t="s">
        <v>446</v>
      </c>
      <c r="AI70" s="14" t="s">
        <v>446</v>
      </c>
      <c r="AJ70" s="14" t="s">
        <v>446</v>
      </c>
      <c r="AK70" s="14" t="s">
        <v>446</v>
      </c>
      <c r="AL70" s="15" t="s">
        <v>446</v>
      </c>
      <c r="AM70" s="14" t="s">
        <v>446</v>
      </c>
      <c r="AN70" s="14" t="s">
        <v>446</v>
      </c>
      <c r="AO70" s="14" t="s">
        <v>446</v>
      </c>
      <c r="AP70" s="15" t="s">
        <v>446</v>
      </c>
      <c r="AQ70" s="14" t="s">
        <v>446</v>
      </c>
      <c r="AR70" s="14" t="s">
        <v>446</v>
      </c>
      <c r="AS70" s="14" t="s">
        <v>446</v>
      </c>
      <c r="AT70" s="15" t="s">
        <v>446</v>
      </c>
      <c r="AU70" s="14" t="s">
        <v>446</v>
      </c>
      <c r="AV70" s="14" t="s">
        <v>446</v>
      </c>
      <c r="AW70" s="14" t="s">
        <v>446</v>
      </c>
      <c r="AX70" s="15" t="s">
        <v>446</v>
      </c>
      <c r="AY70" s="14" t="s">
        <v>446</v>
      </c>
      <c r="AZ70" s="14" t="s">
        <v>446</v>
      </c>
      <c r="BA70" s="14" t="s">
        <v>446</v>
      </c>
      <c r="BB70" s="15" t="s">
        <v>446</v>
      </c>
      <c r="BC70" s="14" t="s">
        <v>446</v>
      </c>
      <c r="BD70" s="14" t="s">
        <v>446</v>
      </c>
      <c r="BE70" s="14" t="s">
        <v>446</v>
      </c>
      <c r="BF70" s="15" t="s">
        <v>446</v>
      </c>
      <c r="BG70" s="14" t="s">
        <v>446</v>
      </c>
      <c r="BH70" s="14" t="s">
        <v>446</v>
      </c>
      <c r="BI70" s="14" t="s">
        <v>446</v>
      </c>
      <c r="BJ70" s="15" t="s">
        <v>446</v>
      </c>
      <c r="BK70" s="14" t="s">
        <v>446</v>
      </c>
      <c r="BL70" s="14" t="s">
        <v>446</v>
      </c>
      <c r="BM70" s="14" t="s">
        <v>446</v>
      </c>
      <c r="BN70" s="15" t="s">
        <v>446</v>
      </c>
      <c r="BP70" s="18" t="s">
        <v>446</v>
      </c>
      <c r="BQ70" s="14" t="s">
        <v>446</v>
      </c>
      <c r="BR70" s="14" t="s">
        <v>446</v>
      </c>
      <c r="BS70" s="15" t="s">
        <v>446</v>
      </c>
      <c r="BU70" s="18" t="s">
        <v>446</v>
      </c>
      <c r="BV70" s="14" t="s">
        <v>446</v>
      </c>
      <c r="BW70" s="14" t="s">
        <v>446</v>
      </c>
      <c r="BX70" s="15" t="s">
        <v>446</v>
      </c>
      <c r="BZ70" s="18" t="s">
        <v>446</v>
      </c>
      <c r="CA70" s="14" t="s">
        <v>446</v>
      </c>
      <c r="CB70" s="14" t="s">
        <v>446</v>
      </c>
      <c r="CC70" s="15" t="s">
        <v>446</v>
      </c>
    </row>
    <row r="71" spans="2:81" ht="18" customHeight="1" x14ac:dyDescent="0.2">
      <c r="B71" s="10">
        <f>garage!B71</f>
        <v>71</v>
      </c>
      <c r="C71" s="10">
        <f>garage!C71</f>
        <v>2</v>
      </c>
      <c r="D71" s="10">
        <f>garage!D71</f>
        <v>37</v>
      </c>
      <c r="E71" s="10">
        <f>garage!E71</f>
        <v>7</v>
      </c>
      <c r="F71" s="10" t="str">
        <f>garage!F71</f>
        <v>--</v>
      </c>
      <c r="G71" s="10" t="str">
        <f>garage!G71</f>
        <v>O</v>
      </c>
      <c r="H71" s="10" t="str">
        <f>garage!H71</f>
        <v>O</v>
      </c>
      <c r="I71" s="10" t="str">
        <f>garage!I71</f>
        <v>O</v>
      </c>
      <c r="J71" s="10" t="str">
        <f>garage!J71</f>
        <v>N</v>
      </c>
      <c r="K71" s="10" t="str">
        <f>garage!K71</f>
        <v>C</v>
      </c>
      <c r="L71" s="11" t="str">
        <f>garage!L71</f>
        <v>Arrinera</v>
      </c>
      <c r="M71" s="11" t="str">
        <f>garage!M71</f>
        <v>Hussarya 33</v>
      </c>
      <c r="O71" s="19">
        <v>1</v>
      </c>
      <c r="P71" s="16">
        <v>1</v>
      </c>
      <c r="Q71" s="16">
        <v>1</v>
      </c>
      <c r="R71" s="17">
        <v>1</v>
      </c>
      <c r="S71" s="16">
        <v>1</v>
      </c>
      <c r="T71" s="16">
        <v>1</v>
      </c>
      <c r="U71" s="16">
        <v>1</v>
      </c>
      <c r="V71" s="17">
        <v>1</v>
      </c>
      <c r="W71" s="16">
        <v>1</v>
      </c>
      <c r="X71" s="16">
        <v>1</v>
      </c>
      <c r="Y71" s="16">
        <v>1</v>
      </c>
      <c r="Z71" s="17">
        <v>1</v>
      </c>
      <c r="AA71" s="16">
        <v>1</v>
      </c>
      <c r="AB71" s="16">
        <v>1</v>
      </c>
      <c r="AC71" s="16">
        <v>1</v>
      </c>
      <c r="AD71" s="17">
        <v>1</v>
      </c>
      <c r="AE71" s="16">
        <v>1</v>
      </c>
      <c r="AF71" s="16">
        <v>1</v>
      </c>
      <c r="AG71" s="16">
        <v>1</v>
      </c>
      <c r="AH71" s="17">
        <v>1</v>
      </c>
      <c r="AI71" s="16">
        <v>1</v>
      </c>
      <c r="AJ71" s="16">
        <v>1</v>
      </c>
      <c r="AK71" s="16">
        <v>1</v>
      </c>
      <c r="AL71" s="17">
        <v>1</v>
      </c>
      <c r="AM71" s="16">
        <v>1</v>
      </c>
      <c r="AN71" s="16">
        <v>1</v>
      </c>
      <c r="AO71" s="16">
        <v>1</v>
      </c>
      <c r="AP71" s="17">
        <v>1</v>
      </c>
      <c r="AQ71" s="16">
        <v>1</v>
      </c>
      <c r="AR71" s="16">
        <v>1</v>
      </c>
      <c r="AS71" s="16">
        <v>1</v>
      </c>
      <c r="AT71" s="17">
        <v>1</v>
      </c>
      <c r="AU71" s="16">
        <v>1</v>
      </c>
      <c r="AV71" s="16">
        <v>1</v>
      </c>
      <c r="AW71" s="16">
        <v>1</v>
      </c>
      <c r="AX71" s="17">
        <v>1</v>
      </c>
      <c r="AY71" s="16">
        <v>1</v>
      </c>
      <c r="AZ71" s="16">
        <v>1</v>
      </c>
      <c r="BA71" s="16">
        <v>1</v>
      </c>
      <c r="BB71" s="17">
        <v>1</v>
      </c>
      <c r="BC71" s="16">
        <v>1</v>
      </c>
      <c r="BD71" s="16">
        <v>1</v>
      </c>
      <c r="BE71" s="16">
        <v>1</v>
      </c>
      <c r="BF71" s="17">
        <v>1</v>
      </c>
      <c r="BG71" s="16">
        <v>1</v>
      </c>
      <c r="BH71" s="16">
        <v>1</v>
      </c>
      <c r="BI71" s="16">
        <v>1</v>
      </c>
      <c r="BJ71" s="17">
        <v>1</v>
      </c>
      <c r="BK71" s="16" t="s">
        <v>446</v>
      </c>
      <c r="BL71" s="16" t="s">
        <v>446</v>
      </c>
      <c r="BM71" s="16" t="s">
        <v>446</v>
      </c>
      <c r="BN71" s="17" t="s">
        <v>446</v>
      </c>
      <c r="BP71" s="19">
        <v>9</v>
      </c>
      <c r="BQ71" s="16">
        <v>9</v>
      </c>
      <c r="BR71" s="16">
        <v>9</v>
      </c>
      <c r="BS71" s="17">
        <v>9</v>
      </c>
      <c r="BU71" s="19">
        <v>4</v>
      </c>
      <c r="BV71" s="16">
        <v>4</v>
      </c>
      <c r="BW71" s="16">
        <v>4</v>
      </c>
      <c r="BX71" s="17">
        <v>4</v>
      </c>
      <c r="BZ71" s="19">
        <v>2</v>
      </c>
      <c r="CA71" s="16">
        <v>2</v>
      </c>
      <c r="CB71" s="16">
        <v>2</v>
      </c>
      <c r="CC71" s="17">
        <v>2</v>
      </c>
    </row>
    <row r="72" spans="2:81" ht="18" customHeight="1" x14ac:dyDescent="0.2">
      <c r="B72" s="8">
        <f>garage!B72</f>
        <v>72</v>
      </c>
      <c r="C72" s="8">
        <f>garage!C72</f>
        <v>2</v>
      </c>
      <c r="D72" s="8">
        <f>garage!D72</f>
        <v>38</v>
      </c>
      <c r="E72" s="8">
        <f>garage!E72</f>
        <v>26</v>
      </c>
      <c r="F72" s="8" t="str">
        <f>garage!F72</f>
        <v>B</v>
      </c>
      <c r="G72" s="8" t="str">
        <f>garage!G72</f>
        <v>O</v>
      </c>
      <c r="H72" s="8" t="str">
        <f>garage!H72</f>
        <v>O</v>
      </c>
      <c r="I72" s="8" t="str">
        <f>garage!I72</f>
        <v>N</v>
      </c>
      <c r="J72" s="8" t="str">
        <f>garage!J72</f>
        <v>N</v>
      </c>
      <c r="K72" s="8" t="str">
        <f>garage!K72</f>
        <v>C</v>
      </c>
      <c r="L72" s="9" t="str">
        <f>garage!L72</f>
        <v>Bugatti</v>
      </c>
      <c r="M72" s="9" t="str">
        <f>garage!M72</f>
        <v>EB110</v>
      </c>
      <c r="O72" s="18">
        <v>1</v>
      </c>
      <c r="P72" s="14">
        <v>1</v>
      </c>
      <c r="Q72" s="14">
        <v>1</v>
      </c>
      <c r="R72" s="15">
        <v>1</v>
      </c>
      <c r="S72" s="14">
        <v>1</v>
      </c>
      <c r="T72" s="14">
        <v>1</v>
      </c>
      <c r="U72" s="14">
        <v>1</v>
      </c>
      <c r="V72" s="15">
        <v>1</v>
      </c>
      <c r="W72" s="14">
        <v>1</v>
      </c>
      <c r="X72" s="14">
        <v>1</v>
      </c>
      <c r="Y72" s="14">
        <v>1</v>
      </c>
      <c r="Z72" s="15">
        <v>1</v>
      </c>
      <c r="AA72" s="14">
        <v>1</v>
      </c>
      <c r="AB72" s="14">
        <v>1</v>
      </c>
      <c r="AC72" s="14">
        <v>1</v>
      </c>
      <c r="AD72" s="15">
        <v>1</v>
      </c>
      <c r="AE72" s="14">
        <v>1</v>
      </c>
      <c r="AF72" s="14">
        <v>1</v>
      </c>
      <c r="AG72" s="14">
        <v>1</v>
      </c>
      <c r="AH72" s="15">
        <v>1</v>
      </c>
      <c r="AI72" s="14">
        <v>1</v>
      </c>
      <c r="AJ72" s="14">
        <v>1</v>
      </c>
      <c r="AK72" s="14">
        <v>1</v>
      </c>
      <c r="AL72" s="15">
        <v>1</v>
      </c>
      <c r="AM72" s="14" t="s">
        <v>446</v>
      </c>
      <c r="AN72" s="14" t="s">
        <v>446</v>
      </c>
      <c r="AO72" s="14" t="s">
        <v>446</v>
      </c>
      <c r="AP72" s="15" t="s">
        <v>446</v>
      </c>
      <c r="AQ72" s="14" t="s">
        <v>446</v>
      </c>
      <c r="AR72" s="14" t="s">
        <v>446</v>
      </c>
      <c r="AS72" s="14" t="s">
        <v>446</v>
      </c>
      <c r="AT72" s="15" t="s">
        <v>446</v>
      </c>
      <c r="AU72" s="14" t="s">
        <v>446</v>
      </c>
      <c r="AV72" s="14" t="s">
        <v>446</v>
      </c>
      <c r="AW72" s="14" t="s">
        <v>446</v>
      </c>
      <c r="AX72" s="15" t="s">
        <v>446</v>
      </c>
      <c r="AY72" s="14" t="s">
        <v>446</v>
      </c>
      <c r="AZ72" s="14" t="s">
        <v>446</v>
      </c>
      <c r="BA72" s="14" t="s">
        <v>446</v>
      </c>
      <c r="BB72" s="15" t="s">
        <v>446</v>
      </c>
      <c r="BC72" s="14" t="s">
        <v>446</v>
      </c>
      <c r="BD72" s="14" t="s">
        <v>446</v>
      </c>
      <c r="BE72" s="14" t="s">
        <v>446</v>
      </c>
      <c r="BF72" s="15" t="s">
        <v>446</v>
      </c>
      <c r="BG72" s="14" t="s">
        <v>446</v>
      </c>
      <c r="BH72" s="14" t="s">
        <v>446</v>
      </c>
      <c r="BI72" s="14" t="s">
        <v>446</v>
      </c>
      <c r="BJ72" s="15" t="s">
        <v>446</v>
      </c>
      <c r="BK72" s="14" t="s">
        <v>446</v>
      </c>
      <c r="BL72" s="14" t="s">
        <v>446</v>
      </c>
      <c r="BM72" s="14" t="s">
        <v>446</v>
      </c>
      <c r="BN72" s="15" t="s">
        <v>446</v>
      </c>
      <c r="BP72" s="18" t="s">
        <v>446</v>
      </c>
      <c r="BQ72" s="14" t="s">
        <v>446</v>
      </c>
      <c r="BR72" s="14" t="s">
        <v>446</v>
      </c>
      <c r="BS72" s="15" t="s">
        <v>446</v>
      </c>
      <c r="BU72" s="18" t="s">
        <v>446</v>
      </c>
      <c r="BV72" s="14" t="s">
        <v>446</v>
      </c>
      <c r="BW72" s="14" t="s">
        <v>446</v>
      </c>
      <c r="BX72" s="15" t="s">
        <v>446</v>
      </c>
      <c r="BZ72" s="18" t="s">
        <v>446</v>
      </c>
      <c r="CA72" s="14" t="s">
        <v>446</v>
      </c>
      <c r="CB72" s="14" t="s">
        <v>446</v>
      </c>
      <c r="CC72" s="15" t="s">
        <v>446</v>
      </c>
    </row>
    <row r="73" spans="2:81" ht="18" customHeight="1" x14ac:dyDescent="0.2">
      <c r="B73" s="10">
        <f>garage!B73</f>
        <v>73</v>
      </c>
      <c r="C73" s="10">
        <f>garage!C73</f>
        <v>2</v>
      </c>
      <c r="D73" s="10">
        <f>garage!D73</f>
        <v>39</v>
      </c>
      <c r="E73" s="10">
        <f>garage!E73</f>
        <v>31</v>
      </c>
      <c r="F73" s="10" t="str">
        <f>garage!F73</f>
        <v>--</v>
      </c>
      <c r="G73" s="10" t="str">
        <f>garage!G73</f>
        <v>N</v>
      </c>
      <c r="H73" s="10" t="str">
        <f>garage!H73</f>
        <v>N</v>
      </c>
      <c r="I73" s="10" t="str">
        <f>garage!I73</f>
        <v>N</v>
      </c>
      <c r="J73" s="10" t="str">
        <f>garage!J73</f>
        <v>N</v>
      </c>
      <c r="K73" s="10" t="str">
        <f>garage!K73</f>
        <v>C</v>
      </c>
      <c r="L73" s="11" t="str">
        <f>garage!L73</f>
        <v>Porsche</v>
      </c>
      <c r="M73" s="11" t="str">
        <f>garage!M73</f>
        <v>Panamera Turbo S</v>
      </c>
      <c r="O73" s="19" t="s">
        <v>446</v>
      </c>
      <c r="P73" s="16" t="s">
        <v>446</v>
      </c>
      <c r="Q73" s="16" t="s">
        <v>446</v>
      </c>
      <c r="R73" s="17" t="s">
        <v>446</v>
      </c>
      <c r="S73" s="16" t="s">
        <v>446</v>
      </c>
      <c r="T73" s="16" t="s">
        <v>446</v>
      </c>
      <c r="U73" s="16" t="s">
        <v>446</v>
      </c>
      <c r="V73" s="17" t="s">
        <v>446</v>
      </c>
      <c r="W73" s="16" t="s">
        <v>446</v>
      </c>
      <c r="X73" s="16" t="s">
        <v>446</v>
      </c>
      <c r="Y73" s="16" t="s">
        <v>446</v>
      </c>
      <c r="Z73" s="17" t="s">
        <v>446</v>
      </c>
      <c r="AA73" s="16" t="s">
        <v>446</v>
      </c>
      <c r="AB73" s="16" t="s">
        <v>446</v>
      </c>
      <c r="AC73" s="16" t="s">
        <v>446</v>
      </c>
      <c r="AD73" s="17" t="s">
        <v>446</v>
      </c>
      <c r="AE73" s="16" t="s">
        <v>446</v>
      </c>
      <c r="AF73" s="16" t="s">
        <v>446</v>
      </c>
      <c r="AG73" s="16" t="s">
        <v>446</v>
      </c>
      <c r="AH73" s="17" t="s">
        <v>446</v>
      </c>
      <c r="AI73" s="16" t="s">
        <v>446</v>
      </c>
      <c r="AJ73" s="16" t="s">
        <v>446</v>
      </c>
      <c r="AK73" s="16" t="s">
        <v>446</v>
      </c>
      <c r="AL73" s="17" t="s">
        <v>446</v>
      </c>
      <c r="AM73" s="16" t="s">
        <v>446</v>
      </c>
      <c r="AN73" s="16" t="s">
        <v>446</v>
      </c>
      <c r="AO73" s="16" t="s">
        <v>446</v>
      </c>
      <c r="AP73" s="17" t="s">
        <v>446</v>
      </c>
      <c r="AQ73" s="16" t="s">
        <v>446</v>
      </c>
      <c r="AR73" s="16" t="s">
        <v>446</v>
      </c>
      <c r="AS73" s="16" t="s">
        <v>446</v>
      </c>
      <c r="AT73" s="17" t="s">
        <v>446</v>
      </c>
      <c r="AU73" s="16" t="s">
        <v>446</v>
      </c>
      <c r="AV73" s="16" t="s">
        <v>446</v>
      </c>
      <c r="AW73" s="16" t="s">
        <v>446</v>
      </c>
      <c r="AX73" s="17" t="s">
        <v>446</v>
      </c>
      <c r="AY73" s="16" t="s">
        <v>446</v>
      </c>
      <c r="AZ73" s="16" t="s">
        <v>446</v>
      </c>
      <c r="BA73" s="16" t="s">
        <v>446</v>
      </c>
      <c r="BB73" s="17" t="s">
        <v>446</v>
      </c>
      <c r="BC73" s="16" t="s">
        <v>446</v>
      </c>
      <c r="BD73" s="16" t="s">
        <v>446</v>
      </c>
      <c r="BE73" s="16" t="s">
        <v>446</v>
      </c>
      <c r="BF73" s="17" t="s">
        <v>446</v>
      </c>
      <c r="BG73" s="16" t="s">
        <v>446</v>
      </c>
      <c r="BH73" s="16" t="s">
        <v>446</v>
      </c>
      <c r="BI73" s="16" t="s">
        <v>446</v>
      </c>
      <c r="BJ73" s="17" t="s">
        <v>446</v>
      </c>
      <c r="BK73" s="16" t="s">
        <v>446</v>
      </c>
      <c r="BL73" s="16" t="s">
        <v>446</v>
      </c>
      <c r="BM73" s="16" t="s">
        <v>446</v>
      </c>
      <c r="BN73" s="17" t="s">
        <v>446</v>
      </c>
      <c r="BP73" s="19" t="s">
        <v>446</v>
      </c>
      <c r="BQ73" s="16" t="s">
        <v>446</v>
      </c>
      <c r="BR73" s="16" t="s">
        <v>446</v>
      </c>
      <c r="BS73" s="17" t="s">
        <v>446</v>
      </c>
      <c r="BU73" s="19" t="s">
        <v>446</v>
      </c>
      <c r="BV73" s="16" t="s">
        <v>446</v>
      </c>
      <c r="BW73" s="16" t="s">
        <v>446</v>
      </c>
      <c r="BX73" s="17" t="s">
        <v>446</v>
      </c>
      <c r="BZ73" s="19" t="s">
        <v>446</v>
      </c>
      <c r="CA73" s="16" t="s">
        <v>446</v>
      </c>
      <c r="CB73" s="16" t="s">
        <v>446</v>
      </c>
      <c r="CC73" s="17" t="s">
        <v>446</v>
      </c>
    </row>
    <row r="74" spans="2:81" ht="18" customHeight="1" x14ac:dyDescent="0.2">
      <c r="B74" s="8">
        <f>garage!B74</f>
        <v>74</v>
      </c>
      <c r="C74" s="8">
        <f>garage!C74</f>
        <v>2</v>
      </c>
      <c r="D74" s="8">
        <f>garage!D74</f>
        <v>40</v>
      </c>
      <c r="E74" s="8">
        <f>garage!E74</f>
        <v>12</v>
      </c>
      <c r="F74" s="8" t="str">
        <f>garage!F74</f>
        <v>L</v>
      </c>
      <c r="G74" s="8" t="str">
        <f>garage!G74</f>
        <v>O</v>
      </c>
      <c r="H74" s="8" t="str">
        <f>garage!H74</f>
        <v>N</v>
      </c>
      <c r="I74" s="8" t="str">
        <f>garage!I74</f>
        <v>N</v>
      </c>
      <c r="J74" s="8" t="str">
        <f>garage!J74</f>
        <v>N</v>
      </c>
      <c r="K74" s="8" t="str">
        <f>garage!K74</f>
        <v>C</v>
      </c>
      <c r="L74" s="9" t="str">
        <f>garage!L74</f>
        <v>Lamborghini</v>
      </c>
      <c r="M74" s="9" t="str">
        <f>garage!M74</f>
        <v>Gallardo LP560-4</v>
      </c>
      <c r="O74" s="18">
        <v>1</v>
      </c>
      <c r="P74" s="14">
        <v>1</v>
      </c>
      <c r="Q74" s="14">
        <v>1</v>
      </c>
      <c r="R74" s="15">
        <v>1</v>
      </c>
      <c r="S74" s="14">
        <v>1</v>
      </c>
      <c r="T74" s="14">
        <v>1</v>
      </c>
      <c r="U74" s="14">
        <v>1</v>
      </c>
      <c r="V74" s="15">
        <v>1</v>
      </c>
      <c r="W74" s="14">
        <v>1</v>
      </c>
      <c r="X74" s="14">
        <v>1</v>
      </c>
      <c r="Y74" s="14">
        <v>1</v>
      </c>
      <c r="Z74" s="15">
        <v>1</v>
      </c>
      <c r="AA74" s="14">
        <v>1</v>
      </c>
      <c r="AB74" s="14">
        <v>1</v>
      </c>
      <c r="AC74" s="14">
        <v>1</v>
      </c>
      <c r="AD74" s="15">
        <v>1</v>
      </c>
      <c r="AE74" s="14">
        <v>1</v>
      </c>
      <c r="AF74" s="14">
        <v>1</v>
      </c>
      <c r="AG74" s="14">
        <v>1</v>
      </c>
      <c r="AH74" s="15">
        <v>1</v>
      </c>
      <c r="AI74" s="14">
        <v>1</v>
      </c>
      <c r="AJ74" s="14">
        <v>1</v>
      </c>
      <c r="AK74" s="14">
        <v>1</v>
      </c>
      <c r="AL74" s="15">
        <v>1</v>
      </c>
      <c r="AM74" s="14">
        <v>1</v>
      </c>
      <c r="AN74" s="14">
        <v>1</v>
      </c>
      <c r="AO74" s="14">
        <v>1</v>
      </c>
      <c r="AP74" s="15">
        <v>1</v>
      </c>
      <c r="AQ74" s="14">
        <v>1</v>
      </c>
      <c r="AR74" s="14">
        <v>1</v>
      </c>
      <c r="AS74" s="14">
        <v>1</v>
      </c>
      <c r="AT74" s="15">
        <v>1</v>
      </c>
      <c r="AU74" s="14" t="s">
        <v>446</v>
      </c>
      <c r="AV74" s="14" t="s">
        <v>446</v>
      </c>
      <c r="AW74" s="14" t="s">
        <v>446</v>
      </c>
      <c r="AX74" s="15" t="s">
        <v>446</v>
      </c>
      <c r="AY74" s="14" t="s">
        <v>446</v>
      </c>
      <c r="AZ74" s="14" t="s">
        <v>446</v>
      </c>
      <c r="BA74" s="14" t="s">
        <v>446</v>
      </c>
      <c r="BB74" s="15" t="s">
        <v>446</v>
      </c>
      <c r="BC74" s="14" t="s">
        <v>446</v>
      </c>
      <c r="BD74" s="14" t="s">
        <v>446</v>
      </c>
      <c r="BE74" s="14" t="s">
        <v>446</v>
      </c>
      <c r="BF74" s="15" t="s">
        <v>446</v>
      </c>
      <c r="BG74" s="14" t="s">
        <v>446</v>
      </c>
      <c r="BH74" s="14" t="s">
        <v>446</v>
      </c>
      <c r="BI74" s="14" t="s">
        <v>446</v>
      </c>
      <c r="BJ74" s="15" t="s">
        <v>446</v>
      </c>
      <c r="BK74" s="14" t="s">
        <v>446</v>
      </c>
      <c r="BL74" s="14" t="s">
        <v>446</v>
      </c>
      <c r="BM74" s="14" t="s">
        <v>446</v>
      </c>
      <c r="BN74" s="15" t="s">
        <v>446</v>
      </c>
      <c r="BP74" s="18">
        <v>6</v>
      </c>
      <c r="BQ74" s="14">
        <v>6</v>
      </c>
      <c r="BR74" s="14">
        <v>6</v>
      </c>
      <c r="BS74" s="15">
        <v>6</v>
      </c>
      <c r="BU74" s="18">
        <v>1</v>
      </c>
      <c r="BV74" s="14" t="s">
        <v>446</v>
      </c>
      <c r="BW74" s="14" t="s">
        <v>446</v>
      </c>
      <c r="BX74" s="15">
        <v>1</v>
      </c>
      <c r="BZ74" s="18" t="s">
        <v>446</v>
      </c>
      <c r="CA74" s="14" t="s">
        <v>446</v>
      </c>
      <c r="CB74" s="14" t="s">
        <v>446</v>
      </c>
      <c r="CC74" s="15" t="s">
        <v>446</v>
      </c>
    </row>
    <row r="75" spans="2:81" ht="18" customHeight="1" x14ac:dyDescent="0.2">
      <c r="B75" s="10">
        <f>garage!B75</f>
        <v>75</v>
      </c>
      <c r="C75" s="10">
        <f>garage!C75</f>
        <v>2</v>
      </c>
      <c r="D75" s="10">
        <f>garage!D75</f>
        <v>41</v>
      </c>
      <c r="E75" s="10">
        <f>garage!E75</f>
        <v>23</v>
      </c>
      <c r="F75" s="10" t="str">
        <f>garage!F75</f>
        <v>M</v>
      </c>
      <c r="G75" s="10" t="str">
        <f>garage!G75</f>
        <v>O</v>
      </c>
      <c r="H75" s="10" t="str">
        <f>garage!H75</f>
        <v>N</v>
      </c>
      <c r="I75" s="10" t="str">
        <f>garage!I75</f>
        <v>N</v>
      </c>
      <c r="J75" s="10" t="str">
        <f>garage!J75</f>
        <v>N</v>
      </c>
      <c r="K75" s="10" t="str">
        <f>garage!K75</f>
        <v>C</v>
      </c>
      <c r="L75" s="11" t="str">
        <f>garage!L75</f>
        <v>McLaren</v>
      </c>
      <c r="M75" s="11" t="str">
        <f>garage!M75</f>
        <v>GT</v>
      </c>
      <c r="O75" s="19">
        <v>1</v>
      </c>
      <c r="P75" s="16">
        <v>1</v>
      </c>
      <c r="Q75" s="16">
        <v>1</v>
      </c>
      <c r="R75" s="17">
        <v>1</v>
      </c>
      <c r="S75" s="16">
        <v>1</v>
      </c>
      <c r="T75" s="16">
        <v>1</v>
      </c>
      <c r="U75" s="16">
        <v>1</v>
      </c>
      <c r="V75" s="17">
        <v>1</v>
      </c>
      <c r="W75" s="16">
        <v>1</v>
      </c>
      <c r="X75" s="16">
        <v>1</v>
      </c>
      <c r="Y75" s="16">
        <v>1</v>
      </c>
      <c r="Z75" s="17">
        <v>1</v>
      </c>
      <c r="AA75" s="16">
        <v>1</v>
      </c>
      <c r="AB75" s="16">
        <v>1</v>
      </c>
      <c r="AC75" s="16">
        <v>1</v>
      </c>
      <c r="AD75" s="17">
        <v>1</v>
      </c>
      <c r="AE75" s="16">
        <v>1</v>
      </c>
      <c r="AF75" s="16">
        <v>1</v>
      </c>
      <c r="AG75" s="16">
        <v>1</v>
      </c>
      <c r="AH75" s="17">
        <v>1</v>
      </c>
      <c r="AI75" s="16">
        <v>1</v>
      </c>
      <c r="AJ75" s="16">
        <v>1</v>
      </c>
      <c r="AK75" s="16">
        <v>1</v>
      </c>
      <c r="AL75" s="17">
        <v>1</v>
      </c>
      <c r="AM75" s="16">
        <v>1</v>
      </c>
      <c r="AN75" s="16">
        <v>1</v>
      </c>
      <c r="AO75" s="16">
        <v>1</v>
      </c>
      <c r="AP75" s="17">
        <v>1</v>
      </c>
      <c r="AQ75" s="16">
        <v>1</v>
      </c>
      <c r="AR75" s="16">
        <v>1</v>
      </c>
      <c r="AS75" s="16">
        <v>1</v>
      </c>
      <c r="AT75" s="17">
        <v>1</v>
      </c>
      <c r="AU75" s="16">
        <v>1</v>
      </c>
      <c r="AV75" s="16">
        <v>1</v>
      </c>
      <c r="AW75" s="16">
        <v>1</v>
      </c>
      <c r="AX75" s="17">
        <v>1</v>
      </c>
      <c r="AY75" s="16">
        <v>1</v>
      </c>
      <c r="AZ75" s="16">
        <v>1</v>
      </c>
      <c r="BA75" s="16">
        <v>1</v>
      </c>
      <c r="BB75" s="17">
        <v>1</v>
      </c>
      <c r="BC75" s="16" t="s">
        <v>446</v>
      </c>
      <c r="BD75" s="16" t="s">
        <v>446</v>
      </c>
      <c r="BE75" s="16" t="s">
        <v>446</v>
      </c>
      <c r="BF75" s="17" t="s">
        <v>446</v>
      </c>
      <c r="BG75" s="16" t="s">
        <v>446</v>
      </c>
      <c r="BH75" s="16" t="s">
        <v>446</v>
      </c>
      <c r="BI75" s="16" t="s">
        <v>446</v>
      </c>
      <c r="BJ75" s="17" t="s">
        <v>446</v>
      </c>
      <c r="BK75" s="16" t="s">
        <v>446</v>
      </c>
      <c r="BL75" s="16" t="s">
        <v>446</v>
      </c>
      <c r="BM75" s="16" t="s">
        <v>446</v>
      </c>
      <c r="BN75" s="17" t="s">
        <v>446</v>
      </c>
      <c r="BP75" s="19">
        <v>6</v>
      </c>
      <c r="BQ75" s="16">
        <v>8</v>
      </c>
      <c r="BR75" s="16">
        <v>5</v>
      </c>
      <c r="BS75" s="17">
        <v>6</v>
      </c>
      <c r="BU75" s="19">
        <v>2</v>
      </c>
      <c r="BV75" s="16">
        <v>2</v>
      </c>
      <c r="BW75" s="16">
        <v>1</v>
      </c>
      <c r="BX75" s="17">
        <v>1</v>
      </c>
      <c r="BZ75" s="19" t="s">
        <v>446</v>
      </c>
      <c r="CA75" s="16" t="s">
        <v>446</v>
      </c>
      <c r="CB75" s="16" t="s">
        <v>446</v>
      </c>
      <c r="CC75" s="17" t="s">
        <v>446</v>
      </c>
    </row>
    <row r="76" spans="2:81" ht="18" customHeight="1" x14ac:dyDescent="0.2">
      <c r="B76" s="8">
        <f>garage!B76</f>
        <v>76</v>
      </c>
      <c r="C76" s="8">
        <f>garage!C76</f>
        <v>2</v>
      </c>
      <c r="D76" s="8">
        <f>garage!D76</f>
        <v>42</v>
      </c>
      <c r="E76" s="8">
        <f>garage!E76</f>
        <v>29</v>
      </c>
      <c r="F76" s="8" t="str">
        <f>garage!F76</f>
        <v>--</v>
      </c>
      <c r="G76" s="8" t="str">
        <f>garage!G76</f>
        <v>O</v>
      </c>
      <c r="H76" s="8" t="str">
        <f>garage!H76</f>
        <v>N</v>
      </c>
      <c r="I76" s="8" t="str">
        <f>garage!I76</f>
        <v>N</v>
      </c>
      <c r="J76" s="8" t="str">
        <f>garage!J76</f>
        <v>N</v>
      </c>
      <c r="K76" s="8" t="str">
        <f>garage!K76</f>
        <v>C</v>
      </c>
      <c r="L76" s="9" t="str">
        <f>garage!L76</f>
        <v>Mercedes-Benz</v>
      </c>
      <c r="M76" s="9" t="str">
        <f>garage!M76</f>
        <v>AMG GT Black Series</v>
      </c>
      <c r="O76" s="18" t="s">
        <v>446</v>
      </c>
      <c r="P76" s="14" t="s">
        <v>446</v>
      </c>
      <c r="Q76" s="14" t="s">
        <v>446</v>
      </c>
      <c r="R76" s="15" t="s">
        <v>446</v>
      </c>
      <c r="S76" s="14" t="s">
        <v>446</v>
      </c>
      <c r="T76" s="14" t="s">
        <v>446</v>
      </c>
      <c r="U76" s="14" t="s">
        <v>446</v>
      </c>
      <c r="V76" s="15" t="s">
        <v>446</v>
      </c>
      <c r="W76" s="14" t="s">
        <v>446</v>
      </c>
      <c r="X76" s="14" t="s">
        <v>446</v>
      </c>
      <c r="Y76" s="14" t="s">
        <v>446</v>
      </c>
      <c r="Z76" s="15" t="s">
        <v>446</v>
      </c>
      <c r="AA76" s="14" t="s">
        <v>446</v>
      </c>
      <c r="AB76" s="14" t="s">
        <v>446</v>
      </c>
      <c r="AC76" s="14" t="s">
        <v>446</v>
      </c>
      <c r="AD76" s="15" t="s">
        <v>446</v>
      </c>
      <c r="AE76" s="14" t="s">
        <v>446</v>
      </c>
      <c r="AF76" s="14" t="s">
        <v>446</v>
      </c>
      <c r="AG76" s="14" t="s">
        <v>446</v>
      </c>
      <c r="AH76" s="15" t="s">
        <v>446</v>
      </c>
      <c r="AI76" s="14" t="s">
        <v>446</v>
      </c>
      <c r="AJ76" s="14" t="s">
        <v>446</v>
      </c>
      <c r="AK76" s="14" t="s">
        <v>446</v>
      </c>
      <c r="AL76" s="15" t="s">
        <v>446</v>
      </c>
      <c r="AM76" s="14" t="s">
        <v>446</v>
      </c>
      <c r="AN76" s="14" t="s">
        <v>446</v>
      </c>
      <c r="AO76" s="14" t="s">
        <v>446</v>
      </c>
      <c r="AP76" s="15" t="s">
        <v>446</v>
      </c>
      <c r="AQ76" s="14" t="s">
        <v>446</v>
      </c>
      <c r="AR76" s="14" t="s">
        <v>446</v>
      </c>
      <c r="AS76" s="14" t="s">
        <v>446</v>
      </c>
      <c r="AT76" s="15" t="s">
        <v>446</v>
      </c>
      <c r="AU76" s="14" t="s">
        <v>446</v>
      </c>
      <c r="AV76" s="14" t="s">
        <v>446</v>
      </c>
      <c r="AW76" s="14" t="s">
        <v>446</v>
      </c>
      <c r="AX76" s="15" t="s">
        <v>446</v>
      </c>
      <c r="AY76" s="14" t="s">
        <v>446</v>
      </c>
      <c r="AZ76" s="14" t="s">
        <v>446</v>
      </c>
      <c r="BA76" s="14" t="s">
        <v>446</v>
      </c>
      <c r="BB76" s="15" t="s">
        <v>446</v>
      </c>
      <c r="BC76" s="14" t="s">
        <v>446</v>
      </c>
      <c r="BD76" s="14" t="s">
        <v>446</v>
      </c>
      <c r="BE76" s="14" t="s">
        <v>446</v>
      </c>
      <c r="BF76" s="15" t="s">
        <v>446</v>
      </c>
      <c r="BG76" s="14" t="s">
        <v>446</v>
      </c>
      <c r="BH76" s="14" t="s">
        <v>446</v>
      </c>
      <c r="BI76" s="14" t="s">
        <v>446</v>
      </c>
      <c r="BJ76" s="15" t="s">
        <v>446</v>
      </c>
      <c r="BK76" s="14" t="s">
        <v>446</v>
      </c>
      <c r="BL76" s="14" t="s">
        <v>446</v>
      </c>
      <c r="BM76" s="14" t="s">
        <v>446</v>
      </c>
      <c r="BN76" s="15" t="s">
        <v>446</v>
      </c>
      <c r="BP76" s="18" t="s">
        <v>446</v>
      </c>
      <c r="BQ76" s="14" t="s">
        <v>446</v>
      </c>
      <c r="BR76" s="14" t="s">
        <v>446</v>
      </c>
      <c r="BS76" s="15" t="s">
        <v>446</v>
      </c>
      <c r="BU76" s="18" t="s">
        <v>446</v>
      </c>
      <c r="BV76" s="14" t="s">
        <v>446</v>
      </c>
      <c r="BW76" s="14" t="s">
        <v>446</v>
      </c>
      <c r="BX76" s="15" t="s">
        <v>446</v>
      </c>
      <c r="BZ76" s="18" t="s">
        <v>446</v>
      </c>
      <c r="CA76" s="14" t="s">
        <v>446</v>
      </c>
      <c r="CB76" s="14" t="s">
        <v>446</v>
      </c>
      <c r="CC76" s="15" t="s">
        <v>446</v>
      </c>
    </row>
    <row r="77" spans="2:81" ht="18" customHeight="1" x14ac:dyDescent="0.2">
      <c r="B77" s="10">
        <f>garage!B77</f>
        <v>77</v>
      </c>
      <c r="C77" s="10">
        <f>garage!C77</f>
        <v>3</v>
      </c>
      <c r="D77" s="10">
        <f>garage!D77</f>
        <v>1</v>
      </c>
      <c r="E77" s="10">
        <f>garage!E77</f>
        <v>0</v>
      </c>
      <c r="F77" s="10" t="str">
        <f>garage!F77</f>
        <v>P</v>
      </c>
      <c r="G77" s="10" t="str">
        <f>garage!G77</f>
        <v>O</v>
      </c>
      <c r="H77" s="10" t="str">
        <f>garage!H77</f>
        <v>O</v>
      </c>
      <c r="I77" s="10" t="str">
        <f>garage!I77</f>
        <v>O</v>
      </c>
      <c r="J77" s="10" t="str">
        <f>garage!J77</f>
        <v>N</v>
      </c>
      <c r="K77" s="10" t="str">
        <f>garage!K77</f>
        <v>B</v>
      </c>
      <c r="L77" s="11" t="str">
        <f>garage!L77</f>
        <v>Porsche</v>
      </c>
      <c r="M77" s="11" t="str">
        <f>garage!M77</f>
        <v>911 GTS Coupé</v>
      </c>
      <c r="O77" s="19">
        <v>1</v>
      </c>
      <c r="P77" s="16">
        <v>1</v>
      </c>
      <c r="Q77" s="16">
        <v>1</v>
      </c>
      <c r="R77" s="17">
        <v>1</v>
      </c>
      <c r="S77" s="16">
        <v>1</v>
      </c>
      <c r="T77" s="16">
        <v>1</v>
      </c>
      <c r="U77" s="16">
        <v>1</v>
      </c>
      <c r="V77" s="17">
        <v>1</v>
      </c>
      <c r="W77" s="16">
        <v>1</v>
      </c>
      <c r="X77" s="16">
        <v>1</v>
      </c>
      <c r="Y77" s="16">
        <v>1</v>
      </c>
      <c r="Z77" s="17">
        <v>1</v>
      </c>
      <c r="AA77" s="16">
        <v>1</v>
      </c>
      <c r="AB77" s="16">
        <v>1</v>
      </c>
      <c r="AC77" s="16">
        <v>1</v>
      </c>
      <c r="AD77" s="17">
        <v>1</v>
      </c>
      <c r="AE77" s="16">
        <v>1</v>
      </c>
      <c r="AF77" s="16">
        <v>1</v>
      </c>
      <c r="AG77" s="16">
        <v>1</v>
      </c>
      <c r="AH77" s="17">
        <v>1</v>
      </c>
      <c r="AI77" s="16">
        <v>1</v>
      </c>
      <c r="AJ77" s="16">
        <v>1</v>
      </c>
      <c r="AK77" s="16">
        <v>1</v>
      </c>
      <c r="AL77" s="17">
        <v>1</v>
      </c>
      <c r="AM77" s="16">
        <v>1</v>
      </c>
      <c r="AN77" s="16">
        <v>1</v>
      </c>
      <c r="AO77" s="16">
        <v>1</v>
      </c>
      <c r="AP77" s="17">
        <v>1</v>
      </c>
      <c r="AQ77" s="16">
        <v>1</v>
      </c>
      <c r="AR77" s="16">
        <v>1</v>
      </c>
      <c r="AS77" s="16">
        <v>1</v>
      </c>
      <c r="AT77" s="17">
        <v>1</v>
      </c>
      <c r="AU77" s="16">
        <v>1</v>
      </c>
      <c r="AV77" s="16">
        <v>1</v>
      </c>
      <c r="AW77" s="16">
        <v>1</v>
      </c>
      <c r="AX77" s="17">
        <v>1</v>
      </c>
      <c r="AY77" s="16">
        <v>1</v>
      </c>
      <c r="AZ77" s="16">
        <v>1</v>
      </c>
      <c r="BA77" s="16">
        <v>1</v>
      </c>
      <c r="BB77" s="17">
        <v>1</v>
      </c>
      <c r="BC77" s="16" t="s">
        <v>446</v>
      </c>
      <c r="BD77" s="16" t="s">
        <v>446</v>
      </c>
      <c r="BE77" s="16" t="s">
        <v>446</v>
      </c>
      <c r="BF77" s="17" t="s">
        <v>446</v>
      </c>
      <c r="BG77" s="16" t="s">
        <v>446</v>
      </c>
      <c r="BH77" s="16" t="s">
        <v>446</v>
      </c>
      <c r="BI77" s="16" t="s">
        <v>446</v>
      </c>
      <c r="BJ77" s="17" t="s">
        <v>446</v>
      </c>
      <c r="BK77" s="16" t="s">
        <v>446</v>
      </c>
      <c r="BL77" s="16" t="s">
        <v>446</v>
      </c>
      <c r="BM77" s="16" t="s">
        <v>446</v>
      </c>
      <c r="BN77" s="17" t="s">
        <v>446</v>
      </c>
      <c r="BP77" s="19">
        <v>6</v>
      </c>
      <c r="BQ77" s="16">
        <v>6</v>
      </c>
      <c r="BR77" s="16">
        <v>6</v>
      </c>
      <c r="BS77" s="17">
        <v>6</v>
      </c>
      <c r="BU77" s="19">
        <v>1</v>
      </c>
      <c r="BV77" s="16">
        <v>1</v>
      </c>
      <c r="BW77" s="16">
        <v>1</v>
      </c>
      <c r="BX77" s="17">
        <v>1</v>
      </c>
      <c r="BZ77" s="19">
        <v>1</v>
      </c>
      <c r="CA77" s="16">
        <v>1</v>
      </c>
      <c r="CB77" s="16">
        <v>1</v>
      </c>
      <c r="CC77" s="17">
        <v>1</v>
      </c>
    </row>
    <row r="78" spans="2:81" ht="18" customHeight="1" x14ac:dyDescent="0.2">
      <c r="B78" s="8">
        <f>garage!B78</f>
        <v>78</v>
      </c>
      <c r="C78" s="8">
        <f>garage!C78</f>
        <v>3</v>
      </c>
      <c r="D78" s="8">
        <f>garage!D78</f>
        <v>2</v>
      </c>
      <c r="E78" s="8">
        <f>garage!E78</f>
        <v>0</v>
      </c>
      <c r="F78" s="8" t="str">
        <f>garage!F78</f>
        <v>AM</v>
      </c>
      <c r="G78" s="8" t="str">
        <f>garage!G78</f>
        <v>O</v>
      </c>
      <c r="H78" s="8" t="str">
        <f>garage!H78</f>
        <v>O</v>
      </c>
      <c r="I78" s="8" t="str">
        <f>garage!I78</f>
        <v>O</v>
      </c>
      <c r="J78" s="8" t="str">
        <f>garage!J78</f>
        <v>N</v>
      </c>
      <c r="K78" s="8" t="str">
        <f>garage!K78</f>
        <v>B</v>
      </c>
      <c r="L78" s="9" t="str">
        <f>garage!L78</f>
        <v>Aston Martin</v>
      </c>
      <c r="M78" s="9" t="str">
        <f>garage!M78</f>
        <v>DB11</v>
      </c>
      <c r="O78" s="18">
        <v>1</v>
      </c>
      <c r="P78" s="14">
        <v>1</v>
      </c>
      <c r="Q78" s="14">
        <v>1</v>
      </c>
      <c r="R78" s="15">
        <v>1</v>
      </c>
      <c r="S78" s="14">
        <v>1</v>
      </c>
      <c r="T78" s="14">
        <v>1</v>
      </c>
      <c r="U78" s="14">
        <v>1</v>
      </c>
      <c r="V78" s="15">
        <v>1</v>
      </c>
      <c r="W78" s="14">
        <v>1</v>
      </c>
      <c r="X78" s="14">
        <v>1</v>
      </c>
      <c r="Y78" s="14">
        <v>1</v>
      </c>
      <c r="Z78" s="15">
        <v>1</v>
      </c>
      <c r="AA78" s="14">
        <v>1</v>
      </c>
      <c r="AB78" s="14">
        <v>1</v>
      </c>
      <c r="AC78" s="14">
        <v>1</v>
      </c>
      <c r="AD78" s="15">
        <v>1</v>
      </c>
      <c r="AE78" s="14">
        <v>1</v>
      </c>
      <c r="AF78" s="14">
        <v>1</v>
      </c>
      <c r="AG78" s="14">
        <v>1</v>
      </c>
      <c r="AH78" s="15">
        <v>1</v>
      </c>
      <c r="AI78" s="14">
        <v>1</v>
      </c>
      <c r="AJ78" s="14">
        <v>1</v>
      </c>
      <c r="AK78" s="14">
        <v>1</v>
      </c>
      <c r="AL78" s="15">
        <v>1</v>
      </c>
      <c r="AM78" s="14">
        <v>1</v>
      </c>
      <c r="AN78" s="14">
        <v>1</v>
      </c>
      <c r="AO78" s="14">
        <v>1</v>
      </c>
      <c r="AP78" s="15">
        <v>1</v>
      </c>
      <c r="AQ78" s="14">
        <v>1</v>
      </c>
      <c r="AR78" s="14">
        <v>1</v>
      </c>
      <c r="AS78" s="14">
        <v>1</v>
      </c>
      <c r="AT78" s="15">
        <v>1</v>
      </c>
      <c r="AU78" s="14">
        <v>1</v>
      </c>
      <c r="AV78" s="14">
        <v>1</v>
      </c>
      <c r="AW78" s="14">
        <v>1</v>
      </c>
      <c r="AX78" s="15">
        <v>1</v>
      </c>
      <c r="AY78" s="14">
        <v>1</v>
      </c>
      <c r="AZ78" s="14">
        <v>1</v>
      </c>
      <c r="BA78" s="14">
        <v>1</v>
      </c>
      <c r="BB78" s="15">
        <v>1</v>
      </c>
      <c r="BC78" s="14" t="s">
        <v>446</v>
      </c>
      <c r="BD78" s="14" t="s">
        <v>446</v>
      </c>
      <c r="BE78" s="14" t="s">
        <v>446</v>
      </c>
      <c r="BF78" s="15" t="s">
        <v>446</v>
      </c>
      <c r="BG78" s="14" t="s">
        <v>446</v>
      </c>
      <c r="BH78" s="14" t="s">
        <v>446</v>
      </c>
      <c r="BI78" s="14" t="s">
        <v>446</v>
      </c>
      <c r="BJ78" s="15" t="s">
        <v>446</v>
      </c>
      <c r="BK78" s="14" t="s">
        <v>446</v>
      </c>
      <c r="BL78" s="14" t="s">
        <v>446</v>
      </c>
      <c r="BM78" s="14" t="s">
        <v>446</v>
      </c>
      <c r="BN78" s="15" t="s">
        <v>446</v>
      </c>
      <c r="BP78" s="18">
        <v>6</v>
      </c>
      <c r="BQ78" s="14">
        <v>6</v>
      </c>
      <c r="BR78" s="14">
        <v>6</v>
      </c>
      <c r="BS78" s="15">
        <v>6</v>
      </c>
      <c r="BU78" s="18">
        <v>1</v>
      </c>
      <c r="BV78" s="14">
        <v>1</v>
      </c>
      <c r="BW78" s="14">
        <v>1</v>
      </c>
      <c r="BX78" s="15">
        <v>1</v>
      </c>
      <c r="BZ78" s="18">
        <v>1</v>
      </c>
      <c r="CA78" s="14">
        <v>1</v>
      </c>
      <c r="CB78" s="14">
        <v>1</v>
      </c>
      <c r="CC78" s="15">
        <v>1</v>
      </c>
    </row>
    <row r="79" spans="2:81" ht="18" customHeight="1" x14ac:dyDescent="0.2">
      <c r="B79" s="10">
        <f>garage!B79</f>
        <v>79</v>
      </c>
      <c r="C79" s="10">
        <f>garage!C79</f>
        <v>3</v>
      </c>
      <c r="D79" s="10">
        <f>garage!D79</f>
        <v>3</v>
      </c>
      <c r="E79" s="10">
        <f>garage!E79</f>
        <v>0</v>
      </c>
      <c r="F79" s="10" t="str">
        <f>garage!F79</f>
        <v>--</v>
      </c>
      <c r="G79" s="10" t="str">
        <f>garage!G79</f>
        <v>O</v>
      </c>
      <c r="H79" s="10" t="str">
        <f>garage!H79</f>
        <v>O</v>
      </c>
      <c r="I79" s="10" t="str">
        <f>garage!I79</f>
        <v>O</v>
      </c>
      <c r="J79" s="10" t="str">
        <f>garage!J79</f>
        <v>N</v>
      </c>
      <c r="K79" s="10" t="str">
        <f>garage!K79</f>
        <v>B</v>
      </c>
      <c r="L79" s="11" t="str">
        <f>garage!L79</f>
        <v>Jaguar</v>
      </c>
      <c r="M79" s="11" t="str">
        <f>garage!M79</f>
        <v>F-Type SVR</v>
      </c>
      <c r="O79" s="19">
        <v>1</v>
      </c>
      <c r="P79" s="16">
        <v>1</v>
      </c>
      <c r="Q79" s="16">
        <v>1</v>
      </c>
      <c r="R79" s="17">
        <v>1</v>
      </c>
      <c r="S79" s="16">
        <v>1</v>
      </c>
      <c r="T79" s="16">
        <v>1</v>
      </c>
      <c r="U79" s="16">
        <v>1</v>
      </c>
      <c r="V79" s="17">
        <v>1</v>
      </c>
      <c r="W79" s="16">
        <v>1</v>
      </c>
      <c r="X79" s="16">
        <v>1</v>
      </c>
      <c r="Y79" s="16">
        <v>1</v>
      </c>
      <c r="Z79" s="17">
        <v>1</v>
      </c>
      <c r="AA79" s="16">
        <v>1</v>
      </c>
      <c r="AB79" s="16">
        <v>1</v>
      </c>
      <c r="AC79" s="16">
        <v>1</v>
      </c>
      <c r="AD79" s="17">
        <v>1</v>
      </c>
      <c r="AE79" s="16">
        <v>1</v>
      </c>
      <c r="AF79" s="16">
        <v>1</v>
      </c>
      <c r="AG79" s="16">
        <v>1</v>
      </c>
      <c r="AH79" s="17">
        <v>1</v>
      </c>
      <c r="AI79" s="16">
        <v>1</v>
      </c>
      <c r="AJ79" s="16">
        <v>1</v>
      </c>
      <c r="AK79" s="16">
        <v>1</v>
      </c>
      <c r="AL79" s="17">
        <v>1</v>
      </c>
      <c r="AM79" s="16">
        <v>1</v>
      </c>
      <c r="AN79" s="16">
        <v>1</v>
      </c>
      <c r="AO79" s="16">
        <v>1</v>
      </c>
      <c r="AP79" s="17">
        <v>1</v>
      </c>
      <c r="AQ79" s="16">
        <v>1</v>
      </c>
      <c r="AR79" s="16">
        <v>1</v>
      </c>
      <c r="AS79" s="16">
        <v>1</v>
      </c>
      <c r="AT79" s="17">
        <v>1</v>
      </c>
      <c r="AU79" s="16">
        <v>1</v>
      </c>
      <c r="AV79" s="16">
        <v>1</v>
      </c>
      <c r="AW79" s="16">
        <v>1</v>
      </c>
      <c r="AX79" s="17">
        <v>1</v>
      </c>
      <c r="AY79" s="16">
        <v>1</v>
      </c>
      <c r="AZ79" s="16">
        <v>1</v>
      </c>
      <c r="BA79" s="16">
        <v>1</v>
      </c>
      <c r="BB79" s="17">
        <v>1</v>
      </c>
      <c r="BC79" s="16" t="s">
        <v>446</v>
      </c>
      <c r="BD79" s="16" t="s">
        <v>446</v>
      </c>
      <c r="BE79" s="16" t="s">
        <v>446</v>
      </c>
      <c r="BF79" s="17" t="s">
        <v>446</v>
      </c>
      <c r="BG79" s="16" t="s">
        <v>446</v>
      </c>
      <c r="BH79" s="16" t="s">
        <v>446</v>
      </c>
      <c r="BI79" s="16" t="s">
        <v>446</v>
      </c>
      <c r="BJ79" s="17" t="s">
        <v>446</v>
      </c>
      <c r="BK79" s="16" t="s">
        <v>446</v>
      </c>
      <c r="BL79" s="16" t="s">
        <v>446</v>
      </c>
      <c r="BM79" s="16" t="s">
        <v>446</v>
      </c>
      <c r="BN79" s="17" t="s">
        <v>446</v>
      </c>
      <c r="BP79" s="19">
        <v>6</v>
      </c>
      <c r="BQ79" s="16">
        <v>6</v>
      </c>
      <c r="BR79" s="16">
        <v>6</v>
      </c>
      <c r="BS79" s="17">
        <v>6</v>
      </c>
      <c r="BU79" s="19">
        <v>1</v>
      </c>
      <c r="BV79" s="16">
        <v>1</v>
      </c>
      <c r="BW79" s="16">
        <v>1</v>
      </c>
      <c r="BX79" s="17">
        <v>1</v>
      </c>
      <c r="BZ79" s="19">
        <v>2</v>
      </c>
      <c r="CA79" s="16">
        <v>2</v>
      </c>
      <c r="CB79" s="16">
        <v>2</v>
      </c>
      <c r="CC79" s="17">
        <v>2</v>
      </c>
    </row>
    <row r="80" spans="2:81" ht="18" customHeight="1" x14ac:dyDescent="0.2">
      <c r="B80" s="8">
        <f>garage!B80</f>
        <v>80</v>
      </c>
      <c r="C80" s="8">
        <f>garage!C80</f>
        <v>3</v>
      </c>
      <c r="D80" s="8">
        <f>garage!D80</f>
        <v>4</v>
      </c>
      <c r="E80" s="8">
        <f>garage!E80</f>
        <v>29</v>
      </c>
      <c r="F80" s="8" t="str">
        <f>garage!F80</f>
        <v>F</v>
      </c>
      <c r="G80" s="8" t="str">
        <f>garage!G80</f>
        <v>O</v>
      </c>
      <c r="H80" s="8" t="str">
        <f>garage!H80</f>
        <v>N</v>
      </c>
      <c r="I80" s="8" t="str">
        <f>garage!I80</f>
        <v>N</v>
      </c>
      <c r="J80" s="8" t="str">
        <f>garage!J80</f>
        <v>N</v>
      </c>
      <c r="K80" s="8" t="str">
        <f>garage!K80</f>
        <v>B</v>
      </c>
      <c r="L80" s="9" t="str">
        <f>garage!L80</f>
        <v>Ferrari</v>
      </c>
      <c r="M80" s="9" t="str">
        <f>garage!M80</f>
        <v>F50</v>
      </c>
      <c r="O80" s="18" t="s">
        <v>446</v>
      </c>
      <c r="P80" s="14" t="s">
        <v>446</v>
      </c>
      <c r="Q80" s="14" t="s">
        <v>446</v>
      </c>
      <c r="R80" s="15" t="s">
        <v>446</v>
      </c>
      <c r="S80" s="14" t="s">
        <v>446</v>
      </c>
      <c r="T80" s="14" t="s">
        <v>446</v>
      </c>
      <c r="U80" s="14" t="s">
        <v>446</v>
      </c>
      <c r="V80" s="15" t="s">
        <v>446</v>
      </c>
      <c r="W80" s="14" t="s">
        <v>446</v>
      </c>
      <c r="X80" s="14" t="s">
        <v>446</v>
      </c>
      <c r="Y80" s="14" t="s">
        <v>446</v>
      </c>
      <c r="Z80" s="15" t="s">
        <v>446</v>
      </c>
      <c r="AA80" s="14" t="s">
        <v>446</v>
      </c>
      <c r="AB80" s="14" t="s">
        <v>446</v>
      </c>
      <c r="AC80" s="14" t="s">
        <v>446</v>
      </c>
      <c r="AD80" s="15" t="s">
        <v>446</v>
      </c>
      <c r="AE80" s="14" t="s">
        <v>446</v>
      </c>
      <c r="AF80" s="14" t="s">
        <v>446</v>
      </c>
      <c r="AG80" s="14" t="s">
        <v>446</v>
      </c>
      <c r="AH80" s="15" t="s">
        <v>446</v>
      </c>
      <c r="AI80" s="14" t="s">
        <v>446</v>
      </c>
      <c r="AJ80" s="14" t="s">
        <v>446</v>
      </c>
      <c r="AK80" s="14" t="s">
        <v>446</v>
      </c>
      <c r="AL80" s="15" t="s">
        <v>446</v>
      </c>
      <c r="AM80" s="14" t="s">
        <v>446</v>
      </c>
      <c r="AN80" s="14" t="s">
        <v>446</v>
      </c>
      <c r="AO80" s="14" t="s">
        <v>446</v>
      </c>
      <c r="AP80" s="15" t="s">
        <v>446</v>
      </c>
      <c r="AQ80" s="14" t="s">
        <v>446</v>
      </c>
      <c r="AR80" s="14" t="s">
        <v>446</v>
      </c>
      <c r="AS80" s="14" t="s">
        <v>446</v>
      </c>
      <c r="AT80" s="15" t="s">
        <v>446</v>
      </c>
      <c r="AU80" s="14" t="s">
        <v>446</v>
      </c>
      <c r="AV80" s="14" t="s">
        <v>446</v>
      </c>
      <c r="AW80" s="14" t="s">
        <v>446</v>
      </c>
      <c r="AX80" s="15" t="s">
        <v>446</v>
      </c>
      <c r="AY80" s="14" t="s">
        <v>446</v>
      </c>
      <c r="AZ80" s="14" t="s">
        <v>446</v>
      </c>
      <c r="BA80" s="14" t="s">
        <v>446</v>
      </c>
      <c r="BB80" s="15" t="s">
        <v>446</v>
      </c>
      <c r="BC80" s="14" t="s">
        <v>446</v>
      </c>
      <c r="BD80" s="14" t="s">
        <v>446</v>
      </c>
      <c r="BE80" s="14" t="s">
        <v>446</v>
      </c>
      <c r="BF80" s="15" t="s">
        <v>446</v>
      </c>
      <c r="BG80" s="14" t="s">
        <v>446</v>
      </c>
      <c r="BH80" s="14" t="s">
        <v>446</v>
      </c>
      <c r="BI80" s="14" t="s">
        <v>446</v>
      </c>
      <c r="BJ80" s="15" t="s">
        <v>446</v>
      </c>
      <c r="BK80" s="14" t="s">
        <v>446</v>
      </c>
      <c r="BL80" s="14" t="s">
        <v>446</v>
      </c>
      <c r="BM80" s="14" t="s">
        <v>446</v>
      </c>
      <c r="BN80" s="15" t="s">
        <v>446</v>
      </c>
      <c r="BP80" s="18" t="s">
        <v>446</v>
      </c>
      <c r="BQ80" s="14" t="s">
        <v>446</v>
      </c>
      <c r="BR80" s="14" t="s">
        <v>446</v>
      </c>
      <c r="BS80" s="15" t="s">
        <v>446</v>
      </c>
      <c r="BU80" s="18" t="s">
        <v>446</v>
      </c>
      <c r="BV80" s="14" t="s">
        <v>446</v>
      </c>
      <c r="BW80" s="14" t="s">
        <v>446</v>
      </c>
      <c r="BX80" s="15" t="s">
        <v>446</v>
      </c>
      <c r="BZ80" s="18" t="s">
        <v>446</v>
      </c>
      <c r="CA80" s="14" t="s">
        <v>446</v>
      </c>
      <c r="CB80" s="14" t="s">
        <v>446</v>
      </c>
      <c r="CC80" s="15" t="s">
        <v>446</v>
      </c>
    </row>
    <row r="81" spans="2:81" ht="18" customHeight="1" x14ac:dyDescent="0.2">
      <c r="B81" s="10">
        <f>garage!B81</f>
        <v>81</v>
      </c>
      <c r="C81" s="10">
        <f>garage!C81</f>
        <v>3</v>
      </c>
      <c r="D81" s="10">
        <f>garage!D81</f>
        <v>5</v>
      </c>
      <c r="E81" s="10">
        <f>garage!E81</f>
        <v>0</v>
      </c>
      <c r="F81" s="10" t="str">
        <f>garage!F81</f>
        <v>--</v>
      </c>
      <c r="G81" s="10" t="str">
        <f>garage!G81</f>
        <v>O</v>
      </c>
      <c r="H81" s="10" t="str">
        <f>garage!H81</f>
        <v>O</v>
      </c>
      <c r="I81" s="10" t="str">
        <f>garage!I81</f>
        <v>O</v>
      </c>
      <c r="J81" s="10" t="str">
        <f>garage!J81</f>
        <v>N</v>
      </c>
      <c r="K81" s="10" t="str">
        <f>garage!K81</f>
        <v>B</v>
      </c>
      <c r="L81" s="11" t="str">
        <f>garage!L81</f>
        <v>Exotic Rides</v>
      </c>
      <c r="M81" s="11" t="str">
        <f>garage!M81</f>
        <v>W70</v>
      </c>
      <c r="O81" s="19">
        <v>1</v>
      </c>
      <c r="P81" s="16">
        <v>1</v>
      </c>
      <c r="Q81" s="16">
        <v>1</v>
      </c>
      <c r="R81" s="17">
        <v>1</v>
      </c>
      <c r="S81" s="16">
        <v>1</v>
      </c>
      <c r="T81" s="16">
        <v>1</v>
      </c>
      <c r="U81" s="16">
        <v>1</v>
      </c>
      <c r="V81" s="17">
        <v>1</v>
      </c>
      <c r="W81" s="16">
        <v>1</v>
      </c>
      <c r="X81" s="16">
        <v>1</v>
      </c>
      <c r="Y81" s="16">
        <v>1</v>
      </c>
      <c r="Z81" s="17">
        <v>1</v>
      </c>
      <c r="AA81" s="16">
        <v>1</v>
      </c>
      <c r="AB81" s="16">
        <v>1</v>
      </c>
      <c r="AC81" s="16">
        <v>1</v>
      </c>
      <c r="AD81" s="17">
        <v>1</v>
      </c>
      <c r="AE81" s="16">
        <v>1</v>
      </c>
      <c r="AF81" s="16">
        <v>1</v>
      </c>
      <c r="AG81" s="16">
        <v>1</v>
      </c>
      <c r="AH81" s="17">
        <v>1</v>
      </c>
      <c r="AI81" s="16">
        <v>1</v>
      </c>
      <c r="AJ81" s="16">
        <v>1</v>
      </c>
      <c r="AK81" s="16">
        <v>1</v>
      </c>
      <c r="AL81" s="17">
        <v>1</v>
      </c>
      <c r="AM81" s="16">
        <v>1</v>
      </c>
      <c r="AN81" s="16">
        <v>1</v>
      </c>
      <c r="AO81" s="16">
        <v>1</v>
      </c>
      <c r="AP81" s="17">
        <v>1</v>
      </c>
      <c r="AQ81" s="16">
        <v>1</v>
      </c>
      <c r="AR81" s="16">
        <v>1</v>
      </c>
      <c r="AS81" s="16">
        <v>1</v>
      </c>
      <c r="AT81" s="17">
        <v>1</v>
      </c>
      <c r="AU81" s="16">
        <v>1</v>
      </c>
      <c r="AV81" s="16">
        <v>1</v>
      </c>
      <c r="AW81" s="16">
        <v>1</v>
      </c>
      <c r="AX81" s="17">
        <v>1</v>
      </c>
      <c r="AY81" s="16">
        <v>1</v>
      </c>
      <c r="AZ81" s="16">
        <v>1</v>
      </c>
      <c r="BA81" s="16">
        <v>1</v>
      </c>
      <c r="BB81" s="17">
        <v>1</v>
      </c>
      <c r="BC81" s="16">
        <v>1</v>
      </c>
      <c r="BD81" s="16">
        <v>1</v>
      </c>
      <c r="BE81" s="16">
        <v>1</v>
      </c>
      <c r="BF81" s="17">
        <v>1</v>
      </c>
      <c r="BG81" s="16" t="s">
        <v>446</v>
      </c>
      <c r="BH81" s="16" t="s">
        <v>446</v>
      </c>
      <c r="BI81" s="16" t="s">
        <v>446</v>
      </c>
      <c r="BJ81" s="17" t="s">
        <v>446</v>
      </c>
      <c r="BK81" s="16" t="s">
        <v>446</v>
      </c>
      <c r="BL81" s="16" t="s">
        <v>446</v>
      </c>
      <c r="BM81" s="16" t="s">
        <v>446</v>
      </c>
      <c r="BN81" s="17" t="s">
        <v>446</v>
      </c>
      <c r="BP81" s="19">
        <v>6</v>
      </c>
      <c r="BQ81" s="16">
        <v>6</v>
      </c>
      <c r="BR81" s="16">
        <v>6</v>
      </c>
      <c r="BS81" s="17">
        <v>6</v>
      </c>
      <c r="BU81" s="19">
        <v>4</v>
      </c>
      <c r="BV81" s="16">
        <v>4</v>
      </c>
      <c r="BW81" s="16">
        <v>4</v>
      </c>
      <c r="BX81" s="17">
        <v>4</v>
      </c>
      <c r="BZ81" s="19">
        <v>1</v>
      </c>
      <c r="CA81" s="16">
        <v>1</v>
      </c>
      <c r="CB81" s="16">
        <v>1</v>
      </c>
      <c r="CC81" s="17">
        <v>1</v>
      </c>
    </row>
    <row r="82" spans="2:81" ht="18" customHeight="1" x14ac:dyDescent="0.2">
      <c r="B82" s="8">
        <f>garage!B82</f>
        <v>82</v>
      </c>
      <c r="C82" s="8">
        <f>garage!C82</f>
        <v>3</v>
      </c>
      <c r="D82" s="8">
        <f>garage!D82</f>
        <v>6</v>
      </c>
      <c r="E82" s="8">
        <f>garage!E82</f>
        <v>11</v>
      </c>
      <c r="F82" s="8" t="str">
        <f>garage!F82</f>
        <v>P</v>
      </c>
      <c r="G82" s="8" t="str">
        <f>garage!G82</f>
        <v>O</v>
      </c>
      <c r="H82" s="8" t="str">
        <f>garage!H82</f>
        <v>O</v>
      </c>
      <c r="I82" s="8" t="str">
        <f>garage!I82</f>
        <v>N</v>
      </c>
      <c r="J82" s="8" t="str">
        <f>garage!J82</f>
        <v>N</v>
      </c>
      <c r="K82" s="8" t="str">
        <f>garage!K82</f>
        <v>B</v>
      </c>
      <c r="L82" s="9" t="str">
        <f>garage!L82</f>
        <v>Porsche</v>
      </c>
      <c r="M82" s="9" t="str">
        <f>garage!M82</f>
        <v>911 GT1 Evolution</v>
      </c>
      <c r="O82" s="18">
        <v>1</v>
      </c>
      <c r="P82" s="14">
        <v>1</v>
      </c>
      <c r="Q82" s="14">
        <v>1</v>
      </c>
      <c r="R82" s="15">
        <v>1</v>
      </c>
      <c r="S82" s="14">
        <v>1</v>
      </c>
      <c r="T82" s="14">
        <v>1</v>
      </c>
      <c r="U82" s="14">
        <v>1</v>
      </c>
      <c r="V82" s="15">
        <v>1</v>
      </c>
      <c r="W82" s="14">
        <v>1</v>
      </c>
      <c r="X82" s="14">
        <v>1</v>
      </c>
      <c r="Y82" s="14">
        <v>1</v>
      </c>
      <c r="Z82" s="15">
        <v>1</v>
      </c>
      <c r="AA82" s="14">
        <v>1</v>
      </c>
      <c r="AB82" s="14">
        <v>1</v>
      </c>
      <c r="AC82" s="14">
        <v>1</v>
      </c>
      <c r="AD82" s="15">
        <v>1</v>
      </c>
      <c r="AE82" s="14">
        <v>1</v>
      </c>
      <c r="AF82" s="14">
        <v>1</v>
      </c>
      <c r="AG82" s="14">
        <v>1</v>
      </c>
      <c r="AH82" s="15">
        <v>1</v>
      </c>
      <c r="AI82" s="14">
        <v>1</v>
      </c>
      <c r="AJ82" s="14">
        <v>1</v>
      </c>
      <c r="AK82" s="14">
        <v>1</v>
      </c>
      <c r="AL82" s="15">
        <v>1</v>
      </c>
      <c r="AM82" s="14">
        <v>1</v>
      </c>
      <c r="AN82" s="14">
        <v>1</v>
      </c>
      <c r="AO82" s="14">
        <v>1</v>
      </c>
      <c r="AP82" s="15">
        <v>1</v>
      </c>
      <c r="AQ82" s="14">
        <v>1</v>
      </c>
      <c r="AR82" s="14">
        <v>1</v>
      </c>
      <c r="AS82" s="14">
        <v>1</v>
      </c>
      <c r="AT82" s="15">
        <v>1</v>
      </c>
      <c r="AU82" s="14">
        <v>1</v>
      </c>
      <c r="AV82" s="14">
        <v>1</v>
      </c>
      <c r="AW82" s="14">
        <v>1</v>
      </c>
      <c r="AX82" s="15">
        <v>1</v>
      </c>
      <c r="AY82" s="14">
        <v>1</v>
      </c>
      <c r="AZ82" s="14">
        <v>1</v>
      </c>
      <c r="BA82" s="14">
        <v>1</v>
      </c>
      <c r="BB82" s="15">
        <v>1</v>
      </c>
      <c r="BC82" s="14">
        <v>1</v>
      </c>
      <c r="BD82" s="14">
        <v>1</v>
      </c>
      <c r="BE82" s="14">
        <v>1</v>
      </c>
      <c r="BF82" s="15">
        <v>1</v>
      </c>
      <c r="BG82" s="14" t="s">
        <v>446</v>
      </c>
      <c r="BH82" s="14" t="s">
        <v>446</v>
      </c>
      <c r="BI82" s="14" t="s">
        <v>446</v>
      </c>
      <c r="BJ82" s="15" t="s">
        <v>446</v>
      </c>
      <c r="BK82" s="14" t="s">
        <v>446</v>
      </c>
      <c r="BL82" s="14" t="s">
        <v>446</v>
      </c>
      <c r="BM82" s="14" t="s">
        <v>446</v>
      </c>
      <c r="BN82" s="15" t="s">
        <v>446</v>
      </c>
      <c r="BP82" s="18">
        <v>6</v>
      </c>
      <c r="BQ82" s="14">
        <v>6</v>
      </c>
      <c r="BR82" s="14">
        <v>6</v>
      </c>
      <c r="BS82" s="15">
        <v>6</v>
      </c>
      <c r="BU82" s="18">
        <v>1</v>
      </c>
      <c r="BV82" s="14">
        <v>1</v>
      </c>
      <c r="BW82" s="14">
        <v>4</v>
      </c>
      <c r="BX82" s="15">
        <v>4</v>
      </c>
      <c r="BZ82" s="18" t="s">
        <v>446</v>
      </c>
      <c r="CA82" s="14" t="s">
        <v>446</v>
      </c>
      <c r="CB82" s="14" t="s">
        <v>446</v>
      </c>
      <c r="CC82" s="15" t="s">
        <v>446</v>
      </c>
    </row>
    <row r="83" spans="2:81" ht="18" customHeight="1" x14ac:dyDescent="0.2">
      <c r="B83" s="10">
        <f>garage!B83</f>
        <v>83</v>
      </c>
      <c r="C83" s="10">
        <f>garage!C83</f>
        <v>3</v>
      </c>
      <c r="D83" s="10">
        <f>garage!D83</f>
        <v>7</v>
      </c>
      <c r="E83" s="10">
        <f>garage!E83</f>
        <v>0</v>
      </c>
      <c r="F83" s="10" t="str">
        <f>garage!F83</f>
        <v>--</v>
      </c>
      <c r="G83" s="10" t="str">
        <f>garage!G83</f>
        <v>O</v>
      </c>
      <c r="H83" s="10" t="str">
        <f>garage!H83</f>
        <v>O</v>
      </c>
      <c r="I83" s="10" t="str">
        <f>garage!I83</f>
        <v>O</v>
      </c>
      <c r="J83" s="10" t="str">
        <f>garage!J83</f>
        <v>N</v>
      </c>
      <c r="K83" s="10" t="str">
        <f>garage!K83</f>
        <v>B</v>
      </c>
      <c r="L83" s="11" t="str">
        <f>garage!L83</f>
        <v>Ford</v>
      </c>
      <c r="M83" s="11" t="str">
        <f>garage!M83</f>
        <v>GT</v>
      </c>
      <c r="O83" s="19">
        <v>1</v>
      </c>
      <c r="P83" s="16">
        <v>1</v>
      </c>
      <c r="Q83" s="16">
        <v>1</v>
      </c>
      <c r="R83" s="17">
        <v>1</v>
      </c>
      <c r="S83" s="16">
        <v>1</v>
      </c>
      <c r="T83" s="16">
        <v>1</v>
      </c>
      <c r="U83" s="16">
        <v>1</v>
      </c>
      <c r="V83" s="17">
        <v>1</v>
      </c>
      <c r="W83" s="16">
        <v>1</v>
      </c>
      <c r="X83" s="16">
        <v>1</v>
      </c>
      <c r="Y83" s="16">
        <v>1</v>
      </c>
      <c r="Z83" s="17">
        <v>1</v>
      </c>
      <c r="AA83" s="16">
        <v>1</v>
      </c>
      <c r="AB83" s="16">
        <v>1</v>
      </c>
      <c r="AC83" s="16">
        <v>1</v>
      </c>
      <c r="AD83" s="17">
        <v>1</v>
      </c>
      <c r="AE83" s="16">
        <v>1</v>
      </c>
      <c r="AF83" s="16">
        <v>1</v>
      </c>
      <c r="AG83" s="16">
        <v>1</v>
      </c>
      <c r="AH83" s="17">
        <v>1</v>
      </c>
      <c r="AI83" s="16">
        <v>1</v>
      </c>
      <c r="AJ83" s="16">
        <v>1</v>
      </c>
      <c r="AK83" s="16">
        <v>1</v>
      </c>
      <c r="AL83" s="17">
        <v>1</v>
      </c>
      <c r="AM83" s="16">
        <v>1</v>
      </c>
      <c r="AN83" s="16">
        <v>1</v>
      </c>
      <c r="AO83" s="16">
        <v>1</v>
      </c>
      <c r="AP83" s="17">
        <v>1</v>
      </c>
      <c r="AQ83" s="16">
        <v>1</v>
      </c>
      <c r="AR83" s="16">
        <v>1</v>
      </c>
      <c r="AS83" s="16">
        <v>1</v>
      </c>
      <c r="AT83" s="17">
        <v>1</v>
      </c>
      <c r="AU83" s="16">
        <v>1</v>
      </c>
      <c r="AV83" s="16">
        <v>1</v>
      </c>
      <c r="AW83" s="16">
        <v>1</v>
      </c>
      <c r="AX83" s="17">
        <v>1</v>
      </c>
      <c r="AY83" s="16">
        <v>1</v>
      </c>
      <c r="AZ83" s="16">
        <v>1</v>
      </c>
      <c r="BA83" s="16">
        <v>1</v>
      </c>
      <c r="BB83" s="17">
        <v>1</v>
      </c>
      <c r="BC83" s="16">
        <v>1</v>
      </c>
      <c r="BD83" s="16">
        <v>1</v>
      </c>
      <c r="BE83" s="16">
        <v>1</v>
      </c>
      <c r="BF83" s="17">
        <v>1</v>
      </c>
      <c r="BG83" s="16" t="s">
        <v>446</v>
      </c>
      <c r="BH83" s="16" t="s">
        <v>446</v>
      </c>
      <c r="BI83" s="16" t="s">
        <v>446</v>
      </c>
      <c r="BJ83" s="17" t="s">
        <v>446</v>
      </c>
      <c r="BK83" s="16" t="s">
        <v>446</v>
      </c>
      <c r="BL83" s="16" t="s">
        <v>446</v>
      </c>
      <c r="BM83" s="16" t="s">
        <v>446</v>
      </c>
      <c r="BN83" s="17" t="s">
        <v>446</v>
      </c>
      <c r="BP83" s="19">
        <v>6</v>
      </c>
      <c r="BQ83" s="16">
        <v>6</v>
      </c>
      <c r="BR83" s="16">
        <v>6</v>
      </c>
      <c r="BS83" s="17">
        <v>6</v>
      </c>
      <c r="BU83" s="19">
        <v>4</v>
      </c>
      <c r="BV83" s="16">
        <v>4</v>
      </c>
      <c r="BW83" s="16">
        <v>4</v>
      </c>
      <c r="BX83" s="17">
        <v>4</v>
      </c>
      <c r="BZ83" s="19">
        <v>2</v>
      </c>
      <c r="CA83" s="16">
        <v>2</v>
      </c>
      <c r="CB83" s="16">
        <v>2</v>
      </c>
      <c r="CC83" s="17">
        <v>2</v>
      </c>
    </row>
    <row r="84" spans="2:81" ht="18" customHeight="1" x14ac:dyDescent="0.2">
      <c r="B84" s="8">
        <f>garage!B84</f>
        <v>84</v>
      </c>
      <c r="C84" s="8">
        <f>garage!C84</f>
        <v>3</v>
      </c>
      <c r="D84" s="8">
        <f>garage!D84</f>
        <v>8</v>
      </c>
      <c r="E84" s="8">
        <f>garage!E84</f>
        <v>0</v>
      </c>
      <c r="F84" s="8" t="str">
        <f>garage!F84</f>
        <v>L</v>
      </c>
      <c r="G84" s="8" t="str">
        <f>garage!G84</f>
        <v>O</v>
      </c>
      <c r="H84" s="8" t="str">
        <f>garage!H84</f>
        <v>O</v>
      </c>
      <c r="I84" s="8" t="str">
        <f>garage!I84</f>
        <v>N</v>
      </c>
      <c r="J84" s="8" t="str">
        <f>garage!J84</f>
        <v>N</v>
      </c>
      <c r="K84" s="8" t="str">
        <f>garage!K84</f>
        <v>B</v>
      </c>
      <c r="L84" s="9" t="str">
        <f>garage!L84</f>
        <v>Lamborghini</v>
      </c>
      <c r="M84" s="9" t="str">
        <f>garage!M84</f>
        <v>Asterion</v>
      </c>
      <c r="O84" s="18">
        <v>1</v>
      </c>
      <c r="P84" s="14">
        <v>1</v>
      </c>
      <c r="Q84" s="14">
        <v>1</v>
      </c>
      <c r="R84" s="15">
        <v>1</v>
      </c>
      <c r="S84" s="14">
        <v>1</v>
      </c>
      <c r="T84" s="14">
        <v>1</v>
      </c>
      <c r="U84" s="14">
        <v>1</v>
      </c>
      <c r="V84" s="15">
        <v>1</v>
      </c>
      <c r="W84" s="14">
        <v>1</v>
      </c>
      <c r="X84" s="14">
        <v>1</v>
      </c>
      <c r="Y84" s="14">
        <v>1</v>
      </c>
      <c r="Z84" s="15">
        <v>1</v>
      </c>
      <c r="AA84" s="14">
        <v>1</v>
      </c>
      <c r="AB84" s="14">
        <v>1</v>
      </c>
      <c r="AC84" s="14">
        <v>1</v>
      </c>
      <c r="AD84" s="15">
        <v>1</v>
      </c>
      <c r="AE84" s="14">
        <v>1</v>
      </c>
      <c r="AF84" s="14">
        <v>1</v>
      </c>
      <c r="AG84" s="14">
        <v>1</v>
      </c>
      <c r="AH84" s="15">
        <v>1</v>
      </c>
      <c r="AI84" s="14">
        <v>1</v>
      </c>
      <c r="AJ84" s="14">
        <v>1</v>
      </c>
      <c r="AK84" s="14">
        <v>1</v>
      </c>
      <c r="AL84" s="15">
        <v>1</v>
      </c>
      <c r="AM84" s="14">
        <v>1</v>
      </c>
      <c r="AN84" s="14">
        <v>1</v>
      </c>
      <c r="AO84" s="14">
        <v>1</v>
      </c>
      <c r="AP84" s="15">
        <v>1</v>
      </c>
      <c r="AQ84" s="14">
        <v>1</v>
      </c>
      <c r="AR84" s="14">
        <v>1</v>
      </c>
      <c r="AS84" s="14">
        <v>1</v>
      </c>
      <c r="AT84" s="15">
        <v>1</v>
      </c>
      <c r="AU84" s="14">
        <v>1</v>
      </c>
      <c r="AV84" s="14">
        <v>1</v>
      </c>
      <c r="AW84" s="14">
        <v>1</v>
      </c>
      <c r="AX84" s="15">
        <v>1</v>
      </c>
      <c r="AY84" s="14">
        <v>1</v>
      </c>
      <c r="AZ84" s="14">
        <v>1</v>
      </c>
      <c r="BA84" s="14">
        <v>1</v>
      </c>
      <c r="BB84" s="15">
        <v>1</v>
      </c>
      <c r="BC84" s="14">
        <v>1</v>
      </c>
      <c r="BD84" s="14">
        <v>1</v>
      </c>
      <c r="BE84" s="14">
        <v>1</v>
      </c>
      <c r="BF84" s="15">
        <v>1</v>
      </c>
      <c r="BG84" s="14" t="s">
        <v>446</v>
      </c>
      <c r="BH84" s="14" t="s">
        <v>446</v>
      </c>
      <c r="BI84" s="14" t="s">
        <v>446</v>
      </c>
      <c r="BJ84" s="15" t="s">
        <v>446</v>
      </c>
      <c r="BK84" s="14" t="s">
        <v>446</v>
      </c>
      <c r="BL84" s="14" t="s">
        <v>446</v>
      </c>
      <c r="BM84" s="14" t="s">
        <v>446</v>
      </c>
      <c r="BN84" s="15" t="s">
        <v>446</v>
      </c>
      <c r="BP84" s="18">
        <v>6</v>
      </c>
      <c r="BQ84" s="14">
        <v>6</v>
      </c>
      <c r="BR84" s="14">
        <v>6</v>
      </c>
      <c r="BS84" s="15">
        <v>6</v>
      </c>
      <c r="BU84" s="18">
        <v>4</v>
      </c>
      <c r="BV84" s="14">
        <v>4</v>
      </c>
      <c r="BW84" s="14">
        <v>4</v>
      </c>
      <c r="BX84" s="15">
        <v>4</v>
      </c>
      <c r="BZ84" s="18" t="s">
        <v>446</v>
      </c>
      <c r="CA84" s="14">
        <v>1</v>
      </c>
      <c r="CB84" s="14" t="s">
        <v>446</v>
      </c>
      <c r="CC84" s="15">
        <v>2</v>
      </c>
    </row>
    <row r="85" spans="2:81" ht="18" customHeight="1" x14ac:dyDescent="0.2">
      <c r="B85" s="10">
        <f>garage!B85</f>
        <v>85</v>
      </c>
      <c r="C85" s="10">
        <f>garage!C85</f>
        <v>3</v>
      </c>
      <c r="D85" s="10">
        <f>garage!D85</f>
        <v>9</v>
      </c>
      <c r="E85" s="10">
        <f>garage!E85</f>
        <v>18</v>
      </c>
      <c r="F85" s="10" t="str">
        <f>garage!F85</f>
        <v>F</v>
      </c>
      <c r="G85" s="10" t="str">
        <f>garage!G85</f>
        <v>O</v>
      </c>
      <c r="H85" s="10" t="str">
        <f>garage!H85</f>
        <v>O</v>
      </c>
      <c r="I85" s="10" t="str">
        <f>garage!I85</f>
        <v>N</v>
      </c>
      <c r="J85" s="10" t="str">
        <f>garage!J85</f>
        <v>N</v>
      </c>
      <c r="K85" s="10" t="str">
        <f>garage!K85</f>
        <v>B</v>
      </c>
      <c r="L85" s="11" t="str">
        <f>garage!L85</f>
        <v>Ferrari</v>
      </c>
      <c r="M85" s="11" t="str">
        <f>garage!M85</f>
        <v>Roma</v>
      </c>
      <c r="O85" s="19">
        <v>1</v>
      </c>
      <c r="P85" s="16">
        <v>1</v>
      </c>
      <c r="Q85" s="16">
        <v>1</v>
      </c>
      <c r="R85" s="17">
        <v>1</v>
      </c>
      <c r="S85" s="16">
        <v>1</v>
      </c>
      <c r="T85" s="16">
        <v>1</v>
      </c>
      <c r="U85" s="16">
        <v>1</v>
      </c>
      <c r="V85" s="17">
        <v>1</v>
      </c>
      <c r="W85" s="16">
        <v>1</v>
      </c>
      <c r="X85" s="16">
        <v>1</v>
      </c>
      <c r="Y85" s="16">
        <v>1</v>
      </c>
      <c r="Z85" s="17">
        <v>1</v>
      </c>
      <c r="AA85" s="16">
        <v>1</v>
      </c>
      <c r="AB85" s="16">
        <v>1</v>
      </c>
      <c r="AC85" s="16">
        <v>1</v>
      </c>
      <c r="AD85" s="17">
        <v>1</v>
      </c>
      <c r="AE85" s="16">
        <v>1</v>
      </c>
      <c r="AF85" s="16">
        <v>1</v>
      </c>
      <c r="AG85" s="16">
        <v>1</v>
      </c>
      <c r="AH85" s="17">
        <v>1</v>
      </c>
      <c r="AI85" s="16">
        <v>1</v>
      </c>
      <c r="AJ85" s="16">
        <v>1</v>
      </c>
      <c r="AK85" s="16">
        <v>1</v>
      </c>
      <c r="AL85" s="17">
        <v>1</v>
      </c>
      <c r="AM85" s="16">
        <v>1</v>
      </c>
      <c r="AN85" s="16">
        <v>1</v>
      </c>
      <c r="AO85" s="16">
        <v>1</v>
      </c>
      <c r="AP85" s="17">
        <v>1</v>
      </c>
      <c r="AQ85" s="16" t="s">
        <v>446</v>
      </c>
      <c r="AR85" s="16" t="s">
        <v>446</v>
      </c>
      <c r="AS85" s="16" t="s">
        <v>446</v>
      </c>
      <c r="AT85" s="17" t="s">
        <v>446</v>
      </c>
      <c r="AU85" s="16" t="s">
        <v>446</v>
      </c>
      <c r="AV85" s="16" t="s">
        <v>446</v>
      </c>
      <c r="AW85" s="16" t="s">
        <v>446</v>
      </c>
      <c r="AX85" s="17" t="s">
        <v>446</v>
      </c>
      <c r="AY85" s="16" t="s">
        <v>446</v>
      </c>
      <c r="AZ85" s="16" t="s">
        <v>446</v>
      </c>
      <c r="BA85" s="16" t="s">
        <v>446</v>
      </c>
      <c r="BB85" s="17" t="s">
        <v>446</v>
      </c>
      <c r="BC85" s="16" t="s">
        <v>446</v>
      </c>
      <c r="BD85" s="16" t="s">
        <v>446</v>
      </c>
      <c r="BE85" s="16" t="s">
        <v>446</v>
      </c>
      <c r="BF85" s="17" t="s">
        <v>446</v>
      </c>
      <c r="BG85" s="16" t="s">
        <v>446</v>
      </c>
      <c r="BH85" s="16" t="s">
        <v>446</v>
      </c>
      <c r="BI85" s="16" t="s">
        <v>446</v>
      </c>
      <c r="BJ85" s="17" t="s">
        <v>446</v>
      </c>
      <c r="BK85" s="16" t="s">
        <v>446</v>
      </c>
      <c r="BL85" s="16" t="s">
        <v>446</v>
      </c>
      <c r="BM85" s="16" t="s">
        <v>446</v>
      </c>
      <c r="BN85" s="17" t="s">
        <v>446</v>
      </c>
      <c r="BP85" s="19">
        <v>5</v>
      </c>
      <c r="BQ85" s="16">
        <v>4</v>
      </c>
      <c r="BR85" s="16">
        <v>5</v>
      </c>
      <c r="BS85" s="17">
        <v>3</v>
      </c>
      <c r="BU85" s="19" t="s">
        <v>446</v>
      </c>
      <c r="BV85" s="16" t="s">
        <v>446</v>
      </c>
      <c r="BW85" s="16" t="s">
        <v>446</v>
      </c>
      <c r="BX85" s="17" t="s">
        <v>446</v>
      </c>
      <c r="BZ85" s="19" t="s">
        <v>446</v>
      </c>
      <c r="CA85" s="16" t="s">
        <v>446</v>
      </c>
      <c r="CB85" s="16" t="s">
        <v>446</v>
      </c>
      <c r="CC85" s="17" t="s">
        <v>446</v>
      </c>
    </row>
    <row r="86" spans="2:81" ht="18" customHeight="1" x14ac:dyDescent="0.2">
      <c r="B86" s="8">
        <f>garage!B86</f>
        <v>86</v>
      </c>
      <c r="C86" s="8">
        <f>garage!C86</f>
        <v>3</v>
      </c>
      <c r="D86" s="8">
        <f>garage!D86</f>
        <v>10</v>
      </c>
      <c r="E86" s="8">
        <f>garage!E86</f>
        <v>22</v>
      </c>
      <c r="F86" s="8" t="str">
        <f>garage!F86</f>
        <v>--</v>
      </c>
      <c r="G86" s="8" t="str">
        <f>garage!G86</f>
        <v>O</v>
      </c>
      <c r="H86" s="8" t="str">
        <f>garage!H86</f>
        <v>O</v>
      </c>
      <c r="I86" s="8" t="str">
        <f>garage!I86</f>
        <v>N</v>
      </c>
      <c r="J86" s="8" t="str">
        <f>garage!J86</f>
        <v>N</v>
      </c>
      <c r="K86" s="8" t="str">
        <f>garage!K86</f>
        <v>B</v>
      </c>
      <c r="L86" s="9" t="str">
        <f>garage!L86</f>
        <v>Arash</v>
      </c>
      <c r="M86" s="9" t="str">
        <f>garage!M86</f>
        <v>AF10</v>
      </c>
      <c r="O86" s="18" t="s">
        <v>446</v>
      </c>
      <c r="P86" s="14" t="s">
        <v>446</v>
      </c>
      <c r="Q86" s="14" t="s">
        <v>446</v>
      </c>
      <c r="R86" s="15" t="s">
        <v>446</v>
      </c>
      <c r="S86" s="14" t="s">
        <v>446</v>
      </c>
      <c r="T86" s="14" t="s">
        <v>446</v>
      </c>
      <c r="U86" s="14" t="s">
        <v>446</v>
      </c>
      <c r="V86" s="15" t="s">
        <v>446</v>
      </c>
      <c r="W86" s="14" t="s">
        <v>446</v>
      </c>
      <c r="X86" s="14" t="s">
        <v>446</v>
      </c>
      <c r="Y86" s="14" t="s">
        <v>446</v>
      </c>
      <c r="Z86" s="15" t="s">
        <v>446</v>
      </c>
      <c r="AA86" s="14" t="s">
        <v>446</v>
      </c>
      <c r="AB86" s="14" t="s">
        <v>446</v>
      </c>
      <c r="AC86" s="14" t="s">
        <v>446</v>
      </c>
      <c r="AD86" s="15" t="s">
        <v>446</v>
      </c>
      <c r="AE86" s="14" t="s">
        <v>446</v>
      </c>
      <c r="AF86" s="14" t="s">
        <v>446</v>
      </c>
      <c r="AG86" s="14" t="s">
        <v>446</v>
      </c>
      <c r="AH86" s="15" t="s">
        <v>446</v>
      </c>
      <c r="AI86" s="14" t="s">
        <v>446</v>
      </c>
      <c r="AJ86" s="14" t="s">
        <v>446</v>
      </c>
      <c r="AK86" s="14" t="s">
        <v>446</v>
      </c>
      <c r="AL86" s="15" t="s">
        <v>446</v>
      </c>
      <c r="AM86" s="14" t="s">
        <v>446</v>
      </c>
      <c r="AN86" s="14" t="s">
        <v>446</v>
      </c>
      <c r="AO86" s="14" t="s">
        <v>446</v>
      </c>
      <c r="AP86" s="15" t="s">
        <v>446</v>
      </c>
      <c r="AQ86" s="14" t="s">
        <v>446</v>
      </c>
      <c r="AR86" s="14" t="s">
        <v>446</v>
      </c>
      <c r="AS86" s="14" t="s">
        <v>446</v>
      </c>
      <c r="AT86" s="15" t="s">
        <v>446</v>
      </c>
      <c r="AU86" s="14" t="s">
        <v>446</v>
      </c>
      <c r="AV86" s="14" t="s">
        <v>446</v>
      </c>
      <c r="AW86" s="14" t="s">
        <v>446</v>
      </c>
      <c r="AX86" s="15" t="s">
        <v>446</v>
      </c>
      <c r="AY86" s="14" t="s">
        <v>446</v>
      </c>
      <c r="AZ86" s="14" t="s">
        <v>446</v>
      </c>
      <c r="BA86" s="14" t="s">
        <v>446</v>
      </c>
      <c r="BB86" s="15" t="s">
        <v>446</v>
      </c>
      <c r="BC86" s="14" t="s">
        <v>446</v>
      </c>
      <c r="BD86" s="14" t="s">
        <v>446</v>
      </c>
      <c r="BE86" s="14" t="s">
        <v>446</v>
      </c>
      <c r="BF86" s="15" t="s">
        <v>446</v>
      </c>
      <c r="BG86" s="14" t="s">
        <v>446</v>
      </c>
      <c r="BH86" s="14" t="s">
        <v>446</v>
      </c>
      <c r="BI86" s="14" t="s">
        <v>446</v>
      </c>
      <c r="BJ86" s="15" t="s">
        <v>446</v>
      </c>
      <c r="BK86" s="14" t="s">
        <v>446</v>
      </c>
      <c r="BL86" s="14" t="s">
        <v>446</v>
      </c>
      <c r="BM86" s="14" t="s">
        <v>446</v>
      </c>
      <c r="BN86" s="15" t="s">
        <v>446</v>
      </c>
      <c r="BP86" s="18" t="s">
        <v>446</v>
      </c>
      <c r="BQ86" s="14" t="s">
        <v>446</v>
      </c>
      <c r="BR86" s="14" t="s">
        <v>446</v>
      </c>
      <c r="BS86" s="15" t="s">
        <v>446</v>
      </c>
      <c r="BU86" s="18" t="s">
        <v>446</v>
      </c>
      <c r="BV86" s="14" t="s">
        <v>446</v>
      </c>
      <c r="BW86" s="14" t="s">
        <v>446</v>
      </c>
      <c r="BX86" s="15" t="s">
        <v>446</v>
      </c>
      <c r="BZ86" s="18" t="s">
        <v>446</v>
      </c>
      <c r="CA86" s="14" t="s">
        <v>446</v>
      </c>
      <c r="CB86" s="14" t="s">
        <v>446</v>
      </c>
      <c r="CC86" s="15" t="s">
        <v>446</v>
      </c>
    </row>
    <row r="87" spans="2:81" ht="18" customHeight="1" x14ac:dyDescent="0.2">
      <c r="B87" s="10">
        <f>garage!B87</f>
        <v>87</v>
      </c>
      <c r="C87" s="10">
        <f>garage!C87</f>
        <v>3</v>
      </c>
      <c r="D87" s="10">
        <f>garage!D87</f>
        <v>11</v>
      </c>
      <c r="E87" s="10">
        <f>garage!E87</f>
        <v>31</v>
      </c>
      <c r="F87" s="10" t="str">
        <f>garage!F87</f>
        <v>--</v>
      </c>
      <c r="G87" s="10" t="str">
        <f>garage!G87</f>
        <v>N</v>
      </c>
      <c r="H87" s="10" t="str">
        <f>garage!H87</f>
        <v>N</v>
      </c>
      <c r="I87" s="10" t="str">
        <f>garage!I87</f>
        <v>N</v>
      </c>
      <c r="J87" s="10" t="str">
        <f>garage!J87</f>
        <v>N</v>
      </c>
      <c r="K87" s="10" t="str">
        <f>garage!K87</f>
        <v>B</v>
      </c>
      <c r="L87" s="11" t="str">
        <f>garage!L87</f>
        <v>BMW</v>
      </c>
      <c r="M87" s="11" t="str">
        <f>garage!M87</f>
        <v>M4 GT3</v>
      </c>
      <c r="O87" s="19" t="s">
        <v>446</v>
      </c>
      <c r="P87" s="16" t="s">
        <v>446</v>
      </c>
      <c r="Q87" s="16" t="s">
        <v>446</v>
      </c>
      <c r="R87" s="17" t="s">
        <v>446</v>
      </c>
      <c r="S87" s="16" t="s">
        <v>446</v>
      </c>
      <c r="T87" s="16" t="s">
        <v>446</v>
      </c>
      <c r="U87" s="16" t="s">
        <v>446</v>
      </c>
      <c r="V87" s="17" t="s">
        <v>446</v>
      </c>
      <c r="W87" s="16" t="s">
        <v>446</v>
      </c>
      <c r="X87" s="16" t="s">
        <v>446</v>
      </c>
      <c r="Y87" s="16" t="s">
        <v>446</v>
      </c>
      <c r="Z87" s="17" t="s">
        <v>446</v>
      </c>
      <c r="AA87" s="16" t="s">
        <v>446</v>
      </c>
      <c r="AB87" s="16" t="s">
        <v>446</v>
      </c>
      <c r="AC87" s="16" t="s">
        <v>446</v>
      </c>
      <c r="AD87" s="17" t="s">
        <v>446</v>
      </c>
      <c r="AE87" s="16" t="s">
        <v>446</v>
      </c>
      <c r="AF87" s="16" t="s">
        <v>446</v>
      </c>
      <c r="AG87" s="16" t="s">
        <v>446</v>
      </c>
      <c r="AH87" s="17" t="s">
        <v>446</v>
      </c>
      <c r="AI87" s="16" t="s">
        <v>446</v>
      </c>
      <c r="AJ87" s="16" t="s">
        <v>446</v>
      </c>
      <c r="AK87" s="16" t="s">
        <v>446</v>
      </c>
      <c r="AL87" s="17" t="s">
        <v>446</v>
      </c>
      <c r="AM87" s="16" t="s">
        <v>446</v>
      </c>
      <c r="AN87" s="16" t="s">
        <v>446</v>
      </c>
      <c r="AO87" s="16" t="s">
        <v>446</v>
      </c>
      <c r="AP87" s="17" t="s">
        <v>446</v>
      </c>
      <c r="AQ87" s="16" t="s">
        <v>446</v>
      </c>
      <c r="AR87" s="16" t="s">
        <v>446</v>
      </c>
      <c r="AS87" s="16" t="s">
        <v>446</v>
      </c>
      <c r="AT87" s="17" t="s">
        <v>446</v>
      </c>
      <c r="AU87" s="16" t="s">
        <v>446</v>
      </c>
      <c r="AV87" s="16" t="s">
        <v>446</v>
      </c>
      <c r="AW87" s="16" t="s">
        <v>446</v>
      </c>
      <c r="AX87" s="17" t="s">
        <v>446</v>
      </c>
      <c r="AY87" s="16" t="s">
        <v>446</v>
      </c>
      <c r="AZ87" s="16" t="s">
        <v>446</v>
      </c>
      <c r="BA87" s="16" t="s">
        <v>446</v>
      </c>
      <c r="BB87" s="17" t="s">
        <v>446</v>
      </c>
      <c r="BC87" s="16" t="s">
        <v>446</v>
      </c>
      <c r="BD87" s="16" t="s">
        <v>446</v>
      </c>
      <c r="BE87" s="16" t="s">
        <v>446</v>
      </c>
      <c r="BF87" s="17" t="s">
        <v>446</v>
      </c>
      <c r="BG87" s="16" t="s">
        <v>446</v>
      </c>
      <c r="BH87" s="16" t="s">
        <v>446</v>
      </c>
      <c r="BI87" s="16" t="s">
        <v>446</v>
      </c>
      <c r="BJ87" s="17" t="s">
        <v>446</v>
      </c>
      <c r="BK87" s="16" t="s">
        <v>446</v>
      </c>
      <c r="BL87" s="16" t="s">
        <v>446</v>
      </c>
      <c r="BM87" s="16" t="s">
        <v>446</v>
      </c>
      <c r="BN87" s="17" t="s">
        <v>446</v>
      </c>
      <c r="BP87" s="19" t="s">
        <v>446</v>
      </c>
      <c r="BQ87" s="16" t="s">
        <v>446</v>
      </c>
      <c r="BR87" s="16" t="s">
        <v>446</v>
      </c>
      <c r="BS87" s="17" t="s">
        <v>446</v>
      </c>
      <c r="BU87" s="19" t="s">
        <v>446</v>
      </c>
      <c r="BV87" s="16" t="s">
        <v>446</v>
      </c>
      <c r="BW87" s="16" t="s">
        <v>446</v>
      </c>
      <c r="BX87" s="17" t="s">
        <v>446</v>
      </c>
      <c r="BZ87" s="19" t="s">
        <v>446</v>
      </c>
      <c r="CA87" s="16" t="s">
        <v>446</v>
      </c>
      <c r="CB87" s="16" t="s">
        <v>446</v>
      </c>
      <c r="CC87" s="17" t="s">
        <v>446</v>
      </c>
    </row>
    <row r="88" spans="2:81" ht="18" customHeight="1" x14ac:dyDescent="0.2">
      <c r="B88" s="8">
        <f>garage!B88</f>
        <v>88</v>
      </c>
      <c r="C88" s="8">
        <f>garage!C88</f>
        <v>3</v>
      </c>
      <c r="D88" s="8">
        <f>garage!D88</f>
        <v>12</v>
      </c>
      <c r="E88" s="8">
        <f>garage!E88</f>
        <v>0</v>
      </c>
      <c r="F88" s="8" t="str">
        <f>garage!F88</f>
        <v>--</v>
      </c>
      <c r="G88" s="8" t="str">
        <f>garage!G88</f>
        <v>O</v>
      </c>
      <c r="H88" s="8" t="str">
        <f>garage!H88</f>
        <v>O</v>
      </c>
      <c r="I88" s="8" t="str">
        <f>garage!I88</f>
        <v>O</v>
      </c>
      <c r="J88" s="8" t="str">
        <f>garage!J88</f>
        <v>N</v>
      </c>
      <c r="K88" s="8" t="str">
        <f>garage!K88</f>
        <v>B</v>
      </c>
      <c r="L88" s="9" t="str">
        <f>garage!L88</f>
        <v>Cadillac</v>
      </c>
      <c r="M88" s="9" t="str">
        <f>garage!M88</f>
        <v>Cien Concept</v>
      </c>
      <c r="O88" s="18">
        <v>1</v>
      </c>
      <c r="P88" s="14">
        <v>1</v>
      </c>
      <c r="Q88" s="14">
        <v>1</v>
      </c>
      <c r="R88" s="15">
        <v>1</v>
      </c>
      <c r="S88" s="14">
        <v>1</v>
      </c>
      <c r="T88" s="14">
        <v>1</v>
      </c>
      <c r="U88" s="14">
        <v>1</v>
      </c>
      <c r="V88" s="15">
        <v>1</v>
      </c>
      <c r="W88" s="14">
        <v>1</v>
      </c>
      <c r="X88" s="14">
        <v>1</v>
      </c>
      <c r="Y88" s="14">
        <v>1</v>
      </c>
      <c r="Z88" s="15">
        <v>1</v>
      </c>
      <c r="AA88" s="14">
        <v>1</v>
      </c>
      <c r="AB88" s="14">
        <v>1</v>
      </c>
      <c r="AC88" s="14">
        <v>1</v>
      </c>
      <c r="AD88" s="15">
        <v>1</v>
      </c>
      <c r="AE88" s="14">
        <v>1</v>
      </c>
      <c r="AF88" s="14">
        <v>1</v>
      </c>
      <c r="AG88" s="14">
        <v>1</v>
      </c>
      <c r="AH88" s="15">
        <v>1</v>
      </c>
      <c r="AI88" s="14">
        <v>1</v>
      </c>
      <c r="AJ88" s="14">
        <v>1</v>
      </c>
      <c r="AK88" s="14">
        <v>1</v>
      </c>
      <c r="AL88" s="15">
        <v>1</v>
      </c>
      <c r="AM88" s="14">
        <v>1</v>
      </c>
      <c r="AN88" s="14">
        <v>1</v>
      </c>
      <c r="AO88" s="14">
        <v>1</v>
      </c>
      <c r="AP88" s="15">
        <v>1</v>
      </c>
      <c r="AQ88" s="14">
        <v>1</v>
      </c>
      <c r="AR88" s="14">
        <v>1</v>
      </c>
      <c r="AS88" s="14">
        <v>1</v>
      </c>
      <c r="AT88" s="15">
        <v>1</v>
      </c>
      <c r="AU88" s="14">
        <v>1</v>
      </c>
      <c r="AV88" s="14">
        <v>1</v>
      </c>
      <c r="AW88" s="14">
        <v>1</v>
      </c>
      <c r="AX88" s="15">
        <v>1</v>
      </c>
      <c r="AY88" s="14">
        <v>1</v>
      </c>
      <c r="AZ88" s="14">
        <v>1</v>
      </c>
      <c r="BA88" s="14">
        <v>1</v>
      </c>
      <c r="BB88" s="15">
        <v>1</v>
      </c>
      <c r="BC88" s="14">
        <v>1</v>
      </c>
      <c r="BD88" s="14">
        <v>1</v>
      </c>
      <c r="BE88" s="14">
        <v>1</v>
      </c>
      <c r="BF88" s="15">
        <v>1</v>
      </c>
      <c r="BG88" s="14" t="s">
        <v>446</v>
      </c>
      <c r="BH88" s="14" t="s">
        <v>446</v>
      </c>
      <c r="BI88" s="14" t="s">
        <v>446</v>
      </c>
      <c r="BJ88" s="15" t="s">
        <v>446</v>
      </c>
      <c r="BK88" s="14" t="s">
        <v>446</v>
      </c>
      <c r="BL88" s="14" t="s">
        <v>446</v>
      </c>
      <c r="BM88" s="14" t="s">
        <v>446</v>
      </c>
      <c r="BN88" s="15" t="s">
        <v>446</v>
      </c>
      <c r="BP88" s="18">
        <v>6</v>
      </c>
      <c r="BQ88" s="14">
        <v>6</v>
      </c>
      <c r="BR88" s="14">
        <v>6</v>
      </c>
      <c r="BS88" s="15">
        <v>6</v>
      </c>
      <c r="BU88" s="18">
        <v>4</v>
      </c>
      <c r="BV88" s="14">
        <v>4</v>
      </c>
      <c r="BW88" s="14">
        <v>4</v>
      </c>
      <c r="BX88" s="15">
        <v>4</v>
      </c>
      <c r="BZ88" s="18">
        <v>2</v>
      </c>
      <c r="CA88" s="14">
        <v>2</v>
      </c>
      <c r="CB88" s="14">
        <v>2</v>
      </c>
      <c r="CC88" s="15">
        <v>2</v>
      </c>
    </row>
    <row r="89" spans="2:81" ht="18" customHeight="1" x14ac:dyDescent="0.2">
      <c r="B89" s="10">
        <f>garage!B89</f>
        <v>89</v>
      </c>
      <c r="C89" s="10">
        <f>garage!C89</f>
        <v>3</v>
      </c>
      <c r="D89" s="10">
        <f>garage!D89</f>
        <v>13</v>
      </c>
      <c r="E89" s="10">
        <f>garage!E89</f>
        <v>13</v>
      </c>
      <c r="F89" s="10" t="str">
        <f>garage!F89</f>
        <v>--</v>
      </c>
      <c r="G89" s="10" t="str">
        <f>garage!G89</f>
        <v>O</v>
      </c>
      <c r="H89" s="10" t="str">
        <f>garage!H89</f>
        <v>O</v>
      </c>
      <c r="I89" s="10" t="str">
        <f>garage!I89</f>
        <v>N</v>
      </c>
      <c r="J89" s="10" t="str">
        <f>garage!J89</f>
        <v>N</v>
      </c>
      <c r="K89" s="10" t="str">
        <f>garage!K89</f>
        <v>B</v>
      </c>
      <c r="L89" s="11" t="str">
        <f>garage!L89</f>
        <v>Ford</v>
      </c>
      <c r="M89" s="11" t="str">
        <f>garage!M89</f>
        <v>GT MK II</v>
      </c>
      <c r="O89" s="19">
        <v>1</v>
      </c>
      <c r="P89" s="16">
        <v>1</v>
      </c>
      <c r="Q89" s="16">
        <v>1</v>
      </c>
      <c r="R89" s="17">
        <v>1</v>
      </c>
      <c r="S89" s="16">
        <v>1</v>
      </c>
      <c r="T89" s="16">
        <v>1</v>
      </c>
      <c r="U89" s="16">
        <v>1</v>
      </c>
      <c r="V89" s="17">
        <v>1</v>
      </c>
      <c r="W89" s="16">
        <v>1</v>
      </c>
      <c r="X89" s="16">
        <v>1</v>
      </c>
      <c r="Y89" s="16">
        <v>1</v>
      </c>
      <c r="Z89" s="17">
        <v>1</v>
      </c>
      <c r="AA89" s="16">
        <v>1</v>
      </c>
      <c r="AB89" s="16">
        <v>1</v>
      </c>
      <c r="AC89" s="16">
        <v>1</v>
      </c>
      <c r="AD89" s="17">
        <v>1</v>
      </c>
      <c r="AE89" s="16">
        <v>1</v>
      </c>
      <c r="AF89" s="16">
        <v>1</v>
      </c>
      <c r="AG89" s="16">
        <v>1</v>
      </c>
      <c r="AH89" s="17">
        <v>1</v>
      </c>
      <c r="AI89" s="16">
        <v>1</v>
      </c>
      <c r="AJ89" s="16">
        <v>1</v>
      </c>
      <c r="AK89" s="16">
        <v>1</v>
      </c>
      <c r="AL89" s="17">
        <v>1</v>
      </c>
      <c r="AM89" s="16">
        <v>1</v>
      </c>
      <c r="AN89" s="16">
        <v>1</v>
      </c>
      <c r="AO89" s="16">
        <v>1</v>
      </c>
      <c r="AP89" s="17">
        <v>1</v>
      </c>
      <c r="AQ89" s="16" t="s">
        <v>446</v>
      </c>
      <c r="AR89" s="16" t="s">
        <v>446</v>
      </c>
      <c r="AS89" s="16" t="s">
        <v>446</v>
      </c>
      <c r="AT89" s="17" t="s">
        <v>446</v>
      </c>
      <c r="AU89" s="16" t="s">
        <v>446</v>
      </c>
      <c r="AV89" s="16" t="s">
        <v>446</v>
      </c>
      <c r="AW89" s="16" t="s">
        <v>446</v>
      </c>
      <c r="AX89" s="17" t="s">
        <v>446</v>
      </c>
      <c r="AY89" s="16" t="s">
        <v>446</v>
      </c>
      <c r="AZ89" s="16" t="s">
        <v>446</v>
      </c>
      <c r="BA89" s="16" t="s">
        <v>446</v>
      </c>
      <c r="BB89" s="17" t="s">
        <v>446</v>
      </c>
      <c r="BC89" s="16" t="s">
        <v>446</v>
      </c>
      <c r="BD89" s="16" t="s">
        <v>446</v>
      </c>
      <c r="BE89" s="16" t="s">
        <v>446</v>
      </c>
      <c r="BF89" s="17" t="s">
        <v>446</v>
      </c>
      <c r="BG89" s="16" t="s">
        <v>446</v>
      </c>
      <c r="BH89" s="16" t="s">
        <v>446</v>
      </c>
      <c r="BI89" s="16" t="s">
        <v>446</v>
      </c>
      <c r="BJ89" s="17" t="s">
        <v>446</v>
      </c>
      <c r="BK89" s="16" t="s">
        <v>446</v>
      </c>
      <c r="BL89" s="16" t="s">
        <v>446</v>
      </c>
      <c r="BM89" s="16" t="s">
        <v>446</v>
      </c>
      <c r="BN89" s="17" t="s">
        <v>446</v>
      </c>
      <c r="BP89" s="19">
        <v>5</v>
      </c>
      <c r="BQ89" s="16">
        <v>5</v>
      </c>
      <c r="BR89" s="16">
        <v>5</v>
      </c>
      <c r="BS89" s="17">
        <v>5</v>
      </c>
      <c r="BU89" s="19">
        <v>1</v>
      </c>
      <c r="BV89" s="16">
        <v>1</v>
      </c>
      <c r="BW89" s="16">
        <v>1</v>
      </c>
      <c r="BX89" s="17">
        <v>1</v>
      </c>
      <c r="BZ89" s="19" t="s">
        <v>446</v>
      </c>
      <c r="CA89" s="16" t="s">
        <v>446</v>
      </c>
      <c r="CB89" s="16" t="s">
        <v>446</v>
      </c>
      <c r="CC89" s="17" t="s">
        <v>446</v>
      </c>
    </row>
    <row r="90" spans="2:81" ht="18" customHeight="1" x14ac:dyDescent="0.2">
      <c r="B90" s="8">
        <f>garage!B90</f>
        <v>90</v>
      </c>
      <c r="C90" s="8">
        <f>garage!C90</f>
        <v>3</v>
      </c>
      <c r="D90" s="8">
        <f>garage!D90</f>
        <v>14</v>
      </c>
      <c r="E90" s="8">
        <f>garage!E90</f>
        <v>0</v>
      </c>
      <c r="F90" s="8" t="str">
        <f>garage!F90</f>
        <v>--</v>
      </c>
      <c r="G90" s="8" t="str">
        <f>garage!G90</f>
        <v>O</v>
      </c>
      <c r="H90" s="8" t="str">
        <f>garage!H90</f>
        <v>O</v>
      </c>
      <c r="I90" s="8" t="str">
        <f>garage!I90</f>
        <v>O</v>
      </c>
      <c r="J90" s="8" t="str">
        <f>garage!J90</f>
        <v>N</v>
      </c>
      <c r="K90" s="8" t="str">
        <f>garage!K90</f>
        <v>B</v>
      </c>
      <c r="L90" s="9" t="str">
        <f>garage!L90</f>
        <v>Italdesign</v>
      </c>
      <c r="M90" s="9" t="str">
        <f>garage!M90</f>
        <v>Zerouno</v>
      </c>
      <c r="O90" s="18">
        <v>1</v>
      </c>
      <c r="P90" s="14">
        <v>1</v>
      </c>
      <c r="Q90" s="14">
        <v>1</v>
      </c>
      <c r="R90" s="15">
        <v>1</v>
      </c>
      <c r="S90" s="14">
        <v>1</v>
      </c>
      <c r="T90" s="14">
        <v>1</v>
      </c>
      <c r="U90" s="14">
        <v>1</v>
      </c>
      <c r="V90" s="15">
        <v>1</v>
      </c>
      <c r="W90" s="14">
        <v>1</v>
      </c>
      <c r="X90" s="14">
        <v>1</v>
      </c>
      <c r="Y90" s="14">
        <v>1</v>
      </c>
      <c r="Z90" s="15">
        <v>1</v>
      </c>
      <c r="AA90" s="14">
        <v>1</v>
      </c>
      <c r="AB90" s="14">
        <v>1</v>
      </c>
      <c r="AC90" s="14">
        <v>1</v>
      </c>
      <c r="AD90" s="15">
        <v>1</v>
      </c>
      <c r="AE90" s="14">
        <v>1</v>
      </c>
      <c r="AF90" s="14">
        <v>1</v>
      </c>
      <c r="AG90" s="14">
        <v>1</v>
      </c>
      <c r="AH90" s="15">
        <v>1</v>
      </c>
      <c r="AI90" s="14">
        <v>1</v>
      </c>
      <c r="AJ90" s="14">
        <v>1</v>
      </c>
      <c r="AK90" s="14">
        <v>1</v>
      </c>
      <c r="AL90" s="15">
        <v>1</v>
      </c>
      <c r="AM90" s="14">
        <v>1</v>
      </c>
      <c r="AN90" s="14">
        <v>1</v>
      </c>
      <c r="AO90" s="14">
        <v>1</v>
      </c>
      <c r="AP90" s="15">
        <v>1</v>
      </c>
      <c r="AQ90" s="14">
        <v>1</v>
      </c>
      <c r="AR90" s="14">
        <v>1</v>
      </c>
      <c r="AS90" s="14">
        <v>1</v>
      </c>
      <c r="AT90" s="15">
        <v>1</v>
      </c>
      <c r="AU90" s="14">
        <v>1</v>
      </c>
      <c r="AV90" s="14">
        <v>1</v>
      </c>
      <c r="AW90" s="14">
        <v>1</v>
      </c>
      <c r="AX90" s="15">
        <v>1</v>
      </c>
      <c r="AY90" s="14">
        <v>1</v>
      </c>
      <c r="AZ90" s="14">
        <v>1</v>
      </c>
      <c r="BA90" s="14">
        <v>1</v>
      </c>
      <c r="BB90" s="15">
        <v>1</v>
      </c>
      <c r="BC90" s="14">
        <v>1</v>
      </c>
      <c r="BD90" s="14">
        <v>1</v>
      </c>
      <c r="BE90" s="14">
        <v>1</v>
      </c>
      <c r="BF90" s="15">
        <v>1</v>
      </c>
      <c r="BG90" s="14" t="s">
        <v>446</v>
      </c>
      <c r="BH90" s="14" t="s">
        <v>446</v>
      </c>
      <c r="BI90" s="14" t="s">
        <v>446</v>
      </c>
      <c r="BJ90" s="15" t="s">
        <v>446</v>
      </c>
      <c r="BK90" s="14" t="s">
        <v>446</v>
      </c>
      <c r="BL90" s="14" t="s">
        <v>446</v>
      </c>
      <c r="BM90" s="14" t="s">
        <v>446</v>
      </c>
      <c r="BN90" s="15" t="s">
        <v>446</v>
      </c>
      <c r="BP90" s="18">
        <v>6</v>
      </c>
      <c r="BQ90" s="14">
        <v>6</v>
      </c>
      <c r="BR90" s="14">
        <v>6</v>
      </c>
      <c r="BS90" s="15">
        <v>6</v>
      </c>
      <c r="BU90" s="18">
        <v>4</v>
      </c>
      <c r="BV90" s="14">
        <v>4</v>
      </c>
      <c r="BW90" s="14">
        <v>4</v>
      </c>
      <c r="BX90" s="15">
        <v>4</v>
      </c>
      <c r="BZ90" s="18">
        <v>2</v>
      </c>
      <c r="CA90" s="14">
        <v>2</v>
      </c>
      <c r="CB90" s="14">
        <v>2</v>
      </c>
      <c r="CC90" s="15">
        <v>2</v>
      </c>
    </row>
    <row r="91" spans="2:81" ht="18" customHeight="1" x14ac:dyDescent="0.2">
      <c r="B91" s="10">
        <f>garage!B91</f>
        <v>91</v>
      </c>
      <c r="C91" s="10">
        <f>garage!C91</f>
        <v>3</v>
      </c>
      <c r="D91" s="10">
        <f>garage!D91</f>
        <v>15</v>
      </c>
      <c r="E91" s="10">
        <f>garage!E91</f>
        <v>24</v>
      </c>
      <c r="F91" s="10" t="str">
        <f>garage!F91</f>
        <v>--</v>
      </c>
      <c r="G91" s="10" t="str">
        <f>garage!G91</f>
        <v>N</v>
      </c>
      <c r="H91" s="10" t="str">
        <f>garage!H91</f>
        <v>N</v>
      </c>
      <c r="I91" s="10" t="str">
        <f>garage!I91</f>
        <v>N</v>
      </c>
      <c r="J91" s="10" t="str">
        <f>garage!J91</f>
        <v>O</v>
      </c>
      <c r="K91" s="10" t="str">
        <f>garage!K91</f>
        <v>B</v>
      </c>
      <c r="L91" s="11" t="str">
        <f>garage!L91</f>
        <v>Arash</v>
      </c>
      <c r="M91" s="11" t="str">
        <f>garage!M91</f>
        <v>AF8 Falcon Edition</v>
      </c>
      <c r="O91" s="19" t="s">
        <v>446</v>
      </c>
      <c r="P91" s="16" t="s">
        <v>446</v>
      </c>
      <c r="Q91" s="16" t="s">
        <v>446</v>
      </c>
      <c r="R91" s="17" t="s">
        <v>446</v>
      </c>
      <c r="S91" s="16" t="s">
        <v>446</v>
      </c>
      <c r="T91" s="16" t="s">
        <v>446</v>
      </c>
      <c r="U91" s="16" t="s">
        <v>446</v>
      </c>
      <c r="V91" s="17" t="s">
        <v>446</v>
      </c>
      <c r="W91" s="16" t="s">
        <v>446</v>
      </c>
      <c r="X91" s="16" t="s">
        <v>446</v>
      </c>
      <c r="Y91" s="16" t="s">
        <v>446</v>
      </c>
      <c r="Z91" s="17" t="s">
        <v>446</v>
      </c>
      <c r="AA91" s="16" t="s">
        <v>446</v>
      </c>
      <c r="AB91" s="16" t="s">
        <v>446</v>
      </c>
      <c r="AC91" s="16" t="s">
        <v>446</v>
      </c>
      <c r="AD91" s="17" t="s">
        <v>446</v>
      </c>
      <c r="AE91" s="16" t="s">
        <v>446</v>
      </c>
      <c r="AF91" s="16" t="s">
        <v>446</v>
      </c>
      <c r="AG91" s="16" t="s">
        <v>446</v>
      </c>
      <c r="AH91" s="17" t="s">
        <v>446</v>
      </c>
      <c r="AI91" s="16" t="s">
        <v>446</v>
      </c>
      <c r="AJ91" s="16" t="s">
        <v>446</v>
      </c>
      <c r="AK91" s="16" t="s">
        <v>446</v>
      </c>
      <c r="AL91" s="17" t="s">
        <v>446</v>
      </c>
      <c r="AM91" s="16" t="s">
        <v>446</v>
      </c>
      <c r="AN91" s="16" t="s">
        <v>446</v>
      </c>
      <c r="AO91" s="16" t="s">
        <v>446</v>
      </c>
      <c r="AP91" s="17" t="s">
        <v>446</v>
      </c>
      <c r="AQ91" s="16" t="s">
        <v>446</v>
      </c>
      <c r="AR91" s="16" t="s">
        <v>446</v>
      </c>
      <c r="AS91" s="16" t="s">
        <v>446</v>
      </c>
      <c r="AT91" s="17" t="s">
        <v>446</v>
      </c>
      <c r="AU91" s="16" t="s">
        <v>446</v>
      </c>
      <c r="AV91" s="16" t="s">
        <v>446</v>
      </c>
      <c r="AW91" s="16" t="s">
        <v>446</v>
      </c>
      <c r="AX91" s="17" t="s">
        <v>446</v>
      </c>
      <c r="AY91" s="16" t="s">
        <v>446</v>
      </c>
      <c r="AZ91" s="16" t="s">
        <v>446</v>
      </c>
      <c r="BA91" s="16" t="s">
        <v>446</v>
      </c>
      <c r="BB91" s="17" t="s">
        <v>446</v>
      </c>
      <c r="BC91" s="16" t="s">
        <v>446</v>
      </c>
      <c r="BD91" s="16" t="s">
        <v>446</v>
      </c>
      <c r="BE91" s="16" t="s">
        <v>446</v>
      </c>
      <c r="BF91" s="17" t="s">
        <v>446</v>
      </c>
      <c r="BG91" s="16" t="s">
        <v>446</v>
      </c>
      <c r="BH91" s="16" t="s">
        <v>446</v>
      </c>
      <c r="BI91" s="16" t="s">
        <v>446</v>
      </c>
      <c r="BJ91" s="17" t="s">
        <v>446</v>
      </c>
      <c r="BK91" s="16" t="s">
        <v>446</v>
      </c>
      <c r="BL91" s="16" t="s">
        <v>446</v>
      </c>
      <c r="BM91" s="16" t="s">
        <v>446</v>
      </c>
      <c r="BN91" s="17" t="s">
        <v>446</v>
      </c>
      <c r="BP91" s="19" t="s">
        <v>446</v>
      </c>
      <c r="BQ91" s="16" t="s">
        <v>446</v>
      </c>
      <c r="BR91" s="16" t="s">
        <v>446</v>
      </c>
      <c r="BS91" s="17" t="s">
        <v>446</v>
      </c>
      <c r="BU91" s="19" t="s">
        <v>446</v>
      </c>
      <c r="BV91" s="16" t="s">
        <v>446</v>
      </c>
      <c r="BW91" s="16" t="s">
        <v>446</v>
      </c>
      <c r="BX91" s="17" t="s">
        <v>446</v>
      </c>
      <c r="BZ91" s="19" t="s">
        <v>446</v>
      </c>
      <c r="CA91" s="16" t="s">
        <v>446</v>
      </c>
      <c r="CB91" s="16" t="s">
        <v>446</v>
      </c>
      <c r="CC91" s="17" t="s">
        <v>446</v>
      </c>
    </row>
    <row r="92" spans="2:81" ht="18" customHeight="1" x14ac:dyDescent="0.2">
      <c r="B92" s="8">
        <f>garage!B92</f>
        <v>92</v>
      </c>
      <c r="C92" s="8">
        <f>garage!C92</f>
        <v>3</v>
      </c>
      <c r="D92" s="8">
        <f>garage!D92</f>
        <v>16</v>
      </c>
      <c r="E92" s="8">
        <f>garage!E92</f>
        <v>0</v>
      </c>
      <c r="F92" s="8" t="str">
        <f>garage!F92</f>
        <v>F</v>
      </c>
      <c r="G92" s="8" t="str">
        <f>garage!G92</f>
        <v>O</v>
      </c>
      <c r="H92" s="8" t="str">
        <f>garage!H92</f>
        <v>O</v>
      </c>
      <c r="I92" s="8" t="str">
        <f>garage!I92</f>
        <v>O</v>
      </c>
      <c r="J92" s="8" t="str">
        <f>garage!J92</f>
        <v>N</v>
      </c>
      <c r="K92" s="8" t="str">
        <f>garage!K92</f>
        <v>B</v>
      </c>
      <c r="L92" s="9" t="str">
        <f>garage!L92</f>
        <v>Ferrari</v>
      </c>
      <c r="M92" s="9" t="str">
        <f>garage!M92</f>
        <v>488 GTB</v>
      </c>
      <c r="O92" s="18">
        <v>1</v>
      </c>
      <c r="P92" s="14">
        <v>1</v>
      </c>
      <c r="Q92" s="14">
        <v>1</v>
      </c>
      <c r="R92" s="15">
        <v>1</v>
      </c>
      <c r="S92" s="14">
        <v>1</v>
      </c>
      <c r="T92" s="14">
        <v>1</v>
      </c>
      <c r="U92" s="14">
        <v>1</v>
      </c>
      <c r="V92" s="15">
        <v>1</v>
      </c>
      <c r="W92" s="14">
        <v>1</v>
      </c>
      <c r="X92" s="14">
        <v>1</v>
      </c>
      <c r="Y92" s="14">
        <v>1</v>
      </c>
      <c r="Z92" s="15">
        <v>1</v>
      </c>
      <c r="AA92" s="14">
        <v>1</v>
      </c>
      <c r="AB92" s="14">
        <v>1</v>
      </c>
      <c r="AC92" s="14">
        <v>1</v>
      </c>
      <c r="AD92" s="15">
        <v>1</v>
      </c>
      <c r="AE92" s="14">
        <v>1</v>
      </c>
      <c r="AF92" s="14">
        <v>1</v>
      </c>
      <c r="AG92" s="14">
        <v>1</v>
      </c>
      <c r="AH92" s="15">
        <v>1</v>
      </c>
      <c r="AI92" s="14">
        <v>1</v>
      </c>
      <c r="AJ92" s="14">
        <v>1</v>
      </c>
      <c r="AK92" s="14">
        <v>1</v>
      </c>
      <c r="AL92" s="15">
        <v>1</v>
      </c>
      <c r="AM92" s="14">
        <v>1</v>
      </c>
      <c r="AN92" s="14">
        <v>1</v>
      </c>
      <c r="AO92" s="14">
        <v>1</v>
      </c>
      <c r="AP92" s="15">
        <v>1</v>
      </c>
      <c r="AQ92" s="14">
        <v>1</v>
      </c>
      <c r="AR92" s="14">
        <v>1</v>
      </c>
      <c r="AS92" s="14">
        <v>1</v>
      </c>
      <c r="AT92" s="15">
        <v>1</v>
      </c>
      <c r="AU92" s="14">
        <v>1</v>
      </c>
      <c r="AV92" s="14">
        <v>1</v>
      </c>
      <c r="AW92" s="14">
        <v>1</v>
      </c>
      <c r="AX92" s="15">
        <v>1</v>
      </c>
      <c r="AY92" s="14">
        <v>1</v>
      </c>
      <c r="AZ92" s="14">
        <v>1</v>
      </c>
      <c r="BA92" s="14">
        <v>1</v>
      </c>
      <c r="BB92" s="15">
        <v>1</v>
      </c>
      <c r="BC92" s="14">
        <v>1</v>
      </c>
      <c r="BD92" s="14">
        <v>1</v>
      </c>
      <c r="BE92" s="14">
        <v>1</v>
      </c>
      <c r="BF92" s="15">
        <v>1</v>
      </c>
      <c r="BG92" s="14" t="s">
        <v>446</v>
      </c>
      <c r="BH92" s="14" t="s">
        <v>446</v>
      </c>
      <c r="BI92" s="14" t="s">
        <v>446</v>
      </c>
      <c r="BJ92" s="15" t="s">
        <v>446</v>
      </c>
      <c r="BK92" s="14" t="s">
        <v>446</v>
      </c>
      <c r="BL92" s="14" t="s">
        <v>446</v>
      </c>
      <c r="BM92" s="14" t="s">
        <v>446</v>
      </c>
      <c r="BN92" s="15" t="s">
        <v>446</v>
      </c>
      <c r="BP92" s="18">
        <v>6</v>
      </c>
      <c r="BQ92" s="14">
        <v>6</v>
      </c>
      <c r="BR92" s="14">
        <v>6</v>
      </c>
      <c r="BS92" s="15">
        <v>6</v>
      </c>
      <c r="BU92" s="18">
        <v>4</v>
      </c>
      <c r="BV92" s="14">
        <v>4</v>
      </c>
      <c r="BW92" s="14">
        <v>4</v>
      </c>
      <c r="BX92" s="15">
        <v>4</v>
      </c>
      <c r="BZ92" s="18">
        <v>2</v>
      </c>
      <c r="CA92" s="14">
        <v>2</v>
      </c>
      <c r="CB92" s="14">
        <v>2</v>
      </c>
      <c r="CC92" s="15">
        <v>2</v>
      </c>
    </row>
    <row r="93" spans="2:81" ht="18" customHeight="1" x14ac:dyDescent="0.2">
      <c r="B93" s="10">
        <f>garage!B93</f>
        <v>93</v>
      </c>
      <c r="C93" s="10">
        <f>garage!C93</f>
        <v>3</v>
      </c>
      <c r="D93" s="10">
        <f>garage!D93</f>
        <v>17</v>
      </c>
      <c r="E93" s="10">
        <f>garage!E93</f>
        <v>30</v>
      </c>
      <c r="F93" s="10" t="str">
        <f>garage!F93</f>
        <v>--</v>
      </c>
      <c r="G93" s="10" t="str">
        <f>garage!G93</f>
        <v>N</v>
      </c>
      <c r="H93" s="10" t="str">
        <f>garage!H93</f>
        <v>O</v>
      </c>
      <c r="I93" s="10" t="str">
        <f>garage!I93</f>
        <v>N</v>
      </c>
      <c r="J93" s="10" t="str">
        <f>garage!J93</f>
        <v>N</v>
      </c>
      <c r="K93" s="10" t="str">
        <f>garage!K93</f>
        <v>B</v>
      </c>
      <c r="L93" s="11" t="str">
        <f>garage!L93</f>
        <v>Kepler</v>
      </c>
      <c r="M93" s="11" t="str">
        <f>garage!M93</f>
        <v>Motion</v>
      </c>
      <c r="O93" s="19" t="s">
        <v>446</v>
      </c>
      <c r="P93" s="16" t="s">
        <v>446</v>
      </c>
      <c r="Q93" s="16" t="s">
        <v>446</v>
      </c>
      <c r="R93" s="17" t="s">
        <v>446</v>
      </c>
      <c r="S93" s="16" t="s">
        <v>446</v>
      </c>
      <c r="T93" s="16" t="s">
        <v>446</v>
      </c>
      <c r="U93" s="16" t="s">
        <v>446</v>
      </c>
      <c r="V93" s="17" t="s">
        <v>446</v>
      </c>
      <c r="W93" s="16" t="s">
        <v>446</v>
      </c>
      <c r="X93" s="16" t="s">
        <v>446</v>
      </c>
      <c r="Y93" s="16" t="s">
        <v>446</v>
      </c>
      <c r="Z93" s="17" t="s">
        <v>446</v>
      </c>
      <c r="AA93" s="16" t="s">
        <v>446</v>
      </c>
      <c r="AB93" s="16" t="s">
        <v>446</v>
      </c>
      <c r="AC93" s="16" t="s">
        <v>446</v>
      </c>
      <c r="AD93" s="17" t="s">
        <v>446</v>
      </c>
      <c r="AE93" s="16" t="s">
        <v>446</v>
      </c>
      <c r="AF93" s="16" t="s">
        <v>446</v>
      </c>
      <c r="AG93" s="16" t="s">
        <v>446</v>
      </c>
      <c r="AH93" s="17" t="s">
        <v>446</v>
      </c>
      <c r="AI93" s="16" t="s">
        <v>446</v>
      </c>
      <c r="AJ93" s="16" t="s">
        <v>446</v>
      </c>
      <c r="AK93" s="16" t="s">
        <v>446</v>
      </c>
      <c r="AL93" s="17" t="s">
        <v>446</v>
      </c>
      <c r="AM93" s="16" t="s">
        <v>446</v>
      </c>
      <c r="AN93" s="16" t="s">
        <v>446</v>
      </c>
      <c r="AO93" s="16" t="s">
        <v>446</v>
      </c>
      <c r="AP93" s="17" t="s">
        <v>446</v>
      </c>
      <c r="AQ93" s="16" t="s">
        <v>446</v>
      </c>
      <c r="AR93" s="16" t="s">
        <v>446</v>
      </c>
      <c r="AS93" s="16" t="s">
        <v>446</v>
      </c>
      <c r="AT93" s="17" t="s">
        <v>446</v>
      </c>
      <c r="AU93" s="16" t="s">
        <v>446</v>
      </c>
      <c r="AV93" s="16" t="s">
        <v>446</v>
      </c>
      <c r="AW93" s="16" t="s">
        <v>446</v>
      </c>
      <c r="AX93" s="17" t="s">
        <v>446</v>
      </c>
      <c r="AY93" s="16" t="s">
        <v>446</v>
      </c>
      <c r="AZ93" s="16" t="s">
        <v>446</v>
      </c>
      <c r="BA93" s="16" t="s">
        <v>446</v>
      </c>
      <c r="BB93" s="17" t="s">
        <v>446</v>
      </c>
      <c r="BC93" s="16" t="s">
        <v>446</v>
      </c>
      <c r="BD93" s="16" t="s">
        <v>446</v>
      </c>
      <c r="BE93" s="16" t="s">
        <v>446</v>
      </c>
      <c r="BF93" s="17" t="s">
        <v>446</v>
      </c>
      <c r="BG93" s="16" t="s">
        <v>446</v>
      </c>
      <c r="BH93" s="16" t="s">
        <v>446</v>
      </c>
      <c r="BI93" s="16" t="s">
        <v>446</v>
      </c>
      <c r="BJ93" s="17" t="s">
        <v>446</v>
      </c>
      <c r="BK93" s="16" t="s">
        <v>446</v>
      </c>
      <c r="BL93" s="16" t="s">
        <v>446</v>
      </c>
      <c r="BM93" s="16" t="s">
        <v>446</v>
      </c>
      <c r="BN93" s="17" t="s">
        <v>446</v>
      </c>
      <c r="BP93" s="19" t="s">
        <v>446</v>
      </c>
      <c r="BQ93" s="16" t="s">
        <v>446</v>
      </c>
      <c r="BR93" s="16" t="s">
        <v>446</v>
      </c>
      <c r="BS93" s="17" t="s">
        <v>446</v>
      </c>
      <c r="BU93" s="19" t="s">
        <v>446</v>
      </c>
      <c r="BV93" s="16" t="s">
        <v>446</v>
      </c>
      <c r="BW93" s="16" t="s">
        <v>446</v>
      </c>
      <c r="BX93" s="17" t="s">
        <v>446</v>
      </c>
      <c r="BZ93" s="19" t="s">
        <v>446</v>
      </c>
      <c r="CA93" s="16" t="s">
        <v>446</v>
      </c>
      <c r="CB93" s="16" t="s">
        <v>446</v>
      </c>
      <c r="CC93" s="17" t="s">
        <v>446</v>
      </c>
    </row>
    <row r="94" spans="2:81" ht="18" customHeight="1" x14ac:dyDescent="0.2">
      <c r="B94" s="8">
        <f>garage!B94</f>
        <v>94</v>
      </c>
      <c r="C94" s="8">
        <f>garage!C94</f>
        <v>3</v>
      </c>
      <c r="D94" s="8">
        <f>garage!D94</f>
        <v>18</v>
      </c>
      <c r="E94" s="8">
        <f>garage!E94</f>
        <v>21</v>
      </c>
      <c r="F94" s="8" t="str">
        <f>garage!F94</f>
        <v>--</v>
      </c>
      <c r="G94" s="8" t="str">
        <f>garage!G94</f>
        <v>O</v>
      </c>
      <c r="H94" s="8" t="str">
        <f>garage!H94</f>
        <v>N</v>
      </c>
      <c r="I94" s="8" t="str">
        <f>garage!I94</f>
        <v>N</v>
      </c>
      <c r="J94" s="8" t="str">
        <f>garage!J94</f>
        <v>N</v>
      </c>
      <c r="K94" s="8" t="str">
        <f>garage!K94</f>
        <v>B</v>
      </c>
      <c r="L94" s="9" t="str">
        <f>garage!L94</f>
        <v>Drako</v>
      </c>
      <c r="M94" s="9" t="str">
        <f>garage!M94</f>
        <v>GTE</v>
      </c>
      <c r="O94" s="18" t="s">
        <v>446</v>
      </c>
      <c r="P94" s="14" t="s">
        <v>446</v>
      </c>
      <c r="Q94" s="14" t="s">
        <v>446</v>
      </c>
      <c r="R94" s="15" t="s">
        <v>446</v>
      </c>
      <c r="S94" s="14" t="s">
        <v>446</v>
      </c>
      <c r="T94" s="14" t="s">
        <v>446</v>
      </c>
      <c r="U94" s="14" t="s">
        <v>446</v>
      </c>
      <c r="V94" s="15" t="s">
        <v>446</v>
      </c>
      <c r="W94" s="14" t="s">
        <v>446</v>
      </c>
      <c r="X94" s="14" t="s">
        <v>446</v>
      </c>
      <c r="Y94" s="14" t="s">
        <v>446</v>
      </c>
      <c r="Z94" s="15" t="s">
        <v>446</v>
      </c>
      <c r="AA94" s="14" t="s">
        <v>446</v>
      </c>
      <c r="AB94" s="14" t="s">
        <v>446</v>
      </c>
      <c r="AC94" s="14" t="s">
        <v>446</v>
      </c>
      <c r="AD94" s="15" t="s">
        <v>446</v>
      </c>
      <c r="AE94" s="14" t="s">
        <v>446</v>
      </c>
      <c r="AF94" s="14" t="s">
        <v>446</v>
      </c>
      <c r="AG94" s="14" t="s">
        <v>446</v>
      </c>
      <c r="AH94" s="15" t="s">
        <v>446</v>
      </c>
      <c r="AI94" s="14" t="s">
        <v>446</v>
      </c>
      <c r="AJ94" s="14" t="s">
        <v>446</v>
      </c>
      <c r="AK94" s="14" t="s">
        <v>446</v>
      </c>
      <c r="AL94" s="15" t="s">
        <v>446</v>
      </c>
      <c r="AM94" s="14" t="s">
        <v>446</v>
      </c>
      <c r="AN94" s="14" t="s">
        <v>446</v>
      </c>
      <c r="AO94" s="14" t="s">
        <v>446</v>
      </c>
      <c r="AP94" s="15" t="s">
        <v>446</v>
      </c>
      <c r="AQ94" s="14" t="s">
        <v>446</v>
      </c>
      <c r="AR94" s="14" t="s">
        <v>446</v>
      </c>
      <c r="AS94" s="14" t="s">
        <v>446</v>
      </c>
      <c r="AT94" s="15" t="s">
        <v>446</v>
      </c>
      <c r="AU94" s="14" t="s">
        <v>446</v>
      </c>
      <c r="AV94" s="14" t="s">
        <v>446</v>
      </c>
      <c r="AW94" s="14" t="s">
        <v>446</v>
      </c>
      <c r="AX94" s="15" t="s">
        <v>446</v>
      </c>
      <c r="AY94" s="14" t="s">
        <v>446</v>
      </c>
      <c r="AZ94" s="14" t="s">
        <v>446</v>
      </c>
      <c r="BA94" s="14" t="s">
        <v>446</v>
      </c>
      <c r="BB94" s="15" t="s">
        <v>446</v>
      </c>
      <c r="BC94" s="14" t="s">
        <v>446</v>
      </c>
      <c r="BD94" s="14" t="s">
        <v>446</v>
      </c>
      <c r="BE94" s="14" t="s">
        <v>446</v>
      </c>
      <c r="BF94" s="15" t="s">
        <v>446</v>
      </c>
      <c r="BG94" s="14" t="s">
        <v>446</v>
      </c>
      <c r="BH94" s="14" t="s">
        <v>446</v>
      </c>
      <c r="BI94" s="14" t="s">
        <v>446</v>
      </c>
      <c r="BJ94" s="15" t="s">
        <v>446</v>
      </c>
      <c r="BK94" s="14" t="s">
        <v>446</v>
      </c>
      <c r="BL94" s="14" t="s">
        <v>446</v>
      </c>
      <c r="BM94" s="14" t="s">
        <v>446</v>
      </c>
      <c r="BN94" s="15" t="s">
        <v>446</v>
      </c>
      <c r="BP94" s="18" t="s">
        <v>446</v>
      </c>
      <c r="BQ94" s="14" t="s">
        <v>446</v>
      </c>
      <c r="BR94" s="14" t="s">
        <v>446</v>
      </c>
      <c r="BS94" s="15" t="s">
        <v>446</v>
      </c>
      <c r="BU94" s="18" t="s">
        <v>446</v>
      </c>
      <c r="BV94" s="14" t="s">
        <v>446</v>
      </c>
      <c r="BW94" s="14" t="s">
        <v>446</v>
      </c>
      <c r="BX94" s="15" t="s">
        <v>446</v>
      </c>
      <c r="BZ94" s="18" t="s">
        <v>446</v>
      </c>
      <c r="CA94" s="14" t="s">
        <v>446</v>
      </c>
      <c r="CB94" s="14" t="s">
        <v>446</v>
      </c>
      <c r="CC94" s="15" t="s">
        <v>446</v>
      </c>
    </row>
    <row r="95" spans="2:81" ht="18" customHeight="1" x14ac:dyDescent="0.2">
      <c r="B95" s="10">
        <f>garage!B95</f>
        <v>95</v>
      </c>
      <c r="C95" s="10">
        <f>garage!C95</f>
        <v>3</v>
      </c>
      <c r="D95" s="10">
        <f>garage!D95</f>
        <v>19</v>
      </c>
      <c r="E95" s="10">
        <f>garage!E95</f>
        <v>0</v>
      </c>
      <c r="F95" s="10" t="str">
        <f>garage!F95</f>
        <v>--</v>
      </c>
      <c r="G95" s="10" t="str">
        <f>garage!G95</f>
        <v>O</v>
      </c>
      <c r="H95" s="10" t="str">
        <f>garage!H95</f>
        <v>O</v>
      </c>
      <c r="I95" s="10" t="str">
        <f>garage!I95</f>
        <v>O</v>
      </c>
      <c r="J95" s="10" t="str">
        <f>garage!J95</f>
        <v>N</v>
      </c>
      <c r="K95" s="10" t="str">
        <f>garage!K95</f>
        <v>B</v>
      </c>
      <c r="L95" s="11" t="str">
        <f>garage!L95</f>
        <v>Glickhaus</v>
      </c>
      <c r="M95" s="11" t="str">
        <f>garage!M95</f>
        <v>003S</v>
      </c>
      <c r="O95" s="19">
        <v>1</v>
      </c>
      <c r="P95" s="16">
        <v>1</v>
      </c>
      <c r="Q95" s="16">
        <v>1</v>
      </c>
      <c r="R95" s="17">
        <v>1</v>
      </c>
      <c r="S95" s="16">
        <v>1</v>
      </c>
      <c r="T95" s="16">
        <v>1</v>
      </c>
      <c r="U95" s="16">
        <v>1</v>
      </c>
      <c r="V95" s="17">
        <v>1</v>
      </c>
      <c r="W95" s="16">
        <v>1</v>
      </c>
      <c r="X95" s="16">
        <v>1</v>
      </c>
      <c r="Y95" s="16">
        <v>1</v>
      </c>
      <c r="Z95" s="17">
        <v>1</v>
      </c>
      <c r="AA95" s="16">
        <v>1</v>
      </c>
      <c r="AB95" s="16">
        <v>1</v>
      </c>
      <c r="AC95" s="16">
        <v>1</v>
      </c>
      <c r="AD95" s="17">
        <v>1</v>
      </c>
      <c r="AE95" s="16">
        <v>1</v>
      </c>
      <c r="AF95" s="16">
        <v>1</v>
      </c>
      <c r="AG95" s="16">
        <v>1</v>
      </c>
      <c r="AH95" s="17">
        <v>1</v>
      </c>
      <c r="AI95" s="16">
        <v>1</v>
      </c>
      <c r="AJ95" s="16">
        <v>1</v>
      </c>
      <c r="AK95" s="16">
        <v>1</v>
      </c>
      <c r="AL95" s="17">
        <v>1</v>
      </c>
      <c r="AM95" s="16">
        <v>1</v>
      </c>
      <c r="AN95" s="16">
        <v>1</v>
      </c>
      <c r="AO95" s="16">
        <v>1</v>
      </c>
      <c r="AP95" s="17">
        <v>1</v>
      </c>
      <c r="AQ95" s="16">
        <v>1</v>
      </c>
      <c r="AR95" s="16">
        <v>1</v>
      </c>
      <c r="AS95" s="16">
        <v>1</v>
      </c>
      <c r="AT95" s="17">
        <v>1</v>
      </c>
      <c r="AU95" s="16">
        <v>1</v>
      </c>
      <c r="AV95" s="16">
        <v>1</v>
      </c>
      <c r="AW95" s="16">
        <v>1</v>
      </c>
      <c r="AX95" s="17">
        <v>1</v>
      </c>
      <c r="AY95" s="16">
        <v>1</v>
      </c>
      <c r="AZ95" s="16">
        <v>1</v>
      </c>
      <c r="BA95" s="16">
        <v>1</v>
      </c>
      <c r="BB95" s="17">
        <v>1</v>
      </c>
      <c r="BC95" s="16">
        <v>1</v>
      </c>
      <c r="BD95" s="16">
        <v>1</v>
      </c>
      <c r="BE95" s="16">
        <v>1</v>
      </c>
      <c r="BF95" s="17">
        <v>1</v>
      </c>
      <c r="BG95" s="16" t="s">
        <v>446</v>
      </c>
      <c r="BH95" s="16" t="s">
        <v>446</v>
      </c>
      <c r="BI95" s="16" t="s">
        <v>446</v>
      </c>
      <c r="BJ95" s="17" t="s">
        <v>446</v>
      </c>
      <c r="BK95" s="16" t="s">
        <v>446</v>
      </c>
      <c r="BL95" s="16" t="s">
        <v>446</v>
      </c>
      <c r="BM95" s="16" t="s">
        <v>446</v>
      </c>
      <c r="BN95" s="17" t="s">
        <v>446</v>
      </c>
      <c r="BP95" s="19">
        <v>6</v>
      </c>
      <c r="BQ95" s="16">
        <v>6</v>
      </c>
      <c r="BR95" s="16">
        <v>6</v>
      </c>
      <c r="BS95" s="17">
        <v>6</v>
      </c>
      <c r="BU95" s="19">
        <v>4</v>
      </c>
      <c r="BV95" s="16">
        <v>4</v>
      </c>
      <c r="BW95" s="16">
        <v>4</v>
      </c>
      <c r="BX95" s="17">
        <v>4</v>
      </c>
      <c r="BZ95" s="19">
        <v>2</v>
      </c>
      <c r="CA95" s="16">
        <v>2</v>
      </c>
      <c r="CB95" s="16">
        <v>2</v>
      </c>
      <c r="CC95" s="17">
        <v>2</v>
      </c>
    </row>
    <row r="96" spans="2:81" ht="18" customHeight="1" x14ac:dyDescent="0.2">
      <c r="B96" s="8">
        <f>garage!B96</f>
        <v>96</v>
      </c>
      <c r="C96" s="8">
        <f>garage!C96</f>
        <v>3</v>
      </c>
      <c r="D96" s="8">
        <f>garage!D96</f>
        <v>20</v>
      </c>
      <c r="E96" s="8">
        <f>garage!E96</f>
        <v>20</v>
      </c>
      <c r="F96" s="8" t="str">
        <f>garage!F96</f>
        <v>M</v>
      </c>
      <c r="G96" s="8" t="str">
        <f>garage!G96</f>
        <v>O</v>
      </c>
      <c r="H96" s="8" t="str">
        <f>garage!H96</f>
        <v>N</v>
      </c>
      <c r="I96" s="8" t="str">
        <f>garage!I96</f>
        <v>N</v>
      </c>
      <c r="J96" s="8" t="str">
        <f>garage!J96</f>
        <v>N</v>
      </c>
      <c r="K96" s="8" t="str">
        <f>garage!K96</f>
        <v>B</v>
      </c>
      <c r="L96" s="9" t="str">
        <f>garage!L96</f>
        <v>McLaren</v>
      </c>
      <c r="M96" s="9" t="str">
        <f>garage!M96</f>
        <v>Elva</v>
      </c>
      <c r="O96" s="18">
        <v>1</v>
      </c>
      <c r="P96" s="14">
        <v>1</v>
      </c>
      <c r="Q96" s="14">
        <v>1</v>
      </c>
      <c r="R96" s="15">
        <v>1</v>
      </c>
      <c r="S96" s="14">
        <v>1</v>
      </c>
      <c r="T96" s="14">
        <v>1</v>
      </c>
      <c r="U96" s="14">
        <v>1</v>
      </c>
      <c r="V96" s="15">
        <v>1</v>
      </c>
      <c r="W96" s="14" t="s">
        <v>446</v>
      </c>
      <c r="X96" s="14" t="s">
        <v>446</v>
      </c>
      <c r="Y96" s="14" t="s">
        <v>446</v>
      </c>
      <c r="Z96" s="15">
        <v>1</v>
      </c>
      <c r="AA96" s="14" t="s">
        <v>446</v>
      </c>
      <c r="AB96" s="14" t="s">
        <v>446</v>
      </c>
      <c r="AC96" s="14" t="s">
        <v>446</v>
      </c>
      <c r="AD96" s="15" t="s">
        <v>446</v>
      </c>
      <c r="AE96" s="14" t="s">
        <v>446</v>
      </c>
      <c r="AF96" s="14" t="s">
        <v>446</v>
      </c>
      <c r="AG96" s="14" t="s">
        <v>446</v>
      </c>
      <c r="AH96" s="15" t="s">
        <v>446</v>
      </c>
      <c r="AI96" s="14" t="s">
        <v>446</v>
      </c>
      <c r="AJ96" s="14" t="s">
        <v>446</v>
      </c>
      <c r="AK96" s="14" t="s">
        <v>446</v>
      </c>
      <c r="AL96" s="15" t="s">
        <v>446</v>
      </c>
      <c r="AM96" s="14" t="s">
        <v>446</v>
      </c>
      <c r="AN96" s="14" t="s">
        <v>446</v>
      </c>
      <c r="AO96" s="14" t="s">
        <v>446</v>
      </c>
      <c r="AP96" s="15" t="s">
        <v>446</v>
      </c>
      <c r="AQ96" s="14" t="s">
        <v>446</v>
      </c>
      <c r="AR96" s="14" t="s">
        <v>446</v>
      </c>
      <c r="AS96" s="14" t="s">
        <v>446</v>
      </c>
      <c r="AT96" s="15" t="s">
        <v>446</v>
      </c>
      <c r="AU96" s="14" t="s">
        <v>446</v>
      </c>
      <c r="AV96" s="14" t="s">
        <v>446</v>
      </c>
      <c r="AW96" s="14" t="s">
        <v>446</v>
      </c>
      <c r="AX96" s="15" t="s">
        <v>446</v>
      </c>
      <c r="AY96" s="14" t="s">
        <v>446</v>
      </c>
      <c r="AZ96" s="14" t="s">
        <v>446</v>
      </c>
      <c r="BA96" s="14" t="s">
        <v>446</v>
      </c>
      <c r="BB96" s="15" t="s">
        <v>446</v>
      </c>
      <c r="BC96" s="14" t="s">
        <v>446</v>
      </c>
      <c r="BD96" s="14" t="s">
        <v>446</v>
      </c>
      <c r="BE96" s="14" t="s">
        <v>446</v>
      </c>
      <c r="BF96" s="15" t="s">
        <v>446</v>
      </c>
      <c r="BG96" s="14" t="s">
        <v>446</v>
      </c>
      <c r="BH96" s="14" t="s">
        <v>446</v>
      </c>
      <c r="BI96" s="14" t="s">
        <v>446</v>
      </c>
      <c r="BJ96" s="15" t="s">
        <v>446</v>
      </c>
      <c r="BK96" s="14" t="s">
        <v>446</v>
      </c>
      <c r="BL96" s="14" t="s">
        <v>446</v>
      </c>
      <c r="BM96" s="14" t="s">
        <v>446</v>
      </c>
      <c r="BN96" s="15" t="s">
        <v>446</v>
      </c>
      <c r="BP96" s="18" t="s">
        <v>446</v>
      </c>
      <c r="BQ96" s="14" t="s">
        <v>446</v>
      </c>
      <c r="BR96" s="14" t="s">
        <v>446</v>
      </c>
      <c r="BS96" s="15" t="s">
        <v>446</v>
      </c>
      <c r="BU96" s="18" t="s">
        <v>446</v>
      </c>
      <c r="BV96" s="14" t="s">
        <v>446</v>
      </c>
      <c r="BW96" s="14" t="s">
        <v>446</v>
      </c>
      <c r="BX96" s="15" t="s">
        <v>446</v>
      </c>
      <c r="BZ96" s="18" t="s">
        <v>446</v>
      </c>
      <c r="CA96" s="14" t="s">
        <v>446</v>
      </c>
      <c r="CB96" s="14" t="s">
        <v>446</v>
      </c>
      <c r="CC96" s="15" t="s">
        <v>446</v>
      </c>
    </row>
    <row r="97" spans="2:81" ht="18" customHeight="1" x14ac:dyDescent="0.2">
      <c r="B97" s="10">
        <f>garage!B97</f>
        <v>97</v>
      </c>
      <c r="C97" s="10">
        <f>garage!C97</f>
        <v>3</v>
      </c>
      <c r="D97" s="10">
        <f>garage!D97</f>
        <v>21</v>
      </c>
      <c r="E97" s="10">
        <f>garage!E97</f>
        <v>27</v>
      </c>
      <c r="F97" s="10" t="str">
        <f>garage!F97</f>
        <v>--</v>
      </c>
      <c r="G97" s="10" t="str">
        <f>garage!G97</f>
        <v>O</v>
      </c>
      <c r="H97" s="10" t="str">
        <f>garage!H97</f>
        <v>N</v>
      </c>
      <c r="I97" s="10" t="str">
        <f>garage!I97</f>
        <v>N</v>
      </c>
      <c r="J97" s="10" t="str">
        <f>garage!J97</f>
        <v>N</v>
      </c>
      <c r="K97" s="10" t="str">
        <f>garage!K97</f>
        <v>B</v>
      </c>
      <c r="L97" s="11" t="str">
        <f>garage!L97</f>
        <v>Nissan</v>
      </c>
      <c r="M97" s="11" t="str">
        <f>garage!M97</f>
        <v>R390 GT1</v>
      </c>
      <c r="O97" s="19">
        <v>1</v>
      </c>
      <c r="P97" s="16">
        <v>1</v>
      </c>
      <c r="Q97" s="16">
        <v>1</v>
      </c>
      <c r="R97" s="17">
        <v>1</v>
      </c>
      <c r="S97" s="16">
        <v>1</v>
      </c>
      <c r="T97" s="16">
        <v>1</v>
      </c>
      <c r="U97" s="16">
        <v>1</v>
      </c>
      <c r="V97" s="17">
        <v>1</v>
      </c>
      <c r="W97" s="16">
        <v>1</v>
      </c>
      <c r="X97" s="16">
        <v>1</v>
      </c>
      <c r="Y97" s="16">
        <v>1</v>
      </c>
      <c r="Z97" s="17">
        <v>1</v>
      </c>
      <c r="AA97" s="16">
        <v>1</v>
      </c>
      <c r="AB97" s="16">
        <v>1</v>
      </c>
      <c r="AC97" s="16">
        <v>1</v>
      </c>
      <c r="AD97" s="17">
        <v>1</v>
      </c>
      <c r="AE97" s="16">
        <v>1</v>
      </c>
      <c r="AF97" s="16">
        <v>1</v>
      </c>
      <c r="AG97" s="16">
        <v>1</v>
      </c>
      <c r="AH97" s="17">
        <v>1</v>
      </c>
      <c r="AI97" s="16">
        <v>1</v>
      </c>
      <c r="AJ97" s="16">
        <v>1</v>
      </c>
      <c r="AK97" s="16">
        <v>1</v>
      </c>
      <c r="AL97" s="17">
        <v>1</v>
      </c>
      <c r="AM97" s="16" t="s">
        <v>446</v>
      </c>
      <c r="AN97" s="16" t="s">
        <v>446</v>
      </c>
      <c r="AO97" s="16" t="s">
        <v>446</v>
      </c>
      <c r="AP97" s="17" t="s">
        <v>446</v>
      </c>
      <c r="AQ97" s="16" t="s">
        <v>446</v>
      </c>
      <c r="AR97" s="16" t="s">
        <v>446</v>
      </c>
      <c r="AS97" s="16" t="s">
        <v>446</v>
      </c>
      <c r="AT97" s="17" t="s">
        <v>446</v>
      </c>
      <c r="AU97" s="16" t="s">
        <v>446</v>
      </c>
      <c r="AV97" s="16" t="s">
        <v>446</v>
      </c>
      <c r="AW97" s="16" t="s">
        <v>446</v>
      </c>
      <c r="AX97" s="17" t="s">
        <v>446</v>
      </c>
      <c r="AY97" s="16" t="s">
        <v>446</v>
      </c>
      <c r="AZ97" s="16" t="s">
        <v>446</v>
      </c>
      <c r="BA97" s="16" t="s">
        <v>446</v>
      </c>
      <c r="BB97" s="17" t="s">
        <v>446</v>
      </c>
      <c r="BC97" s="16" t="s">
        <v>446</v>
      </c>
      <c r="BD97" s="16" t="s">
        <v>446</v>
      </c>
      <c r="BE97" s="16" t="s">
        <v>446</v>
      </c>
      <c r="BF97" s="17" t="s">
        <v>446</v>
      </c>
      <c r="BG97" s="16" t="s">
        <v>446</v>
      </c>
      <c r="BH97" s="16" t="s">
        <v>446</v>
      </c>
      <c r="BI97" s="16" t="s">
        <v>446</v>
      </c>
      <c r="BJ97" s="17" t="s">
        <v>446</v>
      </c>
      <c r="BK97" s="16" t="s">
        <v>446</v>
      </c>
      <c r="BL97" s="16" t="s">
        <v>446</v>
      </c>
      <c r="BM97" s="16" t="s">
        <v>446</v>
      </c>
      <c r="BN97" s="17" t="s">
        <v>446</v>
      </c>
      <c r="BP97" s="19">
        <v>6</v>
      </c>
      <c r="BQ97" s="16">
        <v>4</v>
      </c>
      <c r="BR97" s="16">
        <v>4</v>
      </c>
      <c r="BS97" s="17">
        <v>6</v>
      </c>
      <c r="BU97" s="19" t="s">
        <v>446</v>
      </c>
      <c r="BV97" s="16">
        <v>1</v>
      </c>
      <c r="BW97" s="16">
        <v>1</v>
      </c>
      <c r="BX97" s="17" t="s">
        <v>446</v>
      </c>
      <c r="BZ97" s="19" t="s">
        <v>446</v>
      </c>
      <c r="CA97" s="16" t="s">
        <v>446</v>
      </c>
      <c r="CB97" s="16" t="s">
        <v>446</v>
      </c>
      <c r="CC97" s="17" t="s">
        <v>446</v>
      </c>
    </row>
    <row r="98" spans="2:81" ht="18" customHeight="1" x14ac:dyDescent="0.2">
      <c r="B98" s="8">
        <f>garage!B98</f>
        <v>98</v>
      </c>
      <c r="C98" s="8">
        <f>garage!C98</f>
        <v>3</v>
      </c>
      <c r="D98" s="8">
        <f>garage!D98</f>
        <v>22</v>
      </c>
      <c r="E98" s="8">
        <f>garage!E98</f>
        <v>0</v>
      </c>
      <c r="F98" s="8" t="str">
        <f>garage!F98</f>
        <v>F</v>
      </c>
      <c r="G98" s="8" t="str">
        <f>garage!G98</f>
        <v>O</v>
      </c>
      <c r="H98" s="8" t="str">
        <f>garage!H98</f>
        <v>O</v>
      </c>
      <c r="I98" s="8" t="str">
        <f>garage!I98</f>
        <v>O</v>
      </c>
      <c r="J98" s="8" t="str">
        <f>garage!J98</f>
        <v>N</v>
      </c>
      <c r="K98" s="8" t="str">
        <f>garage!K98</f>
        <v>B</v>
      </c>
      <c r="L98" s="9" t="str">
        <f>garage!L98</f>
        <v>Ferrari</v>
      </c>
      <c r="M98" s="9" t="str">
        <f>garage!M98</f>
        <v>F12TDF</v>
      </c>
      <c r="O98" s="18">
        <v>1</v>
      </c>
      <c r="P98" s="14">
        <v>1</v>
      </c>
      <c r="Q98" s="14">
        <v>1</v>
      </c>
      <c r="R98" s="15">
        <v>1</v>
      </c>
      <c r="S98" s="14">
        <v>1</v>
      </c>
      <c r="T98" s="14">
        <v>1</v>
      </c>
      <c r="U98" s="14">
        <v>1</v>
      </c>
      <c r="V98" s="15">
        <v>1</v>
      </c>
      <c r="W98" s="14">
        <v>1</v>
      </c>
      <c r="X98" s="14">
        <v>1</v>
      </c>
      <c r="Y98" s="14">
        <v>1</v>
      </c>
      <c r="Z98" s="15">
        <v>1</v>
      </c>
      <c r="AA98" s="14">
        <v>1</v>
      </c>
      <c r="AB98" s="14">
        <v>1</v>
      </c>
      <c r="AC98" s="14">
        <v>1</v>
      </c>
      <c r="AD98" s="15">
        <v>1</v>
      </c>
      <c r="AE98" s="14">
        <v>1</v>
      </c>
      <c r="AF98" s="14">
        <v>1</v>
      </c>
      <c r="AG98" s="14">
        <v>1</v>
      </c>
      <c r="AH98" s="15">
        <v>1</v>
      </c>
      <c r="AI98" s="14">
        <v>1</v>
      </c>
      <c r="AJ98" s="14">
        <v>1</v>
      </c>
      <c r="AK98" s="14">
        <v>1</v>
      </c>
      <c r="AL98" s="15">
        <v>1</v>
      </c>
      <c r="AM98" s="14">
        <v>1</v>
      </c>
      <c r="AN98" s="14">
        <v>1</v>
      </c>
      <c r="AO98" s="14">
        <v>1</v>
      </c>
      <c r="AP98" s="15">
        <v>1</v>
      </c>
      <c r="AQ98" s="14">
        <v>1</v>
      </c>
      <c r="AR98" s="14">
        <v>1</v>
      </c>
      <c r="AS98" s="14">
        <v>1</v>
      </c>
      <c r="AT98" s="15">
        <v>1</v>
      </c>
      <c r="AU98" s="14">
        <v>1</v>
      </c>
      <c r="AV98" s="14">
        <v>1</v>
      </c>
      <c r="AW98" s="14">
        <v>1</v>
      </c>
      <c r="AX98" s="15">
        <v>1</v>
      </c>
      <c r="AY98" s="14">
        <v>1</v>
      </c>
      <c r="AZ98" s="14">
        <v>1</v>
      </c>
      <c r="BA98" s="14">
        <v>1</v>
      </c>
      <c r="BB98" s="15">
        <v>1</v>
      </c>
      <c r="BC98" s="14">
        <v>1</v>
      </c>
      <c r="BD98" s="14">
        <v>1</v>
      </c>
      <c r="BE98" s="14">
        <v>1</v>
      </c>
      <c r="BF98" s="15">
        <v>1</v>
      </c>
      <c r="BG98" s="14">
        <v>1</v>
      </c>
      <c r="BH98" s="14">
        <v>1</v>
      </c>
      <c r="BI98" s="14">
        <v>1</v>
      </c>
      <c r="BJ98" s="15">
        <v>1</v>
      </c>
      <c r="BK98" s="14" t="s">
        <v>446</v>
      </c>
      <c r="BL98" s="14" t="s">
        <v>446</v>
      </c>
      <c r="BM98" s="14" t="s">
        <v>446</v>
      </c>
      <c r="BN98" s="15" t="s">
        <v>446</v>
      </c>
      <c r="BP98" s="18">
        <v>8</v>
      </c>
      <c r="BQ98" s="14">
        <v>8</v>
      </c>
      <c r="BR98" s="14">
        <v>8</v>
      </c>
      <c r="BS98" s="15">
        <v>8</v>
      </c>
      <c r="BU98" s="18">
        <v>5</v>
      </c>
      <c r="BV98" s="14">
        <v>5</v>
      </c>
      <c r="BW98" s="14">
        <v>5</v>
      </c>
      <c r="BX98" s="15">
        <v>5</v>
      </c>
      <c r="BZ98" s="18">
        <v>2</v>
      </c>
      <c r="CA98" s="14">
        <v>2</v>
      </c>
      <c r="CB98" s="14">
        <v>2</v>
      </c>
      <c r="CC98" s="15">
        <v>2</v>
      </c>
    </row>
    <row r="99" spans="2:81" ht="18" customHeight="1" x14ac:dyDescent="0.2">
      <c r="B99" s="10">
        <f>garage!B99</f>
        <v>99</v>
      </c>
      <c r="C99" s="10">
        <f>garage!C99</f>
        <v>3</v>
      </c>
      <c r="D99" s="10">
        <f>garage!D99</f>
        <v>23</v>
      </c>
      <c r="E99" s="10">
        <f>garage!E99</f>
        <v>18</v>
      </c>
      <c r="F99" s="10" t="str">
        <f>garage!F99</f>
        <v>L</v>
      </c>
      <c r="G99" s="10" t="str">
        <f>garage!G99</f>
        <v>O</v>
      </c>
      <c r="H99" s="10" t="str">
        <f>garage!H99</f>
        <v>N</v>
      </c>
      <c r="I99" s="10" t="str">
        <f>garage!I99</f>
        <v>N</v>
      </c>
      <c r="J99" s="10" t="str">
        <f>garage!J99</f>
        <v>N</v>
      </c>
      <c r="K99" s="10" t="str">
        <f>garage!K99</f>
        <v>B</v>
      </c>
      <c r="L99" s="11" t="str">
        <f>garage!L99</f>
        <v>Lamborghini</v>
      </c>
      <c r="M99" s="11" t="str">
        <f>garage!M99</f>
        <v>Murcielago LP 640 Roadster</v>
      </c>
      <c r="O99" s="19">
        <v>1</v>
      </c>
      <c r="P99" s="16">
        <v>1</v>
      </c>
      <c r="Q99" s="16">
        <v>1</v>
      </c>
      <c r="R99" s="17">
        <v>1</v>
      </c>
      <c r="S99" s="16">
        <v>1</v>
      </c>
      <c r="T99" s="16">
        <v>1</v>
      </c>
      <c r="U99" s="16">
        <v>1</v>
      </c>
      <c r="V99" s="17">
        <v>1</v>
      </c>
      <c r="W99" s="16">
        <v>1</v>
      </c>
      <c r="X99" s="16">
        <v>1</v>
      </c>
      <c r="Y99" s="16">
        <v>1</v>
      </c>
      <c r="Z99" s="17">
        <v>1</v>
      </c>
      <c r="AA99" s="16">
        <v>1</v>
      </c>
      <c r="AB99" s="16">
        <v>1</v>
      </c>
      <c r="AC99" s="16">
        <v>1</v>
      </c>
      <c r="AD99" s="17">
        <v>1</v>
      </c>
      <c r="AE99" s="16">
        <v>1</v>
      </c>
      <c r="AF99" s="16">
        <v>1</v>
      </c>
      <c r="AG99" s="16">
        <v>1</v>
      </c>
      <c r="AH99" s="17">
        <v>1</v>
      </c>
      <c r="AI99" s="16">
        <v>1</v>
      </c>
      <c r="AJ99" s="16">
        <v>1</v>
      </c>
      <c r="AK99" s="16">
        <v>1</v>
      </c>
      <c r="AL99" s="17" t="s">
        <v>446</v>
      </c>
      <c r="AM99" s="16">
        <v>1</v>
      </c>
      <c r="AN99" s="16" t="s">
        <v>446</v>
      </c>
      <c r="AO99" s="16" t="s">
        <v>446</v>
      </c>
      <c r="AP99" s="17" t="s">
        <v>446</v>
      </c>
      <c r="AQ99" s="16">
        <v>1</v>
      </c>
      <c r="AR99" s="16" t="s">
        <v>446</v>
      </c>
      <c r="AS99" s="16" t="s">
        <v>446</v>
      </c>
      <c r="AT99" s="17" t="s">
        <v>446</v>
      </c>
      <c r="AU99" s="16" t="s">
        <v>446</v>
      </c>
      <c r="AV99" s="16" t="s">
        <v>446</v>
      </c>
      <c r="AW99" s="16" t="s">
        <v>446</v>
      </c>
      <c r="AX99" s="17" t="s">
        <v>446</v>
      </c>
      <c r="AY99" s="16" t="s">
        <v>446</v>
      </c>
      <c r="AZ99" s="16" t="s">
        <v>446</v>
      </c>
      <c r="BA99" s="16" t="s">
        <v>446</v>
      </c>
      <c r="BB99" s="17" t="s">
        <v>446</v>
      </c>
      <c r="BC99" s="16" t="s">
        <v>446</v>
      </c>
      <c r="BD99" s="16" t="s">
        <v>446</v>
      </c>
      <c r="BE99" s="16" t="s">
        <v>446</v>
      </c>
      <c r="BF99" s="17" t="s">
        <v>446</v>
      </c>
      <c r="BG99" s="16" t="s">
        <v>446</v>
      </c>
      <c r="BH99" s="16" t="s">
        <v>446</v>
      </c>
      <c r="BI99" s="16" t="s">
        <v>446</v>
      </c>
      <c r="BJ99" s="17" t="s">
        <v>446</v>
      </c>
      <c r="BK99" s="16" t="s">
        <v>446</v>
      </c>
      <c r="BL99" s="16" t="s">
        <v>446</v>
      </c>
      <c r="BM99" s="16" t="s">
        <v>446</v>
      </c>
      <c r="BN99" s="17" t="s">
        <v>446</v>
      </c>
      <c r="BP99" s="19">
        <v>7</v>
      </c>
      <c r="BQ99" s="16">
        <v>3</v>
      </c>
      <c r="BR99" s="16">
        <v>2</v>
      </c>
      <c r="BS99" s="17">
        <v>3</v>
      </c>
      <c r="BU99" s="19">
        <v>1</v>
      </c>
      <c r="BV99" s="16">
        <v>1</v>
      </c>
      <c r="BW99" s="16" t="s">
        <v>446</v>
      </c>
      <c r="BX99" s="17" t="s">
        <v>446</v>
      </c>
      <c r="BZ99" s="19" t="s">
        <v>446</v>
      </c>
      <c r="CA99" s="16" t="s">
        <v>446</v>
      </c>
      <c r="CB99" s="16" t="s">
        <v>446</v>
      </c>
      <c r="CC99" s="17" t="s">
        <v>446</v>
      </c>
    </row>
    <row r="100" spans="2:81" ht="18" customHeight="1" x14ac:dyDescent="0.2">
      <c r="B100" s="8">
        <f>garage!B100</f>
        <v>100</v>
      </c>
      <c r="C100" s="8">
        <f>garage!C100</f>
        <v>3</v>
      </c>
      <c r="D100" s="8">
        <f>garage!D100</f>
        <v>24</v>
      </c>
      <c r="E100" s="8">
        <f>garage!E100</f>
        <v>26</v>
      </c>
      <c r="F100" s="8" t="str">
        <f>garage!F100</f>
        <v>M</v>
      </c>
      <c r="G100" s="8" t="str">
        <f>garage!G100</f>
        <v>O</v>
      </c>
      <c r="H100" s="8" t="str">
        <f>garage!H100</f>
        <v>N</v>
      </c>
      <c r="I100" s="8" t="str">
        <f>garage!I100</f>
        <v>N</v>
      </c>
      <c r="J100" s="8" t="str">
        <f>garage!J100</f>
        <v>N</v>
      </c>
      <c r="K100" s="8" t="str">
        <f>garage!K100</f>
        <v>B</v>
      </c>
      <c r="L100" s="9" t="str">
        <f>garage!L100</f>
        <v>McLaren</v>
      </c>
      <c r="M100" s="9" t="str">
        <f>garage!M100</f>
        <v>765LT</v>
      </c>
      <c r="O100" s="18">
        <v>1</v>
      </c>
      <c r="P100" s="14">
        <v>1</v>
      </c>
      <c r="Q100" s="14">
        <v>1</v>
      </c>
      <c r="R100" s="15">
        <v>1</v>
      </c>
      <c r="S100" s="14">
        <v>1</v>
      </c>
      <c r="T100" s="14">
        <v>1</v>
      </c>
      <c r="U100" s="14">
        <v>1</v>
      </c>
      <c r="V100" s="15">
        <v>1</v>
      </c>
      <c r="W100" s="14">
        <v>1</v>
      </c>
      <c r="X100" s="14">
        <v>1</v>
      </c>
      <c r="Y100" s="14">
        <v>1</v>
      </c>
      <c r="Z100" s="15">
        <v>1</v>
      </c>
      <c r="AA100" s="14" t="s">
        <v>446</v>
      </c>
      <c r="AB100" s="14" t="s">
        <v>446</v>
      </c>
      <c r="AC100" s="14" t="s">
        <v>446</v>
      </c>
      <c r="AD100" s="15" t="s">
        <v>446</v>
      </c>
      <c r="AE100" s="14" t="s">
        <v>446</v>
      </c>
      <c r="AF100" s="14" t="s">
        <v>446</v>
      </c>
      <c r="AG100" s="14" t="s">
        <v>446</v>
      </c>
      <c r="AH100" s="15" t="s">
        <v>446</v>
      </c>
      <c r="AI100" s="14" t="s">
        <v>446</v>
      </c>
      <c r="AJ100" s="14" t="s">
        <v>446</v>
      </c>
      <c r="AK100" s="14" t="s">
        <v>446</v>
      </c>
      <c r="AL100" s="15" t="s">
        <v>446</v>
      </c>
      <c r="AM100" s="14" t="s">
        <v>446</v>
      </c>
      <c r="AN100" s="14" t="s">
        <v>446</v>
      </c>
      <c r="AO100" s="14" t="s">
        <v>446</v>
      </c>
      <c r="AP100" s="15" t="s">
        <v>446</v>
      </c>
      <c r="AQ100" s="14" t="s">
        <v>446</v>
      </c>
      <c r="AR100" s="14" t="s">
        <v>446</v>
      </c>
      <c r="AS100" s="14" t="s">
        <v>446</v>
      </c>
      <c r="AT100" s="15" t="s">
        <v>446</v>
      </c>
      <c r="AU100" s="14" t="s">
        <v>446</v>
      </c>
      <c r="AV100" s="14" t="s">
        <v>446</v>
      </c>
      <c r="AW100" s="14" t="s">
        <v>446</v>
      </c>
      <c r="AX100" s="15" t="s">
        <v>446</v>
      </c>
      <c r="AY100" s="14" t="s">
        <v>446</v>
      </c>
      <c r="AZ100" s="14" t="s">
        <v>446</v>
      </c>
      <c r="BA100" s="14" t="s">
        <v>446</v>
      </c>
      <c r="BB100" s="15" t="s">
        <v>446</v>
      </c>
      <c r="BC100" s="14" t="s">
        <v>446</v>
      </c>
      <c r="BD100" s="14" t="s">
        <v>446</v>
      </c>
      <c r="BE100" s="14" t="s">
        <v>446</v>
      </c>
      <c r="BF100" s="15" t="s">
        <v>446</v>
      </c>
      <c r="BG100" s="14" t="s">
        <v>446</v>
      </c>
      <c r="BH100" s="14" t="s">
        <v>446</v>
      </c>
      <c r="BI100" s="14" t="s">
        <v>446</v>
      </c>
      <c r="BJ100" s="15" t="s">
        <v>446</v>
      </c>
      <c r="BK100" s="14" t="s">
        <v>446</v>
      </c>
      <c r="BL100" s="14" t="s">
        <v>446</v>
      </c>
      <c r="BM100" s="14" t="s">
        <v>446</v>
      </c>
      <c r="BN100" s="15" t="s">
        <v>446</v>
      </c>
      <c r="BP100" s="18">
        <v>3</v>
      </c>
      <c r="BQ100" s="14">
        <v>2</v>
      </c>
      <c r="BR100" s="14">
        <v>2</v>
      </c>
      <c r="BS100" s="15">
        <v>3</v>
      </c>
      <c r="BU100" s="18" t="s">
        <v>446</v>
      </c>
      <c r="BV100" s="14" t="s">
        <v>446</v>
      </c>
      <c r="BW100" s="14" t="s">
        <v>446</v>
      </c>
      <c r="BX100" s="15" t="s">
        <v>446</v>
      </c>
      <c r="BZ100" s="18" t="s">
        <v>446</v>
      </c>
      <c r="CA100" s="14" t="s">
        <v>446</v>
      </c>
      <c r="CB100" s="14" t="s">
        <v>446</v>
      </c>
      <c r="CC100" s="15" t="s">
        <v>446</v>
      </c>
    </row>
    <row r="101" spans="2:81" ht="18" customHeight="1" x14ac:dyDescent="0.2">
      <c r="B101" s="10">
        <f>garage!B101</f>
        <v>101</v>
      </c>
      <c r="C101" s="10">
        <f>garage!C101</f>
        <v>3</v>
      </c>
      <c r="D101" s="10">
        <f>garage!D101</f>
        <v>25</v>
      </c>
      <c r="E101" s="10">
        <f>garage!E101</f>
        <v>0</v>
      </c>
      <c r="F101" s="10" t="str">
        <f>garage!F101</f>
        <v>C</v>
      </c>
      <c r="G101" s="10" t="str">
        <f>garage!G101</f>
        <v>O</v>
      </c>
      <c r="H101" s="10" t="str">
        <f>garage!H101</f>
        <v>O</v>
      </c>
      <c r="I101" s="10" t="str">
        <f>garage!I101</f>
        <v>O</v>
      </c>
      <c r="J101" s="10" t="str">
        <f>garage!J101</f>
        <v>N</v>
      </c>
      <c r="K101" s="10" t="str">
        <f>garage!K101</f>
        <v>B</v>
      </c>
      <c r="L101" s="11" t="str">
        <f>garage!L101</f>
        <v>Chevrolet</v>
      </c>
      <c r="M101" s="11" t="str">
        <f>garage!M101</f>
        <v>Corvette Grand Sport</v>
      </c>
      <c r="O101" s="19">
        <v>1</v>
      </c>
      <c r="P101" s="16">
        <v>1</v>
      </c>
      <c r="Q101" s="16">
        <v>1</v>
      </c>
      <c r="R101" s="17">
        <v>1</v>
      </c>
      <c r="S101" s="16">
        <v>1</v>
      </c>
      <c r="T101" s="16">
        <v>1</v>
      </c>
      <c r="U101" s="16">
        <v>1</v>
      </c>
      <c r="V101" s="17">
        <v>1</v>
      </c>
      <c r="W101" s="16">
        <v>1</v>
      </c>
      <c r="X101" s="16">
        <v>1</v>
      </c>
      <c r="Y101" s="16">
        <v>1</v>
      </c>
      <c r="Z101" s="17">
        <v>1</v>
      </c>
      <c r="AA101" s="16">
        <v>1</v>
      </c>
      <c r="AB101" s="16">
        <v>1</v>
      </c>
      <c r="AC101" s="16">
        <v>1</v>
      </c>
      <c r="AD101" s="17">
        <v>1</v>
      </c>
      <c r="AE101" s="16">
        <v>1</v>
      </c>
      <c r="AF101" s="16">
        <v>1</v>
      </c>
      <c r="AG101" s="16">
        <v>1</v>
      </c>
      <c r="AH101" s="17">
        <v>1</v>
      </c>
      <c r="AI101" s="16">
        <v>1</v>
      </c>
      <c r="AJ101" s="16">
        <v>1</v>
      </c>
      <c r="AK101" s="16">
        <v>1</v>
      </c>
      <c r="AL101" s="17">
        <v>1</v>
      </c>
      <c r="AM101" s="16">
        <v>1</v>
      </c>
      <c r="AN101" s="16">
        <v>1</v>
      </c>
      <c r="AO101" s="16">
        <v>1</v>
      </c>
      <c r="AP101" s="17">
        <v>1</v>
      </c>
      <c r="AQ101" s="16">
        <v>1</v>
      </c>
      <c r="AR101" s="16">
        <v>1</v>
      </c>
      <c r="AS101" s="16">
        <v>1</v>
      </c>
      <c r="AT101" s="17">
        <v>1</v>
      </c>
      <c r="AU101" s="16">
        <v>1</v>
      </c>
      <c r="AV101" s="16">
        <v>1</v>
      </c>
      <c r="AW101" s="16">
        <v>1</v>
      </c>
      <c r="AX101" s="17">
        <v>1</v>
      </c>
      <c r="AY101" s="16">
        <v>1</v>
      </c>
      <c r="AZ101" s="16">
        <v>1</v>
      </c>
      <c r="BA101" s="16">
        <v>1</v>
      </c>
      <c r="BB101" s="17">
        <v>1</v>
      </c>
      <c r="BC101" s="16">
        <v>1</v>
      </c>
      <c r="BD101" s="16">
        <v>1</v>
      </c>
      <c r="BE101" s="16">
        <v>1</v>
      </c>
      <c r="BF101" s="17">
        <v>1</v>
      </c>
      <c r="BG101" s="16">
        <v>1</v>
      </c>
      <c r="BH101" s="16">
        <v>1</v>
      </c>
      <c r="BI101" s="16">
        <v>1</v>
      </c>
      <c r="BJ101" s="17">
        <v>1</v>
      </c>
      <c r="BK101" s="16" t="s">
        <v>446</v>
      </c>
      <c r="BL101" s="16" t="s">
        <v>446</v>
      </c>
      <c r="BM101" s="16" t="s">
        <v>446</v>
      </c>
      <c r="BN101" s="17" t="s">
        <v>446</v>
      </c>
      <c r="BP101" s="19">
        <v>8</v>
      </c>
      <c r="BQ101" s="16">
        <v>8</v>
      </c>
      <c r="BR101" s="16">
        <v>8</v>
      </c>
      <c r="BS101" s="17">
        <v>8</v>
      </c>
      <c r="BU101" s="19">
        <v>5</v>
      </c>
      <c r="BV101" s="16">
        <v>5</v>
      </c>
      <c r="BW101" s="16">
        <v>5</v>
      </c>
      <c r="BX101" s="17">
        <v>5</v>
      </c>
      <c r="BZ101" s="19">
        <v>2</v>
      </c>
      <c r="CA101" s="16">
        <v>2</v>
      </c>
      <c r="CB101" s="16">
        <v>2</v>
      </c>
      <c r="CC101" s="17">
        <v>2</v>
      </c>
    </row>
    <row r="102" spans="2:81" ht="18" customHeight="1" x14ac:dyDescent="0.2">
      <c r="B102" s="8">
        <f>garage!B102</f>
        <v>102</v>
      </c>
      <c r="C102" s="8">
        <f>garage!C102</f>
        <v>3</v>
      </c>
      <c r="D102" s="8">
        <f>garage!D102</f>
        <v>26</v>
      </c>
      <c r="E102" s="8">
        <f>garage!E102</f>
        <v>7</v>
      </c>
      <c r="F102" s="8" t="str">
        <f>garage!F102</f>
        <v>AM</v>
      </c>
      <c r="G102" s="8" t="str">
        <f>garage!G102</f>
        <v>O</v>
      </c>
      <c r="H102" s="8" t="str">
        <f>garage!H102</f>
        <v>O</v>
      </c>
      <c r="I102" s="8" t="str">
        <f>garage!I102</f>
        <v>O</v>
      </c>
      <c r="J102" s="8" t="str">
        <f>garage!J102</f>
        <v>N</v>
      </c>
      <c r="K102" s="8" t="str">
        <f>garage!K102</f>
        <v>B</v>
      </c>
      <c r="L102" s="9" t="str">
        <f>garage!L102</f>
        <v>Aston Martin</v>
      </c>
      <c r="M102" s="9" t="str">
        <f>garage!M102</f>
        <v>Vantage GT12</v>
      </c>
      <c r="O102" s="18">
        <v>1</v>
      </c>
      <c r="P102" s="14">
        <v>1</v>
      </c>
      <c r="Q102" s="14">
        <v>1</v>
      </c>
      <c r="R102" s="15">
        <v>1</v>
      </c>
      <c r="S102" s="14">
        <v>1</v>
      </c>
      <c r="T102" s="14">
        <v>1</v>
      </c>
      <c r="U102" s="14">
        <v>1</v>
      </c>
      <c r="V102" s="15">
        <v>1</v>
      </c>
      <c r="W102" s="14">
        <v>1</v>
      </c>
      <c r="X102" s="14">
        <v>1</v>
      </c>
      <c r="Y102" s="14">
        <v>1</v>
      </c>
      <c r="Z102" s="15">
        <v>1</v>
      </c>
      <c r="AA102" s="14">
        <v>1</v>
      </c>
      <c r="AB102" s="14">
        <v>1</v>
      </c>
      <c r="AC102" s="14">
        <v>1</v>
      </c>
      <c r="AD102" s="15">
        <v>1</v>
      </c>
      <c r="AE102" s="14">
        <v>1</v>
      </c>
      <c r="AF102" s="14">
        <v>1</v>
      </c>
      <c r="AG102" s="14">
        <v>1</v>
      </c>
      <c r="AH102" s="15">
        <v>1</v>
      </c>
      <c r="AI102" s="14">
        <v>1</v>
      </c>
      <c r="AJ102" s="14">
        <v>1</v>
      </c>
      <c r="AK102" s="14">
        <v>1</v>
      </c>
      <c r="AL102" s="15">
        <v>1</v>
      </c>
      <c r="AM102" s="14">
        <v>1</v>
      </c>
      <c r="AN102" s="14">
        <v>1</v>
      </c>
      <c r="AO102" s="14">
        <v>1</v>
      </c>
      <c r="AP102" s="15">
        <v>1</v>
      </c>
      <c r="AQ102" s="14">
        <v>1</v>
      </c>
      <c r="AR102" s="14">
        <v>1</v>
      </c>
      <c r="AS102" s="14">
        <v>1</v>
      </c>
      <c r="AT102" s="15">
        <v>1</v>
      </c>
      <c r="AU102" s="14">
        <v>1</v>
      </c>
      <c r="AV102" s="14">
        <v>1</v>
      </c>
      <c r="AW102" s="14">
        <v>1</v>
      </c>
      <c r="AX102" s="15">
        <v>1</v>
      </c>
      <c r="AY102" s="14">
        <v>1</v>
      </c>
      <c r="AZ102" s="14">
        <v>1</v>
      </c>
      <c r="BA102" s="14">
        <v>1</v>
      </c>
      <c r="BB102" s="15">
        <v>1</v>
      </c>
      <c r="BC102" s="14">
        <v>1</v>
      </c>
      <c r="BD102" s="14">
        <v>1</v>
      </c>
      <c r="BE102" s="14">
        <v>1</v>
      </c>
      <c r="BF102" s="15">
        <v>1</v>
      </c>
      <c r="BG102" s="14">
        <v>1</v>
      </c>
      <c r="BH102" s="14">
        <v>1</v>
      </c>
      <c r="BI102" s="14">
        <v>1</v>
      </c>
      <c r="BJ102" s="15">
        <v>1</v>
      </c>
      <c r="BK102" s="14" t="s">
        <v>446</v>
      </c>
      <c r="BL102" s="14" t="s">
        <v>446</v>
      </c>
      <c r="BM102" s="14" t="s">
        <v>446</v>
      </c>
      <c r="BN102" s="15" t="s">
        <v>446</v>
      </c>
      <c r="BP102" s="18">
        <v>8</v>
      </c>
      <c r="BQ102" s="14">
        <v>8</v>
      </c>
      <c r="BR102" s="14">
        <v>8</v>
      </c>
      <c r="BS102" s="15">
        <v>8</v>
      </c>
      <c r="BU102" s="18">
        <v>5</v>
      </c>
      <c r="BV102" s="14">
        <v>5</v>
      </c>
      <c r="BW102" s="14">
        <v>5</v>
      </c>
      <c r="BX102" s="15">
        <v>5</v>
      </c>
      <c r="BZ102" s="18">
        <v>2</v>
      </c>
      <c r="CA102" s="14">
        <v>2</v>
      </c>
      <c r="CB102" s="14">
        <v>2</v>
      </c>
      <c r="CC102" s="15">
        <v>2</v>
      </c>
    </row>
    <row r="103" spans="2:81" ht="18" customHeight="1" x14ac:dyDescent="0.2">
      <c r="B103" s="10">
        <f>garage!B103</f>
        <v>103</v>
      </c>
      <c r="C103" s="10">
        <f>garage!C103</f>
        <v>3</v>
      </c>
      <c r="D103" s="10">
        <f>garage!D103</f>
        <v>27</v>
      </c>
      <c r="E103" s="10">
        <f>garage!E103</f>
        <v>14</v>
      </c>
      <c r="F103" s="10" t="str">
        <f>garage!F103</f>
        <v>--</v>
      </c>
      <c r="G103" s="10" t="str">
        <f>garage!G103</f>
        <v>O</v>
      </c>
      <c r="H103" s="10" t="str">
        <f>garage!H103</f>
        <v>O</v>
      </c>
      <c r="I103" s="10" t="str">
        <f>garage!I103</f>
        <v>N</v>
      </c>
      <c r="J103" s="10" t="str">
        <f>garage!J103</f>
        <v>N</v>
      </c>
      <c r="K103" s="10" t="str">
        <f>garage!K103</f>
        <v>B</v>
      </c>
      <c r="L103" s="11" t="str">
        <f>garage!L103</f>
        <v>Apex</v>
      </c>
      <c r="M103" s="11" t="str">
        <f>garage!M103</f>
        <v>AP-0</v>
      </c>
      <c r="O103" s="19">
        <v>1</v>
      </c>
      <c r="P103" s="16">
        <v>1</v>
      </c>
      <c r="Q103" s="16">
        <v>1</v>
      </c>
      <c r="R103" s="17">
        <v>1</v>
      </c>
      <c r="S103" s="16">
        <v>1</v>
      </c>
      <c r="T103" s="16">
        <v>1</v>
      </c>
      <c r="U103" s="16">
        <v>1</v>
      </c>
      <c r="V103" s="17">
        <v>1</v>
      </c>
      <c r="W103" s="16">
        <v>1</v>
      </c>
      <c r="X103" s="16">
        <v>1</v>
      </c>
      <c r="Y103" s="16">
        <v>1</v>
      </c>
      <c r="Z103" s="17">
        <v>1</v>
      </c>
      <c r="AA103" s="16">
        <v>1</v>
      </c>
      <c r="AB103" s="16">
        <v>1</v>
      </c>
      <c r="AC103" s="16">
        <v>1</v>
      </c>
      <c r="AD103" s="17">
        <v>1</v>
      </c>
      <c r="AE103" s="16">
        <v>1</v>
      </c>
      <c r="AF103" s="16">
        <v>1</v>
      </c>
      <c r="AG103" s="16">
        <v>1</v>
      </c>
      <c r="AH103" s="17">
        <v>1</v>
      </c>
      <c r="AI103" s="16">
        <v>1</v>
      </c>
      <c r="AJ103" s="16">
        <v>1</v>
      </c>
      <c r="AK103" s="16">
        <v>1</v>
      </c>
      <c r="AL103" s="17">
        <v>1</v>
      </c>
      <c r="AM103" s="16">
        <v>1</v>
      </c>
      <c r="AN103" s="16">
        <v>1</v>
      </c>
      <c r="AO103" s="16">
        <v>1</v>
      </c>
      <c r="AP103" s="17">
        <v>1</v>
      </c>
      <c r="AQ103" s="16">
        <v>1</v>
      </c>
      <c r="AR103" s="16">
        <v>1</v>
      </c>
      <c r="AS103" s="16">
        <v>1</v>
      </c>
      <c r="AT103" s="17">
        <v>1</v>
      </c>
      <c r="AU103" s="16">
        <v>1</v>
      </c>
      <c r="AV103" s="16">
        <v>1</v>
      </c>
      <c r="AW103" s="16">
        <v>1</v>
      </c>
      <c r="AX103" s="17">
        <v>1</v>
      </c>
      <c r="AY103" s="16">
        <v>1</v>
      </c>
      <c r="AZ103" s="16">
        <v>1</v>
      </c>
      <c r="BA103" s="16">
        <v>1</v>
      </c>
      <c r="BB103" s="17">
        <v>1</v>
      </c>
      <c r="BC103" s="16">
        <v>1</v>
      </c>
      <c r="BD103" s="16">
        <v>1</v>
      </c>
      <c r="BE103" s="16">
        <v>1</v>
      </c>
      <c r="BF103" s="17">
        <v>1</v>
      </c>
      <c r="BG103" s="16">
        <v>1</v>
      </c>
      <c r="BH103" s="16">
        <v>1</v>
      </c>
      <c r="BI103" s="16">
        <v>1</v>
      </c>
      <c r="BJ103" s="17">
        <v>1</v>
      </c>
      <c r="BK103" s="16" t="s">
        <v>446</v>
      </c>
      <c r="BL103" s="16" t="s">
        <v>446</v>
      </c>
      <c r="BM103" s="16" t="s">
        <v>446</v>
      </c>
      <c r="BN103" s="17" t="s">
        <v>446</v>
      </c>
      <c r="BP103" s="19">
        <v>8</v>
      </c>
      <c r="BQ103" s="16">
        <v>8</v>
      </c>
      <c r="BR103" s="16">
        <v>8</v>
      </c>
      <c r="BS103" s="17">
        <v>8</v>
      </c>
      <c r="BU103" s="19">
        <v>5</v>
      </c>
      <c r="BV103" s="16">
        <v>5</v>
      </c>
      <c r="BW103" s="16">
        <v>5</v>
      </c>
      <c r="BX103" s="17">
        <v>5</v>
      </c>
      <c r="BZ103" s="19" t="s">
        <v>446</v>
      </c>
      <c r="CA103" s="16" t="s">
        <v>446</v>
      </c>
      <c r="CB103" s="16" t="s">
        <v>446</v>
      </c>
      <c r="CC103" s="17" t="s">
        <v>446</v>
      </c>
    </row>
    <row r="104" spans="2:81" ht="18" customHeight="1" x14ac:dyDescent="0.2">
      <c r="B104" s="8">
        <f>garage!B104</f>
        <v>104</v>
      </c>
      <c r="C104" s="8">
        <f>garage!C104</f>
        <v>3</v>
      </c>
      <c r="D104" s="8">
        <f>garage!D104</f>
        <v>28</v>
      </c>
      <c r="E104" s="8">
        <f>garage!E104</f>
        <v>16</v>
      </c>
      <c r="F104" s="8" t="str">
        <f>garage!F104</f>
        <v>--</v>
      </c>
      <c r="G104" s="8" t="str">
        <f>garage!G104</f>
        <v>O</v>
      </c>
      <c r="H104" s="8" t="str">
        <f>garage!H104</f>
        <v>N</v>
      </c>
      <c r="I104" s="8" t="str">
        <f>garage!I104</f>
        <v>N</v>
      </c>
      <c r="J104" s="8" t="str">
        <f>garage!J104</f>
        <v>N</v>
      </c>
      <c r="K104" s="8" t="str">
        <f>garage!K104</f>
        <v>B</v>
      </c>
      <c r="L104" s="9" t="str">
        <f>garage!L104</f>
        <v>Apollo</v>
      </c>
      <c r="M104" s="9" t="str">
        <f>garage!M104</f>
        <v>IE</v>
      </c>
      <c r="O104" s="18" t="s">
        <v>446</v>
      </c>
      <c r="P104" s="14" t="s">
        <v>446</v>
      </c>
      <c r="Q104" s="14" t="s">
        <v>446</v>
      </c>
      <c r="R104" s="15" t="s">
        <v>446</v>
      </c>
      <c r="S104" s="14" t="s">
        <v>446</v>
      </c>
      <c r="T104" s="14" t="s">
        <v>446</v>
      </c>
      <c r="U104" s="14" t="s">
        <v>446</v>
      </c>
      <c r="V104" s="15" t="s">
        <v>446</v>
      </c>
      <c r="W104" s="14" t="s">
        <v>446</v>
      </c>
      <c r="X104" s="14" t="s">
        <v>446</v>
      </c>
      <c r="Y104" s="14" t="s">
        <v>446</v>
      </c>
      <c r="Z104" s="15" t="s">
        <v>446</v>
      </c>
      <c r="AA104" s="14" t="s">
        <v>446</v>
      </c>
      <c r="AB104" s="14" t="s">
        <v>446</v>
      </c>
      <c r="AC104" s="14" t="s">
        <v>446</v>
      </c>
      <c r="AD104" s="15" t="s">
        <v>446</v>
      </c>
      <c r="AE104" s="14" t="s">
        <v>446</v>
      </c>
      <c r="AF104" s="14" t="s">
        <v>446</v>
      </c>
      <c r="AG104" s="14" t="s">
        <v>446</v>
      </c>
      <c r="AH104" s="15" t="s">
        <v>446</v>
      </c>
      <c r="AI104" s="14" t="s">
        <v>446</v>
      </c>
      <c r="AJ104" s="14" t="s">
        <v>446</v>
      </c>
      <c r="AK104" s="14" t="s">
        <v>446</v>
      </c>
      <c r="AL104" s="15" t="s">
        <v>446</v>
      </c>
      <c r="AM104" s="14" t="s">
        <v>446</v>
      </c>
      <c r="AN104" s="14" t="s">
        <v>446</v>
      </c>
      <c r="AO104" s="14" t="s">
        <v>446</v>
      </c>
      <c r="AP104" s="15" t="s">
        <v>446</v>
      </c>
      <c r="AQ104" s="14" t="s">
        <v>446</v>
      </c>
      <c r="AR104" s="14" t="s">
        <v>446</v>
      </c>
      <c r="AS104" s="14" t="s">
        <v>446</v>
      </c>
      <c r="AT104" s="15" t="s">
        <v>446</v>
      </c>
      <c r="AU104" s="14" t="s">
        <v>446</v>
      </c>
      <c r="AV104" s="14" t="s">
        <v>446</v>
      </c>
      <c r="AW104" s="14" t="s">
        <v>446</v>
      </c>
      <c r="AX104" s="15" t="s">
        <v>446</v>
      </c>
      <c r="AY104" s="14" t="s">
        <v>446</v>
      </c>
      <c r="AZ104" s="14" t="s">
        <v>446</v>
      </c>
      <c r="BA104" s="14" t="s">
        <v>446</v>
      </c>
      <c r="BB104" s="15" t="s">
        <v>446</v>
      </c>
      <c r="BC104" s="14" t="s">
        <v>446</v>
      </c>
      <c r="BD104" s="14" t="s">
        <v>446</v>
      </c>
      <c r="BE104" s="14" t="s">
        <v>446</v>
      </c>
      <c r="BF104" s="15" t="s">
        <v>446</v>
      </c>
      <c r="BG104" s="14" t="s">
        <v>446</v>
      </c>
      <c r="BH104" s="14" t="s">
        <v>446</v>
      </c>
      <c r="BI104" s="14" t="s">
        <v>446</v>
      </c>
      <c r="BJ104" s="15" t="s">
        <v>446</v>
      </c>
      <c r="BK104" s="14" t="s">
        <v>446</v>
      </c>
      <c r="BL104" s="14" t="s">
        <v>446</v>
      </c>
      <c r="BM104" s="14" t="s">
        <v>446</v>
      </c>
      <c r="BN104" s="15" t="s">
        <v>446</v>
      </c>
      <c r="BP104" s="18" t="s">
        <v>446</v>
      </c>
      <c r="BQ104" s="14" t="s">
        <v>446</v>
      </c>
      <c r="BR104" s="14" t="s">
        <v>446</v>
      </c>
      <c r="BS104" s="15" t="s">
        <v>446</v>
      </c>
      <c r="BU104" s="18" t="s">
        <v>446</v>
      </c>
      <c r="BV104" s="14" t="s">
        <v>446</v>
      </c>
      <c r="BW104" s="14" t="s">
        <v>446</v>
      </c>
      <c r="BX104" s="15" t="s">
        <v>446</v>
      </c>
      <c r="BZ104" s="18" t="s">
        <v>446</v>
      </c>
      <c r="CA104" s="14" t="s">
        <v>446</v>
      </c>
      <c r="CB104" s="14" t="s">
        <v>446</v>
      </c>
      <c r="CC104" s="15" t="s">
        <v>446</v>
      </c>
    </row>
    <row r="105" spans="2:81" ht="18" customHeight="1" x14ac:dyDescent="0.2">
      <c r="B105" s="10">
        <f>garage!B105</f>
        <v>105</v>
      </c>
      <c r="C105" s="10">
        <f>garage!C105</f>
        <v>3</v>
      </c>
      <c r="D105" s="10">
        <f>garage!D105</f>
        <v>29</v>
      </c>
      <c r="E105" s="10">
        <f>garage!E105</f>
        <v>0</v>
      </c>
      <c r="F105" s="10" t="str">
        <f>garage!F105</f>
        <v>--</v>
      </c>
      <c r="G105" s="10" t="str">
        <f>garage!G105</f>
        <v>O</v>
      </c>
      <c r="H105" s="10" t="str">
        <f>garage!H105</f>
        <v>O</v>
      </c>
      <c r="I105" s="10" t="str">
        <f>garage!I105</f>
        <v>O</v>
      </c>
      <c r="J105" s="10" t="str">
        <f>garage!J105</f>
        <v>N</v>
      </c>
      <c r="K105" s="10" t="str">
        <f>garage!K105</f>
        <v>B</v>
      </c>
      <c r="L105" s="11" t="str">
        <f>garage!L105</f>
        <v>Sin</v>
      </c>
      <c r="M105" s="11" t="str">
        <f>garage!M105</f>
        <v>R1 550</v>
      </c>
      <c r="O105" s="19">
        <v>1</v>
      </c>
      <c r="P105" s="16">
        <v>1</v>
      </c>
      <c r="Q105" s="16">
        <v>1</v>
      </c>
      <c r="R105" s="17">
        <v>1</v>
      </c>
      <c r="S105" s="16">
        <v>1</v>
      </c>
      <c r="T105" s="16">
        <v>1</v>
      </c>
      <c r="U105" s="16">
        <v>1</v>
      </c>
      <c r="V105" s="17">
        <v>1</v>
      </c>
      <c r="W105" s="16">
        <v>1</v>
      </c>
      <c r="X105" s="16">
        <v>1</v>
      </c>
      <c r="Y105" s="16">
        <v>1</v>
      </c>
      <c r="Z105" s="17">
        <v>1</v>
      </c>
      <c r="AA105" s="16">
        <v>1</v>
      </c>
      <c r="AB105" s="16">
        <v>1</v>
      </c>
      <c r="AC105" s="16">
        <v>1</v>
      </c>
      <c r="AD105" s="17">
        <v>1</v>
      </c>
      <c r="AE105" s="16">
        <v>1</v>
      </c>
      <c r="AF105" s="16">
        <v>1</v>
      </c>
      <c r="AG105" s="16">
        <v>1</v>
      </c>
      <c r="AH105" s="17">
        <v>1</v>
      </c>
      <c r="AI105" s="16">
        <v>1</v>
      </c>
      <c r="AJ105" s="16">
        <v>1</v>
      </c>
      <c r="AK105" s="16">
        <v>1</v>
      </c>
      <c r="AL105" s="17">
        <v>1</v>
      </c>
      <c r="AM105" s="16">
        <v>1</v>
      </c>
      <c r="AN105" s="16">
        <v>1</v>
      </c>
      <c r="AO105" s="16">
        <v>1</v>
      </c>
      <c r="AP105" s="17">
        <v>1</v>
      </c>
      <c r="AQ105" s="16">
        <v>1</v>
      </c>
      <c r="AR105" s="16">
        <v>1</v>
      </c>
      <c r="AS105" s="16">
        <v>1</v>
      </c>
      <c r="AT105" s="17">
        <v>1</v>
      </c>
      <c r="AU105" s="16">
        <v>1</v>
      </c>
      <c r="AV105" s="16">
        <v>1</v>
      </c>
      <c r="AW105" s="16">
        <v>1</v>
      </c>
      <c r="AX105" s="17">
        <v>1</v>
      </c>
      <c r="AY105" s="16">
        <v>1</v>
      </c>
      <c r="AZ105" s="16">
        <v>1</v>
      </c>
      <c r="BA105" s="16">
        <v>1</v>
      </c>
      <c r="BB105" s="17">
        <v>1</v>
      </c>
      <c r="BC105" s="16">
        <v>1</v>
      </c>
      <c r="BD105" s="16">
        <v>1</v>
      </c>
      <c r="BE105" s="16">
        <v>1</v>
      </c>
      <c r="BF105" s="17">
        <v>1</v>
      </c>
      <c r="BG105" s="16">
        <v>1</v>
      </c>
      <c r="BH105" s="16">
        <v>1</v>
      </c>
      <c r="BI105" s="16">
        <v>1</v>
      </c>
      <c r="BJ105" s="17">
        <v>1</v>
      </c>
      <c r="BK105" s="16" t="s">
        <v>446</v>
      </c>
      <c r="BL105" s="16" t="s">
        <v>446</v>
      </c>
      <c r="BM105" s="16" t="s">
        <v>446</v>
      </c>
      <c r="BN105" s="17" t="s">
        <v>446</v>
      </c>
      <c r="BP105" s="19">
        <v>8</v>
      </c>
      <c r="BQ105" s="16">
        <v>8</v>
      </c>
      <c r="BR105" s="16">
        <v>8</v>
      </c>
      <c r="BS105" s="17">
        <v>8</v>
      </c>
      <c r="BU105" s="19">
        <v>5</v>
      </c>
      <c r="BV105" s="16">
        <v>5</v>
      </c>
      <c r="BW105" s="16">
        <v>5</v>
      </c>
      <c r="BX105" s="17">
        <v>5</v>
      </c>
      <c r="BZ105" s="19">
        <v>2</v>
      </c>
      <c r="CA105" s="16">
        <v>2</v>
      </c>
      <c r="CB105" s="16">
        <v>2</v>
      </c>
      <c r="CC105" s="17">
        <v>2</v>
      </c>
    </row>
    <row r="106" spans="2:81" ht="18" customHeight="1" x14ac:dyDescent="0.2">
      <c r="B106" s="8">
        <f>garage!B106</f>
        <v>106</v>
      </c>
      <c r="C106" s="8">
        <f>garage!C106</f>
        <v>3</v>
      </c>
      <c r="D106" s="8">
        <f>garage!D106</f>
        <v>30</v>
      </c>
      <c r="E106" s="8">
        <f>garage!E106</f>
        <v>25</v>
      </c>
      <c r="F106" s="8" t="str">
        <f>garage!F106</f>
        <v>L</v>
      </c>
      <c r="G106" s="8" t="str">
        <f>garage!G106</f>
        <v>O</v>
      </c>
      <c r="H106" s="8" t="str">
        <f>garage!H106</f>
        <v>N</v>
      </c>
      <c r="I106" s="8" t="str">
        <f>garage!I106</f>
        <v>N</v>
      </c>
      <c r="J106" s="8" t="str">
        <f>garage!J106</f>
        <v>N</v>
      </c>
      <c r="K106" s="8" t="str">
        <f>garage!K106</f>
        <v>B</v>
      </c>
      <c r="L106" s="9" t="str">
        <f>garage!L106</f>
        <v>Lamborghini</v>
      </c>
      <c r="M106" s="9" t="str">
        <f>garage!M106</f>
        <v>Reventón Roadster</v>
      </c>
      <c r="O106" s="18">
        <v>1</v>
      </c>
      <c r="P106" s="14">
        <v>1</v>
      </c>
      <c r="Q106" s="14">
        <v>1</v>
      </c>
      <c r="R106" s="15">
        <v>1</v>
      </c>
      <c r="S106" s="14">
        <v>1</v>
      </c>
      <c r="T106" s="14">
        <v>1</v>
      </c>
      <c r="U106" s="14">
        <v>1</v>
      </c>
      <c r="V106" s="15">
        <v>1</v>
      </c>
      <c r="W106" s="14">
        <v>1</v>
      </c>
      <c r="X106" s="14">
        <v>1</v>
      </c>
      <c r="Y106" s="14">
        <v>1</v>
      </c>
      <c r="Z106" s="15">
        <v>1</v>
      </c>
      <c r="AA106" s="14">
        <v>1</v>
      </c>
      <c r="AB106" s="14">
        <v>1</v>
      </c>
      <c r="AC106" s="14">
        <v>1</v>
      </c>
      <c r="AD106" s="15">
        <v>1</v>
      </c>
      <c r="AE106" s="14">
        <v>1</v>
      </c>
      <c r="AF106" s="14">
        <v>1</v>
      </c>
      <c r="AG106" s="14">
        <v>1</v>
      </c>
      <c r="AH106" s="15">
        <v>1</v>
      </c>
      <c r="AI106" s="14">
        <v>1</v>
      </c>
      <c r="AJ106" s="14">
        <v>1</v>
      </c>
      <c r="AK106" s="14">
        <v>1</v>
      </c>
      <c r="AL106" s="15">
        <v>1</v>
      </c>
      <c r="AM106" s="14" t="s">
        <v>446</v>
      </c>
      <c r="AN106" s="14" t="s">
        <v>446</v>
      </c>
      <c r="AO106" s="14" t="s">
        <v>446</v>
      </c>
      <c r="AP106" s="15" t="s">
        <v>446</v>
      </c>
      <c r="AQ106" s="14" t="s">
        <v>446</v>
      </c>
      <c r="AR106" s="14" t="s">
        <v>446</v>
      </c>
      <c r="AS106" s="14" t="s">
        <v>446</v>
      </c>
      <c r="AT106" s="15" t="s">
        <v>446</v>
      </c>
      <c r="AU106" s="14" t="s">
        <v>446</v>
      </c>
      <c r="AV106" s="14" t="s">
        <v>446</v>
      </c>
      <c r="AW106" s="14" t="s">
        <v>446</v>
      </c>
      <c r="AX106" s="15" t="s">
        <v>446</v>
      </c>
      <c r="AY106" s="14" t="s">
        <v>446</v>
      </c>
      <c r="AZ106" s="14" t="s">
        <v>446</v>
      </c>
      <c r="BA106" s="14" t="s">
        <v>446</v>
      </c>
      <c r="BB106" s="15" t="s">
        <v>446</v>
      </c>
      <c r="BC106" s="14" t="s">
        <v>446</v>
      </c>
      <c r="BD106" s="14" t="s">
        <v>446</v>
      </c>
      <c r="BE106" s="14" t="s">
        <v>446</v>
      </c>
      <c r="BF106" s="15" t="s">
        <v>446</v>
      </c>
      <c r="BG106" s="14" t="s">
        <v>446</v>
      </c>
      <c r="BH106" s="14" t="s">
        <v>446</v>
      </c>
      <c r="BI106" s="14" t="s">
        <v>446</v>
      </c>
      <c r="BJ106" s="15" t="s">
        <v>446</v>
      </c>
      <c r="BK106" s="14" t="s">
        <v>446</v>
      </c>
      <c r="BL106" s="14" t="s">
        <v>446</v>
      </c>
      <c r="BM106" s="14" t="s">
        <v>446</v>
      </c>
      <c r="BN106" s="15" t="s">
        <v>446</v>
      </c>
      <c r="BP106" s="18">
        <v>6</v>
      </c>
      <c r="BQ106" s="14">
        <v>4</v>
      </c>
      <c r="BR106" s="14">
        <v>4</v>
      </c>
      <c r="BS106" s="15">
        <v>6</v>
      </c>
      <c r="BU106" s="18" t="s">
        <v>446</v>
      </c>
      <c r="BV106" s="14">
        <v>1</v>
      </c>
      <c r="BW106" s="14">
        <v>1</v>
      </c>
      <c r="BX106" s="15" t="s">
        <v>446</v>
      </c>
      <c r="BZ106" s="18" t="s">
        <v>446</v>
      </c>
      <c r="CA106" s="14" t="s">
        <v>446</v>
      </c>
      <c r="CB106" s="14" t="s">
        <v>446</v>
      </c>
      <c r="CC106" s="15" t="s">
        <v>446</v>
      </c>
    </row>
    <row r="107" spans="2:81" ht="18" customHeight="1" x14ac:dyDescent="0.2">
      <c r="B107" s="10">
        <f>garage!B107</f>
        <v>107</v>
      </c>
      <c r="C107" s="10">
        <f>garage!C107</f>
        <v>3</v>
      </c>
      <c r="D107" s="10">
        <f>garage!D107</f>
        <v>31</v>
      </c>
      <c r="E107" s="10">
        <f>garage!E107</f>
        <v>15</v>
      </c>
      <c r="F107" s="10" t="str">
        <f>garage!F107</f>
        <v>F</v>
      </c>
      <c r="G107" s="10" t="str">
        <f>garage!G107</f>
        <v>O</v>
      </c>
      <c r="H107" s="10" t="str">
        <f>garage!H107</f>
        <v>O</v>
      </c>
      <c r="I107" s="10" t="str">
        <f>garage!I107</f>
        <v>N</v>
      </c>
      <c r="J107" s="10" t="str">
        <f>garage!J107</f>
        <v>N</v>
      </c>
      <c r="K107" s="10" t="str">
        <f>garage!K107</f>
        <v>B</v>
      </c>
      <c r="L107" s="11" t="str">
        <f>garage!L107</f>
        <v>Ferrari</v>
      </c>
      <c r="M107" s="11" t="str">
        <f>garage!M107</f>
        <v>Enzo Ferrari</v>
      </c>
      <c r="O107" s="19">
        <v>1</v>
      </c>
      <c r="P107" s="16">
        <v>1</v>
      </c>
      <c r="Q107" s="16">
        <v>1</v>
      </c>
      <c r="R107" s="17">
        <v>1</v>
      </c>
      <c r="S107" s="16">
        <v>1</v>
      </c>
      <c r="T107" s="16">
        <v>1</v>
      </c>
      <c r="U107" s="16">
        <v>1</v>
      </c>
      <c r="V107" s="17">
        <v>1</v>
      </c>
      <c r="W107" s="16">
        <v>1</v>
      </c>
      <c r="X107" s="16">
        <v>1</v>
      </c>
      <c r="Y107" s="16">
        <v>1</v>
      </c>
      <c r="Z107" s="17">
        <v>1</v>
      </c>
      <c r="AA107" s="16">
        <v>1</v>
      </c>
      <c r="AB107" s="16">
        <v>1</v>
      </c>
      <c r="AC107" s="16">
        <v>1</v>
      </c>
      <c r="AD107" s="17">
        <v>1</v>
      </c>
      <c r="AE107" s="16">
        <v>1</v>
      </c>
      <c r="AF107" s="16">
        <v>1</v>
      </c>
      <c r="AG107" s="16">
        <v>1</v>
      </c>
      <c r="AH107" s="17">
        <v>1</v>
      </c>
      <c r="AI107" s="16">
        <v>1</v>
      </c>
      <c r="AJ107" s="16">
        <v>1</v>
      </c>
      <c r="AK107" s="16">
        <v>1</v>
      </c>
      <c r="AL107" s="17">
        <v>1</v>
      </c>
      <c r="AM107" s="16">
        <v>1</v>
      </c>
      <c r="AN107" s="16">
        <v>1</v>
      </c>
      <c r="AO107" s="16">
        <v>1</v>
      </c>
      <c r="AP107" s="17">
        <v>1</v>
      </c>
      <c r="AQ107" s="16">
        <v>1</v>
      </c>
      <c r="AR107" s="16">
        <v>1</v>
      </c>
      <c r="AS107" s="16">
        <v>1</v>
      </c>
      <c r="AT107" s="17">
        <v>1</v>
      </c>
      <c r="AU107" s="16">
        <v>1</v>
      </c>
      <c r="AV107" s="16">
        <v>1</v>
      </c>
      <c r="AW107" s="16">
        <v>1</v>
      </c>
      <c r="AX107" s="17">
        <v>1</v>
      </c>
      <c r="AY107" s="16">
        <v>1</v>
      </c>
      <c r="AZ107" s="16">
        <v>1</v>
      </c>
      <c r="BA107" s="16">
        <v>1</v>
      </c>
      <c r="BB107" s="17">
        <v>1</v>
      </c>
      <c r="BC107" s="16">
        <v>1</v>
      </c>
      <c r="BD107" s="16">
        <v>1</v>
      </c>
      <c r="BE107" s="16">
        <v>1</v>
      </c>
      <c r="BF107" s="17">
        <v>1</v>
      </c>
      <c r="BG107" s="16">
        <v>1</v>
      </c>
      <c r="BH107" s="16">
        <v>1</v>
      </c>
      <c r="BI107" s="16">
        <v>1</v>
      </c>
      <c r="BJ107" s="17">
        <v>1</v>
      </c>
      <c r="BK107" s="16" t="s">
        <v>446</v>
      </c>
      <c r="BL107" s="16" t="s">
        <v>446</v>
      </c>
      <c r="BM107" s="16" t="s">
        <v>446</v>
      </c>
      <c r="BN107" s="17" t="s">
        <v>446</v>
      </c>
      <c r="BP107" s="19">
        <v>8</v>
      </c>
      <c r="BQ107" s="16">
        <v>8</v>
      </c>
      <c r="BR107" s="16">
        <v>8</v>
      </c>
      <c r="BS107" s="17">
        <v>8</v>
      </c>
      <c r="BU107" s="19">
        <v>5</v>
      </c>
      <c r="BV107" s="16">
        <v>5</v>
      </c>
      <c r="BW107" s="16">
        <v>5</v>
      </c>
      <c r="BX107" s="17">
        <v>5</v>
      </c>
      <c r="BZ107" s="19">
        <v>1</v>
      </c>
      <c r="CA107" s="16">
        <v>2</v>
      </c>
      <c r="CB107" s="16">
        <v>2</v>
      </c>
      <c r="CC107" s="17">
        <v>0</v>
      </c>
    </row>
    <row r="108" spans="2:81" ht="18" customHeight="1" x14ac:dyDescent="0.2">
      <c r="B108" s="8">
        <f>garage!B108</f>
        <v>108</v>
      </c>
      <c r="C108" s="8">
        <f>garage!C108</f>
        <v>3</v>
      </c>
      <c r="D108" s="8">
        <f>garage!D108</f>
        <v>32</v>
      </c>
      <c r="E108" s="8">
        <f>garage!E108</f>
        <v>23</v>
      </c>
      <c r="F108" s="8" t="str">
        <f>garage!F108</f>
        <v>AM</v>
      </c>
      <c r="G108" s="8" t="str">
        <f>garage!G108</f>
        <v>O</v>
      </c>
      <c r="H108" s="8" t="str">
        <f>garage!H108</f>
        <v>N</v>
      </c>
      <c r="I108" s="8" t="str">
        <f>garage!I108</f>
        <v>N</v>
      </c>
      <c r="J108" s="8" t="str">
        <f>garage!J108</f>
        <v>N</v>
      </c>
      <c r="K108" s="8" t="str">
        <f>garage!K108</f>
        <v>B</v>
      </c>
      <c r="L108" s="9" t="str">
        <f>garage!L108</f>
        <v>Aston Martin</v>
      </c>
      <c r="M108" s="9" t="str">
        <f>garage!M108</f>
        <v>One77</v>
      </c>
      <c r="O108" s="18">
        <v>1</v>
      </c>
      <c r="P108" s="14">
        <v>1</v>
      </c>
      <c r="Q108" s="14">
        <v>1</v>
      </c>
      <c r="R108" s="15">
        <v>1</v>
      </c>
      <c r="S108" s="14">
        <v>1</v>
      </c>
      <c r="T108" s="14">
        <v>1</v>
      </c>
      <c r="U108" s="14">
        <v>1</v>
      </c>
      <c r="V108" s="15">
        <v>1</v>
      </c>
      <c r="W108" s="14">
        <v>1</v>
      </c>
      <c r="X108" s="14">
        <v>1</v>
      </c>
      <c r="Y108" s="14">
        <v>1</v>
      </c>
      <c r="Z108" s="15">
        <v>1</v>
      </c>
      <c r="AA108" s="14" t="s">
        <v>446</v>
      </c>
      <c r="AB108" s="14" t="s">
        <v>446</v>
      </c>
      <c r="AC108" s="14" t="s">
        <v>446</v>
      </c>
      <c r="AD108" s="15" t="s">
        <v>446</v>
      </c>
      <c r="AE108" s="14" t="s">
        <v>446</v>
      </c>
      <c r="AF108" s="14" t="s">
        <v>446</v>
      </c>
      <c r="AG108" s="14" t="s">
        <v>446</v>
      </c>
      <c r="AH108" s="15" t="s">
        <v>446</v>
      </c>
      <c r="AI108" s="14" t="s">
        <v>446</v>
      </c>
      <c r="AJ108" s="14" t="s">
        <v>446</v>
      </c>
      <c r="AK108" s="14" t="s">
        <v>446</v>
      </c>
      <c r="AL108" s="15" t="s">
        <v>446</v>
      </c>
      <c r="AM108" s="14" t="s">
        <v>446</v>
      </c>
      <c r="AN108" s="14" t="s">
        <v>446</v>
      </c>
      <c r="AO108" s="14" t="s">
        <v>446</v>
      </c>
      <c r="AP108" s="15" t="s">
        <v>446</v>
      </c>
      <c r="AQ108" s="14" t="s">
        <v>446</v>
      </c>
      <c r="AR108" s="14" t="s">
        <v>446</v>
      </c>
      <c r="AS108" s="14" t="s">
        <v>446</v>
      </c>
      <c r="AT108" s="15" t="s">
        <v>446</v>
      </c>
      <c r="AU108" s="14" t="s">
        <v>446</v>
      </c>
      <c r="AV108" s="14" t="s">
        <v>446</v>
      </c>
      <c r="AW108" s="14" t="s">
        <v>446</v>
      </c>
      <c r="AX108" s="15" t="s">
        <v>446</v>
      </c>
      <c r="AY108" s="14" t="s">
        <v>446</v>
      </c>
      <c r="AZ108" s="14" t="s">
        <v>446</v>
      </c>
      <c r="BA108" s="14" t="s">
        <v>446</v>
      </c>
      <c r="BB108" s="15" t="s">
        <v>446</v>
      </c>
      <c r="BC108" s="14" t="s">
        <v>446</v>
      </c>
      <c r="BD108" s="14" t="s">
        <v>446</v>
      </c>
      <c r="BE108" s="14" t="s">
        <v>446</v>
      </c>
      <c r="BF108" s="15" t="s">
        <v>446</v>
      </c>
      <c r="BG108" s="14" t="s">
        <v>446</v>
      </c>
      <c r="BH108" s="14" t="s">
        <v>446</v>
      </c>
      <c r="BI108" s="14" t="s">
        <v>446</v>
      </c>
      <c r="BJ108" s="15" t="s">
        <v>446</v>
      </c>
      <c r="BK108" s="14" t="s">
        <v>446</v>
      </c>
      <c r="BL108" s="14" t="s">
        <v>446</v>
      </c>
      <c r="BM108" s="14" t="s">
        <v>446</v>
      </c>
      <c r="BN108" s="15" t="s">
        <v>446</v>
      </c>
      <c r="BP108" s="18">
        <v>3</v>
      </c>
      <c r="BQ108" s="14">
        <v>2</v>
      </c>
      <c r="BR108" s="14">
        <v>2</v>
      </c>
      <c r="BS108" s="15">
        <v>3</v>
      </c>
      <c r="BU108" s="18" t="s">
        <v>446</v>
      </c>
      <c r="BV108" s="14" t="s">
        <v>446</v>
      </c>
      <c r="BW108" s="14" t="s">
        <v>446</v>
      </c>
      <c r="BX108" s="15" t="s">
        <v>446</v>
      </c>
      <c r="BZ108" s="18" t="s">
        <v>446</v>
      </c>
      <c r="CA108" s="14" t="s">
        <v>446</v>
      </c>
      <c r="CB108" s="14" t="s">
        <v>446</v>
      </c>
      <c r="CC108" s="15" t="s">
        <v>446</v>
      </c>
    </row>
    <row r="109" spans="2:81" ht="18" customHeight="1" x14ac:dyDescent="0.2">
      <c r="B109" s="10">
        <f>garage!B109</f>
        <v>109</v>
      </c>
      <c r="C109" s="10">
        <f>garage!C109</f>
        <v>3</v>
      </c>
      <c r="D109" s="10">
        <f>garage!D109</f>
        <v>33</v>
      </c>
      <c r="E109" s="10">
        <f>garage!E109</f>
        <v>0</v>
      </c>
      <c r="F109" s="10" t="str">
        <f>garage!F109</f>
        <v>--</v>
      </c>
      <c r="G109" s="10" t="str">
        <f>garage!G109</f>
        <v>O</v>
      </c>
      <c r="H109" s="10" t="str">
        <f>garage!H109</f>
        <v>O</v>
      </c>
      <c r="I109" s="10" t="str">
        <f>garage!I109</f>
        <v>O</v>
      </c>
      <c r="J109" s="10" t="str">
        <f>garage!J109</f>
        <v>N</v>
      </c>
      <c r="K109" s="10" t="str">
        <f>garage!K109</f>
        <v>B</v>
      </c>
      <c r="L109" s="11" t="str">
        <f>garage!L109</f>
        <v>Apollo</v>
      </c>
      <c r="M109" s="11" t="str">
        <f>garage!M109</f>
        <v>N</v>
      </c>
      <c r="O109" s="19">
        <v>1</v>
      </c>
      <c r="P109" s="16">
        <v>1</v>
      </c>
      <c r="Q109" s="16">
        <v>1</v>
      </c>
      <c r="R109" s="17">
        <v>1</v>
      </c>
      <c r="S109" s="16">
        <v>1</v>
      </c>
      <c r="T109" s="16">
        <v>1</v>
      </c>
      <c r="U109" s="16">
        <v>1</v>
      </c>
      <c r="V109" s="17">
        <v>1</v>
      </c>
      <c r="W109" s="16">
        <v>1</v>
      </c>
      <c r="X109" s="16">
        <v>1</v>
      </c>
      <c r="Y109" s="16">
        <v>1</v>
      </c>
      <c r="Z109" s="17">
        <v>1</v>
      </c>
      <c r="AA109" s="16">
        <v>1</v>
      </c>
      <c r="AB109" s="16">
        <v>1</v>
      </c>
      <c r="AC109" s="16">
        <v>1</v>
      </c>
      <c r="AD109" s="17">
        <v>1</v>
      </c>
      <c r="AE109" s="16">
        <v>1</v>
      </c>
      <c r="AF109" s="16">
        <v>1</v>
      </c>
      <c r="AG109" s="16">
        <v>1</v>
      </c>
      <c r="AH109" s="17">
        <v>1</v>
      </c>
      <c r="AI109" s="16">
        <v>1</v>
      </c>
      <c r="AJ109" s="16">
        <v>1</v>
      </c>
      <c r="AK109" s="16">
        <v>1</v>
      </c>
      <c r="AL109" s="17">
        <v>1</v>
      </c>
      <c r="AM109" s="16">
        <v>1</v>
      </c>
      <c r="AN109" s="16">
        <v>1</v>
      </c>
      <c r="AO109" s="16">
        <v>1</v>
      </c>
      <c r="AP109" s="17">
        <v>1</v>
      </c>
      <c r="AQ109" s="16">
        <v>1</v>
      </c>
      <c r="AR109" s="16">
        <v>1</v>
      </c>
      <c r="AS109" s="16">
        <v>1</v>
      </c>
      <c r="AT109" s="17">
        <v>1</v>
      </c>
      <c r="AU109" s="16">
        <v>1</v>
      </c>
      <c r="AV109" s="16">
        <v>1</v>
      </c>
      <c r="AW109" s="16">
        <v>1</v>
      </c>
      <c r="AX109" s="17">
        <v>1</v>
      </c>
      <c r="AY109" s="16">
        <v>1</v>
      </c>
      <c r="AZ109" s="16">
        <v>1</v>
      </c>
      <c r="BA109" s="16">
        <v>1</v>
      </c>
      <c r="BB109" s="17">
        <v>1</v>
      </c>
      <c r="BC109" s="16">
        <v>1</v>
      </c>
      <c r="BD109" s="16">
        <v>1</v>
      </c>
      <c r="BE109" s="16">
        <v>1</v>
      </c>
      <c r="BF109" s="17">
        <v>1</v>
      </c>
      <c r="BG109" s="16">
        <v>1</v>
      </c>
      <c r="BH109" s="16">
        <v>1</v>
      </c>
      <c r="BI109" s="16">
        <v>1</v>
      </c>
      <c r="BJ109" s="17">
        <v>1</v>
      </c>
      <c r="BK109" s="16" t="s">
        <v>446</v>
      </c>
      <c r="BL109" s="16" t="s">
        <v>446</v>
      </c>
      <c r="BM109" s="16" t="s">
        <v>446</v>
      </c>
      <c r="BN109" s="17" t="s">
        <v>446</v>
      </c>
      <c r="BP109" s="19">
        <v>8</v>
      </c>
      <c r="BQ109" s="16">
        <v>8</v>
      </c>
      <c r="BR109" s="16">
        <v>8</v>
      </c>
      <c r="BS109" s="17">
        <v>8</v>
      </c>
      <c r="BU109" s="19">
        <v>5</v>
      </c>
      <c r="BV109" s="16">
        <v>5</v>
      </c>
      <c r="BW109" s="16">
        <v>5</v>
      </c>
      <c r="BX109" s="17">
        <v>5</v>
      </c>
      <c r="BZ109" s="19">
        <v>2</v>
      </c>
      <c r="CA109" s="16">
        <v>2</v>
      </c>
      <c r="CB109" s="16">
        <v>2</v>
      </c>
      <c r="CC109" s="17">
        <v>2</v>
      </c>
    </row>
    <row r="110" spans="2:81" ht="18" customHeight="1" x14ac:dyDescent="0.2">
      <c r="B110" s="8">
        <f>garage!B110</f>
        <v>110</v>
      </c>
      <c r="C110" s="8">
        <f>garage!C110</f>
        <v>3</v>
      </c>
      <c r="D110" s="8">
        <f>garage!D110</f>
        <v>34</v>
      </c>
      <c r="E110" s="8">
        <f>garage!E110</f>
        <v>0</v>
      </c>
      <c r="F110" s="8" t="str">
        <f>garage!F110</f>
        <v>--</v>
      </c>
      <c r="G110" s="8" t="str">
        <f>garage!G110</f>
        <v>O</v>
      </c>
      <c r="H110" s="8" t="str">
        <f>garage!H110</f>
        <v>O</v>
      </c>
      <c r="I110" s="8" t="str">
        <f>garage!I110</f>
        <v>N</v>
      </c>
      <c r="J110" s="8" t="str">
        <f>garage!J110</f>
        <v>N</v>
      </c>
      <c r="K110" s="8" t="str">
        <f>garage!K110</f>
        <v>B</v>
      </c>
      <c r="L110" s="9" t="str">
        <f>garage!L110</f>
        <v>Mercedes-Benz</v>
      </c>
      <c r="M110" s="9" t="str">
        <f>garage!M110</f>
        <v>SLR McLaren</v>
      </c>
      <c r="O110" s="18">
        <v>1</v>
      </c>
      <c r="P110" s="14">
        <v>1</v>
      </c>
      <c r="Q110" s="14">
        <v>1</v>
      </c>
      <c r="R110" s="15">
        <v>1</v>
      </c>
      <c r="S110" s="14">
        <v>1</v>
      </c>
      <c r="T110" s="14">
        <v>1</v>
      </c>
      <c r="U110" s="14">
        <v>1</v>
      </c>
      <c r="V110" s="15">
        <v>1</v>
      </c>
      <c r="W110" s="14">
        <v>1</v>
      </c>
      <c r="X110" s="14">
        <v>1</v>
      </c>
      <c r="Y110" s="14">
        <v>1</v>
      </c>
      <c r="Z110" s="15">
        <v>1</v>
      </c>
      <c r="AA110" s="14">
        <v>1</v>
      </c>
      <c r="AB110" s="14">
        <v>1</v>
      </c>
      <c r="AC110" s="14">
        <v>1</v>
      </c>
      <c r="AD110" s="15">
        <v>1</v>
      </c>
      <c r="AE110" s="14">
        <v>1</v>
      </c>
      <c r="AF110" s="14">
        <v>1</v>
      </c>
      <c r="AG110" s="14">
        <v>1</v>
      </c>
      <c r="AH110" s="15">
        <v>1</v>
      </c>
      <c r="AI110" s="14">
        <v>1</v>
      </c>
      <c r="AJ110" s="14">
        <v>1</v>
      </c>
      <c r="AK110" s="14">
        <v>1</v>
      </c>
      <c r="AL110" s="15">
        <v>1</v>
      </c>
      <c r="AM110" s="14">
        <v>1</v>
      </c>
      <c r="AN110" s="14">
        <v>1</v>
      </c>
      <c r="AO110" s="14">
        <v>1</v>
      </c>
      <c r="AP110" s="15">
        <v>1</v>
      </c>
      <c r="AQ110" s="14">
        <v>1</v>
      </c>
      <c r="AR110" s="14">
        <v>1</v>
      </c>
      <c r="AS110" s="14">
        <v>1</v>
      </c>
      <c r="AT110" s="15">
        <v>1</v>
      </c>
      <c r="AU110" s="14">
        <v>1</v>
      </c>
      <c r="AV110" s="14">
        <v>1</v>
      </c>
      <c r="AW110" s="14">
        <v>1</v>
      </c>
      <c r="AX110" s="15">
        <v>1</v>
      </c>
      <c r="AY110" s="14">
        <v>1</v>
      </c>
      <c r="AZ110" s="14">
        <v>1</v>
      </c>
      <c r="BA110" s="14">
        <v>1</v>
      </c>
      <c r="BB110" s="15">
        <v>1</v>
      </c>
      <c r="BC110" s="14">
        <v>1</v>
      </c>
      <c r="BD110" s="14">
        <v>1</v>
      </c>
      <c r="BE110" s="14">
        <v>1</v>
      </c>
      <c r="BF110" s="15">
        <v>1</v>
      </c>
      <c r="BG110" s="14">
        <v>1</v>
      </c>
      <c r="BH110" s="14">
        <v>1</v>
      </c>
      <c r="BI110" s="14">
        <v>1</v>
      </c>
      <c r="BJ110" s="15">
        <v>1</v>
      </c>
      <c r="BK110" s="14" t="s">
        <v>446</v>
      </c>
      <c r="BL110" s="14" t="s">
        <v>446</v>
      </c>
      <c r="BM110" s="14" t="s">
        <v>446</v>
      </c>
      <c r="BN110" s="15" t="s">
        <v>446</v>
      </c>
      <c r="BP110" s="18">
        <v>8</v>
      </c>
      <c r="BQ110" s="14">
        <v>8</v>
      </c>
      <c r="BR110" s="14">
        <v>8</v>
      </c>
      <c r="BS110" s="15">
        <v>8</v>
      </c>
      <c r="BU110" s="18">
        <v>5</v>
      </c>
      <c r="BV110" s="14">
        <v>5</v>
      </c>
      <c r="BW110" s="14">
        <v>5</v>
      </c>
      <c r="BX110" s="15">
        <v>5</v>
      </c>
      <c r="BZ110" s="18">
        <v>2</v>
      </c>
      <c r="CA110" s="14">
        <v>1</v>
      </c>
      <c r="CB110" s="14">
        <v>0</v>
      </c>
      <c r="CC110" s="15">
        <v>0</v>
      </c>
    </row>
    <row r="111" spans="2:81" ht="18" customHeight="1" x14ac:dyDescent="0.2">
      <c r="B111" s="10">
        <f>garage!B111</f>
        <v>111</v>
      </c>
      <c r="C111" s="10">
        <f>garage!C111</f>
        <v>3</v>
      </c>
      <c r="D111" s="10">
        <f>garage!D111</f>
        <v>35</v>
      </c>
      <c r="E111" s="10">
        <f>garage!E111</f>
        <v>8</v>
      </c>
      <c r="F111" s="10" t="str">
        <f>garage!F111</f>
        <v>AM</v>
      </c>
      <c r="G111" s="10" t="str">
        <f>garage!G111</f>
        <v>O</v>
      </c>
      <c r="H111" s="10" t="str">
        <f>garage!H111</f>
        <v>O</v>
      </c>
      <c r="I111" s="10" t="str">
        <f>garage!I111</f>
        <v>O</v>
      </c>
      <c r="J111" s="10" t="str">
        <f>garage!J111</f>
        <v>N</v>
      </c>
      <c r="K111" s="10" t="str">
        <f>garage!K111</f>
        <v>B</v>
      </c>
      <c r="L111" s="11" t="str">
        <f>garage!L111</f>
        <v>Aston Martin</v>
      </c>
      <c r="M111" s="11" t="str">
        <f>garage!M111</f>
        <v>DBS Superleggera</v>
      </c>
      <c r="O111" s="19">
        <v>1</v>
      </c>
      <c r="P111" s="16">
        <v>1</v>
      </c>
      <c r="Q111" s="16">
        <v>1</v>
      </c>
      <c r="R111" s="17">
        <v>1</v>
      </c>
      <c r="S111" s="16">
        <v>1</v>
      </c>
      <c r="T111" s="16">
        <v>1</v>
      </c>
      <c r="U111" s="16">
        <v>1</v>
      </c>
      <c r="V111" s="17">
        <v>1</v>
      </c>
      <c r="W111" s="16">
        <v>1</v>
      </c>
      <c r="X111" s="16">
        <v>1</v>
      </c>
      <c r="Y111" s="16">
        <v>1</v>
      </c>
      <c r="Z111" s="17">
        <v>1</v>
      </c>
      <c r="AA111" s="16">
        <v>1</v>
      </c>
      <c r="AB111" s="16">
        <v>1</v>
      </c>
      <c r="AC111" s="16">
        <v>1</v>
      </c>
      <c r="AD111" s="17">
        <v>1</v>
      </c>
      <c r="AE111" s="16">
        <v>1</v>
      </c>
      <c r="AF111" s="16">
        <v>1</v>
      </c>
      <c r="AG111" s="16">
        <v>1</v>
      </c>
      <c r="AH111" s="17">
        <v>1</v>
      </c>
      <c r="AI111" s="16">
        <v>1</v>
      </c>
      <c r="AJ111" s="16">
        <v>1</v>
      </c>
      <c r="AK111" s="16">
        <v>1</v>
      </c>
      <c r="AL111" s="17">
        <v>1</v>
      </c>
      <c r="AM111" s="16">
        <v>1</v>
      </c>
      <c r="AN111" s="16">
        <v>1</v>
      </c>
      <c r="AO111" s="16">
        <v>1</v>
      </c>
      <c r="AP111" s="17">
        <v>1</v>
      </c>
      <c r="AQ111" s="16">
        <v>1</v>
      </c>
      <c r="AR111" s="16">
        <v>1</v>
      </c>
      <c r="AS111" s="16">
        <v>1</v>
      </c>
      <c r="AT111" s="17">
        <v>1</v>
      </c>
      <c r="AU111" s="16">
        <v>1</v>
      </c>
      <c r="AV111" s="16">
        <v>1</v>
      </c>
      <c r="AW111" s="16">
        <v>1</v>
      </c>
      <c r="AX111" s="17">
        <v>1</v>
      </c>
      <c r="AY111" s="16">
        <v>1</v>
      </c>
      <c r="AZ111" s="16">
        <v>1</v>
      </c>
      <c r="BA111" s="16">
        <v>1</v>
      </c>
      <c r="BB111" s="17">
        <v>1</v>
      </c>
      <c r="BC111" s="16">
        <v>1</v>
      </c>
      <c r="BD111" s="16">
        <v>1</v>
      </c>
      <c r="BE111" s="16">
        <v>1</v>
      </c>
      <c r="BF111" s="17">
        <v>1</v>
      </c>
      <c r="BG111" s="16">
        <v>1</v>
      </c>
      <c r="BH111" s="16">
        <v>1</v>
      </c>
      <c r="BI111" s="16">
        <v>1</v>
      </c>
      <c r="BJ111" s="17">
        <v>1</v>
      </c>
      <c r="BK111" s="16" t="s">
        <v>446</v>
      </c>
      <c r="BL111" s="16" t="s">
        <v>446</v>
      </c>
      <c r="BM111" s="16" t="s">
        <v>446</v>
      </c>
      <c r="BN111" s="17" t="s">
        <v>446</v>
      </c>
      <c r="BP111" s="19">
        <v>8</v>
      </c>
      <c r="BQ111" s="16">
        <v>8</v>
      </c>
      <c r="BR111" s="16">
        <v>8</v>
      </c>
      <c r="BS111" s="17">
        <v>8</v>
      </c>
      <c r="BU111" s="19">
        <v>5</v>
      </c>
      <c r="BV111" s="16">
        <v>5</v>
      </c>
      <c r="BW111" s="16">
        <v>5</v>
      </c>
      <c r="BX111" s="17">
        <v>5</v>
      </c>
      <c r="BZ111" s="19">
        <v>2</v>
      </c>
      <c r="CA111" s="16">
        <v>2</v>
      </c>
      <c r="CB111" s="16">
        <v>2</v>
      </c>
      <c r="CC111" s="17">
        <v>2</v>
      </c>
    </row>
    <row r="112" spans="2:81" ht="18" customHeight="1" x14ac:dyDescent="0.2">
      <c r="B112" s="8">
        <f>garage!B112</f>
        <v>112</v>
      </c>
      <c r="C112" s="8">
        <f>garage!C112</f>
        <v>3</v>
      </c>
      <c r="D112" s="8">
        <f>garage!D112</f>
        <v>36</v>
      </c>
      <c r="E112" s="8">
        <f>garage!E112</f>
        <v>18</v>
      </c>
      <c r="F112" s="8" t="str">
        <f>garage!F112</f>
        <v>L</v>
      </c>
      <c r="G112" s="8" t="str">
        <f>garage!G112</f>
        <v>O</v>
      </c>
      <c r="H112" s="8" t="str">
        <f>garage!H112</f>
        <v>N</v>
      </c>
      <c r="I112" s="8" t="str">
        <f>garage!I112</f>
        <v>N</v>
      </c>
      <c r="J112" s="8" t="str">
        <f>garage!J112</f>
        <v>N</v>
      </c>
      <c r="K112" s="8" t="str">
        <f>garage!K112</f>
        <v>B</v>
      </c>
      <c r="L112" s="9" t="str">
        <f>garage!L112</f>
        <v>Lamborghini</v>
      </c>
      <c r="M112" s="9" t="str">
        <f>garage!M112</f>
        <v>Essenza SCV12</v>
      </c>
      <c r="O112" s="18" t="s">
        <v>446</v>
      </c>
      <c r="P112" s="14" t="s">
        <v>446</v>
      </c>
      <c r="Q112" s="14" t="s">
        <v>446</v>
      </c>
      <c r="R112" s="15" t="s">
        <v>446</v>
      </c>
      <c r="S112" s="14" t="s">
        <v>446</v>
      </c>
      <c r="T112" s="14" t="s">
        <v>446</v>
      </c>
      <c r="U112" s="14" t="s">
        <v>446</v>
      </c>
      <c r="V112" s="15" t="s">
        <v>446</v>
      </c>
      <c r="W112" s="14" t="s">
        <v>446</v>
      </c>
      <c r="X112" s="14" t="s">
        <v>446</v>
      </c>
      <c r="Y112" s="14" t="s">
        <v>446</v>
      </c>
      <c r="Z112" s="15" t="s">
        <v>446</v>
      </c>
      <c r="AA112" s="14" t="s">
        <v>446</v>
      </c>
      <c r="AB112" s="14" t="s">
        <v>446</v>
      </c>
      <c r="AC112" s="14" t="s">
        <v>446</v>
      </c>
      <c r="AD112" s="15" t="s">
        <v>446</v>
      </c>
      <c r="AE112" s="14" t="s">
        <v>446</v>
      </c>
      <c r="AF112" s="14" t="s">
        <v>446</v>
      </c>
      <c r="AG112" s="14" t="s">
        <v>446</v>
      </c>
      <c r="AH112" s="15" t="s">
        <v>446</v>
      </c>
      <c r="AI112" s="14" t="s">
        <v>446</v>
      </c>
      <c r="AJ112" s="14" t="s">
        <v>446</v>
      </c>
      <c r="AK112" s="14" t="s">
        <v>446</v>
      </c>
      <c r="AL112" s="15" t="s">
        <v>446</v>
      </c>
      <c r="AM112" s="14" t="s">
        <v>446</v>
      </c>
      <c r="AN112" s="14" t="s">
        <v>446</v>
      </c>
      <c r="AO112" s="14" t="s">
        <v>446</v>
      </c>
      <c r="AP112" s="15" t="s">
        <v>446</v>
      </c>
      <c r="AQ112" s="14" t="s">
        <v>446</v>
      </c>
      <c r="AR112" s="14" t="s">
        <v>446</v>
      </c>
      <c r="AS112" s="14" t="s">
        <v>446</v>
      </c>
      <c r="AT112" s="15" t="s">
        <v>446</v>
      </c>
      <c r="AU112" s="14" t="s">
        <v>446</v>
      </c>
      <c r="AV112" s="14" t="s">
        <v>446</v>
      </c>
      <c r="AW112" s="14" t="s">
        <v>446</v>
      </c>
      <c r="AX112" s="15" t="s">
        <v>446</v>
      </c>
      <c r="AY112" s="14" t="s">
        <v>446</v>
      </c>
      <c r="AZ112" s="14" t="s">
        <v>446</v>
      </c>
      <c r="BA112" s="14" t="s">
        <v>446</v>
      </c>
      <c r="BB112" s="15" t="s">
        <v>446</v>
      </c>
      <c r="BC112" s="14" t="s">
        <v>446</v>
      </c>
      <c r="BD112" s="14" t="s">
        <v>446</v>
      </c>
      <c r="BE112" s="14" t="s">
        <v>446</v>
      </c>
      <c r="BF112" s="15" t="s">
        <v>446</v>
      </c>
      <c r="BG112" s="14" t="s">
        <v>446</v>
      </c>
      <c r="BH112" s="14" t="s">
        <v>446</v>
      </c>
      <c r="BI112" s="14" t="s">
        <v>446</v>
      </c>
      <c r="BJ112" s="15" t="s">
        <v>446</v>
      </c>
      <c r="BK112" s="14" t="s">
        <v>446</v>
      </c>
      <c r="BL112" s="14" t="s">
        <v>446</v>
      </c>
      <c r="BM112" s="14" t="s">
        <v>446</v>
      </c>
      <c r="BN112" s="15" t="s">
        <v>446</v>
      </c>
      <c r="BP112" s="18" t="s">
        <v>446</v>
      </c>
      <c r="BQ112" s="14" t="s">
        <v>446</v>
      </c>
      <c r="BR112" s="14" t="s">
        <v>446</v>
      </c>
      <c r="BS112" s="15" t="s">
        <v>446</v>
      </c>
      <c r="BU112" s="18" t="s">
        <v>446</v>
      </c>
      <c r="BV112" s="14" t="s">
        <v>446</v>
      </c>
      <c r="BW112" s="14" t="s">
        <v>446</v>
      </c>
      <c r="BX112" s="15" t="s">
        <v>446</v>
      </c>
      <c r="BZ112" s="18" t="s">
        <v>446</v>
      </c>
      <c r="CA112" s="14" t="s">
        <v>446</v>
      </c>
      <c r="CB112" s="14" t="s">
        <v>446</v>
      </c>
      <c r="CC112" s="15" t="s">
        <v>446</v>
      </c>
    </row>
    <row r="113" spans="2:81" ht="18" customHeight="1" x14ac:dyDescent="0.2">
      <c r="B113" s="10">
        <f>garage!B113</f>
        <v>113</v>
      </c>
      <c r="C113" s="10">
        <f>garage!C113</f>
        <v>3</v>
      </c>
      <c r="D113" s="10">
        <f>garage!D113</f>
        <v>37</v>
      </c>
      <c r="E113" s="10">
        <f>garage!E113</f>
        <v>29</v>
      </c>
      <c r="F113" s="10" t="str">
        <f>garage!F113</f>
        <v>M</v>
      </c>
      <c r="G113" s="10" t="str">
        <f>garage!G113</f>
        <v>N</v>
      </c>
      <c r="H113" s="10" t="str">
        <f>garage!H113</f>
        <v>N</v>
      </c>
      <c r="I113" s="10" t="str">
        <f>garage!I113</f>
        <v>N</v>
      </c>
      <c r="J113" s="10" t="str">
        <f>garage!J113</f>
        <v>N</v>
      </c>
      <c r="K113" s="10" t="str">
        <f>garage!K113</f>
        <v>B</v>
      </c>
      <c r="L113" s="11" t="str">
        <f>garage!L113</f>
        <v>McLaren</v>
      </c>
      <c r="M113" s="11" t="str">
        <f>garage!M113</f>
        <v>600LT Spider</v>
      </c>
      <c r="O113" s="19" t="s">
        <v>446</v>
      </c>
      <c r="P113" s="16" t="s">
        <v>446</v>
      </c>
      <c r="Q113" s="16" t="s">
        <v>446</v>
      </c>
      <c r="R113" s="17" t="s">
        <v>446</v>
      </c>
      <c r="S113" s="16" t="s">
        <v>446</v>
      </c>
      <c r="T113" s="16" t="s">
        <v>446</v>
      </c>
      <c r="U113" s="16" t="s">
        <v>446</v>
      </c>
      <c r="V113" s="17" t="s">
        <v>446</v>
      </c>
      <c r="W113" s="16" t="s">
        <v>446</v>
      </c>
      <c r="X113" s="16" t="s">
        <v>446</v>
      </c>
      <c r="Y113" s="16" t="s">
        <v>446</v>
      </c>
      <c r="Z113" s="17" t="s">
        <v>446</v>
      </c>
      <c r="AA113" s="16" t="s">
        <v>446</v>
      </c>
      <c r="AB113" s="16" t="s">
        <v>446</v>
      </c>
      <c r="AC113" s="16" t="s">
        <v>446</v>
      </c>
      <c r="AD113" s="17" t="s">
        <v>446</v>
      </c>
      <c r="AE113" s="16" t="s">
        <v>446</v>
      </c>
      <c r="AF113" s="16" t="s">
        <v>446</v>
      </c>
      <c r="AG113" s="16" t="s">
        <v>446</v>
      </c>
      <c r="AH113" s="17" t="s">
        <v>446</v>
      </c>
      <c r="AI113" s="16" t="s">
        <v>446</v>
      </c>
      <c r="AJ113" s="16" t="s">
        <v>446</v>
      </c>
      <c r="AK113" s="16" t="s">
        <v>446</v>
      </c>
      <c r="AL113" s="17" t="s">
        <v>446</v>
      </c>
      <c r="AM113" s="16" t="s">
        <v>446</v>
      </c>
      <c r="AN113" s="16" t="s">
        <v>446</v>
      </c>
      <c r="AO113" s="16" t="s">
        <v>446</v>
      </c>
      <c r="AP113" s="17" t="s">
        <v>446</v>
      </c>
      <c r="AQ113" s="16" t="s">
        <v>446</v>
      </c>
      <c r="AR113" s="16" t="s">
        <v>446</v>
      </c>
      <c r="AS113" s="16" t="s">
        <v>446</v>
      </c>
      <c r="AT113" s="17" t="s">
        <v>446</v>
      </c>
      <c r="AU113" s="16" t="s">
        <v>446</v>
      </c>
      <c r="AV113" s="16" t="s">
        <v>446</v>
      </c>
      <c r="AW113" s="16" t="s">
        <v>446</v>
      </c>
      <c r="AX113" s="17" t="s">
        <v>446</v>
      </c>
      <c r="AY113" s="16" t="s">
        <v>446</v>
      </c>
      <c r="AZ113" s="16" t="s">
        <v>446</v>
      </c>
      <c r="BA113" s="16" t="s">
        <v>446</v>
      </c>
      <c r="BB113" s="17" t="s">
        <v>446</v>
      </c>
      <c r="BC113" s="16" t="s">
        <v>446</v>
      </c>
      <c r="BD113" s="16" t="s">
        <v>446</v>
      </c>
      <c r="BE113" s="16" t="s">
        <v>446</v>
      </c>
      <c r="BF113" s="17" t="s">
        <v>446</v>
      </c>
      <c r="BG113" s="16" t="s">
        <v>446</v>
      </c>
      <c r="BH113" s="16" t="s">
        <v>446</v>
      </c>
      <c r="BI113" s="16" t="s">
        <v>446</v>
      </c>
      <c r="BJ113" s="17" t="s">
        <v>446</v>
      </c>
      <c r="BK113" s="16" t="s">
        <v>446</v>
      </c>
      <c r="BL113" s="16" t="s">
        <v>446</v>
      </c>
      <c r="BM113" s="16" t="s">
        <v>446</v>
      </c>
      <c r="BN113" s="17" t="s">
        <v>446</v>
      </c>
      <c r="BP113" s="19" t="s">
        <v>446</v>
      </c>
      <c r="BQ113" s="16" t="s">
        <v>446</v>
      </c>
      <c r="BR113" s="16" t="s">
        <v>446</v>
      </c>
      <c r="BS113" s="17" t="s">
        <v>446</v>
      </c>
      <c r="BU113" s="19" t="s">
        <v>446</v>
      </c>
      <c r="BV113" s="16" t="s">
        <v>446</v>
      </c>
      <c r="BW113" s="16" t="s">
        <v>446</v>
      </c>
      <c r="BX113" s="17" t="s">
        <v>446</v>
      </c>
      <c r="BZ113" s="19" t="s">
        <v>446</v>
      </c>
      <c r="CA113" s="16" t="s">
        <v>446</v>
      </c>
      <c r="CB113" s="16" t="s">
        <v>446</v>
      </c>
      <c r="CC113" s="17" t="s">
        <v>446</v>
      </c>
    </row>
    <row r="114" spans="2:81" ht="18" customHeight="1" x14ac:dyDescent="0.2">
      <c r="B114" s="10">
        <f>garage!B114</f>
        <v>114</v>
      </c>
      <c r="C114" s="10">
        <f>garage!C114</f>
        <v>3</v>
      </c>
      <c r="D114" s="10">
        <f>garage!D114</f>
        <v>38</v>
      </c>
      <c r="E114" s="10">
        <f>garage!E114</f>
        <v>32</v>
      </c>
      <c r="F114" s="10" t="str">
        <f>garage!F114</f>
        <v>--</v>
      </c>
      <c r="G114" s="10" t="str">
        <f>garage!G114</f>
        <v>N</v>
      </c>
      <c r="H114" s="10" t="str">
        <f>garage!H114</f>
        <v>N</v>
      </c>
      <c r="I114" s="10" t="str">
        <f>garage!I114</f>
        <v>N</v>
      </c>
      <c r="J114" s="10" t="str">
        <f>garage!J114</f>
        <v>N</v>
      </c>
      <c r="K114" s="10" t="str">
        <f>garage!K114</f>
        <v>B</v>
      </c>
      <c r="L114" s="11" t="str">
        <f>garage!L114</f>
        <v>McLaren</v>
      </c>
      <c r="M114" s="11" t="str">
        <f>garage!M114</f>
        <v>Solus GT</v>
      </c>
      <c r="O114" s="19" t="s">
        <v>446</v>
      </c>
      <c r="P114" s="16" t="s">
        <v>446</v>
      </c>
      <c r="Q114" s="16" t="s">
        <v>446</v>
      </c>
      <c r="R114" s="17" t="s">
        <v>446</v>
      </c>
      <c r="S114" s="16" t="s">
        <v>446</v>
      </c>
      <c r="T114" s="16" t="s">
        <v>446</v>
      </c>
      <c r="U114" s="16" t="s">
        <v>446</v>
      </c>
      <c r="V114" s="17" t="s">
        <v>446</v>
      </c>
      <c r="W114" s="16" t="s">
        <v>446</v>
      </c>
      <c r="X114" s="16" t="s">
        <v>446</v>
      </c>
      <c r="Y114" s="16" t="s">
        <v>446</v>
      </c>
      <c r="Z114" s="17" t="s">
        <v>446</v>
      </c>
      <c r="AA114" s="16" t="s">
        <v>446</v>
      </c>
      <c r="AB114" s="16" t="s">
        <v>446</v>
      </c>
      <c r="AC114" s="16" t="s">
        <v>446</v>
      </c>
      <c r="AD114" s="17" t="s">
        <v>446</v>
      </c>
      <c r="AE114" s="16" t="s">
        <v>446</v>
      </c>
      <c r="AF114" s="16" t="s">
        <v>446</v>
      </c>
      <c r="AG114" s="16" t="s">
        <v>446</v>
      </c>
      <c r="AH114" s="17" t="s">
        <v>446</v>
      </c>
      <c r="AI114" s="16" t="s">
        <v>446</v>
      </c>
      <c r="AJ114" s="16" t="s">
        <v>446</v>
      </c>
      <c r="AK114" s="16" t="s">
        <v>446</v>
      </c>
      <c r="AL114" s="17" t="s">
        <v>446</v>
      </c>
      <c r="AM114" s="16" t="s">
        <v>446</v>
      </c>
      <c r="AN114" s="16" t="s">
        <v>446</v>
      </c>
      <c r="AO114" s="16" t="s">
        <v>446</v>
      </c>
      <c r="AP114" s="17" t="s">
        <v>446</v>
      </c>
      <c r="AQ114" s="16" t="s">
        <v>446</v>
      </c>
      <c r="AR114" s="16" t="s">
        <v>446</v>
      </c>
      <c r="AS114" s="16" t="s">
        <v>446</v>
      </c>
      <c r="AT114" s="17" t="s">
        <v>446</v>
      </c>
      <c r="AU114" s="16" t="s">
        <v>446</v>
      </c>
      <c r="AV114" s="16" t="s">
        <v>446</v>
      </c>
      <c r="AW114" s="16" t="s">
        <v>446</v>
      </c>
      <c r="AX114" s="17" t="s">
        <v>446</v>
      </c>
      <c r="AY114" s="16" t="s">
        <v>446</v>
      </c>
      <c r="AZ114" s="16" t="s">
        <v>446</v>
      </c>
      <c r="BA114" s="16" t="s">
        <v>446</v>
      </c>
      <c r="BB114" s="17" t="s">
        <v>446</v>
      </c>
      <c r="BC114" s="16" t="s">
        <v>446</v>
      </c>
      <c r="BD114" s="16" t="s">
        <v>446</v>
      </c>
      <c r="BE114" s="16" t="s">
        <v>446</v>
      </c>
      <c r="BF114" s="17" t="s">
        <v>446</v>
      </c>
      <c r="BG114" s="16" t="s">
        <v>446</v>
      </c>
      <c r="BH114" s="16" t="s">
        <v>446</v>
      </c>
      <c r="BI114" s="16" t="s">
        <v>446</v>
      </c>
      <c r="BJ114" s="17" t="s">
        <v>446</v>
      </c>
      <c r="BK114" s="16" t="s">
        <v>446</v>
      </c>
      <c r="BL114" s="16" t="s">
        <v>446</v>
      </c>
      <c r="BM114" s="16" t="s">
        <v>446</v>
      </c>
      <c r="BN114" s="17" t="s">
        <v>446</v>
      </c>
      <c r="BP114" s="19" t="s">
        <v>446</v>
      </c>
      <c r="BQ114" s="16" t="s">
        <v>446</v>
      </c>
      <c r="BR114" s="16" t="s">
        <v>446</v>
      </c>
      <c r="BS114" s="17" t="s">
        <v>446</v>
      </c>
      <c r="BU114" s="19" t="s">
        <v>446</v>
      </c>
      <c r="BV114" s="16" t="s">
        <v>446</v>
      </c>
      <c r="BW114" s="16" t="s">
        <v>446</v>
      </c>
      <c r="BX114" s="17" t="s">
        <v>446</v>
      </c>
      <c r="BZ114" s="19" t="s">
        <v>446</v>
      </c>
      <c r="CA114" s="16" t="s">
        <v>446</v>
      </c>
      <c r="CB114" s="16" t="s">
        <v>446</v>
      </c>
      <c r="CC114" s="17" t="s">
        <v>446</v>
      </c>
    </row>
    <row r="115" spans="2:81" ht="18" customHeight="1" x14ac:dyDescent="0.2">
      <c r="B115" s="8">
        <f>garage!B115</f>
        <v>115</v>
      </c>
      <c r="C115" s="8">
        <f>garage!C115</f>
        <v>3</v>
      </c>
      <c r="D115" s="8">
        <f>garage!D115</f>
        <v>39</v>
      </c>
      <c r="E115" s="8">
        <f>garage!E115</f>
        <v>24</v>
      </c>
      <c r="F115" s="8" t="str">
        <f>garage!F115</f>
        <v>--</v>
      </c>
      <c r="G115" s="8" t="str">
        <f>garage!G115</f>
        <v>O</v>
      </c>
      <c r="H115" s="8" t="str">
        <f>garage!H115</f>
        <v>N</v>
      </c>
      <c r="I115" s="8" t="str">
        <f>garage!I115</f>
        <v>N</v>
      </c>
      <c r="J115" s="8" t="str">
        <f>garage!J115</f>
        <v>N</v>
      </c>
      <c r="K115" s="8" t="str">
        <f>garage!K115</f>
        <v>B</v>
      </c>
      <c r="L115" s="9" t="str">
        <f>garage!L115</f>
        <v>Puritalia</v>
      </c>
      <c r="M115" s="9" t="str">
        <f>garage!M115</f>
        <v>Berlinetta</v>
      </c>
      <c r="O115" s="18" t="s">
        <v>446</v>
      </c>
      <c r="P115" s="14" t="s">
        <v>446</v>
      </c>
      <c r="Q115" s="14" t="s">
        <v>446</v>
      </c>
      <c r="R115" s="15" t="s">
        <v>446</v>
      </c>
      <c r="S115" s="14" t="s">
        <v>446</v>
      </c>
      <c r="T115" s="14" t="s">
        <v>446</v>
      </c>
      <c r="U115" s="14" t="s">
        <v>446</v>
      </c>
      <c r="V115" s="15" t="s">
        <v>446</v>
      </c>
      <c r="W115" s="14" t="s">
        <v>446</v>
      </c>
      <c r="X115" s="14" t="s">
        <v>446</v>
      </c>
      <c r="Y115" s="14" t="s">
        <v>446</v>
      </c>
      <c r="Z115" s="15" t="s">
        <v>446</v>
      </c>
      <c r="AA115" s="14" t="s">
        <v>446</v>
      </c>
      <c r="AB115" s="14" t="s">
        <v>446</v>
      </c>
      <c r="AC115" s="14" t="s">
        <v>446</v>
      </c>
      <c r="AD115" s="15" t="s">
        <v>446</v>
      </c>
      <c r="AE115" s="14" t="s">
        <v>446</v>
      </c>
      <c r="AF115" s="14" t="s">
        <v>446</v>
      </c>
      <c r="AG115" s="14" t="s">
        <v>446</v>
      </c>
      <c r="AH115" s="15" t="s">
        <v>446</v>
      </c>
      <c r="AI115" s="14" t="s">
        <v>446</v>
      </c>
      <c r="AJ115" s="14" t="s">
        <v>446</v>
      </c>
      <c r="AK115" s="14" t="s">
        <v>446</v>
      </c>
      <c r="AL115" s="15" t="s">
        <v>446</v>
      </c>
      <c r="AM115" s="14" t="s">
        <v>446</v>
      </c>
      <c r="AN115" s="14" t="s">
        <v>446</v>
      </c>
      <c r="AO115" s="14" t="s">
        <v>446</v>
      </c>
      <c r="AP115" s="15" t="s">
        <v>446</v>
      </c>
      <c r="AQ115" s="14" t="s">
        <v>446</v>
      </c>
      <c r="AR115" s="14" t="s">
        <v>446</v>
      </c>
      <c r="AS115" s="14" t="s">
        <v>446</v>
      </c>
      <c r="AT115" s="15" t="s">
        <v>446</v>
      </c>
      <c r="AU115" s="14" t="s">
        <v>446</v>
      </c>
      <c r="AV115" s="14" t="s">
        <v>446</v>
      </c>
      <c r="AW115" s="14" t="s">
        <v>446</v>
      </c>
      <c r="AX115" s="15" t="s">
        <v>446</v>
      </c>
      <c r="AY115" s="14" t="s">
        <v>446</v>
      </c>
      <c r="AZ115" s="14" t="s">
        <v>446</v>
      </c>
      <c r="BA115" s="14" t="s">
        <v>446</v>
      </c>
      <c r="BB115" s="15" t="s">
        <v>446</v>
      </c>
      <c r="BC115" s="14" t="s">
        <v>446</v>
      </c>
      <c r="BD115" s="14" t="s">
        <v>446</v>
      </c>
      <c r="BE115" s="14" t="s">
        <v>446</v>
      </c>
      <c r="BF115" s="15" t="s">
        <v>446</v>
      </c>
      <c r="BG115" s="14" t="s">
        <v>446</v>
      </c>
      <c r="BH115" s="14" t="s">
        <v>446</v>
      </c>
      <c r="BI115" s="14" t="s">
        <v>446</v>
      </c>
      <c r="BJ115" s="15" t="s">
        <v>446</v>
      </c>
      <c r="BK115" s="14" t="s">
        <v>446</v>
      </c>
      <c r="BL115" s="14" t="s">
        <v>446</v>
      </c>
      <c r="BM115" s="14" t="s">
        <v>446</v>
      </c>
      <c r="BN115" s="15" t="s">
        <v>446</v>
      </c>
      <c r="BP115" s="18" t="s">
        <v>446</v>
      </c>
      <c r="BQ115" s="14" t="s">
        <v>446</v>
      </c>
      <c r="BR115" s="14" t="s">
        <v>446</v>
      </c>
      <c r="BS115" s="15" t="s">
        <v>446</v>
      </c>
      <c r="BU115" s="18" t="s">
        <v>446</v>
      </c>
      <c r="BV115" s="14" t="s">
        <v>446</v>
      </c>
      <c r="BW115" s="14" t="s">
        <v>446</v>
      </c>
      <c r="BX115" s="15" t="s">
        <v>446</v>
      </c>
      <c r="BZ115" s="18" t="s">
        <v>446</v>
      </c>
      <c r="CA115" s="14" t="s">
        <v>446</v>
      </c>
      <c r="CB115" s="14" t="s">
        <v>446</v>
      </c>
      <c r="CC115" s="15" t="s">
        <v>446</v>
      </c>
    </row>
    <row r="116" spans="2:81" ht="18" customHeight="1" x14ac:dyDescent="0.2">
      <c r="B116" s="10">
        <f>garage!B116</f>
        <v>116</v>
      </c>
      <c r="C116" s="10">
        <f>garage!C116</f>
        <v>3</v>
      </c>
      <c r="D116" s="10">
        <f>garage!D116</f>
        <v>40</v>
      </c>
      <c r="E116" s="10">
        <f>garage!E116</f>
        <v>0</v>
      </c>
      <c r="F116" s="10" t="str">
        <f>garage!F116</f>
        <v>L</v>
      </c>
      <c r="G116" s="10" t="str">
        <f>garage!G116</f>
        <v>O</v>
      </c>
      <c r="H116" s="10" t="str">
        <f>garage!H116</f>
        <v>O</v>
      </c>
      <c r="I116" s="10" t="str">
        <f>garage!I116</f>
        <v>O</v>
      </c>
      <c r="J116" s="10" t="str">
        <f>garage!J116</f>
        <v>N</v>
      </c>
      <c r="K116" s="10" t="str">
        <f>garage!K116</f>
        <v>B</v>
      </c>
      <c r="L116" s="11" t="str">
        <f>garage!L116</f>
        <v>Lamborghini</v>
      </c>
      <c r="M116" s="11" t="str">
        <f>garage!M116</f>
        <v>Huracán Evo Spyder</v>
      </c>
      <c r="O116" s="19">
        <v>1</v>
      </c>
      <c r="P116" s="16">
        <v>1</v>
      </c>
      <c r="Q116" s="16">
        <v>1</v>
      </c>
      <c r="R116" s="17">
        <v>1</v>
      </c>
      <c r="S116" s="16">
        <v>1</v>
      </c>
      <c r="T116" s="16">
        <v>1</v>
      </c>
      <c r="U116" s="16">
        <v>1</v>
      </c>
      <c r="V116" s="17">
        <v>1</v>
      </c>
      <c r="W116" s="16">
        <v>1</v>
      </c>
      <c r="X116" s="16">
        <v>1</v>
      </c>
      <c r="Y116" s="16">
        <v>1</v>
      </c>
      <c r="Z116" s="17">
        <v>1</v>
      </c>
      <c r="AA116" s="16">
        <v>1</v>
      </c>
      <c r="AB116" s="16">
        <v>1</v>
      </c>
      <c r="AC116" s="16">
        <v>1</v>
      </c>
      <c r="AD116" s="17">
        <v>1</v>
      </c>
      <c r="AE116" s="16">
        <v>1</v>
      </c>
      <c r="AF116" s="16">
        <v>1</v>
      </c>
      <c r="AG116" s="16">
        <v>1</v>
      </c>
      <c r="AH116" s="17">
        <v>1</v>
      </c>
      <c r="AI116" s="16">
        <v>1</v>
      </c>
      <c r="AJ116" s="16">
        <v>1</v>
      </c>
      <c r="AK116" s="16">
        <v>1</v>
      </c>
      <c r="AL116" s="17">
        <v>1</v>
      </c>
      <c r="AM116" s="16">
        <v>1</v>
      </c>
      <c r="AN116" s="16">
        <v>1</v>
      </c>
      <c r="AO116" s="16">
        <v>1</v>
      </c>
      <c r="AP116" s="17">
        <v>1</v>
      </c>
      <c r="AQ116" s="16">
        <v>1</v>
      </c>
      <c r="AR116" s="16">
        <v>1</v>
      </c>
      <c r="AS116" s="16">
        <v>1</v>
      </c>
      <c r="AT116" s="17">
        <v>1</v>
      </c>
      <c r="AU116" s="16">
        <v>1</v>
      </c>
      <c r="AV116" s="16">
        <v>1</v>
      </c>
      <c r="AW116" s="16">
        <v>1</v>
      </c>
      <c r="AX116" s="17">
        <v>1</v>
      </c>
      <c r="AY116" s="16">
        <v>1</v>
      </c>
      <c r="AZ116" s="16">
        <v>1</v>
      </c>
      <c r="BA116" s="16">
        <v>1</v>
      </c>
      <c r="BB116" s="17">
        <v>1</v>
      </c>
      <c r="BC116" s="16">
        <v>1</v>
      </c>
      <c r="BD116" s="16">
        <v>1</v>
      </c>
      <c r="BE116" s="16">
        <v>1</v>
      </c>
      <c r="BF116" s="17">
        <v>1</v>
      </c>
      <c r="BG116" s="16">
        <v>1</v>
      </c>
      <c r="BH116" s="16">
        <v>1</v>
      </c>
      <c r="BI116" s="16">
        <v>1</v>
      </c>
      <c r="BJ116" s="17">
        <v>1</v>
      </c>
      <c r="BK116" s="16" t="s">
        <v>446</v>
      </c>
      <c r="BL116" s="16" t="s">
        <v>446</v>
      </c>
      <c r="BM116" s="16" t="s">
        <v>446</v>
      </c>
      <c r="BN116" s="17" t="s">
        <v>446</v>
      </c>
      <c r="BP116" s="19">
        <v>8</v>
      </c>
      <c r="BQ116" s="16">
        <v>8</v>
      </c>
      <c r="BR116" s="16">
        <v>8</v>
      </c>
      <c r="BS116" s="17">
        <v>8</v>
      </c>
      <c r="BU116" s="19">
        <v>5</v>
      </c>
      <c r="BV116" s="16">
        <v>5</v>
      </c>
      <c r="BW116" s="16">
        <v>5</v>
      </c>
      <c r="BX116" s="17">
        <v>5</v>
      </c>
      <c r="BZ116" s="19">
        <v>2</v>
      </c>
      <c r="CA116" s="16">
        <v>2</v>
      </c>
      <c r="CB116" s="16">
        <v>2</v>
      </c>
      <c r="CC116" s="17">
        <v>2</v>
      </c>
    </row>
    <row r="117" spans="2:81" ht="18" customHeight="1" x14ac:dyDescent="0.2">
      <c r="B117" s="8">
        <f>garage!B117</f>
        <v>117</v>
      </c>
      <c r="C117" s="8">
        <f>garage!C117</f>
        <v>3</v>
      </c>
      <c r="D117" s="8">
        <f>garage!D117</f>
        <v>41</v>
      </c>
      <c r="E117" s="8">
        <f>garage!E117</f>
        <v>11</v>
      </c>
      <c r="F117" s="8" t="str">
        <f>garage!F117</f>
        <v>P</v>
      </c>
      <c r="G117" s="8" t="str">
        <f>garage!G117</f>
        <v>O</v>
      </c>
      <c r="H117" s="8" t="str">
        <f>garage!H117</f>
        <v>N</v>
      </c>
      <c r="I117" s="8" t="str">
        <f>garage!I117</f>
        <v>N</v>
      </c>
      <c r="J117" s="8" t="str">
        <f>garage!J117</f>
        <v>N</v>
      </c>
      <c r="K117" s="8" t="str">
        <f>garage!K117</f>
        <v>B</v>
      </c>
      <c r="L117" s="9" t="str">
        <f>garage!L117</f>
        <v>Porsche</v>
      </c>
      <c r="M117" s="9" t="str">
        <f>garage!M117</f>
        <v>Carrera GT</v>
      </c>
      <c r="O117" s="18">
        <v>1</v>
      </c>
      <c r="P117" s="14">
        <v>1</v>
      </c>
      <c r="Q117" s="14">
        <v>1</v>
      </c>
      <c r="R117" s="15">
        <v>1</v>
      </c>
      <c r="S117" s="14">
        <v>1</v>
      </c>
      <c r="T117" s="14">
        <v>1</v>
      </c>
      <c r="U117" s="14">
        <v>1</v>
      </c>
      <c r="V117" s="15">
        <v>1</v>
      </c>
      <c r="W117" s="14">
        <v>1</v>
      </c>
      <c r="X117" s="14">
        <v>1</v>
      </c>
      <c r="Y117" s="14">
        <v>1</v>
      </c>
      <c r="Z117" s="15">
        <v>1</v>
      </c>
      <c r="AA117" s="14">
        <v>1</v>
      </c>
      <c r="AB117" s="14">
        <v>1</v>
      </c>
      <c r="AC117" s="14">
        <v>1</v>
      </c>
      <c r="AD117" s="15">
        <v>1</v>
      </c>
      <c r="AE117" s="14">
        <v>1</v>
      </c>
      <c r="AF117" s="14">
        <v>1</v>
      </c>
      <c r="AG117" s="14">
        <v>1</v>
      </c>
      <c r="AH117" s="15">
        <v>1</v>
      </c>
      <c r="AI117" s="14">
        <v>1</v>
      </c>
      <c r="AJ117" s="14">
        <v>1</v>
      </c>
      <c r="AK117" s="14">
        <v>1</v>
      </c>
      <c r="AL117" s="15">
        <v>1</v>
      </c>
      <c r="AM117" s="14">
        <v>1</v>
      </c>
      <c r="AN117" s="14">
        <v>1</v>
      </c>
      <c r="AO117" s="14">
        <v>1</v>
      </c>
      <c r="AP117" s="15">
        <v>1</v>
      </c>
      <c r="AQ117" s="14">
        <v>1</v>
      </c>
      <c r="AR117" s="14">
        <v>1</v>
      </c>
      <c r="AS117" s="14">
        <v>1</v>
      </c>
      <c r="AT117" s="15">
        <v>1</v>
      </c>
      <c r="AU117" s="14">
        <v>1</v>
      </c>
      <c r="AV117" s="14">
        <v>1</v>
      </c>
      <c r="AW117" s="14">
        <v>1</v>
      </c>
      <c r="AX117" s="15">
        <v>1</v>
      </c>
      <c r="AY117" s="14" t="s">
        <v>446</v>
      </c>
      <c r="AZ117" s="14" t="s">
        <v>446</v>
      </c>
      <c r="BA117" s="14" t="s">
        <v>446</v>
      </c>
      <c r="BB117" s="15">
        <v>1</v>
      </c>
      <c r="BC117" s="14" t="s">
        <v>446</v>
      </c>
      <c r="BD117" s="14" t="s">
        <v>446</v>
      </c>
      <c r="BE117" s="14" t="s">
        <v>446</v>
      </c>
      <c r="BF117" s="15" t="s">
        <v>446</v>
      </c>
      <c r="BG117" s="14" t="s">
        <v>446</v>
      </c>
      <c r="BH117" s="14" t="s">
        <v>446</v>
      </c>
      <c r="BI117" s="14" t="s">
        <v>446</v>
      </c>
      <c r="BJ117" s="15" t="s">
        <v>446</v>
      </c>
      <c r="BK117" s="14" t="s">
        <v>446</v>
      </c>
      <c r="BL117" s="14" t="s">
        <v>446</v>
      </c>
      <c r="BM117" s="14" t="s">
        <v>446</v>
      </c>
      <c r="BN117" s="15" t="s">
        <v>446</v>
      </c>
      <c r="BP117" s="18">
        <v>7</v>
      </c>
      <c r="BQ117" s="14">
        <v>6</v>
      </c>
      <c r="BR117" s="14">
        <v>6</v>
      </c>
      <c r="BS117" s="15">
        <v>7</v>
      </c>
      <c r="BU117" s="18">
        <v>2</v>
      </c>
      <c r="BV117" s="14">
        <v>3</v>
      </c>
      <c r="BW117" s="14">
        <v>3</v>
      </c>
      <c r="BX117" s="15">
        <v>3</v>
      </c>
      <c r="BZ117" s="18" t="s">
        <v>446</v>
      </c>
      <c r="CA117" s="14" t="s">
        <v>446</v>
      </c>
      <c r="CB117" s="14" t="s">
        <v>446</v>
      </c>
      <c r="CC117" s="15" t="s">
        <v>446</v>
      </c>
    </row>
    <row r="118" spans="2:81" ht="18" customHeight="1" x14ac:dyDescent="0.2">
      <c r="B118" s="10">
        <f>garage!B118</f>
        <v>118</v>
      </c>
      <c r="C118" s="10">
        <f>garage!C118</f>
        <v>3</v>
      </c>
      <c r="D118" s="10">
        <f>garage!D118</f>
        <v>42</v>
      </c>
      <c r="E118" s="10">
        <f>garage!E118</f>
        <v>22</v>
      </c>
      <c r="F118" s="10" t="str">
        <f>garage!F118</f>
        <v>--</v>
      </c>
      <c r="G118" s="10" t="str">
        <f>garage!G118</f>
        <v>O</v>
      </c>
      <c r="H118" s="10" t="str">
        <f>garage!H118</f>
        <v>N</v>
      </c>
      <c r="I118" s="10" t="str">
        <f>garage!I118</f>
        <v>N</v>
      </c>
      <c r="J118" s="10" t="str">
        <f>garage!J118</f>
        <v>N</v>
      </c>
      <c r="K118" s="10" t="str">
        <f>garage!K118</f>
        <v>B</v>
      </c>
      <c r="L118" s="11" t="str">
        <f>garage!L118</f>
        <v>Nissan</v>
      </c>
      <c r="M118" s="11" t="str">
        <f>garage!M118</f>
        <v>GTR-50 Italdesign</v>
      </c>
      <c r="O118" s="19">
        <v>1</v>
      </c>
      <c r="P118" s="16">
        <v>1</v>
      </c>
      <c r="Q118" s="16">
        <v>1</v>
      </c>
      <c r="R118" s="17">
        <v>1</v>
      </c>
      <c r="S118" s="16">
        <v>1</v>
      </c>
      <c r="T118" s="16">
        <v>1</v>
      </c>
      <c r="U118" s="16">
        <v>1</v>
      </c>
      <c r="V118" s="17">
        <v>1</v>
      </c>
      <c r="W118" s="16">
        <v>1</v>
      </c>
      <c r="X118" s="16">
        <v>1</v>
      </c>
      <c r="Y118" s="16">
        <v>1</v>
      </c>
      <c r="Z118" s="17">
        <v>1</v>
      </c>
      <c r="AA118" s="16" t="s">
        <v>446</v>
      </c>
      <c r="AB118" s="16" t="s">
        <v>446</v>
      </c>
      <c r="AC118" s="16" t="s">
        <v>446</v>
      </c>
      <c r="AD118" s="17" t="s">
        <v>446</v>
      </c>
      <c r="AE118" s="16" t="s">
        <v>446</v>
      </c>
      <c r="AF118" s="16" t="s">
        <v>446</v>
      </c>
      <c r="AG118" s="16" t="s">
        <v>446</v>
      </c>
      <c r="AH118" s="17" t="s">
        <v>446</v>
      </c>
      <c r="AI118" s="16" t="s">
        <v>446</v>
      </c>
      <c r="AJ118" s="16" t="s">
        <v>446</v>
      </c>
      <c r="AK118" s="16" t="s">
        <v>446</v>
      </c>
      <c r="AL118" s="17" t="s">
        <v>446</v>
      </c>
      <c r="AM118" s="16" t="s">
        <v>446</v>
      </c>
      <c r="AN118" s="16" t="s">
        <v>446</v>
      </c>
      <c r="AO118" s="16" t="s">
        <v>446</v>
      </c>
      <c r="AP118" s="17" t="s">
        <v>446</v>
      </c>
      <c r="AQ118" s="16" t="s">
        <v>446</v>
      </c>
      <c r="AR118" s="16" t="s">
        <v>446</v>
      </c>
      <c r="AS118" s="16" t="s">
        <v>446</v>
      </c>
      <c r="AT118" s="17" t="s">
        <v>446</v>
      </c>
      <c r="AU118" s="16" t="s">
        <v>446</v>
      </c>
      <c r="AV118" s="16" t="s">
        <v>446</v>
      </c>
      <c r="AW118" s="16" t="s">
        <v>446</v>
      </c>
      <c r="AX118" s="17" t="s">
        <v>446</v>
      </c>
      <c r="AY118" s="16" t="s">
        <v>446</v>
      </c>
      <c r="AZ118" s="16" t="s">
        <v>446</v>
      </c>
      <c r="BA118" s="16" t="s">
        <v>446</v>
      </c>
      <c r="BB118" s="17" t="s">
        <v>446</v>
      </c>
      <c r="BC118" s="16" t="s">
        <v>446</v>
      </c>
      <c r="BD118" s="16" t="s">
        <v>446</v>
      </c>
      <c r="BE118" s="16" t="s">
        <v>446</v>
      </c>
      <c r="BF118" s="17" t="s">
        <v>446</v>
      </c>
      <c r="BG118" s="16" t="s">
        <v>446</v>
      </c>
      <c r="BH118" s="16" t="s">
        <v>446</v>
      </c>
      <c r="BI118" s="16" t="s">
        <v>446</v>
      </c>
      <c r="BJ118" s="17" t="s">
        <v>446</v>
      </c>
      <c r="BK118" s="16" t="s">
        <v>446</v>
      </c>
      <c r="BL118" s="16" t="s">
        <v>446</v>
      </c>
      <c r="BM118" s="16" t="s">
        <v>446</v>
      </c>
      <c r="BN118" s="17" t="s">
        <v>446</v>
      </c>
      <c r="BP118" s="19">
        <v>3</v>
      </c>
      <c r="BQ118" s="16">
        <v>2</v>
      </c>
      <c r="BR118" s="16">
        <v>2</v>
      </c>
      <c r="BS118" s="17">
        <v>3</v>
      </c>
      <c r="BU118" s="19" t="s">
        <v>446</v>
      </c>
      <c r="BV118" s="16" t="s">
        <v>446</v>
      </c>
      <c r="BW118" s="16" t="s">
        <v>446</v>
      </c>
      <c r="BX118" s="17" t="s">
        <v>446</v>
      </c>
      <c r="BZ118" s="19" t="s">
        <v>446</v>
      </c>
      <c r="CA118" s="16" t="s">
        <v>446</v>
      </c>
      <c r="CB118" s="16" t="s">
        <v>446</v>
      </c>
      <c r="CC118" s="17" t="s">
        <v>446</v>
      </c>
    </row>
    <row r="119" spans="2:81" ht="18" customHeight="1" x14ac:dyDescent="0.2">
      <c r="B119" s="8">
        <f>garage!B119</f>
        <v>119</v>
      </c>
      <c r="C119" s="8">
        <f>garage!C119</f>
        <v>3</v>
      </c>
      <c r="D119" s="8">
        <f>garage!D119</f>
        <v>43</v>
      </c>
      <c r="E119" s="8">
        <f>garage!E119</f>
        <v>19</v>
      </c>
      <c r="F119" s="8" t="str">
        <f>garage!F119</f>
        <v>--</v>
      </c>
      <c r="G119" s="8" t="str">
        <f>garage!G119</f>
        <v>N</v>
      </c>
      <c r="H119" s="8" t="str">
        <f>garage!H119</f>
        <v>N</v>
      </c>
      <c r="I119" s="8" t="str">
        <f>garage!I119</f>
        <v>N</v>
      </c>
      <c r="J119" s="8" t="str">
        <f>garage!J119</f>
        <v>O</v>
      </c>
      <c r="K119" s="8" t="str">
        <f>garage!K119</f>
        <v>B</v>
      </c>
      <c r="L119" s="9" t="str">
        <f>garage!L119</f>
        <v>Zenvo</v>
      </c>
      <c r="M119" s="9" t="str">
        <f>garage!M119</f>
        <v>TSR-S</v>
      </c>
      <c r="O119" s="18" t="s">
        <v>446</v>
      </c>
      <c r="P119" s="14" t="s">
        <v>446</v>
      </c>
      <c r="Q119" s="14" t="s">
        <v>446</v>
      </c>
      <c r="R119" s="15" t="s">
        <v>446</v>
      </c>
      <c r="S119" s="14" t="s">
        <v>446</v>
      </c>
      <c r="T119" s="14" t="s">
        <v>446</v>
      </c>
      <c r="U119" s="14" t="s">
        <v>446</v>
      </c>
      <c r="V119" s="15" t="s">
        <v>446</v>
      </c>
      <c r="W119" s="14" t="s">
        <v>446</v>
      </c>
      <c r="X119" s="14" t="s">
        <v>446</v>
      </c>
      <c r="Y119" s="14" t="s">
        <v>446</v>
      </c>
      <c r="Z119" s="15" t="s">
        <v>446</v>
      </c>
      <c r="AA119" s="14" t="s">
        <v>446</v>
      </c>
      <c r="AB119" s="14" t="s">
        <v>446</v>
      </c>
      <c r="AC119" s="14" t="s">
        <v>446</v>
      </c>
      <c r="AD119" s="15" t="s">
        <v>446</v>
      </c>
      <c r="AE119" s="14" t="s">
        <v>446</v>
      </c>
      <c r="AF119" s="14" t="s">
        <v>446</v>
      </c>
      <c r="AG119" s="14" t="s">
        <v>446</v>
      </c>
      <c r="AH119" s="15" t="s">
        <v>446</v>
      </c>
      <c r="AI119" s="14" t="s">
        <v>446</v>
      </c>
      <c r="AJ119" s="14" t="s">
        <v>446</v>
      </c>
      <c r="AK119" s="14" t="s">
        <v>446</v>
      </c>
      <c r="AL119" s="15" t="s">
        <v>446</v>
      </c>
      <c r="AM119" s="14" t="s">
        <v>446</v>
      </c>
      <c r="AN119" s="14" t="s">
        <v>446</v>
      </c>
      <c r="AO119" s="14" t="s">
        <v>446</v>
      </c>
      <c r="AP119" s="15" t="s">
        <v>446</v>
      </c>
      <c r="AQ119" s="14" t="s">
        <v>446</v>
      </c>
      <c r="AR119" s="14" t="s">
        <v>446</v>
      </c>
      <c r="AS119" s="14" t="s">
        <v>446</v>
      </c>
      <c r="AT119" s="15" t="s">
        <v>446</v>
      </c>
      <c r="AU119" s="14" t="s">
        <v>446</v>
      </c>
      <c r="AV119" s="14" t="s">
        <v>446</v>
      </c>
      <c r="AW119" s="14" t="s">
        <v>446</v>
      </c>
      <c r="AX119" s="15" t="s">
        <v>446</v>
      </c>
      <c r="AY119" s="14" t="s">
        <v>446</v>
      </c>
      <c r="AZ119" s="14" t="s">
        <v>446</v>
      </c>
      <c r="BA119" s="14" t="s">
        <v>446</v>
      </c>
      <c r="BB119" s="15" t="s">
        <v>446</v>
      </c>
      <c r="BC119" s="14" t="s">
        <v>446</v>
      </c>
      <c r="BD119" s="14" t="s">
        <v>446</v>
      </c>
      <c r="BE119" s="14" t="s">
        <v>446</v>
      </c>
      <c r="BF119" s="15" t="s">
        <v>446</v>
      </c>
      <c r="BG119" s="14" t="s">
        <v>446</v>
      </c>
      <c r="BH119" s="14" t="s">
        <v>446</v>
      </c>
      <c r="BI119" s="14" t="s">
        <v>446</v>
      </c>
      <c r="BJ119" s="15" t="s">
        <v>446</v>
      </c>
      <c r="BK119" s="14" t="s">
        <v>446</v>
      </c>
      <c r="BL119" s="14" t="s">
        <v>446</v>
      </c>
      <c r="BM119" s="14" t="s">
        <v>446</v>
      </c>
      <c r="BN119" s="15" t="s">
        <v>446</v>
      </c>
      <c r="BP119" s="18" t="s">
        <v>446</v>
      </c>
      <c r="BQ119" s="14" t="s">
        <v>446</v>
      </c>
      <c r="BR119" s="14" t="s">
        <v>446</v>
      </c>
      <c r="BS119" s="15" t="s">
        <v>446</v>
      </c>
      <c r="BU119" s="18" t="s">
        <v>446</v>
      </c>
      <c r="BV119" s="14" t="s">
        <v>446</v>
      </c>
      <c r="BW119" s="14" t="s">
        <v>446</v>
      </c>
      <c r="BX119" s="15" t="s">
        <v>446</v>
      </c>
      <c r="BZ119" s="18" t="s">
        <v>446</v>
      </c>
      <c r="CA119" s="14" t="s">
        <v>446</v>
      </c>
      <c r="CB119" s="14" t="s">
        <v>446</v>
      </c>
      <c r="CC119" s="15" t="s">
        <v>446</v>
      </c>
    </row>
    <row r="120" spans="2:81" ht="18" customHeight="1" x14ac:dyDescent="0.2">
      <c r="B120" s="10">
        <f>garage!B120</f>
        <v>120</v>
      </c>
      <c r="C120" s="10">
        <f>garage!C120</f>
        <v>3</v>
      </c>
      <c r="D120" s="10">
        <f>garage!D120</f>
        <v>44</v>
      </c>
      <c r="E120" s="10">
        <f>garage!E120</f>
        <v>25</v>
      </c>
      <c r="F120" s="10" t="str">
        <f>garage!F120</f>
        <v>L</v>
      </c>
      <c r="G120" s="10" t="str">
        <f>garage!G120</f>
        <v>N</v>
      </c>
      <c r="H120" s="10" t="str">
        <f>garage!H120</f>
        <v>N</v>
      </c>
      <c r="I120" s="10" t="str">
        <f>garage!I120</f>
        <v>N</v>
      </c>
      <c r="J120" s="10" t="str">
        <f>garage!J120</f>
        <v>N</v>
      </c>
      <c r="K120" s="10" t="str">
        <f>garage!K120</f>
        <v>B</v>
      </c>
      <c r="L120" s="11" t="str">
        <f>garage!L120</f>
        <v>Lamborghini</v>
      </c>
      <c r="M120" s="11" t="str">
        <f>garage!M120</f>
        <v>Sesto Elemento</v>
      </c>
      <c r="O120" s="19" t="s">
        <v>446</v>
      </c>
      <c r="P120" s="16" t="s">
        <v>446</v>
      </c>
      <c r="Q120" s="16" t="s">
        <v>446</v>
      </c>
      <c r="R120" s="17" t="s">
        <v>446</v>
      </c>
      <c r="S120" s="16" t="s">
        <v>446</v>
      </c>
      <c r="T120" s="16" t="s">
        <v>446</v>
      </c>
      <c r="U120" s="16" t="s">
        <v>446</v>
      </c>
      <c r="V120" s="17" t="s">
        <v>446</v>
      </c>
      <c r="W120" s="16" t="s">
        <v>446</v>
      </c>
      <c r="X120" s="16" t="s">
        <v>446</v>
      </c>
      <c r="Y120" s="16" t="s">
        <v>446</v>
      </c>
      <c r="Z120" s="17" t="s">
        <v>446</v>
      </c>
      <c r="AA120" s="16" t="s">
        <v>446</v>
      </c>
      <c r="AB120" s="16" t="s">
        <v>446</v>
      </c>
      <c r="AC120" s="16" t="s">
        <v>446</v>
      </c>
      <c r="AD120" s="17" t="s">
        <v>446</v>
      </c>
      <c r="AE120" s="16" t="s">
        <v>446</v>
      </c>
      <c r="AF120" s="16" t="s">
        <v>446</v>
      </c>
      <c r="AG120" s="16" t="s">
        <v>446</v>
      </c>
      <c r="AH120" s="17" t="s">
        <v>446</v>
      </c>
      <c r="AI120" s="16" t="s">
        <v>446</v>
      </c>
      <c r="AJ120" s="16" t="s">
        <v>446</v>
      </c>
      <c r="AK120" s="16" t="s">
        <v>446</v>
      </c>
      <c r="AL120" s="17" t="s">
        <v>446</v>
      </c>
      <c r="AM120" s="16" t="s">
        <v>446</v>
      </c>
      <c r="AN120" s="16" t="s">
        <v>446</v>
      </c>
      <c r="AO120" s="16" t="s">
        <v>446</v>
      </c>
      <c r="AP120" s="17" t="s">
        <v>446</v>
      </c>
      <c r="AQ120" s="16" t="s">
        <v>446</v>
      </c>
      <c r="AR120" s="16" t="s">
        <v>446</v>
      </c>
      <c r="AS120" s="16" t="s">
        <v>446</v>
      </c>
      <c r="AT120" s="17" t="s">
        <v>446</v>
      </c>
      <c r="AU120" s="16" t="s">
        <v>446</v>
      </c>
      <c r="AV120" s="16" t="s">
        <v>446</v>
      </c>
      <c r="AW120" s="16" t="s">
        <v>446</v>
      </c>
      <c r="AX120" s="17" t="s">
        <v>446</v>
      </c>
      <c r="AY120" s="16" t="s">
        <v>446</v>
      </c>
      <c r="AZ120" s="16" t="s">
        <v>446</v>
      </c>
      <c r="BA120" s="16" t="s">
        <v>446</v>
      </c>
      <c r="BB120" s="17" t="s">
        <v>446</v>
      </c>
      <c r="BC120" s="16" t="s">
        <v>446</v>
      </c>
      <c r="BD120" s="16" t="s">
        <v>446</v>
      </c>
      <c r="BE120" s="16" t="s">
        <v>446</v>
      </c>
      <c r="BF120" s="17" t="s">
        <v>446</v>
      </c>
      <c r="BG120" s="16" t="s">
        <v>446</v>
      </c>
      <c r="BH120" s="16" t="s">
        <v>446</v>
      </c>
      <c r="BI120" s="16" t="s">
        <v>446</v>
      </c>
      <c r="BJ120" s="17" t="s">
        <v>446</v>
      </c>
      <c r="BK120" s="16" t="s">
        <v>446</v>
      </c>
      <c r="BL120" s="16" t="s">
        <v>446</v>
      </c>
      <c r="BM120" s="16" t="s">
        <v>446</v>
      </c>
      <c r="BN120" s="17" t="s">
        <v>446</v>
      </c>
      <c r="BP120" s="19" t="s">
        <v>446</v>
      </c>
      <c r="BQ120" s="16" t="s">
        <v>446</v>
      </c>
      <c r="BR120" s="16" t="s">
        <v>446</v>
      </c>
      <c r="BS120" s="17" t="s">
        <v>446</v>
      </c>
      <c r="BU120" s="19" t="s">
        <v>446</v>
      </c>
      <c r="BV120" s="16" t="s">
        <v>446</v>
      </c>
      <c r="BW120" s="16" t="s">
        <v>446</v>
      </c>
      <c r="BX120" s="17" t="s">
        <v>446</v>
      </c>
      <c r="BZ120" s="19" t="s">
        <v>446</v>
      </c>
      <c r="CA120" s="16" t="s">
        <v>446</v>
      </c>
      <c r="CB120" s="16" t="s">
        <v>446</v>
      </c>
      <c r="CC120" s="17" t="s">
        <v>446</v>
      </c>
    </row>
    <row r="121" spans="2:81" ht="18" customHeight="1" x14ac:dyDescent="0.2">
      <c r="B121" s="8">
        <f>garage!B121</f>
        <v>121</v>
      </c>
      <c r="C121" s="8">
        <f>garage!C121</f>
        <v>3</v>
      </c>
      <c r="D121" s="8">
        <f>garage!D121</f>
        <v>45</v>
      </c>
      <c r="E121" s="8">
        <f>garage!E121</f>
        <v>7</v>
      </c>
      <c r="F121" s="8" t="str">
        <f>garage!F121</f>
        <v>P</v>
      </c>
      <c r="G121" s="8" t="str">
        <f>garage!G121</f>
        <v>O</v>
      </c>
      <c r="H121" s="8" t="str">
        <f>garage!H121</f>
        <v>N</v>
      </c>
      <c r="I121" s="8" t="str">
        <f>garage!I121</f>
        <v>N</v>
      </c>
      <c r="J121" s="8" t="str">
        <f>garage!J121</f>
        <v>N</v>
      </c>
      <c r="K121" s="8" t="str">
        <f>garage!K121</f>
        <v>B</v>
      </c>
      <c r="L121" s="9" t="str">
        <f>garage!L121</f>
        <v>Porsche</v>
      </c>
      <c r="M121" s="9" t="str">
        <f>garage!M121</f>
        <v>911 GT3 RS</v>
      </c>
      <c r="O121" s="18">
        <v>1</v>
      </c>
      <c r="P121" s="14">
        <v>1</v>
      </c>
      <c r="Q121" s="14">
        <v>1</v>
      </c>
      <c r="R121" s="15">
        <v>1</v>
      </c>
      <c r="S121" s="14">
        <v>1</v>
      </c>
      <c r="T121" s="14">
        <v>1</v>
      </c>
      <c r="U121" s="14">
        <v>1</v>
      </c>
      <c r="V121" s="15">
        <v>1</v>
      </c>
      <c r="W121" s="14">
        <v>1</v>
      </c>
      <c r="X121" s="14">
        <v>1</v>
      </c>
      <c r="Y121" s="14">
        <v>1</v>
      </c>
      <c r="Z121" s="15">
        <v>1</v>
      </c>
      <c r="AA121" s="14">
        <v>1</v>
      </c>
      <c r="AB121" s="14">
        <v>1</v>
      </c>
      <c r="AC121" s="14">
        <v>1</v>
      </c>
      <c r="AD121" s="15">
        <v>1</v>
      </c>
      <c r="AE121" s="14">
        <v>1</v>
      </c>
      <c r="AF121" s="14">
        <v>1</v>
      </c>
      <c r="AG121" s="14">
        <v>1</v>
      </c>
      <c r="AH121" s="15">
        <v>1</v>
      </c>
      <c r="AI121" s="14">
        <v>1</v>
      </c>
      <c r="AJ121" s="14">
        <v>1</v>
      </c>
      <c r="AK121" s="14">
        <v>1</v>
      </c>
      <c r="AL121" s="15">
        <v>1</v>
      </c>
      <c r="AM121" s="14">
        <v>1</v>
      </c>
      <c r="AN121" s="14">
        <v>1</v>
      </c>
      <c r="AO121" s="14">
        <v>1</v>
      </c>
      <c r="AP121" s="15">
        <v>1</v>
      </c>
      <c r="AQ121" s="14">
        <v>1</v>
      </c>
      <c r="AR121" s="14">
        <v>1</v>
      </c>
      <c r="AS121" s="14">
        <v>1</v>
      </c>
      <c r="AT121" s="15">
        <v>1</v>
      </c>
      <c r="AU121" s="14">
        <v>1</v>
      </c>
      <c r="AV121" s="14">
        <v>1</v>
      </c>
      <c r="AW121" s="14">
        <v>1</v>
      </c>
      <c r="AX121" s="15">
        <v>1</v>
      </c>
      <c r="AY121" s="14">
        <v>1</v>
      </c>
      <c r="AZ121" s="14">
        <v>1</v>
      </c>
      <c r="BA121" s="14">
        <v>1</v>
      </c>
      <c r="BB121" s="15">
        <v>1</v>
      </c>
      <c r="BC121" s="14">
        <v>1</v>
      </c>
      <c r="BD121" s="14">
        <v>1</v>
      </c>
      <c r="BE121" s="14">
        <v>1</v>
      </c>
      <c r="BF121" s="15">
        <v>1</v>
      </c>
      <c r="BG121" s="14">
        <v>1</v>
      </c>
      <c r="BH121" s="14">
        <v>1</v>
      </c>
      <c r="BI121" s="14">
        <v>1</v>
      </c>
      <c r="BJ121" s="15">
        <v>1</v>
      </c>
      <c r="BK121" s="14" t="s">
        <v>446</v>
      </c>
      <c r="BL121" s="14" t="s">
        <v>446</v>
      </c>
      <c r="BM121" s="14" t="s">
        <v>446</v>
      </c>
      <c r="BN121" s="15" t="s">
        <v>446</v>
      </c>
      <c r="BP121" s="18">
        <v>8</v>
      </c>
      <c r="BQ121" s="14">
        <v>7</v>
      </c>
      <c r="BR121" s="14">
        <v>7</v>
      </c>
      <c r="BS121" s="15">
        <v>8</v>
      </c>
      <c r="BU121" s="18">
        <v>4</v>
      </c>
      <c r="BV121" s="14">
        <v>3</v>
      </c>
      <c r="BW121" s="14">
        <v>3</v>
      </c>
      <c r="BX121" s="15">
        <v>4</v>
      </c>
      <c r="BZ121" s="18" t="s">
        <v>446</v>
      </c>
      <c r="CA121" s="14" t="s">
        <v>446</v>
      </c>
      <c r="CB121" s="14" t="s">
        <v>446</v>
      </c>
      <c r="CC121" s="15" t="s">
        <v>446</v>
      </c>
    </row>
    <row r="122" spans="2:81" ht="18" customHeight="1" x14ac:dyDescent="0.2">
      <c r="B122" s="10">
        <f>garage!B122</f>
        <v>122</v>
      </c>
      <c r="C122" s="10">
        <f>garage!C122</f>
        <v>3</v>
      </c>
      <c r="D122" s="10">
        <f>garage!D122</f>
        <v>46</v>
      </c>
      <c r="E122" s="10">
        <f>garage!E122</f>
        <v>15</v>
      </c>
      <c r="F122" s="10" t="str">
        <f>garage!F122</f>
        <v>F</v>
      </c>
      <c r="G122" s="10" t="str">
        <f>garage!G122</f>
        <v>N</v>
      </c>
      <c r="H122" s="10" t="str">
        <f>garage!H122</f>
        <v>N</v>
      </c>
      <c r="I122" s="10" t="str">
        <f>garage!I122</f>
        <v>N</v>
      </c>
      <c r="J122" s="10" t="str">
        <f>garage!J122</f>
        <v>O</v>
      </c>
      <c r="K122" s="10" t="str">
        <f>garage!K122</f>
        <v>B</v>
      </c>
      <c r="L122" s="11" t="str">
        <f>garage!L122</f>
        <v>Ferrari</v>
      </c>
      <c r="M122" s="11" t="str">
        <f>garage!M122</f>
        <v>488 GTB Challenge EVO</v>
      </c>
      <c r="O122" s="19">
        <v>1</v>
      </c>
      <c r="P122" s="16">
        <v>1</v>
      </c>
      <c r="Q122" s="16">
        <v>1</v>
      </c>
      <c r="R122" s="17">
        <v>1</v>
      </c>
      <c r="S122" s="16">
        <v>1</v>
      </c>
      <c r="T122" s="16">
        <v>1</v>
      </c>
      <c r="U122" s="16">
        <v>1</v>
      </c>
      <c r="V122" s="17">
        <v>1</v>
      </c>
      <c r="W122" s="16">
        <v>1</v>
      </c>
      <c r="X122" s="16">
        <v>1</v>
      </c>
      <c r="Y122" s="16">
        <v>1</v>
      </c>
      <c r="Z122" s="17">
        <v>1</v>
      </c>
      <c r="AA122" s="16">
        <v>1</v>
      </c>
      <c r="AB122" s="16">
        <v>1</v>
      </c>
      <c r="AC122" s="16">
        <v>1</v>
      </c>
      <c r="AD122" s="17">
        <v>1</v>
      </c>
      <c r="AE122" s="16">
        <v>1</v>
      </c>
      <c r="AF122" s="16">
        <v>1</v>
      </c>
      <c r="AG122" s="16">
        <v>1</v>
      </c>
      <c r="AH122" s="17">
        <v>1</v>
      </c>
      <c r="AI122" s="16">
        <v>1</v>
      </c>
      <c r="AJ122" s="16">
        <v>1</v>
      </c>
      <c r="AK122" s="16">
        <v>1</v>
      </c>
      <c r="AL122" s="17">
        <v>1</v>
      </c>
      <c r="AM122" s="16" t="s">
        <v>446</v>
      </c>
      <c r="AN122" s="16" t="s">
        <v>446</v>
      </c>
      <c r="AO122" s="16" t="s">
        <v>446</v>
      </c>
      <c r="AP122" s="17" t="s">
        <v>446</v>
      </c>
      <c r="AQ122" s="16" t="s">
        <v>446</v>
      </c>
      <c r="AR122" s="16" t="s">
        <v>446</v>
      </c>
      <c r="AS122" s="16" t="s">
        <v>446</v>
      </c>
      <c r="AT122" s="17" t="s">
        <v>446</v>
      </c>
      <c r="AU122" s="16" t="s">
        <v>446</v>
      </c>
      <c r="AV122" s="16" t="s">
        <v>446</v>
      </c>
      <c r="AW122" s="16" t="s">
        <v>446</v>
      </c>
      <c r="AX122" s="17" t="s">
        <v>446</v>
      </c>
      <c r="AY122" s="16" t="s">
        <v>446</v>
      </c>
      <c r="AZ122" s="16" t="s">
        <v>446</v>
      </c>
      <c r="BA122" s="16" t="s">
        <v>446</v>
      </c>
      <c r="BB122" s="17" t="s">
        <v>446</v>
      </c>
      <c r="BC122" s="16" t="s">
        <v>446</v>
      </c>
      <c r="BD122" s="16" t="s">
        <v>446</v>
      </c>
      <c r="BE122" s="16" t="s">
        <v>446</v>
      </c>
      <c r="BF122" s="17" t="s">
        <v>446</v>
      </c>
      <c r="BG122" s="16" t="s">
        <v>446</v>
      </c>
      <c r="BH122" s="16" t="s">
        <v>446</v>
      </c>
      <c r="BI122" s="16" t="s">
        <v>446</v>
      </c>
      <c r="BJ122" s="17" t="s">
        <v>446</v>
      </c>
      <c r="BK122" s="16" t="s">
        <v>446</v>
      </c>
      <c r="BL122" s="16" t="s">
        <v>446</v>
      </c>
      <c r="BM122" s="16" t="s">
        <v>446</v>
      </c>
      <c r="BN122" s="17" t="s">
        <v>446</v>
      </c>
      <c r="BP122" s="19" t="s">
        <v>446</v>
      </c>
      <c r="BQ122" s="16" t="s">
        <v>446</v>
      </c>
      <c r="BR122" s="16" t="s">
        <v>446</v>
      </c>
      <c r="BS122" s="17" t="s">
        <v>446</v>
      </c>
      <c r="BU122" s="19" t="s">
        <v>446</v>
      </c>
      <c r="BV122" s="16" t="s">
        <v>446</v>
      </c>
      <c r="BW122" s="16" t="s">
        <v>446</v>
      </c>
      <c r="BX122" s="17" t="s">
        <v>446</v>
      </c>
      <c r="BZ122" s="19" t="s">
        <v>446</v>
      </c>
      <c r="CA122" s="16" t="s">
        <v>446</v>
      </c>
      <c r="CB122" s="16" t="s">
        <v>446</v>
      </c>
      <c r="CC122" s="17" t="s">
        <v>446</v>
      </c>
    </row>
    <row r="123" spans="2:81" ht="18" customHeight="1" x14ac:dyDescent="0.2">
      <c r="B123" s="8">
        <f>garage!B123</f>
        <v>123</v>
      </c>
      <c r="C123" s="8">
        <f>garage!C123</f>
        <v>3</v>
      </c>
      <c r="D123" s="8">
        <f>garage!D123</f>
        <v>47</v>
      </c>
      <c r="E123" s="8">
        <f>garage!E123</f>
        <v>31</v>
      </c>
      <c r="F123" s="8" t="str">
        <f>garage!F123</f>
        <v>--</v>
      </c>
      <c r="G123" s="8" t="str">
        <f>garage!G123</f>
        <v>N</v>
      </c>
      <c r="H123" s="8" t="str">
        <f>garage!H123</f>
        <v>N</v>
      </c>
      <c r="I123" s="8" t="str">
        <f>garage!I123</f>
        <v>N</v>
      </c>
      <c r="J123" s="8" t="str">
        <f>garage!J123</f>
        <v>N</v>
      </c>
      <c r="K123" s="8" t="str">
        <f>garage!K123</f>
        <v>B</v>
      </c>
      <c r="L123" s="9" t="str">
        <f>garage!L123</f>
        <v>Apollo</v>
      </c>
      <c r="M123" s="9" t="str">
        <f>garage!M123</f>
        <v>EVO</v>
      </c>
      <c r="O123" s="18" t="s">
        <v>446</v>
      </c>
      <c r="P123" s="14" t="s">
        <v>446</v>
      </c>
      <c r="Q123" s="14" t="s">
        <v>446</v>
      </c>
      <c r="R123" s="15" t="s">
        <v>446</v>
      </c>
      <c r="S123" s="14" t="s">
        <v>446</v>
      </c>
      <c r="T123" s="14" t="s">
        <v>446</v>
      </c>
      <c r="U123" s="14" t="s">
        <v>446</v>
      </c>
      <c r="V123" s="15" t="s">
        <v>446</v>
      </c>
      <c r="W123" s="14" t="s">
        <v>446</v>
      </c>
      <c r="X123" s="14" t="s">
        <v>446</v>
      </c>
      <c r="Y123" s="14" t="s">
        <v>446</v>
      </c>
      <c r="Z123" s="15" t="s">
        <v>446</v>
      </c>
      <c r="AA123" s="14" t="s">
        <v>446</v>
      </c>
      <c r="AB123" s="14" t="s">
        <v>446</v>
      </c>
      <c r="AC123" s="14" t="s">
        <v>446</v>
      </c>
      <c r="AD123" s="15" t="s">
        <v>446</v>
      </c>
      <c r="AE123" s="14" t="s">
        <v>446</v>
      </c>
      <c r="AF123" s="14" t="s">
        <v>446</v>
      </c>
      <c r="AG123" s="14" t="s">
        <v>446</v>
      </c>
      <c r="AH123" s="15" t="s">
        <v>446</v>
      </c>
      <c r="AI123" s="14" t="s">
        <v>446</v>
      </c>
      <c r="AJ123" s="14" t="s">
        <v>446</v>
      </c>
      <c r="AK123" s="14" t="s">
        <v>446</v>
      </c>
      <c r="AL123" s="15" t="s">
        <v>446</v>
      </c>
      <c r="AM123" s="14" t="s">
        <v>446</v>
      </c>
      <c r="AN123" s="14" t="s">
        <v>446</v>
      </c>
      <c r="AO123" s="14" t="s">
        <v>446</v>
      </c>
      <c r="AP123" s="15" t="s">
        <v>446</v>
      </c>
      <c r="AQ123" s="14" t="s">
        <v>446</v>
      </c>
      <c r="AR123" s="14" t="s">
        <v>446</v>
      </c>
      <c r="AS123" s="14" t="s">
        <v>446</v>
      </c>
      <c r="AT123" s="15" t="s">
        <v>446</v>
      </c>
      <c r="AU123" s="14" t="s">
        <v>446</v>
      </c>
      <c r="AV123" s="14" t="s">
        <v>446</v>
      </c>
      <c r="AW123" s="14" t="s">
        <v>446</v>
      </c>
      <c r="AX123" s="15" t="s">
        <v>446</v>
      </c>
      <c r="AY123" s="14" t="s">
        <v>446</v>
      </c>
      <c r="AZ123" s="14" t="s">
        <v>446</v>
      </c>
      <c r="BA123" s="14" t="s">
        <v>446</v>
      </c>
      <c r="BB123" s="15" t="s">
        <v>446</v>
      </c>
      <c r="BC123" s="14" t="s">
        <v>446</v>
      </c>
      <c r="BD123" s="14" t="s">
        <v>446</v>
      </c>
      <c r="BE123" s="14" t="s">
        <v>446</v>
      </c>
      <c r="BF123" s="15" t="s">
        <v>446</v>
      </c>
      <c r="BG123" s="14" t="s">
        <v>446</v>
      </c>
      <c r="BH123" s="14" t="s">
        <v>446</v>
      </c>
      <c r="BI123" s="14" t="s">
        <v>446</v>
      </c>
      <c r="BJ123" s="15" t="s">
        <v>446</v>
      </c>
      <c r="BK123" s="14" t="s">
        <v>446</v>
      </c>
      <c r="BL123" s="14" t="s">
        <v>446</v>
      </c>
      <c r="BM123" s="14" t="s">
        <v>446</v>
      </c>
      <c r="BN123" s="15" t="s">
        <v>446</v>
      </c>
      <c r="BP123" s="18" t="s">
        <v>446</v>
      </c>
      <c r="BQ123" s="14" t="s">
        <v>446</v>
      </c>
      <c r="BR123" s="14" t="s">
        <v>446</v>
      </c>
      <c r="BS123" s="15" t="s">
        <v>446</v>
      </c>
      <c r="BU123" s="18" t="s">
        <v>446</v>
      </c>
      <c r="BV123" s="14" t="s">
        <v>446</v>
      </c>
      <c r="BW123" s="14" t="s">
        <v>446</v>
      </c>
      <c r="BX123" s="15" t="s">
        <v>446</v>
      </c>
      <c r="BZ123" s="18" t="s">
        <v>446</v>
      </c>
      <c r="CA123" s="14" t="s">
        <v>446</v>
      </c>
      <c r="CB123" s="14" t="s">
        <v>446</v>
      </c>
      <c r="CC123" s="15" t="s">
        <v>446</v>
      </c>
    </row>
    <row r="124" spans="2:81" ht="18" customHeight="1" x14ac:dyDescent="0.2">
      <c r="B124" s="10">
        <f>garage!B124</f>
        <v>124</v>
      </c>
      <c r="C124" s="10">
        <f>garage!C124</f>
        <v>3</v>
      </c>
      <c r="D124" s="10">
        <f>garage!D124</f>
        <v>48</v>
      </c>
      <c r="E124" s="10">
        <f>garage!E124</f>
        <v>10</v>
      </c>
      <c r="F124" s="10" t="str">
        <f>garage!F124</f>
        <v>--</v>
      </c>
      <c r="G124" s="10" t="str">
        <f>garage!G124</f>
        <v>O</v>
      </c>
      <c r="H124" s="10" t="str">
        <f>garage!H124</f>
        <v>N</v>
      </c>
      <c r="I124" s="10" t="str">
        <f>garage!I124</f>
        <v>N</v>
      </c>
      <c r="J124" s="10" t="str">
        <f>garage!J124</f>
        <v>N</v>
      </c>
      <c r="K124" s="10" t="str">
        <f>garage!K124</f>
        <v>B</v>
      </c>
      <c r="L124" s="11" t="str">
        <f>garage!L124</f>
        <v>Lotus</v>
      </c>
      <c r="M124" s="11" t="str">
        <f>garage!M124</f>
        <v>Evija</v>
      </c>
      <c r="O124" s="19">
        <v>1</v>
      </c>
      <c r="P124" s="16">
        <v>1</v>
      </c>
      <c r="Q124" s="16">
        <v>1</v>
      </c>
      <c r="R124" s="17">
        <v>1</v>
      </c>
      <c r="S124" s="16">
        <v>1</v>
      </c>
      <c r="T124" s="16">
        <v>1</v>
      </c>
      <c r="U124" s="16">
        <v>1</v>
      </c>
      <c r="V124" s="17">
        <v>1</v>
      </c>
      <c r="W124" s="16">
        <v>1</v>
      </c>
      <c r="X124" s="16">
        <v>1</v>
      </c>
      <c r="Y124" s="16">
        <v>1</v>
      </c>
      <c r="Z124" s="17">
        <v>1</v>
      </c>
      <c r="AA124" s="16" t="s">
        <v>446</v>
      </c>
      <c r="AB124" s="16" t="s">
        <v>446</v>
      </c>
      <c r="AC124" s="16" t="s">
        <v>446</v>
      </c>
      <c r="AD124" s="17" t="s">
        <v>446</v>
      </c>
      <c r="AE124" s="16" t="s">
        <v>446</v>
      </c>
      <c r="AF124" s="16" t="s">
        <v>446</v>
      </c>
      <c r="AG124" s="16" t="s">
        <v>446</v>
      </c>
      <c r="AH124" s="17" t="s">
        <v>446</v>
      </c>
      <c r="AI124" s="16" t="s">
        <v>446</v>
      </c>
      <c r="AJ124" s="16" t="s">
        <v>446</v>
      </c>
      <c r="AK124" s="16" t="s">
        <v>446</v>
      </c>
      <c r="AL124" s="17" t="s">
        <v>446</v>
      </c>
      <c r="AM124" s="16" t="s">
        <v>446</v>
      </c>
      <c r="AN124" s="16" t="s">
        <v>446</v>
      </c>
      <c r="AO124" s="16" t="s">
        <v>446</v>
      </c>
      <c r="AP124" s="17" t="s">
        <v>446</v>
      </c>
      <c r="AQ124" s="16" t="s">
        <v>446</v>
      </c>
      <c r="AR124" s="16" t="s">
        <v>446</v>
      </c>
      <c r="AS124" s="16" t="s">
        <v>446</v>
      </c>
      <c r="AT124" s="17" t="s">
        <v>446</v>
      </c>
      <c r="AU124" s="16" t="s">
        <v>446</v>
      </c>
      <c r="AV124" s="16" t="s">
        <v>446</v>
      </c>
      <c r="AW124" s="16" t="s">
        <v>446</v>
      </c>
      <c r="AX124" s="17" t="s">
        <v>446</v>
      </c>
      <c r="AY124" s="16" t="s">
        <v>446</v>
      </c>
      <c r="AZ124" s="16" t="s">
        <v>446</v>
      </c>
      <c r="BA124" s="16" t="s">
        <v>446</v>
      </c>
      <c r="BB124" s="17" t="s">
        <v>446</v>
      </c>
      <c r="BC124" s="16" t="s">
        <v>446</v>
      </c>
      <c r="BD124" s="16" t="s">
        <v>446</v>
      </c>
      <c r="BE124" s="16" t="s">
        <v>446</v>
      </c>
      <c r="BF124" s="17" t="s">
        <v>446</v>
      </c>
      <c r="BG124" s="16" t="s">
        <v>446</v>
      </c>
      <c r="BH124" s="16" t="s">
        <v>446</v>
      </c>
      <c r="BI124" s="16" t="s">
        <v>446</v>
      </c>
      <c r="BJ124" s="17" t="s">
        <v>446</v>
      </c>
      <c r="BK124" s="16" t="s">
        <v>446</v>
      </c>
      <c r="BL124" s="16" t="s">
        <v>446</v>
      </c>
      <c r="BM124" s="16" t="s">
        <v>446</v>
      </c>
      <c r="BN124" s="17" t="s">
        <v>446</v>
      </c>
      <c r="BP124" s="19">
        <v>3</v>
      </c>
      <c r="BQ124" s="16">
        <v>2</v>
      </c>
      <c r="BR124" s="16">
        <v>2</v>
      </c>
      <c r="BS124" s="17">
        <v>3</v>
      </c>
      <c r="BU124" s="19" t="s">
        <v>446</v>
      </c>
      <c r="BV124" s="16" t="s">
        <v>446</v>
      </c>
      <c r="BW124" s="16" t="s">
        <v>446</v>
      </c>
      <c r="BX124" s="17" t="s">
        <v>446</v>
      </c>
      <c r="BZ124" s="19" t="s">
        <v>446</v>
      </c>
      <c r="CA124" s="16" t="s">
        <v>446</v>
      </c>
      <c r="CB124" s="16" t="s">
        <v>446</v>
      </c>
      <c r="CC124" s="17" t="s">
        <v>446</v>
      </c>
    </row>
    <row r="125" spans="2:81" ht="18" customHeight="1" x14ac:dyDescent="0.2">
      <c r="B125" s="8">
        <f>garage!B125</f>
        <v>125</v>
      </c>
      <c r="C125" s="8">
        <f>garage!C125</f>
        <v>3</v>
      </c>
      <c r="D125" s="8">
        <f>garage!D125</f>
        <v>49</v>
      </c>
      <c r="E125" s="8">
        <f>garage!E125</f>
        <v>0</v>
      </c>
      <c r="F125" s="8" t="str">
        <f>garage!F125</f>
        <v>M</v>
      </c>
      <c r="G125" s="8" t="str">
        <f>garage!G125</f>
        <v>O</v>
      </c>
      <c r="H125" s="8" t="str">
        <f>garage!H125</f>
        <v>O</v>
      </c>
      <c r="I125" s="8" t="str">
        <f>garage!I125</f>
        <v>N</v>
      </c>
      <c r="J125" s="8" t="str">
        <f>garage!J125</f>
        <v>N</v>
      </c>
      <c r="K125" s="8" t="str">
        <f>garage!K125</f>
        <v>B</v>
      </c>
      <c r="L125" s="9" t="str">
        <f>garage!L125</f>
        <v>McLaren</v>
      </c>
      <c r="M125" s="9" t="str">
        <f>garage!M125</f>
        <v>F1 LM</v>
      </c>
      <c r="O125" s="18">
        <v>1</v>
      </c>
      <c r="P125" s="14">
        <v>1</v>
      </c>
      <c r="Q125" s="14">
        <v>1</v>
      </c>
      <c r="R125" s="15">
        <v>1</v>
      </c>
      <c r="S125" s="14">
        <v>1</v>
      </c>
      <c r="T125" s="14">
        <v>1</v>
      </c>
      <c r="U125" s="14">
        <v>1</v>
      </c>
      <c r="V125" s="15">
        <v>1</v>
      </c>
      <c r="W125" s="14">
        <v>1</v>
      </c>
      <c r="X125" s="14">
        <v>1</v>
      </c>
      <c r="Y125" s="14">
        <v>1</v>
      </c>
      <c r="Z125" s="15">
        <v>1</v>
      </c>
      <c r="AA125" s="14">
        <v>1</v>
      </c>
      <c r="AB125" s="14">
        <v>1</v>
      </c>
      <c r="AC125" s="14">
        <v>1</v>
      </c>
      <c r="AD125" s="15">
        <v>1</v>
      </c>
      <c r="AE125" s="14">
        <v>1</v>
      </c>
      <c r="AF125" s="14">
        <v>1</v>
      </c>
      <c r="AG125" s="14">
        <v>1</v>
      </c>
      <c r="AH125" s="15">
        <v>1</v>
      </c>
      <c r="AI125" s="14">
        <v>1</v>
      </c>
      <c r="AJ125" s="14">
        <v>1</v>
      </c>
      <c r="AK125" s="14">
        <v>1</v>
      </c>
      <c r="AL125" s="15">
        <v>1</v>
      </c>
      <c r="AM125" s="14">
        <v>1</v>
      </c>
      <c r="AN125" s="14">
        <v>1</v>
      </c>
      <c r="AO125" s="14">
        <v>1</v>
      </c>
      <c r="AP125" s="15">
        <v>1</v>
      </c>
      <c r="AQ125" s="14">
        <v>1</v>
      </c>
      <c r="AR125" s="14">
        <v>1</v>
      </c>
      <c r="AS125" s="14">
        <v>1</v>
      </c>
      <c r="AT125" s="15">
        <v>1</v>
      </c>
      <c r="AU125" s="14">
        <v>1</v>
      </c>
      <c r="AV125" s="14">
        <v>1</v>
      </c>
      <c r="AW125" s="14">
        <v>1</v>
      </c>
      <c r="AX125" s="15">
        <v>1</v>
      </c>
      <c r="AY125" s="14">
        <v>1</v>
      </c>
      <c r="AZ125" s="14">
        <v>1</v>
      </c>
      <c r="BA125" s="14">
        <v>1</v>
      </c>
      <c r="BB125" s="15">
        <v>1</v>
      </c>
      <c r="BC125" s="14">
        <v>1</v>
      </c>
      <c r="BD125" s="14">
        <v>1</v>
      </c>
      <c r="BE125" s="14">
        <v>1</v>
      </c>
      <c r="BF125" s="15">
        <v>1</v>
      </c>
      <c r="BG125" s="14">
        <v>1</v>
      </c>
      <c r="BH125" s="14">
        <v>1</v>
      </c>
      <c r="BI125" s="14">
        <v>1</v>
      </c>
      <c r="BJ125" s="15">
        <v>1</v>
      </c>
      <c r="BK125" s="14">
        <v>1</v>
      </c>
      <c r="BL125" s="14">
        <v>1</v>
      </c>
      <c r="BM125" s="14">
        <v>1</v>
      </c>
      <c r="BN125" s="15">
        <v>1</v>
      </c>
      <c r="BP125" s="18">
        <v>8</v>
      </c>
      <c r="BQ125" s="14">
        <v>8</v>
      </c>
      <c r="BR125" s="14">
        <v>8</v>
      </c>
      <c r="BS125" s="15">
        <v>8</v>
      </c>
      <c r="BU125" s="18">
        <v>5</v>
      </c>
      <c r="BV125" s="14">
        <v>5</v>
      </c>
      <c r="BW125" s="14">
        <v>5</v>
      </c>
      <c r="BX125" s="15">
        <v>5</v>
      </c>
      <c r="BZ125" s="18">
        <v>3</v>
      </c>
      <c r="CA125" s="14">
        <v>3</v>
      </c>
      <c r="CB125" s="14" t="s">
        <v>446</v>
      </c>
      <c r="CC125" s="15">
        <v>3</v>
      </c>
    </row>
    <row r="126" spans="2:81" ht="18" customHeight="1" x14ac:dyDescent="0.2">
      <c r="B126" s="10">
        <f>garage!B126</f>
        <v>126</v>
      </c>
      <c r="C126" s="10">
        <f>garage!C126</f>
        <v>3</v>
      </c>
      <c r="D126" s="10">
        <f>garage!D126</f>
        <v>50</v>
      </c>
      <c r="E126" s="10">
        <f>garage!E126</f>
        <v>19</v>
      </c>
      <c r="F126" s="10" t="str">
        <f>garage!F126</f>
        <v>--</v>
      </c>
      <c r="G126" s="10" t="str">
        <f>garage!G126</f>
        <v>O</v>
      </c>
      <c r="H126" s="10" t="str">
        <f>garage!H126</f>
        <v>O</v>
      </c>
      <c r="I126" s="10" t="str">
        <f>garage!I126</f>
        <v>O</v>
      </c>
      <c r="J126" s="10" t="str">
        <f>garage!J126</f>
        <v>N</v>
      </c>
      <c r="K126" s="10" t="str">
        <f>garage!K126</f>
        <v>B</v>
      </c>
      <c r="L126" s="11" t="str">
        <f>garage!L126</f>
        <v>Volkswagen</v>
      </c>
      <c r="M126" s="11" t="str">
        <f>garage!M126</f>
        <v>W12 Coupe</v>
      </c>
      <c r="O126" s="19">
        <v>1</v>
      </c>
      <c r="P126" s="16">
        <v>1</v>
      </c>
      <c r="Q126" s="16">
        <v>1</v>
      </c>
      <c r="R126" s="17">
        <v>1</v>
      </c>
      <c r="S126" s="16">
        <v>1</v>
      </c>
      <c r="T126" s="16">
        <v>1</v>
      </c>
      <c r="U126" s="16">
        <v>1</v>
      </c>
      <c r="V126" s="17">
        <v>1</v>
      </c>
      <c r="W126" s="16">
        <v>1</v>
      </c>
      <c r="X126" s="16">
        <v>1</v>
      </c>
      <c r="Y126" s="16">
        <v>1</v>
      </c>
      <c r="Z126" s="17">
        <v>1</v>
      </c>
      <c r="AA126" s="16">
        <v>1</v>
      </c>
      <c r="AB126" s="16">
        <v>1</v>
      </c>
      <c r="AC126" s="16">
        <v>1</v>
      </c>
      <c r="AD126" s="17">
        <v>1</v>
      </c>
      <c r="AE126" s="16">
        <v>1</v>
      </c>
      <c r="AF126" s="16">
        <v>1</v>
      </c>
      <c r="AG126" s="16">
        <v>1</v>
      </c>
      <c r="AH126" s="17">
        <v>1</v>
      </c>
      <c r="AI126" s="16">
        <v>1</v>
      </c>
      <c r="AJ126" s="16">
        <v>1</v>
      </c>
      <c r="AK126" s="16">
        <v>1</v>
      </c>
      <c r="AL126" s="17">
        <v>1</v>
      </c>
      <c r="AM126" s="16">
        <v>1</v>
      </c>
      <c r="AN126" s="16">
        <v>1</v>
      </c>
      <c r="AO126" s="16">
        <v>1</v>
      </c>
      <c r="AP126" s="17">
        <v>1</v>
      </c>
      <c r="AQ126" s="16">
        <v>1</v>
      </c>
      <c r="AR126" s="16">
        <v>1</v>
      </c>
      <c r="AS126" s="16">
        <v>1</v>
      </c>
      <c r="AT126" s="17">
        <v>1</v>
      </c>
      <c r="AU126" s="16">
        <v>1</v>
      </c>
      <c r="AV126" s="16">
        <v>1</v>
      </c>
      <c r="AW126" s="16">
        <v>1</v>
      </c>
      <c r="AX126" s="17">
        <v>1</v>
      </c>
      <c r="AY126" s="16">
        <v>1</v>
      </c>
      <c r="AZ126" s="16">
        <v>1</v>
      </c>
      <c r="BA126" s="16">
        <v>1</v>
      </c>
      <c r="BB126" s="17">
        <v>1</v>
      </c>
      <c r="BC126" s="16">
        <v>1</v>
      </c>
      <c r="BD126" s="16">
        <v>1</v>
      </c>
      <c r="BE126" s="16">
        <v>1</v>
      </c>
      <c r="BF126" s="17">
        <v>1</v>
      </c>
      <c r="BG126" s="16">
        <v>1</v>
      </c>
      <c r="BH126" s="16">
        <v>1</v>
      </c>
      <c r="BI126" s="16">
        <v>1</v>
      </c>
      <c r="BJ126" s="17">
        <v>1</v>
      </c>
      <c r="BK126" s="16">
        <v>1</v>
      </c>
      <c r="BL126" s="16">
        <v>1</v>
      </c>
      <c r="BM126" s="16">
        <v>1</v>
      </c>
      <c r="BN126" s="17">
        <v>1</v>
      </c>
      <c r="BP126" s="19">
        <v>8</v>
      </c>
      <c r="BQ126" s="16">
        <v>8</v>
      </c>
      <c r="BR126" s="16">
        <v>8</v>
      </c>
      <c r="BS126" s="17">
        <v>8</v>
      </c>
      <c r="BU126" s="19">
        <v>5</v>
      </c>
      <c r="BV126" s="16">
        <v>5</v>
      </c>
      <c r="BW126" s="16">
        <v>5</v>
      </c>
      <c r="BX126" s="17">
        <v>5</v>
      </c>
      <c r="BZ126" s="19">
        <v>3</v>
      </c>
      <c r="CA126" s="16">
        <v>3</v>
      </c>
      <c r="CB126" s="16">
        <v>3</v>
      </c>
      <c r="CC126" s="17">
        <v>3</v>
      </c>
    </row>
    <row r="127" spans="2:81" ht="18" customHeight="1" x14ac:dyDescent="0.2">
      <c r="B127" s="8">
        <f>garage!B127</f>
        <v>127</v>
      </c>
      <c r="C127" s="8">
        <f>garage!C127</f>
        <v>3</v>
      </c>
      <c r="D127" s="8">
        <f>garage!D127</f>
        <v>51</v>
      </c>
      <c r="E127" s="8">
        <f>garage!E127</f>
        <v>26</v>
      </c>
      <c r="F127" s="8" t="str">
        <f>garage!F127</f>
        <v>--</v>
      </c>
      <c r="G127" s="8" t="str">
        <f>garage!G127</f>
        <v>N</v>
      </c>
      <c r="H127" s="8" t="str">
        <f>garage!H127</f>
        <v>N</v>
      </c>
      <c r="I127" s="8" t="str">
        <f>garage!I127</f>
        <v>N</v>
      </c>
      <c r="J127" s="8" t="str">
        <f>garage!J127</f>
        <v>N</v>
      </c>
      <c r="K127" s="8" t="str">
        <f>garage!K127</f>
        <v>B</v>
      </c>
      <c r="L127" s="9" t="str">
        <f>garage!L127</f>
        <v>Pagani</v>
      </c>
      <c r="M127" s="9" t="str">
        <f>garage!M127</f>
        <v>Huayra R</v>
      </c>
      <c r="O127" s="18" t="s">
        <v>446</v>
      </c>
      <c r="P127" s="14" t="s">
        <v>446</v>
      </c>
      <c r="Q127" s="14" t="s">
        <v>446</v>
      </c>
      <c r="R127" s="15" t="s">
        <v>446</v>
      </c>
      <c r="S127" s="14" t="s">
        <v>446</v>
      </c>
      <c r="T127" s="14" t="s">
        <v>446</v>
      </c>
      <c r="U127" s="14" t="s">
        <v>446</v>
      </c>
      <c r="V127" s="15" t="s">
        <v>446</v>
      </c>
      <c r="W127" s="14" t="s">
        <v>446</v>
      </c>
      <c r="X127" s="14" t="s">
        <v>446</v>
      </c>
      <c r="Y127" s="14" t="s">
        <v>446</v>
      </c>
      <c r="Z127" s="15" t="s">
        <v>446</v>
      </c>
      <c r="AA127" s="14" t="s">
        <v>446</v>
      </c>
      <c r="AB127" s="14" t="s">
        <v>446</v>
      </c>
      <c r="AC127" s="14" t="s">
        <v>446</v>
      </c>
      <c r="AD127" s="15" t="s">
        <v>446</v>
      </c>
      <c r="AE127" s="14" t="s">
        <v>446</v>
      </c>
      <c r="AF127" s="14" t="s">
        <v>446</v>
      </c>
      <c r="AG127" s="14" t="s">
        <v>446</v>
      </c>
      <c r="AH127" s="15" t="s">
        <v>446</v>
      </c>
      <c r="AI127" s="14" t="s">
        <v>446</v>
      </c>
      <c r="AJ127" s="14" t="s">
        <v>446</v>
      </c>
      <c r="AK127" s="14" t="s">
        <v>446</v>
      </c>
      <c r="AL127" s="15" t="s">
        <v>446</v>
      </c>
      <c r="AM127" s="14" t="s">
        <v>446</v>
      </c>
      <c r="AN127" s="14" t="s">
        <v>446</v>
      </c>
      <c r="AO127" s="14" t="s">
        <v>446</v>
      </c>
      <c r="AP127" s="15" t="s">
        <v>446</v>
      </c>
      <c r="AQ127" s="14" t="s">
        <v>446</v>
      </c>
      <c r="AR127" s="14" t="s">
        <v>446</v>
      </c>
      <c r="AS127" s="14" t="s">
        <v>446</v>
      </c>
      <c r="AT127" s="15" t="s">
        <v>446</v>
      </c>
      <c r="AU127" s="14" t="s">
        <v>446</v>
      </c>
      <c r="AV127" s="14" t="s">
        <v>446</v>
      </c>
      <c r="AW127" s="14" t="s">
        <v>446</v>
      </c>
      <c r="AX127" s="15" t="s">
        <v>446</v>
      </c>
      <c r="AY127" s="14" t="s">
        <v>446</v>
      </c>
      <c r="AZ127" s="14" t="s">
        <v>446</v>
      </c>
      <c r="BA127" s="14" t="s">
        <v>446</v>
      </c>
      <c r="BB127" s="15" t="s">
        <v>446</v>
      </c>
      <c r="BC127" s="14" t="s">
        <v>446</v>
      </c>
      <c r="BD127" s="14" t="s">
        <v>446</v>
      </c>
      <c r="BE127" s="14" t="s">
        <v>446</v>
      </c>
      <c r="BF127" s="15" t="s">
        <v>446</v>
      </c>
      <c r="BG127" s="14" t="s">
        <v>446</v>
      </c>
      <c r="BH127" s="14" t="s">
        <v>446</v>
      </c>
      <c r="BI127" s="14" t="s">
        <v>446</v>
      </c>
      <c r="BJ127" s="15" t="s">
        <v>446</v>
      </c>
      <c r="BK127" s="14" t="s">
        <v>446</v>
      </c>
      <c r="BL127" s="14" t="s">
        <v>446</v>
      </c>
      <c r="BM127" s="14" t="s">
        <v>446</v>
      </c>
      <c r="BN127" s="15" t="s">
        <v>446</v>
      </c>
      <c r="BP127" s="18" t="s">
        <v>446</v>
      </c>
      <c r="BQ127" s="14" t="s">
        <v>446</v>
      </c>
      <c r="BR127" s="14" t="s">
        <v>446</v>
      </c>
      <c r="BS127" s="15" t="s">
        <v>446</v>
      </c>
      <c r="BU127" s="18" t="s">
        <v>446</v>
      </c>
      <c r="BV127" s="14" t="s">
        <v>446</v>
      </c>
      <c r="BW127" s="14" t="s">
        <v>446</v>
      </c>
      <c r="BX127" s="15" t="s">
        <v>446</v>
      </c>
      <c r="BZ127" s="18" t="s">
        <v>446</v>
      </c>
      <c r="CA127" s="14" t="s">
        <v>446</v>
      </c>
      <c r="CB127" s="14" t="s">
        <v>446</v>
      </c>
      <c r="CC127" s="15" t="s">
        <v>446</v>
      </c>
    </row>
    <row r="128" spans="2:81" ht="18" customHeight="1" x14ac:dyDescent="0.2">
      <c r="B128" s="10">
        <f>garage!B128</f>
        <v>128</v>
      </c>
      <c r="C128" s="10">
        <f>garage!C128</f>
        <v>3</v>
      </c>
      <c r="D128" s="10">
        <f>garage!D128</f>
        <v>52</v>
      </c>
      <c r="E128" s="10">
        <f>garage!E128</f>
        <v>30</v>
      </c>
      <c r="F128" s="10" t="str">
        <f>garage!F128</f>
        <v>L</v>
      </c>
      <c r="G128" s="10" t="str">
        <f>garage!G128</f>
        <v>O</v>
      </c>
      <c r="H128" s="10" t="str">
        <f>garage!H128</f>
        <v>N</v>
      </c>
      <c r="I128" s="10" t="str">
        <f>garage!I128</f>
        <v>N</v>
      </c>
      <c r="J128" s="10" t="str">
        <f>garage!J128</f>
        <v>N</v>
      </c>
      <c r="K128" s="10" t="str">
        <f>garage!K128</f>
        <v>B</v>
      </c>
      <c r="L128" s="11" t="str">
        <f>garage!L128</f>
        <v>Lamborghini</v>
      </c>
      <c r="M128" s="11" t="str">
        <f>garage!M128</f>
        <v>Revuelto</v>
      </c>
      <c r="O128" s="19" t="s">
        <v>446</v>
      </c>
      <c r="P128" s="16" t="s">
        <v>446</v>
      </c>
      <c r="Q128" s="16" t="s">
        <v>446</v>
      </c>
      <c r="R128" s="17" t="s">
        <v>446</v>
      </c>
      <c r="S128" s="16" t="s">
        <v>446</v>
      </c>
      <c r="T128" s="16" t="s">
        <v>446</v>
      </c>
      <c r="U128" s="16" t="s">
        <v>446</v>
      </c>
      <c r="V128" s="17" t="s">
        <v>446</v>
      </c>
      <c r="W128" s="16" t="s">
        <v>446</v>
      </c>
      <c r="X128" s="16" t="s">
        <v>446</v>
      </c>
      <c r="Y128" s="16" t="s">
        <v>446</v>
      </c>
      <c r="Z128" s="17" t="s">
        <v>446</v>
      </c>
      <c r="AA128" s="16" t="s">
        <v>446</v>
      </c>
      <c r="AB128" s="16" t="s">
        <v>446</v>
      </c>
      <c r="AC128" s="16" t="s">
        <v>446</v>
      </c>
      <c r="AD128" s="17" t="s">
        <v>446</v>
      </c>
      <c r="AE128" s="16" t="s">
        <v>446</v>
      </c>
      <c r="AF128" s="16" t="s">
        <v>446</v>
      </c>
      <c r="AG128" s="16" t="s">
        <v>446</v>
      </c>
      <c r="AH128" s="17" t="s">
        <v>446</v>
      </c>
      <c r="AI128" s="16" t="s">
        <v>446</v>
      </c>
      <c r="AJ128" s="16" t="s">
        <v>446</v>
      </c>
      <c r="AK128" s="16" t="s">
        <v>446</v>
      </c>
      <c r="AL128" s="17" t="s">
        <v>446</v>
      </c>
      <c r="AM128" s="16" t="s">
        <v>446</v>
      </c>
      <c r="AN128" s="16" t="s">
        <v>446</v>
      </c>
      <c r="AO128" s="16" t="s">
        <v>446</v>
      </c>
      <c r="AP128" s="17" t="s">
        <v>446</v>
      </c>
      <c r="AQ128" s="16" t="s">
        <v>446</v>
      </c>
      <c r="AR128" s="16" t="s">
        <v>446</v>
      </c>
      <c r="AS128" s="16" t="s">
        <v>446</v>
      </c>
      <c r="AT128" s="17" t="s">
        <v>446</v>
      </c>
      <c r="AU128" s="16" t="s">
        <v>446</v>
      </c>
      <c r="AV128" s="16" t="s">
        <v>446</v>
      </c>
      <c r="AW128" s="16" t="s">
        <v>446</v>
      </c>
      <c r="AX128" s="17" t="s">
        <v>446</v>
      </c>
      <c r="AY128" s="16" t="s">
        <v>446</v>
      </c>
      <c r="AZ128" s="16" t="s">
        <v>446</v>
      </c>
      <c r="BA128" s="16" t="s">
        <v>446</v>
      </c>
      <c r="BB128" s="17" t="s">
        <v>446</v>
      </c>
      <c r="BC128" s="16" t="s">
        <v>446</v>
      </c>
      <c r="BD128" s="16" t="s">
        <v>446</v>
      </c>
      <c r="BE128" s="16" t="s">
        <v>446</v>
      </c>
      <c r="BF128" s="17" t="s">
        <v>446</v>
      </c>
      <c r="BG128" s="16" t="s">
        <v>446</v>
      </c>
      <c r="BH128" s="16" t="s">
        <v>446</v>
      </c>
      <c r="BI128" s="16" t="s">
        <v>446</v>
      </c>
      <c r="BJ128" s="17" t="s">
        <v>446</v>
      </c>
      <c r="BK128" s="16" t="s">
        <v>446</v>
      </c>
      <c r="BL128" s="16" t="s">
        <v>446</v>
      </c>
      <c r="BM128" s="16" t="s">
        <v>446</v>
      </c>
      <c r="BN128" s="17" t="s">
        <v>446</v>
      </c>
      <c r="BP128" s="19" t="s">
        <v>446</v>
      </c>
      <c r="BQ128" s="16" t="s">
        <v>446</v>
      </c>
      <c r="BR128" s="16" t="s">
        <v>446</v>
      </c>
      <c r="BS128" s="17" t="s">
        <v>446</v>
      </c>
      <c r="BU128" s="19" t="s">
        <v>446</v>
      </c>
      <c r="BV128" s="16" t="s">
        <v>446</v>
      </c>
      <c r="BW128" s="16" t="s">
        <v>446</v>
      </c>
      <c r="BX128" s="17" t="s">
        <v>446</v>
      </c>
      <c r="BZ128" s="19" t="s">
        <v>446</v>
      </c>
      <c r="CA128" s="16" t="s">
        <v>446</v>
      </c>
      <c r="CB128" s="16" t="s">
        <v>446</v>
      </c>
      <c r="CC128" s="17" t="s">
        <v>446</v>
      </c>
    </row>
    <row r="129" spans="2:81" ht="18" customHeight="1" x14ac:dyDescent="0.2">
      <c r="B129" s="8">
        <f>garage!B129</f>
        <v>129</v>
      </c>
      <c r="C129" s="8">
        <f>garage!C129</f>
        <v>4</v>
      </c>
      <c r="D129" s="8">
        <f>garage!D129</f>
        <v>1</v>
      </c>
      <c r="E129" s="8">
        <f>garage!E129</f>
        <v>0</v>
      </c>
      <c r="F129" s="8" t="str">
        <f>garage!F129</f>
        <v>AM</v>
      </c>
      <c r="G129" s="8" t="str">
        <f>garage!G129</f>
        <v>O</v>
      </c>
      <c r="H129" s="8" t="str">
        <f>garage!H129</f>
        <v>O</v>
      </c>
      <c r="I129" s="8" t="str">
        <f>garage!I129</f>
        <v>O</v>
      </c>
      <c r="J129" s="8" t="str">
        <f>garage!J129</f>
        <v>N</v>
      </c>
      <c r="K129" s="8" t="str">
        <f>garage!K129</f>
        <v>A</v>
      </c>
      <c r="L129" s="9" t="str">
        <f>garage!L129</f>
        <v>Aston Martin</v>
      </c>
      <c r="M129" s="9" t="str">
        <f>garage!M129</f>
        <v>Vulcan</v>
      </c>
      <c r="O129" s="18">
        <v>1</v>
      </c>
      <c r="P129" s="14">
        <v>1</v>
      </c>
      <c r="Q129" s="14">
        <v>1</v>
      </c>
      <c r="R129" s="15">
        <v>1</v>
      </c>
      <c r="S129" s="14">
        <v>1</v>
      </c>
      <c r="T129" s="14">
        <v>1</v>
      </c>
      <c r="U129" s="14">
        <v>1</v>
      </c>
      <c r="V129" s="15">
        <v>1</v>
      </c>
      <c r="W129" s="14">
        <v>1</v>
      </c>
      <c r="X129" s="14">
        <v>1</v>
      </c>
      <c r="Y129" s="14">
        <v>1</v>
      </c>
      <c r="Z129" s="15">
        <v>1</v>
      </c>
      <c r="AA129" s="14">
        <v>1</v>
      </c>
      <c r="AB129" s="14">
        <v>1</v>
      </c>
      <c r="AC129" s="14">
        <v>1</v>
      </c>
      <c r="AD129" s="15">
        <v>1</v>
      </c>
      <c r="AE129" s="14">
        <v>1</v>
      </c>
      <c r="AF129" s="14">
        <v>1</v>
      </c>
      <c r="AG129" s="14">
        <v>1</v>
      </c>
      <c r="AH129" s="15">
        <v>1</v>
      </c>
      <c r="AI129" s="14">
        <v>1</v>
      </c>
      <c r="AJ129" s="14">
        <v>1</v>
      </c>
      <c r="AK129" s="14">
        <v>1</v>
      </c>
      <c r="AL129" s="15">
        <v>1</v>
      </c>
      <c r="AM129" s="14">
        <v>1</v>
      </c>
      <c r="AN129" s="14">
        <v>1</v>
      </c>
      <c r="AO129" s="14">
        <v>1</v>
      </c>
      <c r="AP129" s="15">
        <v>1</v>
      </c>
      <c r="AQ129" s="14">
        <v>1</v>
      </c>
      <c r="AR129" s="14">
        <v>1</v>
      </c>
      <c r="AS129" s="14">
        <v>1</v>
      </c>
      <c r="AT129" s="15">
        <v>1</v>
      </c>
      <c r="AU129" s="14">
        <v>1</v>
      </c>
      <c r="AV129" s="14">
        <v>1</v>
      </c>
      <c r="AW129" s="14">
        <v>1</v>
      </c>
      <c r="AX129" s="15">
        <v>1</v>
      </c>
      <c r="AY129" s="14">
        <v>1</v>
      </c>
      <c r="AZ129" s="14">
        <v>1</v>
      </c>
      <c r="BA129" s="14">
        <v>1</v>
      </c>
      <c r="BB129" s="15">
        <v>1</v>
      </c>
      <c r="BC129" s="14">
        <v>1</v>
      </c>
      <c r="BD129" s="14">
        <v>1</v>
      </c>
      <c r="BE129" s="14">
        <v>1</v>
      </c>
      <c r="BF129" s="15">
        <v>1</v>
      </c>
      <c r="BG129" s="14" t="s">
        <v>446</v>
      </c>
      <c r="BH129" s="14" t="s">
        <v>446</v>
      </c>
      <c r="BI129" s="14" t="s">
        <v>446</v>
      </c>
      <c r="BJ129" s="15" t="s">
        <v>446</v>
      </c>
      <c r="BK129" s="14" t="s">
        <v>446</v>
      </c>
      <c r="BL129" s="14" t="s">
        <v>446</v>
      </c>
      <c r="BM129" s="14" t="s">
        <v>446</v>
      </c>
      <c r="BN129" s="15" t="s">
        <v>446</v>
      </c>
      <c r="BP129" s="18">
        <v>5</v>
      </c>
      <c r="BQ129" s="14">
        <v>5</v>
      </c>
      <c r="BR129" s="14">
        <v>5</v>
      </c>
      <c r="BS129" s="15">
        <v>5</v>
      </c>
      <c r="BU129" s="18">
        <v>5</v>
      </c>
      <c r="BV129" s="14">
        <v>5</v>
      </c>
      <c r="BW129" s="14">
        <v>5</v>
      </c>
      <c r="BX129" s="15">
        <v>5</v>
      </c>
      <c r="BZ129" s="18">
        <v>2</v>
      </c>
      <c r="CA129" s="14">
        <v>2</v>
      </c>
      <c r="CB129" s="14">
        <v>2</v>
      </c>
      <c r="CC129" s="15">
        <v>2</v>
      </c>
    </row>
    <row r="130" spans="2:81" ht="18" customHeight="1" x14ac:dyDescent="0.2">
      <c r="B130" s="10">
        <f>garage!B130</f>
        <v>130</v>
      </c>
      <c r="C130" s="10">
        <f>garage!C130</f>
        <v>4</v>
      </c>
      <c r="D130" s="10">
        <f>garage!D130</f>
        <v>2</v>
      </c>
      <c r="E130" s="10">
        <f>garage!E130</f>
        <v>0</v>
      </c>
      <c r="F130" s="10" t="str">
        <f>garage!F130</f>
        <v>--</v>
      </c>
      <c r="G130" s="10" t="str">
        <f>garage!G130</f>
        <v>O</v>
      </c>
      <c r="H130" s="10" t="str">
        <f>garage!H130</f>
        <v>O</v>
      </c>
      <c r="I130" s="10" t="str">
        <f>garage!I130</f>
        <v>O</v>
      </c>
      <c r="J130" s="10" t="str">
        <f>garage!J130</f>
        <v>N</v>
      </c>
      <c r="K130" s="10" t="str">
        <f>garage!K130</f>
        <v>A</v>
      </c>
      <c r="L130" s="11" t="str">
        <f>garage!L130</f>
        <v>Nissan</v>
      </c>
      <c r="M130" s="11" t="str">
        <f>garage!M130</f>
        <v>GT-R Nismo</v>
      </c>
      <c r="O130" s="19">
        <v>1</v>
      </c>
      <c r="P130" s="16">
        <v>1</v>
      </c>
      <c r="Q130" s="16">
        <v>1</v>
      </c>
      <c r="R130" s="17">
        <v>1</v>
      </c>
      <c r="S130" s="16">
        <v>1</v>
      </c>
      <c r="T130" s="16">
        <v>1</v>
      </c>
      <c r="U130" s="16">
        <v>1</v>
      </c>
      <c r="V130" s="17">
        <v>1</v>
      </c>
      <c r="W130" s="16">
        <v>1</v>
      </c>
      <c r="X130" s="16">
        <v>1</v>
      </c>
      <c r="Y130" s="16">
        <v>1</v>
      </c>
      <c r="Z130" s="17">
        <v>1</v>
      </c>
      <c r="AA130" s="16">
        <v>1</v>
      </c>
      <c r="AB130" s="16">
        <v>1</v>
      </c>
      <c r="AC130" s="16">
        <v>1</v>
      </c>
      <c r="AD130" s="17">
        <v>1</v>
      </c>
      <c r="AE130" s="16">
        <v>1</v>
      </c>
      <c r="AF130" s="16">
        <v>1</v>
      </c>
      <c r="AG130" s="16">
        <v>1</v>
      </c>
      <c r="AH130" s="17">
        <v>1</v>
      </c>
      <c r="AI130" s="16">
        <v>1</v>
      </c>
      <c r="AJ130" s="16">
        <v>1</v>
      </c>
      <c r="AK130" s="16">
        <v>1</v>
      </c>
      <c r="AL130" s="17">
        <v>1</v>
      </c>
      <c r="AM130" s="16">
        <v>1</v>
      </c>
      <c r="AN130" s="16">
        <v>1</v>
      </c>
      <c r="AO130" s="16">
        <v>1</v>
      </c>
      <c r="AP130" s="17">
        <v>1</v>
      </c>
      <c r="AQ130" s="16">
        <v>1</v>
      </c>
      <c r="AR130" s="16">
        <v>1</v>
      </c>
      <c r="AS130" s="16">
        <v>1</v>
      </c>
      <c r="AT130" s="17">
        <v>1</v>
      </c>
      <c r="AU130" s="16">
        <v>1</v>
      </c>
      <c r="AV130" s="16">
        <v>1</v>
      </c>
      <c r="AW130" s="16">
        <v>1</v>
      </c>
      <c r="AX130" s="17">
        <v>1</v>
      </c>
      <c r="AY130" s="16">
        <v>1</v>
      </c>
      <c r="AZ130" s="16">
        <v>1</v>
      </c>
      <c r="BA130" s="16">
        <v>1</v>
      </c>
      <c r="BB130" s="17">
        <v>1</v>
      </c>
      <c r="BC130" s="16">
        <v>1</v>
      </c>
      <c r="BD130" s="16">
        <v>1</v>
      </c>
      <c r="BE130" s="16">
        <v>1</v>
      </c>
      <c r="BF130" s="17">
        <v>1</v>
      </c>
      <c r="BG130" s="16" t="s">
        <v>446</v>
      </c>
      <c r="BH130" s="16" t="s">
        <v>446</v>
      </c>
      <c r="BI130" s="16" t="s">
        <v>446</v>
      </c>
      <c r="BJ130" s="17" t="s">
        <v>446</v>
      </c>
      <c r="BK130" s="16" t="s">
        <v>446</v>
      </c>
      <c r="BL130" s="16" t="s">
        <v>446</v>
      </c>
      <c r="BM130" s="16" t="s">
        <v>446</v>
      </c>
      <c r="BN130" s="17" t="s">
        <v>446</v>
      </c>
      <c r="BP130" s="19">
        <v>5</v>
      </c>
      <c r="BQ130" s="16">
        <v>5</v>
      </c>
      <c r="BR130" s="16">
        <v>5</v>
      </c>
      <c r="BS130" s="17">
        <v>5</v>
      </c>
      <c r="BU130" s="19">
        <v>5</v>
      </c>
      <c r="BV130" s="16">
        <v>5</v>
      </c>
      <c r="BW130" s="16">
        <v>5</v>
      </c>
      <c r="BX130" s="17">
        <v>5</v>
      </c>
      <c r="BZ130" s="19">
        <v>2</v>
      </c>
      <c r="CA130" s="16">
        <v>2</v>
      </c>
      <c r="CB130" s="16">
        <v>2</v>
      </c>
      <c r="CC130" s="17">
        <v>2</v>
      </c>
    </row>
    <row r="131" spans="2:81" ht="18" customHeight="1" x14ac:dyDescent="0.2">
      <c r="B131" s="8">
        <f>garage!B131</f>
        <v>131</v>
      </c>
      <c r="C131" s="8">
        <f>garage!C131</f>
        <v>4</v>
      </c>
      <c r="D131" s="8">
        <f>garage!D131</f>
        <v>3</v>
      </c>
      <c r="E131" s="8">
        <f>garage!E131</f>
        <v>17</v>
      </c>
      <c r="F131" s="8" t="str">
        <f>garage!F131</f>
        <v>--</v>
      </c>
      <c r="G131" s="8" t="str">
        <f>garage!G131</f>
        <v>O</v>
      </c>
      <c r="H131" s="8" t="str">
        <f>garage!H131</f>
        <v>N</v>
      </c>
      <c r="I131" s="8" t="str">
        <f>garage!I131</f>
        <v>N</v>
      </c>
      <c r="J131" s="8" t="str">
        <f>garage!J131</f>
        <v>N</v>
      </c>
      <c r="K131" s="8" t="str">
        <f>garage!K131</f>
        <v>A</v>
      </c>
      <c r="L131" s="9" t="str">
        <f>garage!L131</f>
        <v>Nio</v>
      </c>
      <c r="M131" s="9" t="str">
        <f>garage!M131</f>
        <v>EP9</v>
      </c>
      <c r="O131" s="18">
        <v>1</v>
      </c>
      <c r="P131" s="14">
        <v>1</v>
      </c>
      <c r="Q131" s="14">
        <v>1</v>
      </c>
      <c r="R131" s="15">
        <v>1</v>
      </c>
      <c r="S131" s="14">
        <v>1</v>
      </c>
      <c r="T131" s="14">
        <v>1</v>
      </c>
      <c r="U131" s="14">
        <v>1</v>
      </c>
      <c r="V131" s="15">
        <v>1</v>
      </c>
      <c r="W131" s="14">
        <v>1</v>
      </c>
      <c r="X131" s="14">
        <v>1</v>
      </c>
      <c r="Y131" s="14">
        <v>1</v>
      </c>
      <c r="Z131" s="15">
        <v>1</v>
      </c>
      <c r="AA131" s="14">
        <v>1</v>
      </c>
      <c r="AB131" s="14" t="s">
        <v>446</v>
      </c>
      <c r="AC131" s="14">
        <v>1</v>
      </c>
      <c r="AD131" s="15">
        <v>1</v>
      </c>
      <c r="AE131" s="14" t="s">
        <v>446</v>
      </c>
      <c r="AF131" s="14" t="s">
        <v>446</v>
      </c>
      <c r="AG131" s="14" t="s">
        <v>446</v>
      </c>
      <c r="AH131" s="15" t="s">
        <v>446</v>
      </c>
      <c r="AI131" s="14" t="s">
        <v>446</v>
      </c>
      <c r="AJ131" s="14" t="s">
        <v>446</v>
      </c>
      <c r="AK131" s="14" t="s">
        <v>446</v>
      </c>
      <c r="AL131" s="15" t="s">
        <v>446</v>
      </c>
      <c r="AM131" s="14" t="s">
        <v>446</v>
      </c>
      <c r="AN131" s="14" t="s">
        <v>446</v>
      </c>
      <c r="AO131" s="14" t="s">
        <v>446</v>
      </c>
      <c r="AP131" s="15" t="s">
        <v>446</v>
      </c>
      <c r="AQ131" s="14" t="s">
        <v>446</v>
      </c>
      <c r="AR131" s="14" t="s">
        <v>446</v>
      </c>
      <c r="AS131" s="14" t="s">
        <v>446</v>
      </c>
      <c r="AT131" s="15" t="s">
        <v>446</v>
      </c>
      <c r="AU131" s="14" t="s">
        <v>446</v>
      </c>
      <c r="AV131" s="14" t="s">
        <v>446</v>
      </c>
      <c r="AW131" s="14" t="s">
        <v>446</v>
      </c>
      <c r="AX131" s="15" t="s">
        <v>446</v>
      </c>
      <c r="AY131" s="14" t="s">
        <v>446</v>
      </c>
      <c r="AZ131" s="14" t="s">
        <v>446</v>
      </c>
      <c r="BA131" s="14" t="s">
        <v>446</v>
      </c>
      <c r="BB131" s="15" t="s">
        <v>446</v>
      </c>
      <c r="BC131" s="14" t="s">
        <v>446</v>
      </c>
      <c r="BD131" s="14" t="s">
        <v>446</v>
      </c>
      <c r="BE131" s="14" t="s">
        <v>446</v>
      </c>
      <c r="BF131" s="15" t="s">
        <v>446</v>
      </c>
      <c r="BG131" s="14" t="s">
        <v>446</v>
      </c>
      <c r="BH131" s="14" t="s">
        <v>446</v>
      </c>
      <c r="BI131" s="14" t="s">
        <v>446</v>
      </c>
      <c r="BJ131" s="15" t="s">
        <v>446</v>
      </c>
      <c r="BK131" s="14" t="s">
        <v>446</v>
      </c>
      <c r="BL131" s="14" t="s">
        <v>446</v>
      </c>
      <c r="BM131" s="14" t="s">
        <v>446</v>
      </c>
      <c r="BN131" s="15" t="s">
        <v>446</v>
      </c>
      <c r="BP131" s="18">
        <v>2</v>
      </c>
      <c r="BQ131" s="14">
        <v>1</v>
      </c>
      <c r="BR131" s="14">
        <v>2</v>
      </c>
      <c r="BS131" s="15">
        <v>2</v>
      </c>
      <c r="BU131" s="18" t="s">
        <v>446</v>
      </c>
      <c r="BV131" s="14" t="s">
        <v>446</v>
      </c>
      <c r="BW131" s="14" t="s">
        <v>446</v>
      </c>
      <c r="BX131" s="15" t="s">
        <v>446</v>
      </c>
      <c r="BZ131" s="18" t="s">
        <v>446</v>
      </c>
      <c r="CA131" s="14" t="s">
        <v>446</v>
      </c>
      <c r="CB131" s="14" t="s">
        <v>446</v>
      </c>
      <c r="CC131" s="15" t="s">
        <v>446</v>
      </c>
    </row>
    <row r="132" spans="2:81" ht="18" customHeight="1" x14ac:dyDescent="0.2">
      <c r="B132" s="10">
        <f>garage!B132</f>
        <v>132</v>
      </c>
      <c r="C132" s="10">
        <f>garage!C132</f>
        <v>4</v>
      </c>
      <c r="D132" s="10">
        <f>garage!D132</f>
        <v>4</v>
      </c>
      <c r="E132" s="10">
        <f>garage!E132</f>
        <v>0</v>
      </c>
      <c r="F132" s="10" t="str">
        <f>garage!F132</f>
        <v>F</v>
      </c>
      <c r="G132" s="10" t="str">
        <f>garage!G132</f>
        <v>O</v>
      </c>
      <c r="H132" s="10" t="str">
        <f>garage!H132</f>
        <v>O</v>
      </c>
      <c r="I132" s="10" t="str">
        <f>garage!I132</f>
        <v>O</v>
      </c>
      <c r="J132" s="10" t="str">
        <f>garage!J132</f>
        <v>N</v>
      </c>
      <c r="K132" s="10" t="str">
        <f>garage!K132</f>
        <v>A</v>
      </c>
      <c r="L132" s="11" t="str">
        <f>garage!L132</f>
        <v>Ferrari</v>
      </c>
      <c r="M132" s="11" t="str">
        <f>garage!M132</f>
        <v>J50</v>
      </c>
      <c r="O132" s="19">
        <v>1</v>
      </c>
      <c r="P132" s="16">
        <v>1</v>
      </c>
      <c r="Q132" s="16">
        <v>1</v>
      </c>
      <c r="R132" s="17">
        <v>1</v>
      </c>
      <c r="S132" s="16">
        <v>1</v>
      </c>
      <c r="T132" s="16">
        <v>1</v>
      </c>
      <c r="U132" s="16">
        <v>1</v>
      </c>
      <c r="V132" s="17">
        <v>1</v>
      </c>
      <c r="W132" s="16">
        <v>1</v>
      </c>
      <c r="X132" s="16">
        <v>1</v>
      </c>
      <c r="Y132" s="16">
        <v>1</v>
      </c>
      <c r="Z132" s="17">
        <v>1</v>
      </c>
      <c r="AA132" s="16">
        <v>1</v>
      </c>
      <c r="AB132" s="16">
        <v>1</v>
      </c>
      <c r="AC132" s="16">
        <v>1</v>
      </c>
      <c r="AD132" s="17">
        <v>1</v>
      </c>
      <c r="AE132" s="16">
        <v>1</v>
      </c>
      <c r="AF132" s="16">
        <v>1</v>
      </c>
      <c r="AG132" s="16">
        <v>1</v>
      </c>
      <c r="AH132" s="17">
        <v>1</v>
      </c>
      <c r="AI132" s="16">
        <v>1</v>
      </c>
      <c r="AJ132" s="16">
        <v>1</v>
      </c>
      <c r="AK132" s="16">
        <v>1</v>
      </c>
      <c r="AL132" s="17">
        <v>1</v>
      </c>
      <c r="AM132" s="16">
        <v>1</v>
      </c>
      <c r="AN132" s="16">
        <v>1</v>
      </c>
      <c r="AO132" s="16">
        <v>1</v>
      </c>
      <c r="AP132" s="17">
        <v>1</v>
      </c>
      <c r="AQ132" s="16">
        <v>1</v>
      </c>
      <c r="AR132" s="16">
        <v>1</v>
      </c>
      <c r="AS132" s="16">
        <v>1</v>
      </c>
      <c r="AT132" s="17">
        <v>1</v>
      </c>
      <c r="AU132" s="16">
        <v>1</v>
      </c>
      <c r="AV132" s="16">
        <v>1</v>
      </c>
      <c r="AW132" s="16">
        <v>1</v>
      </c>
      <c r="AX132" s="17">
        <v>1</v>
      </c>
      <c r="AY132" s="16">
        <v>1</v>
      </c>
      <c r="AZ132" s="16">
        <v>1</v>
      </c>
      <c r="BA132" s="16">
        <v>1</v>
      </c>
      <c r="BB132" s="17">
        <v>1</v>
      </c>
      <c r="BC132" s="16">
        <v>1</v>
      </c>
      <c r="BD132" s="16">
        <v>1</v>
      </c>
      <c r="BE132" s="16">
        <v>1</v>
      </c>
      <c r="BF132" s="17">
        <v>1</v>
      </c>
      <c r="BG132" s="16" t="s">
        <v>446</v>
      </c>
      <c r="BH132" s="16" t="s">
        <v>446</v>
      </c>
      <c r="BI132" s="16" t="s">
        <v>446</v>
      </c>
      <c r="BJ132" s="17" t="s">
        <v>446</v>
      </c>
      <c r="BK132" s="16" t="s">
        <v>446</v>
      </c>
      <c r="BL132" s="16" t="s">
        <v>446</v>
      </c>
      <c r="BM132" s="16" t="s">
        <v>446</v>
      </c>
      <c r="BN132" s="17" t="s">
        <v>446</v>
      </c>
      <c r="BP132" s="19">
        <v>5</v>
      </c>
      <c r="BQ132" s="16">
        <v>5</v>
      </c>
      <c r="BR132" s="16">
        <v>5</v>
      </c>
      <c r="BS132" s="17">
        <v>5</v>
      </c>
      <c r="BU132" s="19">
        <v>5</v>
      </c>
      <c r="BV132" s="16">
        <v>5</v>
      </c>
      <c r="BW132" s="16">
        <v>5</v>
      </c>
      <c r="BX132" s="17">
        <v>5</v>
      </c>
      <c r="BZ132" s="19">
        <v>2</v>
      </c>
      <c r="CA132" s="16">
        <v>2</v>
      </c>
      <c r="CB132" s="16">
        <v>2</v>
      </c>
      <c r="CC132" s="17">
        <v>2</v>
      </c>
    </row>
    <row r="133" spans="2:81" ht="18" customHeight="1" x14ac:dyDescent="0.2">
      <c r="B133" s="8">
        <f>garage!B133</f>
        <v>133</v>
      </c>
      <c r="C133" s="8">
        <f>garage!C133</f>
        <v>4</v>
      </c>
      <c r="D133" s="8">
        <f>garage!D133</f>
        <v>5</v>
      </c>
      <c r="E133" s="8">
        <f>garage!E133</f>
        <v>0</v>
      </c>
      <c r="F133" s="8" t="str">
        <f>garage!F133</f>
        <v>--</v>
      </c>
      <c r="G133" s="8" t="str">
        <f>garage!G133</f>
        <v>O</v>
      </c>
      <c r="H133" s="8" t="str">
        <f>garage!H133</f>
        <v>O</v>
      </c>
      <c r="I133" s="8" t="str">
        <f>garage!I133</f>
        <v>O</v>
      </c>
      <c r="J133" s="8" t="str">
        <f>garage!J133</f>
        <v>N</v>
      </c>
      <c r="K133" s="8" t="str">
        <f>garage!K133</f>
        <v>A</v>
      </c>
      <c r="L133" s="9" t="str">
        <f>garage!L133</f>
        <v>Dodge</v>
      </c>
      <c r="M133" s="9" t="str">
        <f>garage!M133</f>
        <v>Viper GTS</v>
      </c>
      <c r="O133" s="18">
        <v>1</v>
      </c>
      <c r="P133" s="14">
        <v>1</v>
      </c>
      <c r="Q133" s="14">
        <v>1</v>
      </c>
      <c r="R133" s="15">
        <v>1</v>
      </c>
      <c r="S133" s="14">
        <v>1</v>
      </c>
      <c r="T133" s="14">
        <v>1</v>
      </c>
      <c r="U133" s="14">
        <v>1</v>
      </c>
      <c r="V133" s="15">
        <v>1</v>
      </c>
      <c r="W133" s="14">
        <v>1</v>
      </c>
      <c r="X133" s="14">
        <v>1</v>
      </c>
      <c r="Y133" s="14">
        <v>1</v>
      </c>
      <c r="Z133" s="15">
        <v>1</v>
      </c>
      <c r="AA133" s="14">
        <v>1</v>
      </c>
      <c r="AB133" s="14">
        <v>1</v>
      </c>
      <c r="AC133" s="14">
        <v>1</v>
      </c>
      <c r="AD133" s="15">
        <v>1</v>
      </c>
      <c r="AE133" s="14">
        <v>1</v>
      </c>
      <c r="AF133" s="14">
        <v>1</v>
      </c>
      <c r="AG133" s="14">
        <v>1</v>
      </c>
      <c r="AH133" s="15">
        <v>1</v>
      </c>
      <c r="AI133" s="14">
        <v>1</v>
      </c>
      <c r="AJ133" s="14">
        <v>1</v>
      </c>
      <c r="AK133" s="14">
        <v>1</v>
      </c>
      <c r="AL133" s="15">
        <v>1</v>
      </c>
      <c r="AM133" s="14">
        <v>1</v>
      </c>
      <c r="AN133" s="14">
        <v>1</v>
      </c>
      <c r="AO133" s="14">
        <v>1</v>
      </c>
      <c r="AP133" s="15">
        <v>1</v>
      </c>
      <c r="AQ133" s="14">
        <v>1</v>
      </c>
      <c r="AR133" s="14">
        <v>1</v>
      </c>
      <c r="AS133" s="14">
        <v>1</v>
      </c>
      <c r="AT133" s="15">
        <v>1</v>
      </c>
      <c r="AU133" s="14">
        <v>1</v>
      </c>
      <c r="AV133" s="14">
        <v>1</v>
      </c>
      <c r="AW133" s="14">
        <v>1</v>
      </c>
      <c r="AX133" s="15">
        <v>1</v>
      </c>
      <c r="AY133" s="14">
        <v>1</v>
      </c>
      <c r="AZ133" s="14">
        <v>1</v>
      </c>
      <c r="BA133" s="14">
        <v>1</v>
      </c>
      <c r="BB133" s="15">
        <v>1</v>
      </c>
      <c r="BC133" s="14">
        <v>1</v>
      </c>
      <c r="BD133" s="14">
        <v>1</v>
      </c>
      <c r="BE133" s="14">
        <v>1</v>
      </c>
      <c r="BF133" s="15">
        <v>1</v>
      </c>
      <c r="BG133" s="14" t="s">
        <v>446</v>
      </c>
      <c r="BH133" s="14" t="s">
        <v>446</v>
      </c>
      <c r="BI133" s="14" t="s">
        <v>446</v>
      </c>
      <c r="BJ133" s="15" t="s">
        <v>446</v>
      </c>
      <c r="BK133" s="14" t="s">
        <v>446</v>
      </c>
      <c r="BL133" s="14" t="s">
        <v>446</v>
      </c>
      <c r="BM133" s="14" t="s">
        <v>446</v>
      </c>
      <c r="BN133" s="15" t="s">
        <v>446</v>
      </c>
      <c r="BP133" s="18">
        <v>5</v>
      </c>
      <c r="BQ133" s="14">
        <v>5</v>
      </c>
      <c r="BR133" s="14">
        <v>5</v>
      </c>
      <c r="BS133" s="15">
        <v>5</v>
      </c>
      <c r="BU133" s="18">
        <v>5</v>
      </c>
      <c r="BV133" s="14">
        <v>5</v>
      </c>
      <c r="BW133" s="14">
        <v>5</v>
      </c>
      <c r="BX133" s="15">
        <v>5</v>
      </c>
      <c r="BZ133" s="18">
        <v>2</v>
      </c>
      <c r="CA133" s="14">
        <v>2</v>
      </c>
      <c r="CB133" s="14">
        <v>2</v>
      </c>
      <c r="CC133" s="15">
        <v>2</v>
      </c>
    </row>
    <row r="134" spans="2:81" ht="18" customHeight="1" x14ac:dyDescent="0.2">
      <c r="B134" s="10">
        <f>garage!B134</f>
        <v>134</v>
      </c>
      <c r="C134" s="10">
        <f>garage!C134</f>
        <v>4</v>
      </c>
      <c r="D134" s="10">
        <f>garage!D134</f>
        <v>6</v>
      </c>
      <c r="E134" s="10">
        <f>garage!E134</f>
        <v>26</v>
      </c>
      <c r="F134" s="10" t="str">
        <f>garage!F134</f>
        <v>--</v>
      </c>
      <c r="G134" s="10" t="str">
        <f>garage!G134</f>
        <v>N</v>
      </c>
      <c r="H134" s="10" t="str">
        <f>garage!H134</f>
        <v>N</v>
      </c>
      <c r="I134" s="10" t="str">
        <f>garage!I134</f>
        <v>N</v>
      </c>
      <c r="J134" s="10" t="str">
        <f>garage!J134</f>
        <v>N</v>
      </c>
      <c r="K134" s="10" t="str">
        <f>garage!K134</f>
        <v>A</v>
      </c>
      <c r="L134" s="11" t="str">
        <f>garage!L134</f>
        <v>Bentley</v>
      </c>
      <c r="M134" s="11" t="str">
        <f>garage!M134</f>
        <v>Continental GT Speed</v>
      </c>
      <c r="O134" s="19" t="s">
        <v>446</v>
      </c>
      <c r="P134" s="16" t="s">
        <v>446</v>
      </c>
      <c r="Q134" s="16" t="s">
        <v>446</v>
      </c>
      <c r="R134" s="17" t="s">
        <v>446</v>
      </c>
      <c r="S134" s="16" t="s">
        <v>446</v>
      </c>
      <c r="T134" s="16" t="s">
        <v>446</v>
      </c>
      <c r="U134" s="16" t="s">
        <v>446</v>
      </c>
      <c r="V134" s="17" t="s">
        <v>446</v>
      </c>
      <c r="W134" s="16" t="s">
        <v>446</v>
      </c>
      <c r="X134" s="16" t="s">
        <v>446</v>
      </c>
      <c r="Y134" s="16" t="s">
        <v>446</v>
      </c>
      <c r="Z134" s="17" t="s">
        <v>446</v>
      </c>
      <c r="AA134" s="16" t="s">
        <v>446</v>
      </c>
      <c r="AB134" s="16" t="s">
        <v>446</v>
      </c>
      <c r="AC134" s="16" t="s">
        <v>446</v>
      </c>
      <c r="AD134" s="17" t="s">
        <v>446</v>
      </c>
      <c r="AE134" s="16" t="s">
        <v>446</v>
      </c>
      <c r="AF134" s="16" t="s">
        <v>446</v>
      </c>
      <c r="AG134" s="16" t="s">
        <v>446</v>
      </c>
      <c r="AH134" s="17" t="s">
        <v>446</v>
      </c>
      <c r="AI134" s="16" t="s">
        <v>446</v>
      </c>
      <c r="AJ134" s="16" t="s">
        <v>446</v>
      </c>
      <c r="AK134" s="16" t="s">
        <v>446</v>
      </c>
      <c r="AL134" s="17" t="s">
        <v>446</v>
      </c>
      <c r="AM134" s="16" t="s">
        <v>446</v>
      </c>
      <c r="AN134" s="16" t="s">
        <v>446</v>
      </c>
      <c r="AO134" s="16" t="s">
        <v>446</v>
      </c>
      <c r="AP134" s="17" t="s">
        <v>446</v>
      </c>
      <c r="AQ134" s="16" t="s">
        <v>446</v>
      </c>
      <c r="AR134" s="16" t="s">
        <v>446</v>
      </c>
      <c r="AS134" s="16" t="s">
        <v>446</v>
      </c>
      <c r="AT134" s="17" t="s">
        <v>446</v>
      </c>
      <c r="AU134" s="16" t="s">
        <v>446</v>
      </c>
      <c r="AV134" s="16" t="s">
        <v>446</v>
      </c>
      <c r="AW134" s="16" t="s">
        <v>446</v>
      </c>
      <c r="AX134" s="17" t="s">
        <v>446</v>
      </c>
      <c r="AY134" s="16" t="s">
        <v>446</v>
      </c>
      <c r="AZ134" s="16" t="s">
        <v>446</v>
      </c>
      <c r="BA134" s="16" t="s">
        <v>446</v>
      </c>
      <c r="BB134" s="17" t="s">
        <v>446</v>
      </c>
      <c r="BC134" s="16" t="s">
        <v>446</v>
      </c>
      <c r="BD134" s="16" t="s">
        <v>446</v>
      </c>
      <c r="BE134" s="16" t="s">
        <v>446</v>
      </c>
      <c r="BF134" s="17" t="s">
        <v>446</v>
      </c>
      <c r="BG134" s="16" t="s">
        <v>446</v>
      </c>
      <c r="BH134" s="16" t="s">
        <v>446</v>
      </c>
      <c r="BI134" s="16" t="s">
        <v>446</v>
      </c>
      <c r="BJ134" s="17" t="s">
        <v>446</v>
      </c>
      <c r="BK134" s="16" t="s">
        <v>446</v>
      </c>
      <c r="BL134" s="16" t="s">
        <v>446</v>
      </c>
      <c r="BM134" s="16" t="s">
        <v>446</v>
      </c>
      <c r="BN134" s="17" t="s">
        <v>446</v>
      </c>
      <c r="BP134" s="19" t="s">
        <v>446</v>
      </c>
      <c r="BQ134" s="16" t="s">
        <v>446</v>
      </c>
      <c r="BR134" s="16" t="s">
        <v>446</v>
      </c>
      <c r="BS134" s="17" t="s">
        <v>446</v>
      </c>
      <c r="BU134" s="19" t="s">
        <v>446</v>
      </c>
      <c r="BV134" s="16" t="s">
        <v>446</v>
      </c>
      <c r="BW134" s="16" t="s">
        <v>446</v>
      </c>
      <c r="BX134" s="17" t="s">
        <v>446</v>
      </c>
      <c r="BZ134" s="19" t="s">
        <v>446</v>
      </c>
      <c r="CA134" s="16" t="s">
        <v>446</v>
      </c>
      <c r="CB134" s="16" t="s">
        <v>446</v>
      </c>
      <c r="CC134" s="17" t="s">
        <v>446</v>
      </c>
    </row>
    <row r="135" spans="2:81" ht="18" customHeight="1" x14ac:dyDescent="0.2">
      <c r="B135" s="8">
        <f>garage!B135</f>
        <v>135</v>
      </c>
      <c r="C135" s="8">
        <f>garage!C135</f>
        <v>4</v>
      </c>
      <c r="D135" s="8">
        <f>garage!D135</f>
        <v>7</v>
      </c>
      <c r="E135" s="8">
        <f>garage!E135</f>
        <v>0</v>
      </c>
      <c r="F135" s="8" t="str">
        <f>garage!F135</f>
        <v>F</v>
      </c>
      <c r="G135" s="8" t="str">
        <f>garage!G135</f>
        <v>O</v>
      </c>
      <c r="H135" s="8" t="str">
        <f>garage!H135</f>
        <v>O</v>
      </c>
      <c r="I135" s="8" t="str">
        <f>garage!I135</f>
        <v>O</v>
      </c>
      <c r="J135" s="8" t="str">
        <f>garage!J135</f>
        <v>N</v>
      </c>
      <c r="K135" s="8" t="str">
        <f>garage!K135</f>
        <v>A</v>
      </c>
      <c r="L135" s="9" t="str">
        <f>garage!L135</f>
        <v>Ferrari</v>
      </c>
      <c r="M135" s="9" t="str">
        <f>garage!M135</f>
        <v>LaFerrari</v>
      </c>
      <c r="O135" s="18">
        <v>1</v>
      </c>
      <c r="P135" s="14">
        <v>1</v>
      </c>
      <c r="Q135" s="14">
        <v>1</v>
      </c>
      <c r="R135" s="15">
        <v>1</v>
      </c>
      <c r="S135" s="14">
        <v>1</v>
      </c>
      <c r="T135" s="14">
        <v>1</v>
      </c>
      <c r="U135" s="14">
        <v>1</v>
      </c>
      <c r="V135" s="15">
        <v>1</v>
      </c>
      <c r="W135" s="14">
        <v>1</v>
      </c>
      <c r="X135" s="14">
        <v>1</v>
      </c>
      <c r="Y135" s="14">
        <v>1</v>
      </c>
      <c r="Z135" s="15">
        <v>1</v>
      </c>
      <c r="AA135" s="14">
        <v>1</v>
      </c>
      <c r="AB135" s="14">
        <v>1</v>
      </c>
      <c r="AC135" s="14">
        <v>1</v>
      </c>
      <c r="AD135" s="15">
        <v>1</v>
      </c>
      <c r="AE135" s="14">
        <v>1</v>
      </c>
      <c r="AF135" s="14">
        <v>1</v>
      </c>
      <c r="AG135" s="14">
        <v>1</v>
      </c>
      <c r="AH135" s="15">
        <v>1</v>
      </c>
      <c r="AI135" s="14">
        <v>1</v>
      </c>
      <c r="AJ135" s="14">
        <v>1</v>
      </c>
      <c r="AK135" s="14">
        <v>1</v>
      </c>
      <c r="AL135" s="15">
        <v>1</v>
      </c>
      <c r="AM135" s="14">
        <v>1</v>
      </c>
      <c r="AN135" s="14">
        <v>1</v>
      </c>
      <c r="AO135" s="14">
        <v>1</v>
      </c>
      <c r="AP135" s="15">
        <v>1</v>
      </c>
      <c r="AQ135" s="14">
        <v>1</v>
      </c>
      <c r="AR135" s="14">
        <v>1</v>
      </c>
      <c r="AS135" s="14">
        <v>1</v>
      </c>
      <c r="AT135" s="15">
        <v>1</v>
      </c>
      <c r="AU135" s="14">
        <v>1</v>
      </c>
      <c r="AV135" s="14">
        <v>1</v>
      </c>
      <c r="AW135" s="14">
        <v>1</v>
      </c>
      <c r="AX135" s="15">
        <v>1</v>
      </c>
      <c r="AY135" s="14">
        <v>1</v>
      </c>
      <c r="AZ135" s="14">
        <v>1</v>
      </c>
      <c r="BA135" s="14">
        <v>1</v>
      </c>
      <c r="BB135" s="15">
        <v>1</v>
      </c>
      <c r="BC135" s="14">
        <v>1</v>
      </c>
      <c r="BD135" s="14">
        <v>1</v>
      </c>
      <c r="BE135" s="14">
        <v>1</v>
      </c>
      <c r="BF135" s="15">
        <v>1</v>
      </c>
      <c r="BG135" s="14">
        <v>1</v>
      </c>
      <c r="BH135" s="14">
        <v>1</v>
      </c>
      <c r="BI135" s="14">
        <v>1</v>
      </c>
      <c r="BJ135" s="15">
        <v>1</v>
      </c>
      <c r="BK135" s="14" t="s">
        <v>446</v>
      </c>
      <c r="BL135" s="14" t="s">
        <v>446</v>
      </c>
      <c r="BM135" s="14" t="s">
        <v>446</v>
      </c>
      <c r="BN135" s="15" t="s">
        <v>446</v>
      </c>
      <c r="BP135" s="18">
        <v>6</v>
      </c>
      <c r="BQ135" s="14">
        <v>6</v>
      </c>
      <c r="BR135" s="14">
        <v>6</v>
      </c>
      <c r="BS135" s="15">
        <v>6</v>
      </c>
      <c r="BU135" s="18">
        <v>5</v>
      </c>
      <c r="BV135" s="14">
        <v>5</v>
      </c>
      <c r="BW135" s="14">
        <v>5</v>
      </c>
      <c r="BX135" s="15">
        <v>5</v>
      </c>
      <c r="BZ135" s="18">
        <v>3</v>
      </c>
      <c r="CA135" s="14">
        <v>3</v>
      </c>
      <c r="CB135" s="14">
        <v>3</v>
      </c>
      <c r="CC135" s="15">
        <v>3</v>
      </c>
    </row>
    <row r="136" spans="2:81" ht="18" customHeight="1" x14ac:dyDescent="0.2">
      <c r="B136" s="10">
        <f>garage!B136</f>
        <v>136</v>
      </c>
      <c r="C136" s="10">
        <f>garage!C136</f>
        <v>4</v>
      </c>
      <c r="D136" s="10">
        <f>garage!D136</f>
        <v>8</v>
      </c>
      <c r="E136" s="10">
        <f>garage!E136</f>
        <v>0</v>
      </c>
      <c r="F136" s="10" t="str">
        <f>garage!F136</f>
        <v>M</v>
      </c>
      <c r="G136" s="10" t="str">
        <f>garage!G136</f>
        <v>O</v>
      </c>
      <c r="H136" s="10" t="str">
        <f>garage!H136</f>
        <v>O</v>
      </c>
      <c r="I136" s="10" t="str">
        <f>garage!I136</f>
        <v>O</v>
      </c>
      <c r="J136" s="10" t="str">
        <f>garage!J136</f>
        <v>N</v>
      </c>
      <c r="K136" s="10" t="str">
        <f>garage!K136</f>
        <v>A</v>
      </c>
      <c r="L136" s="11" t="str">
        <f>garage!L136</f>
        <v>McLaren</v>
      </c>
      <c r="M136" s="11" t="str">
        <f>garage!M136</f>
        <v>P1</v>
      </c>
      <c r="O136" s="19">
        <v>1</v>
      </c>
      <c r="P136" s="16">
        <v>1</v>
      </c>
      <c r="Q136" s="16">
        <v>1</v>
      </c>
      <c r="R136" s="17">
        <v>1</v>
      </c>
      <c r="S136" s="16">
        <v>1</v>
      </c>
      <c r="T136" s="16">
        <v>1</v>
      </c>
      <c r="U136" s="16">
        <v>1</v>
      </c>
      <c r="V136" s="17">
        <v>1</v>
      </c>
      <c r="W136" s="16">
        <v>1</v>
      </c>
      <c r="X136" s="16">
        <v>1</v>
      </c>
      <c r="Y136" s="16">
        <v>1</v>
      </c>
      <c r="Z136" s="17">
        <v>1</v>
      </c>
      <c r="AA136" s="16">
        <v>1</v>
      </c>
      <c r="AB136" s="16">
        <v>1</v>
      </c>
      <c r="AC136" s="16">
        <v>1</v>
      </c>
      <c r="AD136" s="17">
        <v>1</v>
      </c>
      <c r="AE136" s="16">
        <v>1</v>
      </c>
      <c r="AF136" s="16">
        <v>1</v>
      </c>
      <c r="AG136" s="16">
        <v>1</v>
      </c>
      <c r="AH136" s="17">
        <v>1</v>
      </c>
      <c r="AI136" s="16">
        <v>1</v>
      </c>
      <c r="AJ136" s="16">
        <v>1</v>
      </c>
      <c r="AK136" s="16">
        <v>1</v>
      </c>
      <c r="AL136" s="17">
        <v>1</v>
      </c>
      <c r="AM136" s="16">
        <v>1</v>
      </c>
      <c r="AN136" s="16">
        <v>1</v>
      </c>
      <c r="AO136" s="16">
        <v>1</v>
      </c>
      <c r="AP136" s="17">
        <v>1</v>
      </c>
      <c r="AQ136" s="16">
        <v>1</v>
      </c>
      <c r="AR136" s="16">
        <v>1</v>
      </c>
      <c r="AS136" s="16">
        <v>1</v>
      </c>
      <c r="AT136" s="17">
        <v>1</v>
      </c>
      <c r="AU136" s="16">
        <v>1</v>
      </c>
      <c r="AV136" s="16">
        <v>1</v>
      </c>
      <c r="AW136" s="16">
        <v>1</v>
      </c>
      <c r="AX136" s="17">
        <v>1</v>
      </c>
      <c r="AY136" s="16">
        <v>1</v>
      </c>
      <c r="AZ136" s="16">
        <v>1</v>
      </c>
      <c r="BA136" s="16">
        <v>1</v>
      </c>
      <c r="BB136" s="17">
        <v>1</v>
      </c>
      <c r="BC136" s="16">
        <v>1</v>
      </c>
      <c r="BD136" s="16">
        <v>1</v>
      </c>
      <c r="BE136" s="16">
        <v>1</v>
      </c>
      <c r="BF136" s="17">
        <v>1</v>
      </c>
      <c r="BG136" s="16">
        <v>1</v>
      </c>
      <c r="BH136" s="16">
        <v>1</v>
      </c>
      <c r="BI136" s="16">
        <v>1</v>
      </c>
      <c r="BJ136" s="17">
        <v>1</v>
      </c>
      <c r="BK136" s="16" t="s">
        <v>446</v>
      </c>
      <c r="BL136" s="16" t="s">
        <v>446</v>
      </c>
      <c r="BM136" s="16" t="s">
        <v>446</v>
      </c>
      <c r="BN136" s="17" t="s">
        <v>446</v>
      </c>
      <c r="BP136" s="19">
        <v>6</v>
      </c>
      <c r="BQ136" s="16">
        <v>6</v>
      </c>
      <c r="BR136" s="16">
        <v>6</v>
      </c>
      <c r="BS136" s="17">
        <v>6</v>
      </c>
      <c r="BU136" s="19">
        <v>5</v>
      </c>
      <c r="BV136" s="16">
        <v>5</v>
      </c>
      <c r="BW136" s="16">
        <v>5</v>
      </c>
      <c r="BX136" s="17">
        <v>5</v>
      </c>
      <c r="BZ136" s="19">
        <v>3</v>
      </c>
      <c r="CA136" s="16">
        <v>3</v>
      </c>
      <c r="CB136" s="16">
        <v>3</v>
      </c>
      <c r="CC136" s="17">
        <v>3</v>
      </c>
    </row>
    <row r="137" spans="2:81" ht="18" customHeight="1" x14ac:dyDescent="0.2">
      <c r="B137" s="8">
        <f>garage!B137</f>
        <v>137</v>
      </c>
      <c r="C137" s="8">
        <f>garage!C137</f>
        <v>4</v>
      </c>
      <c r="D137" s="8">
        <f>garage!D137</f>
        <v>9</v>
      </c>
      <c r="E137" s="8">
        <f>garage!E137</f>
        <v>20</v>
      </c>
      <c r="F137" s="8" t="str">
        <f>garage!F137</f>
        <v>--</v>
      </c>
      <c r="G137" s="8" t="str">
        <f>garage!G137</f>
        <v>N</v>
      </c>
      <c r="H137" s="8" t="str">
        <f>garage!H137</f>
        <v>N</v>
      </c>
      <c r="I137" s="8" t="str">
        <f>garage!I137</f>
        <v>N</v>
      </c>
      <c r="J137" s="8" t="str">
        <f>garage!J137</f>
        <v>O</v>
      </c>
      <c r="K137" s="8" t="str">
        <f>garage!K137</f>
        <v>A</v>
      </c>
      <c r="L137" s="9" t="str">
        <f>garage!L137</f>
        <v>Pagani</v>
      </c>
      <c r="M137" s="9" t="str">
        <f>garage!M137</f>
        <v>Zonda HP Barchetta</v>
      </c>
      <c r="O137" s="18" t="s">
        <v>446</v>
      </c>
      <c r="P137" s="14" t="s">
        <v>446</v>
      </c>
      <c r="Q137" s="14" t="s">
        <v>446</v>
      </c>
      <c r="R137" s="15" t="s">
        <v>446</v>
      </c>
      <c r="S137" s="14" t="s">
        <v>446</v>
      </c>
      <c r="T137" s="14" t="s">
        <v>446</v>
      </c>
      <c r="U137" s="14" t="s">
        <v>446</v>
      </c>
      <c r="V137" s="15" t="s">
        <v>446</v>
      </c>
      <c r="W137" s="14" t="s">
        <v>446</v>
      </c>
      <c r="X137" s="14" t="s">
        <v>446</v>
      </c>
      <c r="Y137" s="14" t="s">
        <v>446</v>
      </c>
      <c r="Z137" s="15" t="s">
        <v>446</v>
      </c>
      <c r="AA137" s="14" t="s">
        <v>446</v>
      </c>
      <c r="AB137" s="14" t="s">
        <v>446</v>
      </c>
      <c r="AC137" s="14" t="s">
        <v>446</v>
      </c>
      <c r="AD137" s="15" t="s">
        <v>446</v>
      </c>
      <c r="AE137" s="14" t="s">
        <v>446</v>
      </c>
      <c r="AF137" s="14" t="s">
        <v>446</v>
      </c>
      <c r="AG137" s="14" t="s">
        <v>446</v>
      </c>
      <c r="AH137" s="15" t="s">
        <v>446</v>
      </c>
      <c r="AI137" s="14" t="s">
        <v>446</v>
      </c>
      <c r="AJ137" s="14" t="s">
        <v>446</v>
      </c>
      <c r="AK137" s="14" t="s">
        <v>446</v>
      </c>
      <c r="AL137" s="15" t="s">
        <v>446</v>
      </c>
      <c r="AM137" s="14" t="s">
        <v>446</v>
      </c>
      <c r="AN137" s="14" t="s">
        <v>446</v>
      </c>
      <c r="AO137" s="14" t="s">
        <v>446</v>
      </c>
      <c r="AP137" s="15" t="s">
        <v>446</v>
      </c>
      <c r="AQ137" s="14" t="s">
        <v>446</v>
      </c>
      <c r="AR137" s="14" t="s">
        <v>446</v>
      </c>
      <c r="AS137" s="14" t="s">
        <v>446</v>
      </c>
      <c r="AT137" s="15" t="s">
        <v>446</v>
      </c>
      <c r="AU137" s="14" t="s">
        <v>446</v>
      </c>
      <c r="AV137" s="14" t="s">
        <v>446</v>
      </c>
      <c r="AW137" s="14" t="s">
        <v>446</v>
      </c>
      <c r="AX137" s="15" t="s">
        <v>446</v>
      </c>
      <c r="AY137" s="14" t="s">
        <v>446</v>
      </c>
      <c r="AZ137" s="14" t="s">
        <v>446</v>
      </c>
      <c r="BA137" s="14" t="s">
        <v>446</v>
      </c>
      <c r="BB137" s="15" t="s">
        <v>446</v>
      </c>
      <c r="BC137" s="14" t="s">
        <v>446</v>
      </c>
      <c r="BD137" s="14" t="s">
        <v>446</v>
      </c>
      <c r="BE137" s="14" t="s">
        <v>446</v>
      </c>
      <c r="BF137" s="15" t="s">
        <v>446</v>
      </c>
      <c r="BG137" s="14" t="s">
        <v>446</v>
      </c>
      <c r="BH137" s="14" t="s">
        <v>446</v>
      </c>
      <c r="BI137" s="14" t="s">
        <v>446</v>
      </c>
      <c r="BJ137" s="15" t="s">
        <v>446</v>
      </c>
      <c r="BK137" s="14" t="s">
        <v>446</v>
      </c>
      <c r="BL137" s="14" t="s">
        <v>446</v>
      </c>
      <c r="BM137" s="14" t="s">
        <v>446</v>
      </c>
      <c r="BN137" s="15" t="s">
        <v>446</v>
      </c>
      <c r="BP137" s="18" t="s">
        <v>446</v>
      </c>
      <c r="BQ137" s="14" t="s">
        <v>446</v>
      </c>
      <c r="BR137" s="14" t="s">
        <v>446</v>
      </c>
      <c r="BS137" s="15" t="s">
        <v>446</v>
      </c>
      <c r="BU137" s="18" t="s">
        <v>446</v>
      </c>
      <c r="BV137" s="14" t="s">
        <v>446</v>
      </c>
      <c r="BW137" s="14" t="s">
        <v>446</v>
      </c>
      <c r="BX137" s="15" t="s">
        <v>446</v>
      </c>
      <c r="BZ137" s="18" t="s">
        <v>446</v>
      </c>
      <c r="CA137" s="14" t="s">
        <v>446</v>
      </c>
      <c r="CB137" s="14" t="s">
        <v>446</v>
      </c>
      <c r="CC137" s="15" t="s">
        <v>446</v>
      </c>
    </row>
    <row r="138" spans="2:81" ht="18" customHeight="1" x14ac:dyDescent="0.2">
      <c r="B138" s="10">
        <f>garage!B138</f>
        <v>138</v>
      </c>
      <c r="C138" s="10">
        <f>garage!C138</f>
        <v>4</v>
      </c>
      <c r="D138" s="10">
        <f>garage!D138</f>
        <v>10</v>
      </c>
      <c r="E138" s="10">
        <f>garage!E138</f>
        <v>0</v>
      </c>
      <c r="F138" s="10" t="str">
        <f>garage!F138</f>
        <v>L</v>
      </c>
      <c r="G138" s="10" t="str">
        <f>garage!G138</f>
        <v>O</v>
      </c>
      <c r="H138" s="10" t="str">
        <f>garage!H138</f>
        <v>O</v>
      </c>
      <c r="I138" s="10" t="str">
        <f>garage!I138</f>
        <v>O</v>
      </c>
      <c r="J138" s="10" t="str">
        <f>garage!J138</f>
        <v>N</v>
      </c>
      <c r="K138" s="10" t="str">
        <f>garage!K138</f>
        <v>A</v>
      </c>
      <c r="L138" s="11" t="str">
        <f>garage!L138</f>
        <v>Lamborghini</v>
      </c>
      <c r="M138" s="11" t="str">
        <f>garage!M138</f>
        <v>Aventador SV Coupé</v>
      </c>
      <c r="O138" s="19">
        <v>1</v>
      </c>
      <c r="P138" s="16">
        <v>1</v>
      </c>
      <c r="Q138" s="16">
        <v>1</v>
      </c>
      <c r="R138" s="17">
        <v>1</v>
      </c>
      <c r="S138" s="16">
        <v>1</v>
      </c>
      <c r="T138" s="16">
        <v>1</v>
      </c>
      <c r="U138" s="16">
        <v>1</v>
      </c>
      <c r="V138" s="17">
        <v>1</v>
      </c>
      <c r="W138" s="16">
        <v>1</v>
      </c>
      <c r="X138" s="16">
        <v>1</v>
      </c>
      <c r="Y138" s="16">
        <v>1</v>
      </c>
      <c r="Z138" s="17">
        <v>1</v>
      </c>
      <c r="AA138" s="16">
        <v>1</v>
      </c>
      <c r="AB138" s="16">
        <v>1</v>
      </c>
      <c r="AC138" s="16">
        <v>1</v>
      </c>
      <c r="AD138" s="17">
        <v>1</v>
      </c>
      <c r="AE138" s="16">
        <v>1</v>
      </c>
      <c r="AF138" s="16">
        <v>1</v>
      </c>
      <c r="AG138" s="16">
        <v>1</v>
      </c>
      <c r="AH138" s="17">
        <v>1</v>
      </c>
      <c r="AI138" s="16">
        <v>1</v>
      </c>
      <c r="AJ138" s="16">
        <v>1</v>
      </c>
      <c r="AK138" s="16">
        <v>1</v>
      </c>
      <c r="AL138" s="17">
        <v>1</v>
      </c>
      <c r="AM138" s="16">
        <v>1</v>
      </c>
      <c r="AN138" s="16">
        <v>1</v>
      </c>
      <c r="AO138" s="16">
        <v>1</v>
      </c>
      <c r="AP138" s="17">
        <v>1</v>
      </c>
      <c r="AQ138" s="16">
        <v>1</v>
      </c>
      <c r="AR138" s="16">
        <v>1</v>
      </c>
      <c r="AS138" s="16">
        <v>1</v>
      </c>
      <c r="AT138" s="17">
        <v>1</v>
      </c>
      <c r="AU138" s="16">
        <v>1</v>
      </c>
      <c r="AV138" s="16">
        <v>1</v>
      </c>
      <c r="AW138" s="16">
        <v>1</v>
      </c>
      <c r="AX138" s="17">
        <v>1</v>
      </c>
      <c r="AY138" s="16">
        <v>1</v>
      </c>
      <c r="AZ138" s="16">
        <v>1</v>
      </c>
      <c r="BA138" s="16">
        <v>1</v>
      </c>
      <c r="BB138" s="17">
        <v>1</v>
      </c>
      <c r="BC138" s="16">
        <v>1</v>
      </c>
      <c r="BD138" s="16">
        <v>1</v>
      </c>
      <c r="BE138" s="16">
        <v>1</v>
      </c>
      <c r="BF138" s="17">
        <v>1</v>
      </c>
      <c r="BG138" s="16">
        <v>1</v>
      </c>
      <c r="BH138" s="16">
        <v>1</v>
      </c>
      <c r="BI138" s="16">
        <v>1</v>
      </c>
      <c r="BJ138" s="17">
        <v>1</v>
      </c>
      <c r="BK138" s="16" t="s">
        <v>446</v>
      </c>
      <c r="BL138" s="16" t="s">
        <v>446</v>
      </c>
      <c r="BM138" s="16" t="s">
        <v>446</v>
      </c>
      <c r="BN138" s="17" t="s">
        <v>446</v>
      </c>
      <c r="BP138" s="19">
        <v>6</v>
      </c>
      <c r="BQ138" s="16">
        <v>6</v>
      </c>
      <c r="BR138" s="16">
        <v>6</v>
      </c>
      <c r="BS138" s="17">
        <v>6</v>
      </c>
      <c r="BU138" s="19">
        <v>5</v>
      </c>
      <c r="BV138" s="16">
        <v>5</v>
      </c>
      <c r="BW138" s="16">
        <v>5</v>
      </c>
      <c r="BX138" s="17">
        <v>5</v>
      </c>
      <c r="BZ138" s="19">
        <v>3</v>
      </c>
      <c r="CA138" s="16">
        <v>3</v>
      </c>
      <c r="CB138" s="16">
        <v>3</v>
      </c>
      <c r="CC138" s="17">
        <v>3</v>
      </c>
    </row>
    <row r="139" spans="2:81" ht="18" customHeight="1" x14ac:dyDescent="0.2">
      <c r="B139" s="8">
        <f>garage!B139</f>
        <v>139</v>
      </c>
      <c r="C139" s="8">
        <f>garage!C139</f>
        <v>4</v>
      </c>
      <c r="D139" s="8">
        <f>garage!D139</f>
        <v>11</v>
      </c>
      <c r="E139" s="8">
        <f>garage!E139</f>
        <v>6</v>
      </c>
      <c r="F139" s="8" t="str">
        <f>garage!F139</f>
        <v>F</v>
      </c>
      <c r="G139" s="8" t="str">
        <f>garage!G139</f>
        <v>O</v>
      </c>
      <c r="H139" s="8" t="str">
        <f>garage!H139</f>
        <v>O</v>
      </c>
      <c r="I139" s="8" t="str">
        <f>garage!I139</f>
        <v>O</v>
      </c>
      <c r="J139" s="8" t="str">
        <f>garage!J139</f>
        <v>N</v>
      </c>
      <c r="K139" s="8" t="str">
        <f>garage!K139</f>
        <v>A</v>
      </c>
      <c r="L139" s="9" t="str">
        <f>garage!L139</f>
        <v>Ferrari</v>
      </c>
      <c r="M139" s="9" t="str">
        <f>garage!M139</f>
        <v>812 Superfast</v>
      </c>
      <c r="O139" s="18">
        <v>1</v>
      </c>
      <c r="P139" s="14">
        <v>1</v>
      </c>
      <c r="Q139" s="14">
        <v>1</v>
      </c>
      <c r="R139" s="15">
        <v>1</v>
      </c>
      <c r="S139" s="14">
        <v>1</v>
      </c>
      <c r="T139" s="14">
        <v>1</v>
      </c>
      <c r="U139" s="14">
        <v>1</v>
      </c>
      <c r="V139" s="15">
        <v>1</v>
      </c>
      <c r="W139" s="14">
        <v>1</v>
      </c>
      <c r="X139" s="14">
        <v>1</v>
      </c>
      <c r="Y139" s="14">
        <v>1</v>
      </c>
      <c r="Z139" s="15">
        <v>1</v>
      </c>
      <c r="AA139" s="14">
        <v>1</v>
      </c>
      <c r="AB139" s="14">
        <v>1</v>
      </c>
      <c r="AC139" s="14">
        <v>1</v>
      </c>
      <c r="AD139" s="15">
        <v>1</v>
      </c>
      <c r="AE139" s="14">
        <v>1</v>
      </c>
      <c r="AF139" s="14">
        <v>1</v>
      </c>
      <c r="AG139" s="14">
        <v>1</v>
      </c>
      <c r="AH139" s="15">
        <v>1</v>
      </c>
      <c r="AI139" s="14">
        <v>1</v>
      </c>
      <c r="AJ139" s="14">
        <v>1</v>
      </c>
      <c r="AK139" s="14">
        <v>1</v>
      </c>
      <c r="AL139" s="15">
        <v>1</v>
      </c>
      <c r="AM139" s="14">
        <v>1</v>
      </c>
      <c r="AN139" s="14">
        <v>1</v>
      </c>
      <c r="AO139" s="14">
        <v>1</v>
      </c>
      <c r="AP139" s="15">
        <v>1</v>
      </c>
      <c r="AQ139" s="14">
        <v>1</v>
      </c>
      <c r="AR139" s="14">
        <v>1</v>
      </c>
      <c r="AS139" s="14">
        <v>1</v>
      </c>
      <c r="AT139" s="15">
        <v>1</v>
      </c>
      <c r="AU139" s="14">
        <v>1</v>
      </c>
      <c r="AV139" s="14">
        <v>1</v>
      </c>
      <c r="AW139" s="14">
        <v>1</v>
      </c>
      <c r="AX139" s="15">
        <v>1</v>
      </c>
      <c r="AY139" s="14">
        <v>1</v>
      </c>
      <c r="AZ139" s="14">
        <v>1</v>
      </c>
      <c r="BA139" s="14">
        <v>1</v>
      </c>
      <c r="BB139" s="15">
        <v>1</v>
      </c>
      <c r="BC139" s="14">
        <v>1</v>
      </c>
      <c r="BD139" s="14">
        <v>1</v>
      </c>
      <c r="BE139" s="14">
        <v>1</v>
      </c>
      <c r="BF139" s="15">
        <v>1</v>
      </c>
      <c r="BG139" s="14">
        <v>1</v>
      </c>
      <c r="BH139" s="14">
        <v>1</v>
      </c>
      <c r="BI139" s="14">
        <v>1</v>
      </c>
      <c r="BJ139" s="15">
        <v>1</v>
      </c>
      <c r="BK139" s="14" t="s">
        <v>446</v>
      </c>
      <c r="BL139" s="14" t="s">
        <v>446</v>
      </c>
      <c r="BM139" s="14" t="s">
        <v>446</v>
      </c>
      <c r="BN139" s="15" t="s">
        <v>446</v>
      </c>
      <c r="BP139" s="18">
        <v>6</v>
      </c>
      <c r="BQ139" s="14">
        <v>6</v>
      </c>
      <c r="BR139" s="14">
        <v>6</v>
      </c>
      <c r="BS139" s="15">
        <v>6</v>
      </c>
      <c r="BU139" s="18">
        <v>5</v>
      </c>
      <c r="BV139" s="14">
        <v>5</v>
      </c>
      <c r="BW139" s="14">
        <v>5</v>
      </c>
      <c r="BX139" s="15">
        <v>5</v>
      </c>
      <c r="BZ139" s="18">
        <v>3</v>
      </c>
      <c r="CA139" s="14">
        <v>3</v>
      </c>
      <c r="CB139" s="14">
        <v>3</v>
      </c>
      <c r="CC139" s="15">
        <v>3</v>
      </c>
    </row>
    <row r="140" spans="2:81" ht="18" customHeight="1" x14ac:dyDescent="0.2">
      <c r="B140" s="10">
        <f>garage!B140</f>
        <v>140</v>
      </c>
      <c r="C140" s="10">
        <f>garage!C140</f>
        <v>4</v>
      </c>
      <c r="D140" s="10">
        <f>garage!D140</f>
        <v>12</v>
      </c>
      <c r="E140" s="10">
        <f>garage!E140</f>
        <v>0</v>
      </c>
      <c r="F140" s="10" t="str">
        <f>garage!F140</f>
        <v>C</v>
      </c>
      <c r="G140" s="10" t="str">
        <f>garage!G140</f>
        <v>O</v>
      </c>
      <c r="H140" s="10" t="str">
        <f>garage!H140</f>
        <v>O</v>
      </c>
      <c r="I140" s="10" t="str">
        <f>garage!I140</f>
        <v>N</v>
      </c>
      <c r="J140" s="10" t="str">
        <f>garage!J140</f>
        <v>N</v>
      </c>
      <c r="K140" s="10" t="str">
        <f>garage!K140</f>
        <v>A</v>
      </c>
      <c r="L140" s="11" t="str">
        <f>garage!L140</f>
        <v>Chevrolet</v>
      </c>
      <c r="M140" s="11" t="str">
        <f>garage!M140</f>
        <v>Corvette ZR1</v>
      </c>
      <c r="O140" s="19">
        <v>1</v>
      </c>
      <c r="P140" s="16">
        <v>1</v>
      </c>
      <c r="Q140" s="16">
        <v>1</v>
      </c>
      <c r="R140" s="17">
        <v>1</v>
      </c>
      <c r="S140" s="16">
        <v>1</v>
      </c>
      <c r="T140" s="16">
        <v>1</v>
      </c>
      <c r="U140" s="16">
        <v>1</v>
      </c>
      <c r="V140" s="17">
        <v>1</v>
      </c>
      <c r="W140" s="16">
        <v>1</v>
      </c>
      <c r="X140" s="16">
        <v>1</v>
      </c>
      <c r="Y140" s="16">
        <v>1</v>
      </c>
      <c r="Z140" s="17">
        <v>1</v>
      </c>
      <c r="AA140" s="16">
        <v>1</v>
      </c>
      <c r="AB140" s="16">
        <v>1</v>
      </c>
      <c r="AC140" s="16">
        <v>1</v>
      </c>
      <c r="AD140" s="17">
        <v>1</v>
      </c>
      <c r="AE140" s="16">
        <v>1</v>
      </c>
      <c r="AF140" s="16">
        <v>1</v>
      </c>
      <c r="AG140" s="16">
        <v>1</v>
      </c>
      <c r="AH140" s="17">
        <v>1</v>
      </c>
      <c r="AI140" s="16">
        <v>1</v>
      </c>
      <c r="AJ140" s="16">
        <v>1</v>
      </c>
      <c r="AK140" s="16">
        <v>1</v>
      </c>
      <c r="AL140" s="17">
        <v>1</v>
      </c>
      <c r="AM140" s="16">
        <v>1</v>
      </c>
      <c r="AN140" s="16">
        <v>1</v>
      </c>
      <c r="AO140" s="16">
        <v>1</v>
      </c>
      <c r="AP140" s="17">
        <v>1</v>
      </c>
      <c r="AQ140" s="16">
        <v>1</v>
      </c>
      <c r="AR140" s="16">
        <v>1</v>
      </c>
      <c r="AS140" s="16">
        <v>1</v>
      </c>
      <c r="AT140" s="17">
        <v>1</v>
      </c>
      <c r="AU140" s="16">
        <v>1</v>
      </c>
      <c r="AV140" s="16">
        <v>1</v>
      </c>
      <c r="AW140" s="16">
        <v>1</v>
      </c>
      <c r="AX140" s="17">
        <v>1</v>
      </c>
      <c r="AY140" s="16">
        <v>1</v>
      </c>
      <c r="AZ140" s="16">
        <v>1</v>
      </c>
      <c r="BA140" s="16">
        <v>1</v>
      </c>
      <c r="BB140" s="17">
        <v>1</v>
      </c>
      <c r="BC140" s="16">
        <v>1</v>
      </c>
      <c r="BD140" s="16">
        <v>1</v>
      </c>
      <c r="BE140" s="16">
        <v>1</v>
      </c>
      <c r="BF140" s="17">
        <v>1</v>
      </c>
      <c r="BG140" s="16">
        <v>1</v>
      </c>
      <c r="BH140" s="16">
        <v>1</v>
      </c>
      <c r="BI140" s="16">
        <v>1</v>
      </c>
      <c r="BJ140" s="17">
        <v>1</v>
      </c>
      <c r="BK140" s="16" t="s">
        <v>446</v>
      </c>
      <c r="BL140" s="16" t="s">
        <v>446</v>
      </c>
      <c r="BM140" s="16" t="s">
        <v>446</v>
      </c>
      <c r="BN140" s="17" t="s">
        <v>446</v>
      </c>
      <c r="BP140" s="19">
        <v>6</v>
      </c>
      <c r="BQ140" s="16">
        <v>6</v>
      </c>
      <c r="BR140" s="16">
        <v>6</v>
      </c>
      <c r="BS140" s="17">
        <v>6</v>
      </c>
      <c r="BU140" s="19">
        <v>5</v>
      </c>
      <c r="BV140" s="16">
        <v>5</v>
      </c>
      <c r="BW140" s="16">
        <v>5</v>
      </c>
      <c r="BX140" s="17">
        <v>5</v>
      </c>
      <c r="BZ140" s="19" t="s">
        <v>446</v>
      </c>
      <c r="CA140" s="16" t="s">
        <v>446</v>
      </c>
      <c r="CB140" s="16" t="s">
        <v>446</v>
      </c>
      <c r="CC140" s="17" t="s">
        <v>446</v>
      </c>
    </row>
    <row r="141" spans="2:81" ht="18" customHeight="1" x14ac:dyDescent="0.2">
      <c r="B141" s="8">
        <f>garage!B141</f>
        <v>141</v>
      </c>
      <c r="C141" s="8">
        <f>garage!C141</f>
        <v>4</v>
      </c>
      <c r="D141" s="8">
        <f>garage!D141</f>
        <v>13</v>
      </c>
      <c r="E141" s="8">
        <f>garage!E141</f>
        <v>14</v>
      </c>
      <c r="F141" s="8" t="str">
        <f>garage!F141</f>
        <v>--</v>
      </c>
      <c r="G141" s="8" t="str">
        <f>garage!G141</f>
        <v>O</v>
      </c>
      <c r="H141" s="8" t="str">
        <f>garage!H141</f>
        <v>N</v>
      </c>
      <c r="I141" s="8" t="str">
        <f>garage!I141</f>
        <v>N</v>
      </c>
      <c r="J141" s="8" t="str">
        <f>garage!J141</f>
        <v>N</v>
      </c>
      <c r="K141" s="8" t="str">
        <f>garage!K141</f>
        <v>A</v>
      </c>
      <c r="L141" s="9" t="str">
        <f>garage!L141</f>
        <v>Jaguar</v>
      </c>
      <c r="M141" s="9" t="str">
        <f>garage!M141</f>
        <v>C-X75</v>
      </c>
      <c r="O141" s="18">
        <v>1</v>
      </c>
      <c r="P141" s="14">
        <v>1</v>
      </c>
      <c r="Q141" s="14">
        <v>1</v>
      </c>
      <c r="R141" s="15">
        <v>1</v>
      </c>
      <c r="S141" s="14">
        <v>1</v>
      </c>
      <c r="T141" s="14">
        <v>1</v>
      </c>
      <c r="U141" s="14">
        <v>1</v>
      </c>
      <c r="V141" s="15">
        <v>1</v>
      </c>
      <c r="W141" s="14">
        <v>1</v>
      </c>
      <c r="X141" s="14">
        <v>1</v>
      </c>
      <c r="Y141" s="14">
        <v>1</v>
      </c>
      <c r="Z141" s="15">
        <v>1</v>
      </c>
      <c r="AA141" s="14" t="s">
        <v>446</v>
      </c>
      <c r="AB141" s="14" t="s">
        <v>446</v>
      </c>
      <c r="AC141" s="14" t="s">
        <v>446</v>
      </c>
      <c r="AD141" s="15" t="s">
        <v>446</v>
      </c>
      <c r="AE141" s="14" t="s">
        <v>446</v>
      </c>
      <c r="AF141" s="14" t="s">
        <v>446</v>
      </c>
      <c r="AG141" s="14" t="s">
        <v>446</v>
      </c>
      <c r="AH141" s="15" t="s">
        <v>446</v>
      </c>
      <c r="AI141" s="14" t="s">
        <v>446</v>
      </c>
      <c r="AJ141" s="14" t="s">
        <v>446</v>
      </c>
      <c r="AK141" s="14" t="s">
        <v>446</v>
      </c>
      <c r="AL141" s="15" t="s">
        <v>446</v>
      </c>
      <c r="AM141" s="14" t="s">
        <v>446</v>
      </c>
      <c r="AN141" s="14" t="s">
        <v>446</v>
      </c>
      <c r="AO141" s="14" t="s">
        <v>446</v>
      </c>
      <c r="AP141" s="15" t="s">
        <v>446</v>
      </c>
      <c r="AQ141" s="14" t="s">
        <v>446</v>
      </c>
      <c r="AR141" s="14" t="s">
        <v>446</v>
      </c>
      <c r="AS141" s="14" t="s">
        <v>446</v>
      </c>
      <c r="AT141" s="15" t="s">
        <v>446</v>
      </c>
      <c r="AU141" s="14" t="s">
        <v>446</v>
      </c>
      <c r="AV141" s="14" t="s">
        <v>446</v>
      </c>
      <c r="AW141" s="14" t="s">
        <v>446</v>
      </c>
      <c r="AX141" s="15" t="s">
        <v>446</v>
      </c>
      <c r="AY141" s="14" t="s">
        <v>446</v>
      </c>
      <c r="AZ141" s="14" t="s">
        <v>446</v>
      </c>
      <c r="BA141" s="14" t="s">
        <v>446</v>
      </c>
      <c r="BB141" s="15" t="s">
        <v>446</v>
      </c>
      <c r="BC141" s="14" t="s">
        <v>446</v>
      </c>
      <c r="BD141" s="14" t="s">
        <v>446</v>
      </c>
      <c r="BE141" s="14" t="s">
        <v>446</v>
      </c>
      <c r="BF141" s="15" t="s">
        <v>446</v>
      </c>
      <c r="BG141" s="14" t="s">
        <v>446</v>
      </c>
      <c r="BH141" s="14" t="s">
        <v>446</v>
      </c>
      <c r="BI141" s="14" t="s">
        <v>446</v>
      </c>
      <c r="BJ141" s="15" t="s">
        <v>446</v>
      </c>
      <c r="BK141" s="14" t="s">
        <v>446</v>
      </c>
      <c r="BL141" s="14" t="s">
        <v>446</v>
      </c>
      <c r="BM141" s="14" t="s">
        <v>446</v>
      </c>
      <c r="BN141" s="15" t="s">
        <v>446</v>
      </c>
      <c r="BP141" s="18">
        <v>2</v>
      </c>
      <c r="BQ141" s="14">
        <v>1</v>
      </c>
      <c r="BR141" s="14">
        <v>1</v>
      </c>
      <c r="BS141" s="15">
        <v>2</v>
      </c>
      <c r="BU141" s="18" t="s">
        <v>446</v>
      </c>
      <c r="BV141" s="14" t="s">
        <v>446</v>
      </c>
      <c r="BW141" s="14" t="s">
        <v>446</v>
      </c>
      <c r="BX141" s="15" t="s">
        <v>446</v>
      </c>
      <c r="BZ141" s="18" t="s">
        <v>446</v>
      </c>
      <c r="CA141" s="14" t="s">
        <v>446</v>
      </c>
      <c r="CB141" s="14" t="s">
        <v>446</v>
      </c>
      <c r="CC141" s="15" t="s">
        <v>446</v>
      </c>
    </row>
    <row r="142" spans="2:81" ht="18" customHeight="1" x14ac:dyDescent="0.2">
      <c r="B142" s="10">
        <f>garage!B142</f>
        <v>142</v>
      </c>
      <c r="C142" s="10">
        <f>garage!C142</f>
        <v>4</v>
      </c>
      <c r="D142" s="10">
        <f>garage!D142</f>
        <v>14</v>
      </c>
      <c r="E142" s="10">
        <f>garage!E142</f>
        <v>0</v>
      </c>
      <c r="F142" s="10" t="str">
        <f>garage!F142</f>
        <v>--</v>
      </c>
      <c r="G142" s="10" t="str">
        <f>garage!G142</f>
        <v>O</v>
      </c>
      <c r="H142" s="10" t="str">
        <f>garage!H142</f>
        <v>O</v>
      </c>
      <c r="I142" s="10" t="str">
        <f>garage!I142</f>
        <v>O</v>
      </c>
      <c r="J142" s="10" t="str">
        <f>garage!J142</f>
        <v>N</v>
      </c>
      <c r="K142" s="10" t="str">
        <f>garage!K142</f>
        <v>A</v>
      </c>
      <c r="L142" s="11" t="str">
        <f>garage!L142</f>
        <v>VLF</v>
      </c>
      <c r="M142" s="11" t="str">
        <f>garage!M142</f>
        <v>Force 1 V10</v>
      </c>
      <c r="O142" s="19">
        <v>1</v>
      </c>
      <c r="P142" s="16">
        <v>1</v>
      </c>
      <c r="Q142" s="16">
        <v>1</v>
      </c>
      <c r="R142" s="17">
        <v>1</v>
      </c>
      <c r="S142" s="16">
        <v>1</v>
      </c>
      <c r="T142" s="16">
        <v>1</v>
      </c>
      <c r="U142" s="16">
        <v>1</v>
      </c>
      <c r="V142" s="17">
        <v>1</v>
      </c>
      <c r="W142" s="16">
        <v>1</v>
      </c>
      <c r="X142" s="16">
        <v>1</v>
      </c>
      <c r="Y142" s="16">
        <v>1</v>
      </c>
      <c r="Z142" s="17">
        <v>1</v>
      </c>
      <c r="AA142" s="16">
        <v>1</v>
      </c>
      <c r="AB142" s="16">
        <v>1</v>
      </c>
      <c r="AC142" s="16">
        <v>1</v>
      </c>
      <c r="AD142" s="17">
        <v>1</v>
      </c>
      <c r="AE142" s="16">
        <v>1</v>
      </c>
      <c r="AF142" s="16">
        <v>1</v>
      </c>
      <c r="AG142" s="16">
        <v>1</v>
      </c>
      <c r="AH142" s="17">
        <v>1</v>
      </c>
      <c r="AI142" s="16">
        <v>1</v>
      </c>
      <c r="AJ142" s="16">
        <v>1</v>
      </c>
      <c r="AK142" s="16">
        <v>1</v>
      </c>
      <c r="AL142" s="17">
        <v>1</v>
      </c>
      <c r="AM142" s="16">
        <v>1</v>
      </c>
      <c r="AN142" s="16">
        <v>1</v>
      </c>
      <c r="AO142" s="16">
        <v>1</v>
      </c>
      <c r="AP142" s="17">
        <v>1</v>
      </c>
      <c r="AQ142" s="16">
        <v>1</v>
      </c>
      <c r="AR142" s="16">
        <v>1</v>
      </c>
      <c r="AS142" s="16">
        <v>1</v>
      </c>
      <c r="AT142" s="17">
        <v>1</v>
      </c>
      <c r="AU142" s="16">
        <v>1</v>
      </c>
      <c r="AV142" s="16">
        <v>1</v>
      </c>
      <c r="AW142" s="16">
        <v>1</v>
      </c>
      <c r="AX142" s="17">
        <v>1</v>
      </c>
      <c r="AY142" s="16">
        <v>1</v>
      </c>
      <c r="AZ142" s="16">
        <v>1</v>
      </c>
      <c r="BA142" s="16">
        <v>1</v>
      </c>
      <c r="BB142" s="17">
        <v>1</v>
      </c>
      <c r="BC142" s="16">
        <v>1</v>
      </c>
      <c r="BD142" s="16">
        <v>1</v>
      </c>
      <c r="BE142" s="16">
        <v>1</v>
      </c>
      <c r="BF142" s="17">
        <v>1</v>
      </c>
      <c r="BG142" s="16">
        <v>1</v>
      </c>
      <c r="BH142" s="16">
        <v>1</v>
      </c>
      <c r="BI142" s="16">
        <v>1</v>
      </c>
      <c r="BJ142" s="17">
        <v>1</v>
      </c>
      <c r="BK142" s="16" t="s">
        <v>446</v>
      </c>
      <c r="BL142" s="16" t="s">
        <v>446</v>
      </c>
      <c r="BM142" s="16" t="s">
        <v>446</v>
      </c>
      <c r="BN142" s="17" t="s">
        <v>446</v>
      </c>
      <c r="BP142" s="19">
        <v>6</v>
      </c>
      <c r="BQ142" s="16">
        <v>6</v>
      </c>
      <c r="BR142" s="16">
        <v>6</v>
      </c>
      <c r="BS142" s="17">
        <v>6</v>
      </c>
      <c r="BU142" s="19">
        <v>5</v>
      </c>
      <c r="BV142" s="16">
        <v>5</v>
      </c>
      <c r="BW142" s="16">
        <v>5</v>
      </c>
      <c r="BX142" s="17">
        <v>5</v>
      </c>
      <c r="BZ142" s="19">
        <v>3</v>
      </c>
      <c r="CA142" s="16">
        <v>3</v>
      </c>
      <c r="CB142" s="16">
        <v>3</v>
      </c>
      <c r="CC142" s="17">
        <v>3</v>
      </c>
    </row>
    <row r="143" spans="2:81" ht="18" customHeight="1" x14ac:dyDescent="0.2">
      <c r="B143" s="8">
        <f>garage!B143</f>
        <v>143</v>
      </c>
      <c r="C143" s="8">
        <f>garage!C143</f>
        <v>4</v>
      </c>
      <c r="D143" s="8">
        <f>garage!D143</f>
        <v>15</v>
      </c>
      <c r="E143" s="8">
        <f>garage!E143</f>
        <v>23</v>
      </c>
      <c r="F143" s="8" t="str">
        <f>garage!F143</f>
        <v>M</v>
      </c>
      <c r="G143" s="8" t="str">
        <f>garage!G143</f>
        <v>O</v>
      </c>
      <c r="H143" s="8" t="str">
        <f>garage!H143</f>
        <v>N</v>
      </c>
      <c r="I143" s="8" t="str">
        <f>garage!I143</f>
        <v>N</v>
      </c>
      <c r="J143" s="8" t="str">
        <f>garage!J143</f>
        <v>N</v>
      </c>
      <c r="K143" s="8" t="str">
        <f>garage!K143</f>
        <v>A</v>
      </c>
      <c r="L143" s="9" t="str">
        <f>garage!L143</f>
        <v>McLaren</v>
      </c>
      <c r="M143" s="9" t="str">
        <f>garage!M143</f>
        <v>Senna GTR</v>
      </c>
      <c r="O143" s="18">
        <v>1</v>
      </c>
      <c r="P143" s="14">
        <v>1</v>
      </c>
      <c r="Q143" s="14">
        <v>1</v>
      </c>
      <c r="R143" s="15">
        <v>1</v>
      </c>
      <c r="S143" s="14">
        <v>1</v>
      </c>
      <c r="T143" s="14">
        <v>1</v>
      </c>
      <c r="U143" s="14">
        <v>1</v>
      </c>
      <c r="V143" s="15">
        <v>1</v>
      </c>
      <c r="W143" s="14">
        <v>1</v>
      </c>
      <c r="X143" s="14">
        <v>1</v>
      </c>
      <c r="Y143" s="14">
        <v>1</v>
      </c>
      <c r="Z143" s="15">
        <v>1</v>
      </c>
      <c r="AA143" s="14">
        <v>1</v>
      </c>
      <c r="AB143" s="14">
        <v>1</v>
      </c>
      <c r="AC143" s="14">
        <v>1</v>
      </c>
      <c r="AD143" s="15">
        <v>1</v>
      </c>
      <c r="AE143" s="14">
        <v>1</v>
      </c>
      <c r="AF143" s="14">
        <v>1</v>
      </c>
      <c r="AG143" s="14">
        <v>1</v>
      </c>
      <c r="AH143" s="15">
        <v>1</v>
      </c>
      <c r="AI143" s="14">
        <v>1</v>
      </c>
      <c r="AJ143" s="14">
        <v>1</v>
      </c>
      <c r="AK143" s="14">
        <v>1</v>
      </c>
      <c r="AL143" s="15">
        <v>1</v>
      </c>
      <c r="AM143" s="14" t="s">
        <v>446</v>
      </c>
      <c r="AN143" s="14" t="s">
        <v>446</v>
      </c>
      <c r="AO143" s="14">
        <v>1</v>
      </c>
      <c r="AP143" s="15">
        <v>1</v>
      </c>
      <c r="AQ143" s="14" t="s">
        <v>446</v>
      </c>
      <c r="AR143" s="14" t="s">
        <v>446</v>
      </c>
      <c r="AS143" s="14" t="s">
        <v>446</v>
      </c>
      <c r="AT143" s="15" t="s">
        <v>446</v>
      </c>
      <c r="AU143" s="14" t="s">
        <v>446</v>
      </c>
      <c r="AV143" s="14" t="s">
        <v>446</v>
      </c>
      <c r="AW143" s="14" t="s">
        <v>446</v>
      </c>
      <c r="AX143" s="15" t="s">
        <v>446</v>
      </c>
      <c r="AY143" s="14" t="s">
        <v>446</v>
      </c>
      <c r="AZ143" s="14" t="s">
        <v>446</v>
      </c>
      <c r="BA143" s="14" t="s">
        <v>446</v>
      </c>
      <c r="BB143" s="15" t="s">
        <v>446</v>
      </c>
      <c r="BC143" s="14" t="s">
        <v>446</v>
      </c>
      <c r="BD143" s="14" t="s">
        <v>446</v>
      </c>
      <c r="BE143" s="14" t="s">
        <v>446</v>
      </c>
      <c r="BF143" s="15" t="s">
        <v>446</v>
      </c>
      <c r="BG143" s="14" t="s">
        <v>446</v>
      </c>
      <c r="BH143" s="14" t="s">
        <v>446</v>
      </c>
      <c r="BI143" s="14" t="s">
        <v>446</v>
      </c>
      <c r="BJ143" s="15" t="s">
        <v>446</v>
      </c>
      <c r="BK143" s="14" t="s">
        <v>446</v>
      </c>
      <c r="BL143" s="14" t="s">
        <v>446</v>
      </c>
      <c r="BM143" s="14" t="s">
        <v>446</v>
      </c>
      <c r="BN143" s="15" t="s">
        <v>446</v>
      </c>
      <c r="BP143" s="18">
        <v>3</v>
      </c>
      <c r="BQ143" s="14">
        <v>2</v>
      </c>
      <c r="BR143" s="14">
        <v>3</v>
      </c>
      <c r="BS143" s="15">
        <v>4</v>
      </c>
      <c r="BU143" s="18" t="s">
        <v>446</v>
      </c>
      <c r="BV143" s="14" t="s">
        <v>446</v>
      </c>
      <c r="BW143" s="14" t="s">
        <v>446</v>
      </c>
      <c r="BX143" s="15" t="s">
        <v>446</v>
      </c>
      <c r="BZ143" s="18" t="s">
        <v>446</v>
      </c>
      <c r="CA143" s="14" t="s">
        <v>446</v>
      </c>
      <c r="CB143" s="14" t="s">
        <v>446</v>
      </c>
      <c r="CC143" s="15" t="s">
        <v>446</v>
      </c>
    </row>
    <row r="144" spans="2:81" ht="18" customHeight="1" x14ac:dyDescent="0.2">
      <c r="B144" s="10">
        <f>garage!B144</f>
        <v>144</v>
      </c>
      <c r="C144" s="10">
        <f>garage!C144</f>
        <v>4</v>
      </c>
      <c r="D144" s="10">
        <f>garage!D144</f>
        <v>16</v>
      </c>
      <c r="E144" s="10">
        <f>garage!E144</f>
        <v>20</v>
      </c>
      <c r="F144" s="10" t="str">
        <f>garage!F144</f>
        <v>L</v>
      </c>
      <c r="G144" s="10" t="str">
        <f>garage!G144</f>
        <v>N</v>
      </c>
      <c r="H144" s="10" t="str">
        <f>garage!H144</f>
        <v>N</v>
      </c>
      <c r="I144" s="10" t="str">
        <f>garage!I144</f>
        <v>N</v>
      </c>
      <c r="J144" s="10" t="str">
        <f>garage!J144</f>
        <v>N</v>
      </c>
      <c r="K144" s="10" t="str">
        <f>garage!K144</f>
        <v>A</v>
      </c>
      <c r="L144" s="11" t="str">
        <f>garage!L144</f>
        <v>Lamborghini</v>
      </c>
      <c r="M144" s="11" t="str">
        <f>garage!M144</f>
        <v>Aventador SVJ Roadster</v>
      </c>
      <c r="O144" s="19" t="s">
        <v>446</v>
      </c>
      <c r="P144" s="16" t="s">
        <v>446</v>
      </c>
      <c r="Q144" s="16" t="s">
        <v>446</v>
      </c>
      <c r="R144" s="17" t="s">
        <v>446</v>
      </c>
      <c r="S144" s="16" t="s">
        <v>446</v>
      </c>
      <c r="T144" s="16" t="s">
        <v>446</v>
      </c>
      <c r="U144" s="16" t="s">
        <v>446</v>
      </c>
      <c r="V144" s="17" t="s">
        <v>446</v>
      </c>
      <c r="W144" s="16" t="s">
        <v>446</v>
      </c>
      <c r="X144" s="16" t="s">
        <v>446</v>
      </c>
      <c r="Y144" s="16" t="s">
        <v>446</v>
      </c>
      <c r="Z144" s="17" t="s">
        <v>446</v>
      </c>
      <c r="AA144" s="16" t="s">
        <v>446</v>
      </c>
      <c r="AB144" s="16" t="s">
        <v>446</v>
      </c>
      <c r="AC144" s="16" t="s">
        <v>446</v>
      </c>
      <c r="AD144" s="17" t="s">
        <v>446</v>
      </c>
      <c r="AE144" s="16" t="s">
        <v>446</v>
      </c>
      <c r="AF144" s="16" t="s">
        <v>446</v>
      </c>
      <c r="AG144" s="16" t="s">
        <v>446</v>
      </c>
      <c r="AH144" s="17" t="s">
        <v>446</v>
      </c>
      <c r="AI144" s="16" t="s">
        <v>446</v>
      </c>
      <c r="AJ144" s="16" t="s">
        <v>446</v>
      </c>
      <c r="AK144" s="16" t="s">
        <v>446</v>
      </c>
      <c r="AL144" s="17" t="s">
        <v>446</v>
      </c>
      <c r="AM144" s="16" t="s">
        <v>446</v>
      </c>
      <c r="AN144" s="16" t="s">
        <v>446</v>
      </c>
      <c r="AO144" s="16" t="s">
        <v>446</v>
      </c>
      <c r="AP144" s="17" t="s">
        <v>446</v>
      </c>
      <c r="AQ144" s="16" t="s">
        <v>446</v>
      </c>
      <c r="AR144" s="16" t="s">
        <v>446</v>
      </c>
      <c r="AS144" s="16" t="s">
        <v>446</v>
      </c>
      <c r="AT144" s="17" t="s">
        <v>446</v>
      </c>
      <c r="AU144" s="16" t="s">
        <v>446</v>
      </c>
      <c r="AV144" s="16" t="s">
        <v>446</v>
      </c>
      <c r="AW144" s="16" t="s">
        <v>446</v>
      </c>
      <c r="AX144" s="17" t="s">
        <v>446</v>
      </c>
      <c r="AY144" s="16" t="s">
        <v>446</v>
      </c>
      <c r="AZ144" s="16" t="s">
        <v>446</v>
      </c>
      <c r="BA144" s="16" t="s">
        <v>446</v>
      </c>
      <c r="BB144" s="17" t="s">
        <v>446</v>
      </c>
      <c r="BC144" s="16" t="s">
        <v>446</v>
      </c>
      <c r="BD144" s="16" t="s">
        <v>446</v>
      </c>
      <c r="BE144" s="16" t="s">
        <v>446</v>
      </c>
      <c r="BF144" s="17" t="s">
        <v>446</v>
      </c>
      <c r="BG144" s="16" t="s">
        <v>446</v>
      </c>
      <c r="BH144" s="16" t="s">
        <v>446</v>
      </c>
      <c r="BI144" s="16" t="s">
        <v>446</v>
      </c>
      <c r="BJ144" s="17" t="s">
        <v>446</v>
      </c>
      <c r="BK144" s="16" t="s">
        <v>446</v>
      </c>
      <c r="BL144" s="16" t="s">
        <v>446</v>
      </c>
      <c r="BM144" s="16" t="s">
        <v>446</v>
      </c>
      <c r="BN144" s="17" t="s">
        <v>446</v>
      </c>
      <c r="BP144" s="19" t="s">
        <v>446</v>
      </c>
      <c r="BQ144" s="16" t="s">
        <v>446</v>
      </c>
      <c r="BR144" s="16" t="s">
        <v>446</v>
      </c>
      <c r="BS144" s="17" t="s">
        <v>446</v>
      </c>
      <c r="BU144" s="19" t="s">
        <v>446</v>
      </c>
      <c r="BV144" s="16" t="s">
        <v>446</v>
      </c>
      <c r="BW144" s="16" t="s">
        <v>446</v>
      </c>
      <c r="BX144" s="17" t="s">
        <v>446</v>
      </c>
      <c r="BZ144" s="19" t="s">
        <v>446</v>
      </c>
      <c r="CA144" s="16" t="s">
        <v>446</v>
      </c>
      <c r="CB144" s="16" t="s">
        <v>446</v>
      </c>
      <c r="CC144" s="17" t="s">
        <v>446</v>
      </c>
    </row>
    <row r="145" spans="2:81" ht="18" customHeight="1" x14ac:dyDescent="0.2">
      <c r="B145" s="8">
        <f>garage!B145</f>
        <v>145</v>
      </c>
      <c r="C145" s="8">
        <f>garage!C145</f>
        <v>4</v>
      </c>
      <c r="D145" s="8">
        <f>garage!D145</f>
        <v>17</v>
      </c>
      <c r="E145" s="8">
        <f>garage!E145</f>
        <v>8</v>
      </c>
      <c r="F145" s="8" t="str">
        <f>garage!F145</f>
        <v>--</v>
      </c>
      <c r="G145" s="8" t="str">
        <f>garage!G145</f>
        <v>O</v>
      </c>
      <c r="H145" s="8" t="str">
        <f>garage!H145</f>
        <v>O</v>
      </c>
      <c r="I145" s="8" t="str">
        <f>garage!I145</f>
        <v>O</v>
      </c>
      <c r="J145" s="8" t="str">
        <f>garage!J145</f>
        <v>N</v>
      </c>
      <c r="K145" s="8" t="str">
        <f>garage!K145</f>
        <v>A</v>
      </c>
      <c r="L145" s="9" t="str">
        <f>garage!L145</f>
        <v>Vanda Electrics</v>
      </c>
      <c r="M145" s="9" t="str">
        <f>garage!M145</f>
        <v>Dendrobium</v>
      </c>
      <c r="O145" s="18">
        <v>1</v>
      </c>
      <c r="P145" s="14">
        <v>1</v>
      </c>
      <c r="Q145" s="14">
        <v>1</v>
      </c>
      <c r="R145" s="15">
        <v>1</v>
      </c>
      <c r="S145" s="14">
        <v>1</v>
      </c>
      <c r="T145" s="14">
        <v>1</v>
      </c>
      <c r="U145" s="14">
        <v>1</v>
      </c>
      <c r="V145" s="15">
        <v>1</v>
      </c>
      <c r="W145" s="14">
        <v>1</v>
      </c>
      <c r="X145" s="14">
        <v>1</v>
      </c>
      <c r="Y145" s="14">
        <v>1</v>
      </c>
      <c r="Z145" s="15">
        <v>1</v>
      </c>
      <c r="AA145" s="14">
        <v>1</v>
      </c>
      <c r="AB145" s="14">
        <v>1</v>
      </c>
      <c r="AC145" s="14">
        <v>1</v>
      </c>
      <c r="AD145" s="15">
        <v>1</v>
      </c>
      <c r="AE145" s="14">
        <v>1</v>
      </c>
      <c r="AF145" s="14">
        <v>1</v>
      </c>
      <c r="AG145" s="14">
        <v>1</v>
      </c>
      <c r="AH145" s="15">
        <v>1</v>
      </c>
      <c r="AI145" s="14">
        <v>1</v>
      </c>
      <c r="AJ145" s="14">
        <v>1</v>
      </c>
      <c r="AK145" s="14">
        <v>1</v>
      </c>
      <c r="AL145" s="15">
        <v>1</v>
      </c>
      <c r="AM145" s="14">
        <v>1</v>
      </c>
      <c r="AN145" s="14">
        <v>1</v>
      </c>
      <c r="AO145" s="14">
        <v>1</v>
      </c>
      <c r="AP145" s="15">
        <v>1</v>
      </c>
      <c r="AQ145" s="14">
        <v>1</v>
      </c>
      <c r="AR145" s="14">
        <v>1</v>
      </c>
      <c r="AS145" s="14">
        <v>1</v>
      </c>
      <c r="AT145" s="15">
        <v>1</v>
      </c>
      <c r="AU145" s="14">
        <v>1</v>
      </c>
      <c r="AV145" s="14">
        <v>1</v>
      </c>
      <c r="AW145" s="14">
        <v>1</v>
      </c>
      <c r="AX145" s="15">
        <v>1</v>
      </c>
      <c r="AY145" s="14">
        <v>1</v>
      </c>
      <c r="AZ145" s="14">
        <v>1</v>
      </c>
      <c r="BA145" s="14">
        <v>1</v>
      </c>
      <c r="BB145" s="15">
        <v>1</v>
      </c>
      <c r="BC145" s="14">
        <v>1</v>
      </c>
      <c r="BD145" s="14">
        <v>1</v>
      </c>
      <c r="BE145" s="14">
        <v>1</v>
      </c>
      <c r="BF145" s="15">
        <v>1</v>
      </c>
      <c r="BG145" s="14">
        <v>1</v>
      </c>
      <c r="BH145" s="14">
        <v>1</v>
      </c>
      <c r="BI145" s="14">
        <v>1</v>
      </c>
      <c r="BJ145" s="15">
        <v>1</v>
      </c>
      <c r="BK145" s="14" t="s">
        <v>446</v>
      </c>
      <c r="BL145" s="14" t="s">
        <v>446</v>
      </c>
      <c r="BM145" s="14" t="s">
        <v>446</v>
      </c>
      <c r="BN145" s="15" t="s">
        <v>446</v>
      </c>
      <c r="BP145" s="18">
        <v>6</v>
      </c>
      <c r="BQ145" s="14">
        <v>6</v>
      </c>
      <c r="BR145" s="14">
        <v>6</v>
      </c>
      <c r="BS145" s="15">
        <v>6</v>
      </c>
      <c r="BU145" s="18">
        <v>5</v>
      </c>
      <c r="BV145" s="14">
        <v>5</v>
      </c>
      <c r="BW145" s="14">
        <v>5</v>
      </c>
      <c r="BX145" s="15">
        <v>5</v>
      </c>
      <c r="BZ145" s="18">
        <v>3</v>
      </c>
      <c r="CA145" s="14">
        <v>3</v>
      </c>
      <c r="CB145" s="14">
        <v>3</v>
      </c>
      <c r="CC145" s="15">
        <v>3</v>
      </c>
    </row>
    <row r="146" spans="2:81" ht="18" customHeight="1" x14ac:dyDescent="0.2">
      <c r="B146" s="10">
        <f>garage!B146</f>
        <v>146</v>
      </c>
      <c r="C146" s="10">
        <f>garage!C146</f>
        <v>4</v>
      </c>
      <c r="D146" s="10">
        <f>garage!D146</f>
        <v>18</v>
      </c>
      <c r="E146" s="10">
        <f>garage!E146</f>
        <v>0</v>
      </c>
      <c r="F146" s="10" t="str">
        <f>garage!F146</f>
        <v>P</v>
      </c>
      <c r="G146" s="10" t="str">
        <f>garage!G146</f>
        <v>O</v>
      </c>
      <c r="H146" s="10" t="str">
        <f>garage!H146</f>
        <v>O</v>
      </c>
      <c r="I146" s="10" t="str">
        <f>garage!I146</f>
        <v>O</v>
      </c>
      <c r="J146" s="10" t="str">
        <f>garage!J146</f>
        <v>N</v>
      </c>
      <c r="K146" s="10" t="str">
        <f>garage!K146</f>
        <v>A</v>
      </c>
      <c r="L146" s="11" t="str">
        <f>garage!L146</f>
        <v>Porsche</v>
      </c>
      <c r="M146" s="11" t="str">
        <f>garage!M146</f>
        <v>918 Spyder</v>
      </c>
      <c r="O146" s="19">
        <v>1</v>
      </c>
      <c r="P146" s="16">
        <v>1</v>
      </c>
      <c r="Q146" s="16">
        <v>1</v>
      </c>
      <c r="R146" s="17">
        <v>1</v>
      </c>
      <c r="S146" s="16">
        <v>1</v>
      </c>
      <c r="T146" s="16">
        <v>1</v>
      </c>
      <c r="U146" s="16">
        <v>1</v>
      </c>
      <c r="V146" s="17">
        <v>1</v>
      </c>
      <c r="W146" s="16">
        <v>1</v>
      </c>
      <c r="X146" s="16">
        <v>1</v>
      </c>
      <c r="Y146" s="16">
        <v>1</v>
      </c>
      <c r="Z146" s="17">
        <v>1</v>
      </c>
      <c r="AA146" s="16">
        <v>1</v>
      </c>
      <c r="AB146" s="16">
        <v>1</v>
      </c>
      <c r="AC146" s="16">
        <v>1</v>
      </c>
      <c r="AD146" s="17">
        <v>1</v>
      </c>
      <c r="AE146" s="16">
        <v>1</v>
      </c>
      <c r="AF146" s="16">
        <v>1</v>
      </c>
      <c r="AG146" s="16">
        <v>1</v>
      </c>
      <c r="AH146" s="17">
        <v>1</v>
      </c>
      <c r="AI146" s="16">
        <v>1</v>
      </c>
      <c r="AJ146" s="16">
        <v>1</v>
      </c>
      <c r="AK146" s="16">
        <v>1</v>
      </c>
      <c r="AL146" s="17">
        <v>1</v>
      </c>
      <c r="AM146" s="16">
        <v>1</v>
      </c>
      <c r="AN146" s="16">
        <v>1</v>
      </c>
      <c r="AO146" s="16">
        <v>1</v>
      </c>
      <c r="AP146" s="17">
        <v>1</v>
      </c>
      <c r="AQ146" s="16">
        <v>1</v>
      </c>
      <c r="AR146" s="16">
        <v>1</v>
      </c>
      <c r="AS146" s="16">
        <v>1</v>
      </c>
      <c r="AT146" s="17">
        <v>1</v>
      </c>
      <c r="AU146" s="16">
        <v>1</v>
      </c>
      <c r="AV146" s="16">
        <v>1</v>
      </c>
      <c r="AW146" s="16">
        <v>1</v>
      </c>
      <c r="AX146" s="17">
        <v>1</v>
      </c>
      <c r="AY146" s="16">
        <v>1</v>
      </c>
      <c r="AZ146" s="16">
        <v>1</v>
      </c>
      <c r="BA146" s="16">
        <v>1</v>
      </c>
      <c r="BB146" s="17">
        <v>1</v>
      </c>
      <c r="BC146" s="16">
        <v>1</v>
      </c>
      <c r="BD146" s="16">
        <v>1</v>
      </c>
      <c r="BE146" s="16">
        <v>1</v>
      </c>
      <c r="BF146" s="17">
        <v>1</v>
      </c>
      <c r="BG146" s="16">
        <v>1</v>
      </c>
      <c r="BH146" s="16">
        <v>1</v>
      </c>
      <c r="BI146" s="16">
        <v>1</v>
      </c>
      <c r="BJ146" s="17">
        <v>1</v>
      </c>
      <c r="BK146" s="16">
        <v>1</v>
      </c>
      <c r="BL146" s="16">
        <v>1</v>
      </c>
      <c r="BM146" s="16">
        <v>1</v>
      </c>
      <c r="BN146" s="17">
        <v>1</v>
      </c>
      <c r="BP146" s="19">
        <v>6</v>
      </c>
      <c r="BQ146" s="16">
        <v>6</v>
      </c>
      <c r="BR146" s="16">
        <v>6</v>
      </c>
      <c r="BS146" s="17">
        <v>6</v>
      </c>
      <c r="BU146" s="19">
        <v>5</v>
      </c>
      <c r="BV146" s="16">
        <v>5</v>
      </c>
      <c r="BW146" s="16">
        <v>5</v>
      </c>
      <c r="BX146" s="17">
        <v>5</v>
      </c>
      <c r="BZ146" s="19">
        <v>4</v>
      </c>
      <c r="CA146" s="16">
        <v>4</v>
      </c>
      <c r="CB146" s="16">
        <v>4</v>
      </c>
      <c r="CC146" s="17">
        <v>4</v>
      </c>
    </row>
    <row r="147" spans="2:81" ht="18" customHeight="1" x14ac:dyDescent="0.2">
      <c r="B147" s="8">
        <f>garage!B147</f>
        <v>147</v>
      </c>
      <c r="C147" s="8">
        <f>garage!C147</f>
        <v>4</v>
      </c>
      <c r="D147" s="8">
        <f>garage!D147</f>
        <v>19</v>
      </c>
      <c r="E147" s="8">
        <f>garage!E147</f>
        <v>28</v>
      </c>
      <c r="F147" s="8" t="str">
        <f>garage!F147</f>
        <v>--</v>
      </c>
      <c r="G147" s="8" t="str">
        <f>garage!G147</f>
        <v>N</v>
      </c>
      <c r="H147" s="8" t="str">
        <f>garage!H147</f>
        <v>N</v>
      </c>
      <c r="I147" s="8" t="str">
        <f>garage!I147</f>
        <v>N</v>
      </c>
      <c r="J147" s="8" t="str">
        <f>garage!J147</f>
        <v>N</v>
      </c>
      <c r="K147" s="8" t="str">
        <f>garage!K147</f>
        <v>A</v>
      </c>
      <c r="L147" s="9" t="str">
        <f>garage!L147</f>
        <v>Peugeot</v>
      </c>
      <c r="M147" s="9" t="str">
        <f>garage!M147</f>
        <v>9X8</v>
      </c>
      <c r="O147" s="18" t="s">
        <v>446</v>
      </c>
      <c r="P147" s="14" t="s">
        <v>446</v>
      </c>
      <c r="Q147" s="14" t="s">
        <v>446</v>
      </c>
      <c r="R147" s="15" t="s">
        <v>446</v>
      </c>
      <c r="S147" s="14" t="s">
        <v>446</v>
      </c>
      <c r="T147" s="14" t="s">
        <v>446</v>
      </c>
      <c r="U147" s="14" t="s">
        <v>446</v>
      </c>
      <c r="V147" s="15" t="s">
        <v>446</v>
      </c>
      <c r="W147" s="14" t="s">
        <v>446</v>
      </c>
      <c r="X147" s="14" t="s">
        <v>446</v>
      </c>
      <c r="Y147" s="14" t="s">
        <v>446</v>
      </c>
      <c r="Z147" s="15" t="s">
        <v>446</v>
      </c>
      <c r="AA147" s="14" t="s">
        <v>446</v>
      </c>
      <c r="AB147" s="14" t="s">
        <v>446</v>
      </c>
      <c r="AC147" s="14" t="s">
        <v>446</v>
      </c>
      <c r="AD147" s="15" t="s">
        <v>446</v>
      </c>
      <c r="AE147" s="14" t="s">
        <v>446</v>
      </c>
      <c r="AF147" s="14" t="s">
        <v>446</v>
      </c>
      <c r="AG147" s="14" t="s">
        <v>446</v>
      </c>
      <c r="AH147" s="15" t="s">
        <v>446</v>
      </c>
      <c r="AI147" s="14" t="s">
        <v>446</v>
      </c>
      <c r="AJ147" s="14" t="s">
        <v>446</v>
      </c>
      <c r="AK147" s="14" t="s">
        <v>446</v>
      </c>
      <c r="AL147" s="15" t="s">
        <v>446</v>
      </c>
      <c r="AM147" s="14" t="s">
        <v>446</v>
      </c>
      <c r="AN147" s="14" t="s">
        <v>446</v>
      </c>
      <c r="AO147" s="14" t="s">
        <v>446</v>
      </c>
      <c r="AP147" s="15" t="s">
        <v>446</v>
      </c>
      <c r="AQ147" s="14" t="s">
        <v>446</v>
      </c>
      <c r="AR147" s="14" t="s">
        <v>446</v>
      </c>
      <c r="AS147" s="14" t="s">
        <v>446</v>
      </c>
      <c r="AT147" s="15" t="s">
        <v>446</v>
      </c>
      <c r="AU147" s="14" t="s">
        <v>446</v>
      </c>
      <c r="AV147" s="14" t="s">
        <v>446</v>
      </c>
      <c r="AW147" s="14" t="s">
        <v>446</v>
      </c>
      <c r="AX147" s="15" t="s">
        <v>446</v>
      </c>
      <c r="AY147" s="14" t="s">
        <v>446</v>
      </c>
      <c r="AZ147" s="14" t="s">
        <v>446</v>
      </c>
      <c r="BA147" s="14" t="s">
        <v>446</v>
      </c>
      <c r="BB147" s="15" t="s">
        <v>446</v>
      </c>
      <c r="BC147" s="14" t="s">
        <v>446</v>
      </c>
      <c r="BD147" s="14" t="s">
        <v>446</v>
      </c>
      <c r="BE147" s="14" t="s">
        <v>446</v>
      </c>
      <c r="BF147" s="15" t="s">
        <v>446</v>
      </c>
      <c r="BG147" s="14" t="s">
        <v>446</v>
      </c>
      <c r="BH147" s="14" t="s">
        <v>446</v>
      </c>
      <c r="BI147" s="14" t="s">
        <v>446</v>
      </c>
      <c r="BJ147" s="15" t="s">
        <v>446</v>
      </c>
      <c r="BK147" s="14" t="s">
        <v>446</v>
      </c>
      <c r="BL147" s="14" t="s">
        <v>446</v>
      </c>
      <c r="BM147" s="14" t="s">
        <v>446</v>
      </c>
      <c r="BN147" s="15" t="s">
        <v>446</v>
      </c>
      <c r="BP147" s="18" t="s">
        <v>446</v>
      </c>
      <c r="BQ147" s="14" t="s">
        <v>446</v>
      </c>
      <c r="BR147" s="14" t="s">
        <v>446</v>
      </c>
      <c r="BS147" s="15" t="s">
        <v>446</v>
      </c>
      <c r="BU147" s="18" t="s">
        <v>446</v>
      </c>
      <c r="BV147" s="14" t="s">
        <v>446</v>
      </c>
      <c r="BW147" s="14" t="s">
        <v>446</v>
      </c>
      <c r="BX147" s="15" t="s">
        <v>446</v>
      </c>
      <c r="BZ147" s="18" t="s">
        <v>446</v>
      </c>
      <c r="CA147" s="14" t="s">
        <v>446</v>
      </c>
      <c r="CB147" s="14" t="s">
        <v>446</v>
      </c>
      <c r="CC147" s="15" t="s">
        <v>446</v>
      </c>
    </row>
    <row r="148" spans="2:81" ht="18" customHeight="1" x14ac:dyDescent="0.2">
      <c r="B148" s="10">
        <f>garage!B148</f>
        <v>148</v>
      </c>
      <c r="C148" s="10">
        <f>garage!C148</f>
        <v>4</v>
      </c>
      <c r="D148" s="10">
        <f>garage!D148</f>
        <v>20</v>
      </c>
      <c r="E148" s="10">
        <f>garage!E148</f>
        <v>0</v>
      </c>
      <c r="F148" s="10" t="str">
        <f>garage!F148</f>
        <v>M</v>
      </c>
      <c r="G148" s="10" t="str">
        <f>garage!G148</f>
        <v>O</v>
      </c>
      <c r="H148" s="10" t="str">
        <f>garage!H148</f>
        <v>O</v>
      </c>
      <c r="I148" s="10" t="str">
        <f>garage!I148</f>
        <v>O</v>
      </c>
      <c r="J148" s="10" t="str">
        <f>garage!J148</f>
        <v>N</v>
      </c>
      <c r="K148" s="10" t="str">
        <f>garage!K148</f>
        <v>A</v>
      </c>
      <c r="L148" s="11" t="str">
        <f>garage!L148</f>
        <v>McLaren</v>
      </c>
      <c r="M148" s="11" t="str">
        <f>garage!M148</f>
        <v>570S Spider</v>
      </c>
      <c r="O148" s="19">
        <v>1</v>
      </c>
      <c r="P148" s="16">
        <v>1</v>
      </c>
      <c r="Q148" s="16">
        <v>1</v>
      </c>
      <c r="R148" s="17">
        <v>1</v>
      </c>
      <c r="S148" s="16">
        <v>1</v>
      </c>
      <c r="T148" s="16">
        <v>1</v>
      </c>
      <c r="U148" s="16">
        <v>1</v>
      </c>
      <c r="V148" s="17">
        <v>1</v>
      </c>
      <c r="W148" s="16">
        <v>1</v>
      </c>
      <c r="X148" s="16">
        <v>1</v>
      </c>
      <c r="Y148" s="16">
        <v>1</v>
      </c>
      <c r="Z148" s="17">
        <v>1</v>
      </c>
      <c r="AA148" s="16">
        <v>1</v>
      </c>
      <c r="AB148" s="16">
        <v>1</v>
      </c>
      <c r="AC148" s="16">
        <v>1</v>
      </c>
      <c r="AD148" s="17">
        <v>1</v>
      </c>
      <c r="AE148" s="16">
        <v>1</v>
      </c>
      <c r="AF148" s="16">
        <v>1</v>
      </c>
      <c r="AG148" s="16">
        <v>1</v>
      </c>
      <c r="AH148" s="17">
        <v>1</v>
      </c>
      <c r="AI148" s="16">
        <v>1</v>
      </c>
      <c r="AJ148" s="16">
        <v>1</v>
      </c>
      <c r="AK148" s="16">
        <v>1</v>
      </c>
      <c r="AL148" s="17">
        <v>1</v>
      </c>
      <c r="AM148" s="16">
        <v>1</v>
      </c>
      <c r="AN148" s="16">
        <v>1</v>
      </c>
      <c r="AO148" s="16">
        <v>1</v>
      </c>
      <c r="AP148" s="17">
        <v>1</v>
      </c>
      <c r="AQ148" s="16">
        <v>1</v>
      </c>
      <c r="AR148" s="16">
        <v>1</v>
      </c>
      <c r="AS148" s="16">
        <v>1</v>
      </c>
      <c r="AT148" s="17">
        <v>1</v>
      </c>
      <c r="AU148" s="16">
        <v>1</v>
      </c>
      <c r="AV148" s="16">
        <v>1</v>
      </c>
      <c r="AW148" s="16">
        <v>1</v>
      </c>
      <c r="AX148" s="17">
        <v>1</v>
      </c>
      <c r="AY148" s="16">
        <v>1</v>
      </c>
      <c r="AZ148" s="16">
        <v>1</v>
      </c>
      <c r="BA148" s="16">
        <v>1</v>
      </c>
      <c r="BB148" s="17">
        <v>1</v>
      </c>
      <c r="BC148" s="16">
        <v>1</v>
      </c>
      <c r="BD148" s="16">
        <v>1</v>
      </c>
      <c r="BE148" s="16">
        <v>1</v>
      </c>
      <c r="BF148" s="17">
        <v>1</v>
      </c>
      <c r="BG148" s="16">
        <v>1</v>
      </c>
      <c r="BH148" s="16">
        <v>1</v>
      </c>
      <c r="BI148" s="16">
        <v>1</v>
      </c>
      <c r="BJ148" s="17">
        <v>1</v>
      </c>
      <c r="BK148" s="16">
        <v>1</v>
      </c>
      <c r="BL148" s="16">
        <v>1</v>
      </c>
      <c r="BM148" s="16">
        <v>1</v>
      </c>
      <c r="BN148" s="17">
        <v>1</v>
      </c>
      <c r="BP148" s="19">
        <v>6</v>
      </c>
      <c r="BQ148" s="16">
        <v>6</v>
      </c>
      <c r="BR148" s="16">
        <v>6</v>
      </c>
      <c r="BS148" s="17">
        <v>6</v>
      </c>
      <c r="BU148" s="19">
        <v>5</v>
      </c>
      <c r="BV148" s="16">
        <v>5</v>
      </c>
      <c r="BW148" s="16">
        <v>5</v>
      </c>
      <c r="BX148" s="17">
        <v>5</v>
      </c>
      <c r="BZ148" s="19">
        <v>4</v>
      </c>
      <c r="CA148" s="16">
        <v>4</v>
      </c>
      <c r="CB148" s="16">
        <v>4</v>
      </c>
      <c r="CC148" s="17">
        <v>4</v>
      </c>
    </row>
    <row r="149" spans="2:81" ht="18" customHeight="1" x14ac:dyDescent="0.2">
      <c r="B149" s="8">
        <f>garage!B149</f>
        <v>149</v>
      </c>
      <c r="C149" s="8">
        <f>garage!C149</f>
        <v>4</v>
      </c>
      <c r="D149" s="8">
        <f>garage!D149</f>
        <v>21</v>
      </c>
      <c r="E149" s="8">
        <f>garage!E149</f>
        <v>0</v>
      </c>
      <c r="F149" s="8" t="str">
        <f>garage!F149</f>
        <v>L</v>
      </c>
      <c r="G149" s="8" t="str">
        <f>garage!G149</f>
        <v>O</v>
      </c>
      <c r="H149" s="8" t="str">
        <f>garage!H149</f>
        <v>O</v>
      </c>
      <c r="I149" s="8" t="str">
        <f>garage!I149</f>
        <v>O</v>
      </c>
      <c r="J149" s="8" t="str">
        <f>garage!J149</f>
        <v>N</v>
      </c>
      <c r="K149" s="8" t="str">
        <f>garage!K149</f>
        <v>A</v>
      </c>
      <c r="L149" s="9" t="str">
        <f>garage!L149</f>
        <v>Lamborghini</v>
      </c>
      <c r="M149" s="9" t="str">
        <f>garage!M149</f>
        <v>Aventador J</v>
      </c>
      <c r="O149" s="18">
        <v>1</v>
      </c>
      <c r="P149" s="14">
        <v>1</v>
      </c>
      <c r="Q149" s="14">
        <v>1</v>
      </c>
      <c r="R149" s="15">
        <v>1</v>
      </c>
      <c r="S149" s="14">
        <v>1</v>
      </c>
      <c r="T149" s="14">
        <v>1</v>
      </c>
      <c r="U149" s="14">
        <v>1</v>
      </c>
      <c r="V149" s="15">
        <v>1</v>
      </c>
      <c r="W149" s="14">
        <v>1</v>
      </c>
      <c r="X149" s="14">
        <v>1</v>
      </c>
      <c r="Y149" s="14">
        <v>1</v>
      </c>
      <c r="Z149" s="15">
        <v>1</v>
      </c>
      <c r="AA149" s="14">
        <v>1</v>
      </c>
      <c r="AB149" s="14">
        <v>1</v>
      </c>
      <c r="AC149" s="14">
        <v>1</v>
      </c>
      <c r="AD149" s="15">
        <v>1</v>
      </c>
      <c r="AE149" s="14">
        <v>1</v>
      </c>
      <c r="AF149" s="14">
        <v>1</v>
      </c>
      <c r="AG149" s="14">
        <v>1</v>
      </c>
      <c r="AH149" s="15">
        <v>1</v>
      </c>
      <c r="AI149" s="14">
        <v>1</v>
      </c>
      <c r="AJ149" s="14">
        <v>1</v>
      </c>
      <c r="AK149" s="14">
        <v>1</v>
      </c>
      <c r="AL149" s="15">
        <v>1</v>
      </c>
      <c r="AM149" s="14">
        <v>1</v>
      </c>
      <c r="AN149" s="14">
        <v>1</v>
      </c>
      <c r="AO149" s="14">
        <v>1</v>
      </c>
      <c r="AP149" s="15">
        <v>1</v>
      </c>
      <c r="AQ149" s="14">
        <v>1</v>
      </c>
      <c r="AR149" s="14">
        <v>1</v>
      </c>
      <c r="AS149" s="14">
        <v>1</v>
      </c>
      <c r="AT149" s="15">
        <v>1</v>
      </c>
      <c r="AU149" s="14">
        <v>1</v>
      </c>
      <c r="AV149" s="14">
        <v>1</v>
      </c>
      <c r="AW149" s="14">
        <v>1</v>
      </c>
      <c r="AX149" s="15">
        <v>1</v>
      </c>
      <c r="AY149" s="14">
        <v>1</v>
      </c>
      <c r="AZ149" s="14">
        <v>1</v>
      </c>
      <c r="BA149" s="14">
        <v>1</v>
      </c>
      <c r="BB149" s="15">
        <v>1</v>
      </c>
      <c r="BC149" s="14">
        <v>1</v>
      </c>
      <c r="BD149" s="14">
        <v>1</v>
      </c>
      <c r="BE149" s="14">
        <v>1</v>
      </c>
      <c r="BF149" s="15">
        <v>1</v>
      </c>
      <c r="BG149" s="14">
        <v>1</v>
      </c>
      <c r="BH149" s="14">
        <v>1</v>
      </c>
      <c r="BI149" s="14">
        <v>1</v>
      </c>
      <c r="BJ149" s="15">
        <v>1</v>
      </c>
      <c r="BK149" s="14" t="s">
        <v>446</v>
      </c>
      <c r="BL149" s="14" t="s">
        <v>446</v>
      </c>
      <c r="BM149" s="14" t="s">
        <v>446</v>
      </c>
      <c r="BN149" s="15" t="s">
        <v>446</v>
      </c>
      <c r="BP149" s="18">
        <v>6</v>
      </c>
      <c r="BQ149" s="14">
        <v>6</v>
      </c>
      <c r="BR149" s="14">
        <v>6</v>
      </c>
      <c r="BS149" s="15">
        <v>6</v>
      </c>
      <c r="BU149" s="18">
        <v>5</v>
      </c>
      <c r="BV149" s="14">
        <v>5</v>
      </c>
      <c r="BW149" s="14">
        <v>5</v>
      </c>
      <c r="BX149" s="15">
        <v>5</v>
      </c>
      <c r="BZ149" s="18">
        <v>3</v>
      </c>
      <c r="CA149" s="14">
        <v>3</v>
      </c>
      <c r="CB149" s="14">
        <v>3</v>
      </c>
      <c r="CC149" s="15">
        <v>3</v>
      </c>
    </row>
    <row r="150" spans="2:81" ht="18" customHeight="1" x14ac:dyDescent="0.2">
      <c r="B150" s="10">
        <f>garage!B150</f>
        <v>150</v>
      </c>
      <c r="C150" s="10">
        <f>garage!C150</f>
        <v>4</v>
      </c>
      <c r="D150" s="10">
        <f>garage!D150</f>
        <v>22</v>
      </c>
      <c r="E150" s="10">
        <f>garage!E150</f>
        <v>16</v>
      </c>
      <c r="F150" s="10" t="str">
        <f>garage!F150</f>
        <v>--</v>
      </c>
      <c r="G150" s="10" t="str">
        <f>garage!G150</f>
        <v>O</v>
      </c>
      <c r="H150" s="10" t="str">
        <f>garage!H150</f>
        <v>N</v>
      </c>
      <c r="I150" s="10" t="str">
        <f>garage!I150</f>
        <v>N</v>
      </c>
      <c r="J150" s="10" t="str">
        <f>garage!J150</f>
        <v>N</v>
      </c>
      <c r="K150" s="10" t="str">
        <f>garage!K150</f>
        <v>A</v>
      </c>
      <c r="L150" s="11" t="str">
        <f>garage!L150</f>
        <v>Peugeot</v>
      </c>
      <c r="M150" s="11" t="str">
        <f>garage!M150</f>
        <v>Onyx</v>
      </c>
      <c r="O150" s="19">
        <v>1</v>
      </c>
      <c r="P150" s="16">
        <v>1</v>
      </c>
      <c r="Q150" s="16">
        <v>1</v>
      </c>
      <c r="R150" s="17">
        <v>1</v>
      </c>
      <c r="S150" s="16">
        <v>1</v>
      </c>
      <c r="T150" s="16">
        <v>1</v>
      </c>
      <c r="U150" s="16">
        <v>1</v>
      </c>
      <c r="V150" s="17">
        <v>1</v>
      </c>
      <c r="W150" s="16">
        <v>1</v>
      </c>
      <c r="X150" s="16">
        <v>1</v>
      </c>
      <c r="Y150" s="16">
        <v>1</v>
      </c>
      <c r="Z150" s="17">
        <v>1</v>
      </c>
      <c r="AA150" s="16">
        <v>1</v>
      </c>
      <c r="AB150" s="16">
        <v>1</v>
      </c>
      <c r="AC150" s="16">
        <v>1</v>
      </c>
      <c r="AD150" s="17">
        <v>1</v>
      </c>
      <c r="AE150" s="16">
        <v>1</v>
      </c>
      <c r="AF150" s="16">
        <v>1</v>
      </c>
      <c r="AG150" s="16">
        <v>1</v>
      </c>
      <c r="AH150" s="17">
        <v>1</v>
      </c>
      <c r="AI150" s="16">
        <v>1</v>
      </c>
      <c r="AJ150" s="16">
        <v>1</v>
      </c>
      <c r="AK150" s="16">
        <v>1</v>
      </c>
      <c r="AL150" s="17">
        <v>1</v>
      </c>
      <c r="AM150" s="16">
        <v>1</v>
      </c>
      <c r="AN150" s="16">
        <v>1</v>
      </c>
      <c r="AO150" s="16">
        <v>1</v>
      </c>
      <c r="AP150" s="17">
        <v>1</v>
      </c>
      <c r="AQ150" s="16">
        <v>1</v>
      </c>
      <c r="AR150" s="16">
        <v>1</v>
      </c>
      <c r="AS150" s="16">
        <v>1</v>
      </c>
      <c r="AT150" s="17">
        <v>1</v>
      </c>
      <c r="AU150" s="16">
        <v>1</v>
      </c>
      <c r="AV150" s="16">
        <v>1</v>
      </c>
      <c r="AW150" s="16">
        <v>1</v>
      </c>
      <c r="AX150" s="17">
        <v>1</v>
      </c>
      <c r="AY150" s="16" t="s">
        <v>446</v>
      </c>
      <c r="AZ150" s="16">
        <v>1</v>
      </c>
      <c r="BA150" s="16">
        <v>1</v>
      </c>
      <c r="BB150" s="17">
        <v>1</v>
      </c>
      <c r="BC150" s="16" t="s">
        <v>446</v>
      </c>
      <c r="BD150" s="16" t="s">
        <v>446</v>
      </c>
      <c r="BE150" s="16" t="s">
        <v>446</v>
      </c>
      <c r="BF150" s="17" t="s">
        <v>446</v>
      </c>
      <c r="BG150" s="16" t="s">
        <v>446</v>
      </c>
      <c r="BH150" s="16" t="s">
        <v>446</v>
      </c>
      <c r="BI150" s="16" t="s">
        <v>446</v>
      </c>
      <c r="BJ150" s="17" t="s">
        <v>446</v>
      </c>
      <c r="BK150" s="16" t="s">
        <v>446</v>
      </c>
      <c r="BL150" s="16" t="s">
        <v>446</v>
      </c>
      <c r="BM150" s="16" t="s">
        <v>446</v>
      </c>
      <c r="BN150" s="17" t="s">
        <v>446</v>
      </c>
      <c r="BP150" s="19">
        <v>5</v>
      </c>
      <c r="BQ150" s="16">
        <v>5</v>
      </c>
      <c r="BR150" s="16">
        <v>5</v>
      </c>
      <c r="BS150" s="17">
        <v>5</v>
      </c>
      <c r="BU150" s="19" t="s">
        <v>446</v>
      </c>
      <c r="BV150" s="16">
        <v>2</v>
      </c>
      <c r="BW150" s="16">
        <v>2</v>
      </c>
      <c r="BX150" s="17">
        <v>2</v>
      </c>
      <c r="BZ150" s="19" t="s">
        <v>446</v>
      </c>
      <c r="CA150" s="16" t="s">
        <v>446</v>
      </c>
      <c r="CB150" s="16" t="s">
        <v>446</v>
      </c>
      <c r="CC150" s="17" t="s">
        <v>446</v>
      </c>
    </row>
    <row r="151" spans="2:81" ht="18" customHeight="1" x14ac:dyDescent="0.2">
      <c r="B151" s="8">
        <f>garage!B151</f>
        <v>151</v>
      </c>
      <c r="C151" s="8">
        <f>garage!C151</f>
        <v>4</v>
      </c>
      <c r="D151" s="8">
        <f>garage!D151</f>
        <v>23</v>
      </c>
      <c r="E151" s="8">
        <f>garage!E151</f>
        <v>22</v>
      </c>
      <c r="F151" s="8" t="str">
        <f>garage!F151</f>
        <v>--</v>
      </c>
      <c r="G151" s="8" t="str">
        <f>garage!G151</f>
        <v>N</v>
      </c>
      <c r="H151" s="8" t="str">
        <f>garage!H151</f>
        <v>N</v>
      </c>
      <c r="I151" s="8" t="str">
        <f>garage!I151</f>
        <v>N</v>
      </c>
      <c r="J151" s="8" t="str">
        <f>garage!J151</f>
        <v>N</v>
      </c>
      <c r="K151" s="8" t="str">
        <f>garage!K151</f>
        <v>A</v>
      </c>
      <c r="L151" s="9" t="str">
        <f>garage!L151</f>
        <v>Pagani</v>
      </c>
      <c r="M151" s="9" t="str">
        <f>garage!M151</f>
        <v>Zonda R</v>
      </c>
      <c r="O151" s="18" t="s">
        <v>446</v>
      </c>
      <c r="P151" s="14" t="s">
        <v>446</v>
      </c>
      <c r="Q151" s="14" t="s">
        <v>446</v>
      </c>
      <c r="R151" s="15" t="s">
        <v>446</v>
      </c>
      <c r="S151" s="14" t="s">
        <v>446</v>
      </c>
      <c r="T151" s="14" t="s">
        <v>446</v>
      </c>
      <c r="U151" s="14" t="s">
        <v>446</v>
      </c>
      <c r="V151" s="15" t="s">
        <v>446</v>
      </c>
      <c r="W151" s="14" t="s">
        <v>446</v>
      </c>
      <c r="X151" s="14" t="s">
        <v>446</v>
      </c>
      <c r="Y151" s="14" t="s">
        <v>446</v>
      </c>
      <c r="Z151" s="15" t="s">
        <v>446</v>
      </c>
      <c r="AA151" s="14" t="s">
        <v>446</v>
      </c>
      <c r="AB151" s="14" t="s">
        <v>446</v>
      </c>
      <c r="AC151" s="14" t="s">
        <v>446</v>
      </c>
      <c r="AD151" s="15" t="s">
        <v>446</v>
      </c>
      <c r="AE151" s="14" t="s">
        <v>446</v>
      </c>
      <c r="AF151" s="14" t="s">
        <v>446</v>
      </c>
      <c r="AG151" s="14" t="s">
        <v>446</v>
      </c>
      <c r="AH151" s="15" t="s">
        <v>446</v>
      </c>
      <c r="AI151" s="14" t="s">
        <v>446</v>
      </c>
      <c r="AJ151" s="14" t="s">
        <v>446</v>
      </c>
      <c r="AK151" s="14" t="s">
        <v>446</v>
      </c>
      <c r="AL151" s="15" t="s">
        <v>446</v>
      </c>
      <c r="AM151" s="14" t="s">
        <v>446</v>
      </c>
      <c r="AN151" s="14" t="s">
        <v>446</v>
      </c>
      <c r="AO151" s="14" t="s">
        <v>446</v>
      </c>
      <c r="AP151" s="15" t="s">
        <v>446</v>
      </c>
      <c r="AQ151" s="14" t="s">
        <v>446</v>
      </c>
      <c r="AR151" s="14" t="s">
        <v>446</v>
      </c>
      <c r="AS151" s="14" t="s">
        <v>446</v>
      </c>
      <c r="AT151" s="15" t="s">
        <v>446</v>
      </c>
      <c r="AU151" s="14" t="s">
        <v>446</v>
      </c>
      <c r="AV151" s="14" t="s">
        <v>446</v>
      </c>
      <c r="AW151" s="14" t="s">
        <v>446</v>
      </c>
      <c r="AX151" s="15" t="s">
        <v>446</v>
      </c>
      <c r="AY151" s="14" t="s">
        <v>446</v>
      </c>
      <c r="AZ151" s="14" t="s">
        <v>446</v>
      </c>
      <c r="BA151" s="14" t="s">
        <v>446</v>
      </c>
      <c r="BB151" s="15" t="s">
        <v>446</v>
      </c>
      <c r="BC151" s="14" t="s">
        <v>446</v>
      </c>
      <c r="BD151" s="14" t="s">
        <v>446</v>
      </c>
      <c r="BE151" s="14" t="s">
        <v>446</v>
      </c>
      <c r="BF151" s="15" t="s">
        <v>446</v>
      </c>
      <c r="BG151" s="14" t="s">
        <v>446</v>
      </c>
      <c r="BH151" s="14" t="s">
        <v>446</v>
      </c>
      <c r="BI151" s="14" t="s">
        <v>446</v>
      </c>
      <c r="BJ151" s="15" t="s">
        <v>446</v>
      </c>
      <c r="BK151" s="14" t="s">
        <v>446</v>
      </c>
      <c r="BL151" s="14" t="s">
        <v>446</v>
      </c>
      <c r="BM151" s="14" t="s">
        <v>446</v>
      </c>
      <c r="BN151" s="15" t="s">
        <v>446</v>
      </c>
      <c r="BP151" s="18" t="s">
        <v>446</v>
      </c>
      <c r="BQ151" s="14" t="s">
        <v>446</v>
      </c>
      <c r="BR151" s="14" t="s">
        <v>446</v>
      </c>
      <c r="BS151" s="15" t="s">
        <v>446</v>
      </c>
      <c r="BU151" s="18" t="s">
        <v>446</v>
      </c>
      <c r="BV151" s="14" t="s">
        <v>446</v>
      </c>
      <c r="BW151" s="14" t="s">
        <v>446</v>
      </c>
      <c r="BX151" s="15" t="s">
        <v>446</v>
      </c>
      <c r="BZ151" s="18" t="s">
        <v>446</v>
      </c>
      <c r="CA151" s="14" t="s">
        <v>446</v>
      </c>
      <c r="CB151" s="14" t="s">
        <v>446</v>
      </c>
      <c r="CC151" s="15" t="s">
        <v>446</v>
      </c>
    </row>
    <row r="152" spans="2:81" ht="18" customHeight="1" x14ac:dyDescent="0.2">
      <c r="B152" s="10">
        <f>garage!B152</f>
        <v>152</v>
      </c>
      <c r="C152" s="10">
        <f>garage!C152</f>
        <v>4</v>
      </c>
      <c r="D152" s="10">
        <f>garage!D152</f>
        <v>24</v>
      </c>
      <c r="E152" s="10">
        <f>garage!E152</f>
        <v>22</v>
      </c>
      <c r="F152" s="10" t="str">
        <f>garage!F152</f>
        <v>--</v>
      </c>
      <c r="G152" s="10" t="str">
        <f>garage!G152</f>
        <v>N</v>
      </c>
      <c r="H152" s="10" t="str">
        <f>garage!H152</f>
        <v>N</v>
      </c>
      <c r="I152" s="10" t="str">
        <f>garage!I152</f>
        <v>N</v>
      </c>
      <c r="J152" s="10" t="str">
        <f>garage!J152</f>
        <v>N</v>
      </c>
      <c r="K152" s="10" t="str">
        <f>garage!K152</f>
        <v>A</v>
      </c>
      <c r="L152" s="11" t="str">
        <f>garage!L152</f>
        <v>Glickhaus</v>
      </c>
      <c r="M152" s="11" t="str">
        <f>garage!M152</f>
        <v>007S</v>
      </c>
      <c r="O152" s="19" t="s">
        <v>446</v>
      </c>
      <c r="P152" s="16" t="s">
        <v>446</v>
      </c>
      <c r="Q152" s="16" t="s">
        <v>446</v>
      </c>
      <c r="R152" s="17" t="s">
        <v>446</v>
      </c>
      <c r="S152" s="16" t="s">
        <v>446</v>
      </c>
      <c r="T152" s="16" t="s">
        <v>446</v>
      </c>
      <c r="U152" s="16" t="s">
        <v>446</v>
      </c>
      <c r="V152" s="17" t="s">
        <v>446</v>
      </c>
      <c r="W152" s="16" t="s">
        <v>446</v>
      </c>
      <c r="X152" s="16" t="s">
        <v>446</v>
      </c>
      <c r="Y152" s="16" t="s">
        <v>446</v>
      </c>
      <c r="Z152" s="17" t="s">
        <v>446</v>
      </c>
      <c r="AA152" s="16" t="s">
        <v>446</v>
      </c>
      <c r="AB152" s="16" t="s">
        <v>446</v>
      </c>
      <c r="AC152" s="16" t="s">
        <v>446</v>
      </c>
      <c r="AD152" s="17" t="s">
        <v>446</v>
      </c>
      <c r="AE152" s="16" t="s">
        <v>446</v>
      </c>
      <c r="AF152" s="16" t="s">
        <v>446</v>
      </c>
      <c r="AG152" s="16" t="s">
        <v>446</v>
      </c>
      <c r="AH152" s="17" t="s">
        <v>446</v>
      </c>
      <c r="AI152" s="16" t="s">
        <v>446</v>
      </c>
      <c r="AJ152" s="16" t="s">
        <v>446</v>
      </c>
      <c r="AK152" s="16" t="s">
        <v>446</v>
      </c>
      <c r="AL152" s="17" t="s">
        <v>446</v>
      </c>
      <c r="AM152" s="16" t="s">
        <v>446</v>
      </c>
      <c r="AN152" s="16" t="s">
        <v>446</v>
      </c>
      <c r="AO152" s="16" t="s">
        <v>446</v>
      </c>
      <c r="AP152" s="17" t="s">
        <v>446</v>
      </c>
      <c r="AQ152" s="16" t="s">
        <v>446</v>
      </c>
      <c r="AR152" s="16" t="s">
        <v>446</v>
      </c>
      <c r="AS152" s="16" t="s">
        <v>446</v>
      </c>
      <c r="AT152" s="17" t="s">
        <v>446</v>
      </c>
      <c r="AU152" s="16" t="s">
        <v>446</v>
      </c>
      <c r="AV152" s="16" t="s">
        <v>446</v>
      </c>
      <c r="AW152" s="16" t="s">
        <v>446</v>
      </c>
      <c r="AX152" s="17" t="s">
        <v>446</v>
      </c>
      <c r="AY152" s="16" t="s">
        <v>446</v>
      </c>
      <c r="AZ152" s="16" t="s">
        <v>446</v>
      </c>
      <c r="BA152" s="16" t="s">
        <v>446</v>
      </c>
      <c r="BB152" s="17" t="s">
        <v>446</v>
      </c>
      <c r="BC152" s="16" t="s">
        <v>446</v>
      </c>
      <c r="BD152" s="16" t="s">
        <v>446</v>
      </c>
      <c r="BE152" s="16" t="s">
        <v>446</v>
      </c>
      <c r="BF152" s="17" t="s">
        <v>446</v>
      </c>
      <c r="BG152" s="16" t="s">
        <v>446</v>
      </c>
      <c r="BH152" s="16" t="s">
        <v>446</v>
      </c>
      <c r="BI152" s="16" t="s">
        <v>446</v>
      </c>
      <c r="BJ152" s="17" t="s">
        <v>446</v>
      </c>
      <c r="BK152" s="16" t="s">
        <v>446</v>
      </c>
      <c r="BL152" s="16" t="s">
        <v>446</v>
      </c>
      <c r="BM152" s="16" t="s">
        <v>446</v>
      </c>
      <c r="BN152" s="17" t="s">
        <v>446</v>
      </c>
      <c r="BP152" s="19" t="s">
        <v>446</v>
      </c>
      <c r="BQ152" s="16" t="s">
        <v>446</v>
      </c>
      <c r="BR152" s="16" t="s">
        <v>446</v>
      </c>
      <c r="BS152" s="17" t="s">
        <v>446</v>
      </c>
      <c r="BU152" s="19" t="s">
        <v>446</v>
      </c>
      <c r="BV152" s="16" t="s">
        <v>446</v>
      </c>
      <c r="BW152" s="16" t="s">
        <v>446</v>
      </c>
      <c r="BX152" s="17" t="s">
        <v>446</v>
      </c>
      <c r="BZ152" s="19" t="s">
        <v>446</v>
      </c>
      <c r="CA152" s="16" t="s">
        <v>446</v>
      </c>
      <c r="CB152" s="16" t="s">
        <v>446</v>
      </c>
      <c r="CC152" s="17" t="s">
        <v>446</v>
      </c>
    </row>
    <row r="153" spans="2:81" ht="18" customHeight="1" x14ac:dyDescent="0.2">
      <c r="B153" s="8">
        <f>garage!B153</f>
        <v>153</v>
      </c>
      <c r="C153" s="8">
        <f>garage!C153</f>
        <v>4</v>
      </c>
      <c r="D153" s="8">
        <f>garage!D153</f>
        <v>25</v>
      </c>
      <c r="E153" s="8">
        <f>garage!E153</f>
        <v>16</v>
      </c>
      <c r="F153" s="8" t="str">
        <f>garage!F153</f>
        <v>--</v>
      </c>
      <c r="G153" s="8" t="str">
        <f>garage!G153</f>
        <v>O</v>
      </c>
      <c r="H153" s="8" t="str">
        <f>garage!H153</f>
        <v>N</v>
      </c>
      <c r="I153" s="8" t="str">
        <f>garage!I153</f>
        <v>N</v>
      </c>
      <c r="J153" s="8" t="str">
        <f>garage!J153</f>
        <v>N</v>
      </c>
      <c r="K153" s="8" t="str">
        <f>garage!K153</f>
        <v>A</v>
      </c>
      <c r="L153" s="9" t="str">
        <f>garage!L153</f>
        <v>Citroen</v>
      </c>
      <c r="M153" s="9" t="str">
        <f>garage!M153</f>
        <v>GT by Citroen</v>
      </c>
      <c r="O153" s="18" t="s">
        <v>446</v>
      </c>
      <c r="P153" s="14" t="s">
        <v>446</v>
      </c>
      <c r="Q153" s="14" t="s">
        <v>446</v>
      </c>
      <c r="R153" s="15" t="s">
        <v>446</v>
      </c>
      <c r="S153" s="14" t="s">
        <v>446</v>
      </c>
      <c r="T153" s="14" t="s">
        <v>446</v>
      </c>
      <c r="U153" s="14" t="s">
        <v>446</v>
      </c>
      <c r="V153" s="15" t="s">
        <v>446</v>
      </c>
      <c r="W153" s="14" t="s">
        <v>446</v>
      </c>
      <c r="X153" s="14" t="s">
        <v>446</v>
      </c>
      <c r="Y153" s="14" t="s">
        <v>446</v>
      </c>
      <c r="Z153" s="15" t="s">
        <v>446</v>
      </c>
      <c r="AA153" s="14" t="s">
        <v>446</v>
      </c>
      <c r="AB153" s="14" t="s">
        <v>446</v>
      </c>
      <c r="AC153" s="14" t="s">
        <v>446</v>
      </c>
      <c r="AD153" s="15" t="s">
        <v>446</v>
      </c>
      <c r="AE153" s="14" t="s">
        <v>446</v>
      </c>
      <c r="AF153" s="14" t="s">
        <v>446</v>
      </c>
      <c r="AG153" s="14" t="s">
        <v>446</v>
      </c>
      <c r="AH153" s="15" t="s">
        <v>446</v>
      </c>
      <c r="AI153" s="14" t="s">
        <v>446</v>
      </c>
      <c r="AJ153" s="14" t="s">
        <v>446</v>
      </c>
      <c r="AK153" s="14" t="s">
        <v>446</v>
      </c>
      <c r="AL153" s="15" t="s">
        <v>446</v>
      </c>
      <c r="AM153" s="14" t="s">
        <v>446</v>
      </c>
      <c r="AN153" s="14" t="s">
        <v>446</v>
      </c>
      <c r="AO153" s="14" t="s">
        <v>446</v>
      </c>
      <c r="AP153" s="15" t="s">
        <v>446</v>
      </c>
      <c r="AQ153" s="14" t="s">
        <v>446</v>
      </c>
      <c r="AR153" s="14" t="s">
        <v>446</v>
      </c>
      <c r="AS153" s="14" t="s">
        <v>446</v>
      </c>
      <c r="AT153" s="15" t="s">
        <v>446</v>
      </c>
      <c r="AU153" s="14" t="s">
        <v>446</v>
      </c>
      <c r="AV153" s="14" t="s">
        <v>446</v>
      </c>
      <c r="AW153" s="14" t="s">
        <v>446</v>
      </c>
      <c r="AX153" s="15" t="s">
        <v>446</v>
      </c>
      <c r="AY153" s="14" t="s">
        <v>446</v>
      </c>
      <c r="AZ153" s="14" t="s">
        <v>446</v>
      </c>
      <c r="BA153" s="14" t="s">
        <v>446</v>
      </c>
      <c r="BB153" s="15" t="s">
        <v>446</v>
      </c>
      <c r="BC153" s="14" t="s">
        <v>446</v>
      </c>
      <c r="BD153" s="14" t="s">
        <v>446</v>
      </c>
      <c r="BE153" s="14" t="s">
        <v>446</v>
      </c>
      <c r="BF153" s="15" t="s">
        <v>446</v>
      </c>
      <c r="BG153" s="14" t="s">
        <v>446</v>
      </c>
      <c r="BH153" s="14" t="s">
        <v>446</v>
      </c>
      <c r="BI153" s="14" t="s">
        <v>446</v>
      </c>
      <c r="BJ153" s="15" t="s">
        <v>446</v>
      </c>
      <c r="BK153" s="14" t="s">
        <v>446</v>
      </c>
      <c r="BL153" s="14" t="s">
        <v>446</v>
      </c>
      <c r="BM153" s="14" t="s">
        <v>446</v>
      </c>
      <c r="BN153" s="15" t="s">
        <v>446</v>
      </c>
      <c r="BP153" s="18" t="s">
        <v>446</v>
      </c>
      <c r="BQ153" s="14" t="s">
        <v>446</v>
      </c>
      <c r="BR153" s="14" t="s">
        <v>446</v>
      </c>
      <c r="BS153" s="15" t="s">
        <v>446</v>
      </c>
      <c r="BU153" s="18" t="s">
        <v>446</v>
      </c>
      <c r="BV153" s="14" t="s">
        <v>446</v>
      </c>
      <c r="BW153" s="14" t="s">
        <v>446</v>
      </c>
      <c r="BX153" s="15" t="s">
        <v>446</v>
      </c>
      <c r="BZ153" s="18" t="s">
        <v>446</v>
      </c>
      <c r="CA153" s="14" t="s">
        <v>446</v>
      </c>
      <c r="CB153" s="14" t="s">
        <v>446</v>
      </c>
      <c r="CC153" s="15" t="s">
        <v>446</v>
      </c>
    </row>
    <row r="154" spans="2:81" ht="18" customHeight="1" x14ac:dyDescent="0.2">
      <c r="B154" s="10">
        <f>garage!B154</f>
        <v>154</v>
      </c>
      <c r="C154" s="10">
        <f>garage!C154</f>
        <v>4</v>
      </c>
      <c r="D154" s="10">
        <f>garage!D154</f>
        <v>26</v>
      </c>
      <c r="E154" s="10">
        <f>garage!E154</f>
        <v>31</v>
      </c>
      <c r="F154" s="10" t="str">
        <f>garage!F154</f>
        <v>--</v>
      </c>
      <c r="G154" s="10" t="str">
        <f>garage!G154</f>
        <v>N</v>
      </c>
      <c r="H154" s="10" t="str">
        <f>garage!H154</f>
        <v>N</v>
      </c>
      <c r="I154" s="10" t="str">
        <f>garage!I154</f>
        <v>N</v>
      </c>
      <c r="J154" s="10" t="str">
        <f>garage!J154</f>
        <v>N</v>
      </c>
      <c r="K154" s="10" t="str">
        <f>garage!K154</f>
        <v>A</v>
      </c>
      <c r="L154" s="11" t="str">
        <f>garage!L154</f>
        <v>Porsche</v>
      </c>
      <c r="M154" s="11" t="str">
        <f>garage!M154</f>
        <v>935 (2019)</v>
      </c>
      <c r="O154" s="19" t="s">
        <v>446</v>
      </c>
      <c r="P154" s="16" t="s">
        <v>446</v>
      </c>
      <c r="Q154" s="16" t="s">
        <v>446</v>
      </c>
      <c r="R154" s="17" t="s">
        <v>446</v>
      </c>
      <c r="S154" s="16" t="s">
        <v>446</v>
      </c>
      <c r="T154" s="16" t="s">
        <v>446</v>
      </c>
      <c r="U154" s="16" t="s">
        <v>446</v>
      </c>
      <c r="V154" s="17" t="s">
        <v>446</v>
      </c>
      <c r="W154" s="16" t="s">
        <v>446</v>
      </c>
      <c r="X154" s="16" t="s">
        <v>446</v>
      </c>
      <c r="Y154" s="16" t="s">
        <v>446</v>
      </c>
      <c r="Z154" s="17" t="s">
        <v>446</v>
      </c>
      <c r="AA154" s="16" t="s">
        <v>446</v>
      </c>
      <c r="AB154" s="16" t="s">
        <v>446</v>
      </c>
      <c r="AC154" s="16" t="s">
        <v>446</v>
      </c>
      <c r="AD154" s="17" t="s">
        <v>446</v>
      </c>
      <c r="AE154" s="16" t="s">
        <v>446</v>
      </c>
      <c r="AF154" s="16" t="s">
        <v>446</v>
      </c>
      <c r="AG154" s="16" t="s">
        <v>446</v>
      </c>
      <c r="AH154" s="17" t="s">
        <v>446</v>
      </c>
      <c r="AI154" s="16" t="s">
        <v>446</v>
      </c>
      <c r="AJ154" s="16" t="s">
        <v>446</v>
      </c>
      <c r="AK154" s="16" t="s">
        <v>446</v>
      </c>
      <c r="AL154" s="17" t="s">
        <v>446</v>
      </c>
      <c r="AM154" s="16" t="s">
        <v>446</v>
      </c>
      <c r="AN154" s="16" t="s">
        <v>446</v>
      </c>
      <c r="AO154" s="16" t="s">
        <v>446</v>
      </c>
      <c r="AP154" s="17" t="s">
        <v>446</v>
      </c>
      <c r="AQ154" s="16" t="s">
        <v>446</v>
      </c>
      <c r="AR154" s="16" t="s">
        <v>446</v>
      </c>
      <c r="AS154" s="16" t="s">
        <v>446</v>
      </c>
      <c r="AT154" s="17" t="s">
        <v>446</v>
      </c>
      <c r="AU154" s="16" t="s">
        <v>446</v>
      </c>
      <c r="AV154" s="16" t="s">
        <v>446</v>
      </c>
      <c r="AW154" s="16" t="s">
        <v>446</v>
      </c>
      <c r="AX154" s="17" t="s">
        <v>446</v>
      </c>
      <c r="AY154" s="16" t="s">
        <v>446</v>
      </c>
      <c r="AZ154" s="16" t="s">
        <v>446</v>
      </c>
      <c r="BA154" s="16" t="s">
        <v>446</v>
      </c>
      <c r="BB154" s="17" t="s">
        <v>446</v>
      </c>
      <c r="BC154" s="16" t="s">
        <v>446</v>
      </c>
      <c r="BD154" s="16" t="s">
        <v>446</v>
      </c>
      <c r="BE154" s="16" t="s">
        <v>446</v>
      </c>
      <c r="BF154" s="17" t="s">
        <v>446</v>
      </c>
      <c r="BG154" s="16" t="s">
        <v>446</v>
      </c>
      <c r="BH154" s="16" t="s">
        <v>446</v>
      </c>
      <c r="BI154" s="16" t="s">
        <v>446</v>
      </c>
      <c r="BJ154" s="17" t="s">
        <v>446</v>
      </c>
      <c r="BK154" s="16" t="s">
        <v>446</v>
      </c>
      <c r="BL154" s="16" t="s">
        <v>446</v>
      </c>
      <c r="BM154" s="16" t="s">
        <v>446</v>
      </c>
      <c r="BN154" s="17" t="s">
        <v>446</v>
      </c>
      <c r="BP154" s="19" t="s">
        <v>446</v>
      </c>
      <c r="BQ154" s="16" t="s">
        <v>446</v>
      </c>
      <c r="BR154" s="16" t="s">
        <v>446</v>
      </c>
      <c r="BS154" s="17" t="s">
        <v>446</v>
      </c>
      <c r="BU154" s="19" t="s">
        <v>446</v>
      </c>
      <c r="BV154" s="16" t="s">
        <v>446</v>
      </c>
      <c r="BW154" s="16" t="s">
        <v>446</v>
      </c>
      <c r="BX154" s="17" t="s">
        <v>446</v>
      </c>
      <c r="BZ154" s="19" t="s">
        <v>446</v>
      </c>
      <c r="CA154" s="16" t="s">
        <v>446</v>
      </c>
      <c r="CB154" s="16" t="s">
        <v>446</v>
      </c>
      <c r="CC154" s="17" t="s">
        <v>446</v>
      </c>
    </row>
    <row r="155" spans="2:81" ht="18" customHeight="1" x14ac:dyDescent="0.2">
      <c r="B155" s="8">
        <f>garage!B155</f>
        <v>155</v>
      </c>
      <c r="C155" s="8">
        <f>garage!C155</f>
        <v>4</v>
      </c>
      <c r="D155" s="8">
        <f>garage!D155</f>
        <v>27</v>
      </c>
      <c r="E155" s="8">
        <f>garage!E155</f>
        <v>19</v>
      </c>
      <c r="F155" s="8" t="str">
        <f>garage!F155</f>
        <v>AM</v>
      </c>
      <c r="G155" s="8" t="str">
        <f>garage!G155</f>
        <v>O</v>
      </c>
      <c r="H155" s="8" t="str">
        <f>garage!H155</f>
        <v>N</v>
      </c>
      <c r="I155" s="8" t="str">
        <f>garage!I155</f>
        <v>N</v>
      </c>
      <c r="J155" s="8" t="str">
        <f>garage!J155</f>
        <v>N</v>
      </c>
      <c r="K155" s="8" t="str">
        <f>garage!K155</f>
        <v>A</v>
      </c>
      <c r="L155" s="9" t="str">
        <f>garage!L155</f>
        <v>Aston Martin</v>
      </c>
      <c r="M155" s="9" t="str">
        <f>garage!M155</f>
        <v>Victor</v>
      </c>
      <c r="O155" s="18" t="s">
        <v>446</v>
      </c>
      <c r="P155" s="14" t="s">
        <v>446</v>
      </c>
      <c r="Q155" s="14" t="s">
        <v>446</v>
      </c>
      <c r="R155" s="15" t="s">
        <v>446</v>
      </c>
      <c r="S155" s="14" t="s">
        <v>446</v>
      </c>
      <c r="T155" s="14" t="s">
        <v>446</v>
      </c>
      <c r="U155" s="14" t="s">
        <v>446</v>
      </c>
      <c r="V155" s="15" t="s">
        <v>446</v>
      </c>
      <c r="W155" s="14" t="s">
        <v>446</v>
      </c>
      <c r="X155" s="14" t="s">
        <v>446</v>
      </c>
      <c r="Y155" s="14" t="s">
        <v>446</v>
      </c>
      <c r="Z155" s="15" t="s">
        <v>446</v>
      </c>
      <c r="AA155" s="14" t="s">
        <v>446</v>
      </c>
      <c r="AB155" s="14" t="s">
        <v>446</v>
      </c>
      <c r="AC155" s="14" t="s">
        <v>446</v>
      </c>
      <c r="AD155" s="15" t="s">
        <v>446</v>
      </c>
      <c r="AE155" s="14" t="s">
        <v>446</v>
      </c>
      <c r="AF155" s="14" t="s">
        <v>446</v>
      </c>
      <c r="AG155" s="14" t="s">
        <v>446</v>
      </c>
      <c r="AH155" s="15" t="s">
        <v>446</v>
      </c>
      <c r="AI155" s="14" t="s">
        <v>446</v>
      </c>
      <c r="AJ155" s="14" t="s">
        <v>446</v>
      </c>
      <c r="AK155" s="14" t="s">
        <v>446</v>
      </c>
      <c r="AL155" s="15" t="s">
        <v>446</v>
      </c>
      <c r="AM155" s="14" t="s">
        <v>446</v>
      </c>
      <c r="AN155" s="14" t="s">
        <v>446</v>
      </c>
      <c r="AO155" s="14" t="s">
        <v>446</v>
      </c>
      <c r="AP155" s="15" t="s">
        <v>446</v>
      </c>
      <c r="AQ155" s="14" t="s">
        <v>446</v>
      </c>
      <c r="AR155" s="14" t="s">
        <v>446</v>
      </c>
      <c r="AS155" s="14" t="s">
        <v>446</v>
      </c>
      <c r="AT155" s="15" t="s">
        <v>446</v>
      </c>
      <c r="AU155" s="14" t="s">
        <v>446</v>
      </c>
      <c r="AV155" s="14" t="s">
        <v>446</v>
      </c>
      <c r="AW155" s="14" t="s">
        <v>446</v>
      </c>
      <c r="AX155" s="15" t="s">
        <v>446</v>
      </c>
      <c r="AY155" s="14" t="s">
        <v>446</v>
      </c>
      <c r="AZ155" s="14" t="s">
        <v>446</v>
      </c>
      <c r="BA155" s="14" t="s">
        <v>446</v>
      </c>
      <c r="BB155" s="15" t="s">
        <v>446</v>
      </c>
      <c r="BC155" s="14" t="s">
        <v>446</v>
      </c>
      <c r="BD155" s="14" t="s">
        <v>446</v>
      </c>
      <c r="BE155" s="14" t="s">
        <v>446</v>
      </c>
      <c r="BF155" s="15" t="s">
        <v>446</v>
      </c>
      <c r="BG155" s="14" t="s">
        <v>446</v>
      </c>
      <c r="BH155" s="14" t="s">
        <v>446</v>
      </c>
      <c r="BI155" s="14" t="s">
        <v>446</v>
      </c>
      <c r="BJ155" s="15" t="s">
        <v>446</v>
      </c>
      <c r="BK155" s="14" t="s">
        <v>446</v>
      </c>
      <c r="BL155" s="14" t="s">
        <v>446</v>
      </c>
      <c r="BM155" s="14" t="s">
        <v>446</v>
      </c>
      <c r="BN155" s="15" t="s">
        <v>446</v>
      </c>
      <c r="BP155" s="18" t="s">
        <v>446</v>
      </c>
      <c r="BQ155" s="14" t="s">
        <v>446</v>
      </c>
      <c r="BR155" s="14" t="s">
        <v>446</v>
      </c>
      <c r="BS155" s="15" t="s">
        <v>446</v>
      </c>
      <c r="BU155" s="18" t="s">
        <v>446</v>
      </c>
      <c r="BV155" s="14" t="s">
        <v>446</v>
      </c>
      <c r="BW155" s="14" t="s">
        <v>446</v>
      </c>
      <c r="BX155" s="15" t="s">
        <v>446</v>
      </c>
      <c r="BZ155" s="18" t="s">
        <v>446</v>
      </c>
      <c r="CA155" s="14" t="s">
        <v>446</v>
      </c>
      <c r="CB155" s="14" t="s">
        <v>446</v>
      </c>
      <c r="CC155" s="15" t="s">
        <v>446</v>
      </c>
    </row>
    <row r="156" spans="2:81" ht="18" customHeight="1" x14ac:dyDescent="0.2">
      <c r="B156" s="10">
        <f>garage!B156</f>
        <v>156</v>
      </c>
      <c r="C156" s="10">
        <f>garage!C156</f>
        <v>4</v>
      </c>
      <c r="D156" s="10">
        <f>garage!D156</f>
        <v>28</v>
      </c>
      <c r="E156" s="10">
        <f>garage!E156</f>
        <v>11</v>
      </c>
      <c r="F156" s="10" t="str">
        <f>garage!F156</f>
        <v>P</v>
      </c>
      <c r="G156" s="10" t="str">
        <f>garage!G156</f>
        <v>O</v>
      </c>
      <c r="H156" s="10" t="str">
        <f>garage!H156</f>
        <v>O</v>
      </c>
      <c r="I156" s="10" t="str">
        <f>garage!I156</f>
        <v>N</v>
      </c>
      <c r="J156" s="10" t="str">
        <f>garage!J156</f>
        <v>N</v>
      </c>
      <c r="K156" s="10" t="str">
        <f>garage!K156</f>
        <v>A</v>
      </c>
      <c r="L156" s="11" t="str">
        <f>garage!L156</f>
        <v>Porsche</v>
      </c>
      <c r="M156" s="11" t="str">
        <f>garage!M156</f>
        <v>911 GT2 RS Clubsport</v>
      </c>
      <c r="O156" s="19">
        <v>1</v>
      </c>
      <c r="P156" s="16">
        <v>1</v>
      </c>
      <c r="Q156" s="16">
        <v>1</v>
      </c>
      <c r="R156" s="17">
        <v>1</v>
      </c>
      <c r="S156" s="16">
        <v>1</v>
      </c>
      <c r="T156" s="16">
        <v>1</v>
      </c>
      <c r="U156" s="16">
        <v>1</v>
      </c>
      <c r="V156" s="17">
        <v>1</v>
      </c>
      <c r="W156" s="16">
        <v>1</v>
      </c>
      <c r="X156" s="16">
        <v>1</v>
      </c>
      <c r="Y156" s="16">
        <v>1</v>
      </c>
      <c r="Z156" s="17">
        <v>1</v>
      </c>
      <c r="AA156" s="16">
        <v>1</v>
      </c>
      <c r="AB156" s="16">
        <v>1</v>
      </c>
      <c r="AC156" s="16">
        <v>1</v>
      </c>
      <c r="AD156" s="17">
        <v>1</v>
      </c>
      <c r="AE156" s="16">
        <v>1</v>
      </c>
      <c r="AF156" s="16">
        <v>1</v>
      </c>
      <c r="AG156" s="16">
        <v>1</v>
      </c>
      <c r="AH156" s="17">
        <v>1</v>
      </c>
      <c r="AI156" s="16">
        <v>1</v>
      </c>
      <c r="AJ156" s="16">
        <v>1</v>
      </c>
      <c r="AK156" s="16">
        <v>1</v>
      </c>
      <c r="AL156" s="17">
        <v>1</v>
      </c>
      <c r="AM156" s="16">
        <v>1</v>
      </c>
      <c r="AN156" s="16">
        <v>1</v>
      </c>
      <c r="AO156" s="16">
        <v>1</v>
      </c>
      <c r="AP156" s="17">
        <v>1</v>
      </c>
      <c r="AQ156" s="16">
        <v>1</v>
      </c>
      <c r="AR156" s="16">
        <v>1</v>
      </c>
      <c r="AS156" s="16">
        <v>1</v>
      </c>
      <c r="AT156" s="17">
        <v>1</v>
      </c>
      <c r="AU156" s="16">
        <v>1</v>
      </c>
      <c r="AV156" s="16">
        <v>1</v>
      </c>
      <c r="AW156" s="16">
        <v>1</v>
      </c>
      <c r="AX156" s="17">
        <v>1</v>
      </c>
      <c r="AY156" s="16">
        <v>1</v>
      </c>
      <c r="AZ156" s="16">
        <v>1</v>
      </c>
      <c r="BA156" s="16">
        <v>1</v>
      </c>
      <c r="BB156" s="17">
        <v>1</v>
      </c>
      <c r="BC156" s="16">
        <v>1</v>
      </c>
      <c r="BD156" s="16">
        <v>1</v>
      </c>
      <c r="BE156" s="16">
        <v>1</v>
      </c>
      <c r="BF156" s="17">
        <v>1</v>
      </c>
      <c r="BG156" s="16">
        <v>1</v>
      </c>
      <c r="BH156" s="16">
        <v>1</v>
      </c>
      <c r="BI156" s="16">
        <v>1</v>
      </c>
      <c r="BJ156" s="17">
        <v>1</v>
      </c>
      <c r="BK156" s="16">
        <v>1</v>
      </c>
      <c r="BL156" s="16">
        <v>1</v>
      </c>
      <c r="BM156" s="16">
        <v>1</v>
      </c>
      <c r="BN156" s="17">
        <v>1</v>
      </c>
      <c r="BP156" s="19">
        <v>6</v>
      </c>
      <c r="BQ156" s="16">
        <v>6</v>
      </c>
      <c r="BR156" s="16">
        <v>6</v>
      </c>
      <c r="BS156" s="17">
        <v>6</v>
      </c>
      <c r="BU156" s="19">
        <v>5</v>
      </c>
      <c r="BV156" s="16">
        <v>5</v>
      </c>
      <c r="BW156" s="16">
        <v>5</v>
      </c>
      <c r="BX156" s="17">
        <v>5</v>
      </c>
      <c r="BZ156" s="19">
        <v>4</v>
      </c>
      <c r="CA156" s="16">
        <v>4</v>
      </c>
      <c r="CB156" s="16">
        <v>1</v>
      </c>
      <c r="CC156" s="17">
        <v>2</v>
      </c>
    </row>
    <row r="157" spans="2:81" ht="18" customHeight="1" x14ac:dyDescent="0.2">
      <c r="B157" s="8">
        <f>garage!B157</f>
        <v>157</v>
      </c>
      <c r="C157" s="8">
        <f>garage!C157</f>
        <v>4</v>
      </c>
      <c r="D157" s="8">
        <f>garage!D157</f>
        <v>29</v>
      </c>
      <c r="E157" s="8">
        <f>garage!E157</f>
        <v>0</v>
      </c>
      <c r="F157" s="8" t="str">
        <f>garage!F157</f>
        <v>--</v>
      </c>
      <c r="G157" s="8" t="str">
        <f>garage!G157</f>
        <v>O</v>
      </c>
      <c r="H157" s="8" t="str">
        <f>garage!H157</f>
        <v>O</v>
      </c>
      <c r="I157" s="8" t="str">
        <f>garage!I157</f>
        <v>O</v>
      </c>
      <c r="J157" s="8" t="str">
        <f>garage!J157</f>
        <v>N</v>
      </c>
      <c r="K157" s="8" t="str">
        <f>garage!K157</f>
        <v>A</v>
      </c>
      <c r="L157" s="9" t="str">
        <f>garage!L157</f>
        <v>Pagani</v>
      </c>
      <c r="M157" s="9" t="str">
        <f>garage!M157</f>
        <v>Huayra BC</v>
      </c>
      <c r="O157" s="18">
        <v>1</v>
      </c>
      <c r="P157" s="14">
        <v>1</v>
      </c>
      <c r="Q157" s="14">
        <v>1</v>
      </c>
      <c r="R157" s="15">
        <v>1</v>
      </c>
      <c r="S157" s="14">
        <v>1</v>
      </c>
      <c r="T157" s="14">
        <v>1</v>
      </c>
      <c r="U157" s="14">
        <v>1</v>
      </c>
      <c r="V157" s="15">
        <v>1</v>
      </c>
      <c r="W157" s="14">
        <v>1</v>
      </c>
      <c r="X157" s="14">
        <v>1</v>
      </c>
      <c r="Y157" s="14">
        <v>1</v>
      </c>
      <c r="Z157" s="15">
        <v>1</v>
      </c>
      <c r="AA157" s="14">
        <v>1</v>
      </c>
      <c r="AB157" s="14">
        <v>1</v>
      </c>
      <c r="AC157" s="14">
        <v>1</v>
      </c>
      <c r="AD157" s="15">
        <v>1</v>
      </c>
      <c r="AE157" s="14">
        <v>1</v>
      </c>
      <c r="AF157" s="14">
        <v>1</v>
      </c>
      <c r="AG157" s="14">
        <v>1</v>
      </c>
      <c r="AH157" s="15">
        <v>1</v>
      </c>
      <c r="AI157" s="14">
        <v>1</v>
      </c>
      <c r="AJ157" s="14">
        <v>1</v>
      </c>
      <c r="AK157" s="14">
        <v>1</v>
      </c>
      <c r="AL157" s="15">
        <v>1</v>
      </c>
      <c r="AM157" s="14">
        <v>1</v>
      </c>
      <c r="AN157" s="14">
        <v>1</v>
      </c>
      <c r="AO157" s="14">
        <v>1</v>
      </c>
      <c r="AP157" s="15">
        <v>1</v>
      </c>
      <c r="AQ157" s="14">
        <v>1</v>
      </c>
      <c r="AR157" s="14">
        <v>1</v>
      </c>
      <c r="AS157" s="14">
        <v>1</v>
      </c>
      <c r="AT157" s="15">
        <v>1</v>
      </c>
      <c r="AU157" s="14">
        <v>1</v>
      </c>
      <c r="AV157" s="14">
        <v>1</v>
      </c>
      <c r="AW157" s="14">
        <v>1</v>
      </c>
      <c r="AX157" s="15">
        <v>1</v>
      </c>
      <c r="AY157" s="14">
        <v>1</v>
      </c>
      <c r="AZ157" s="14">
        <v>1</v>
      </c>
      <c r="BA157" s="14">
        <v>1</v>
      </c>
      <c r="BB157" s="15">
        <v>1</v>
      </c>
      <c r="BC157" s="14">
        <v>1</v>
      </c>
      <c r="BD157" s="14">
        <v>1</v>
      </c>
      <c r="BE157" s="14">
        <v>1</v>
      </c>
      <c r="BF157" s="15">
        <v>1</v>
      </c>
      <c r="BG157" s="14">
        <v>1</v>
      </c>
      <c r="BH157" s="14">
        <v>1</v>
      </c>
      <c r="BI157" s="14">
        <v>1</v>
      </c>
      <c r="BJ157" s="15">
        <v>1</v>
      </c>
      <c r="BK157" s="14">
        <v>1</v>
      </c>
      <c r="BL157" s="14">
        <v>1</v>
      </c>
      <c r="BM157" s="14">
        <v>1</v>
      </c>
      <c r="BN157" s="15">
        <v>1</v>
      </c>
      <c r="BP157" s="18">
        <v>6</v>
      </c>
      <c r="BQ157" s="14">
        <v>6</v>
      </c>
      <c r="BR157" s="14">
        <v>6</v>
      </c>
      <c r="BS157" s="15">
        <v>6</v>
      </c>
      <c r="BU157" s="18">
        <v>5</v>
      </c>
      <c r="BV157" s="14">
        <v>5</v>
      </c>
      <c r="BW157" s="14">
        <v>5</v>
      </c>
      <c r="BX157" s="15">
        <v>5</v>
      </c>
      <c r="BZ157" s="18">
        <v>4</v>
      </c>
      <c r="CA157" s="14">
        <v>4</v>
      </c>
      <c r="CB157" s="14">
        <v>4</v>
      </c>
      <c r="CC157" s="15">
        <v>4</v>
      </c>
    </row>
    <row r="158" spans="2:81" ht="18" customHeight="1" x14ac:dyDescent="0.2">
      <c r="B158" s="10">
        <f>garage!B158</f>
        <v>158</v>
      </c>
      <c r="C158" s="10">
        <f>garage!C158</f>
        <v>4</v>
      </c>
      <c r="D158" s="10">
        <f>garage!D158</f>
        <v>30</v>
      </c>
      <c r="E158" s="10">
        <f>garage!E158</f>
        <v>28</v>
      </c>
      <c r="F158" s="10" t="str">
        <f>garage!F158</f>
        <v>M</v>
      </c>
      <c r="G158" s="10" t="str">
        <f>garage!G158</f>
        <v>N</v>
      </c>
      <c r="H158" s="10" t="str">
        <f>garage!H158</f>
        <v>N</v>
      </c>
      <c r="I158" s="10" t="str">
        <f>garage!I158</f>
        <v>N</v>
      </c>
      <c r="J158" s="10" t="str">
        <f>garage!J158</f>
        <v>N</v>
      </c>
      <c r="K158" s="10" t="str">
        <f>garage!K158</f>
        <v>A</v>
      </c>
      <c r="L158" s="11" t="str">
        <f>garage!L158</f>
        <v>McLaren</v>
      </c>
      <c r="M158" s="11" t="str">
        <f>garage!M158</f>
        <v>650S GT3</v>
      </c>
      <c r="O158" s="19" t="s">
        <v>446</v>
      </c>
      <c r="P158" s="16" t="s">
        <v>446</v>
      </c>
      <c r="Q158" s="16" t="s">
        <v>446</v>
      </c>
      <c r="R158" s="17" t="s">
        <v>446</v>
      </c>
      <c r="S158" s="16" t="s">
        <v>446</v>
      </c>
      <c r="T158" s="16" t="s">
        <v>446</v>
      </c>
      <c r="U158" s="16" t="s">
        <v>446</v>
      </c>
      <c r="V158" s="17" t="s">
        <v>446</v>
      </c>
      <c r="W158" s="16" t="s">
        <v>446</v>
      </c>
      <c r="X158" s="16" t="s">
        <v>446</v>
      </c>
      <c r="Y158" s="16" t="s">
        <v>446</v>
      </c>
      <c r="Z158" s="17" t="s">
        <v>446</v>
      </c>
      <c r="AA158" s="16" t="s">
        <v>446</v>
      </c>
      <c r="AB158" s="16" t="s">
        <v>446</v>
      </c>
      <c r="AC158" s="16" t="s">
        <v>446</v>
      </c>
      <c r="AD158" s="17" t="s">
        <v>446</v>
      </c>
      <c r="AE158" s="16" t="s">
        <v>446</v>
      </c>
      <c r="AF158" s="16" t="s">
        <v>446</v>
      </c>
      <c r="AG158" s="16" t="s">
        <v>446</v>
      </c>
      <c r="AH158" s="17" t="s">
        <v>446</v>
      </c>
      <c r="AI158" s="16" t="s">
        <v>446</v>
      </c>
      <c r="AJ158" s="16" t="s">
        <v>446</v>
      </c>
      <c r="AK158" s="16" t="s">
        <v>446</v>
      </c>
      <c r="AL158" s="17" t="s">
        <v>446</v>
      </c>
      <c r="AM158" s="16" t="s">
        <v>446</v>
      </c>
      <c r="AN158" s="16" t="s">
        <v>446</v>
      </c>
      <c r="AO158" s="16" t="s">
        <v>446</v>
      </c>
      <c r="AP158" s="17" t="s">
        <v>446</v>
      </c>
      <c r="AQ158" s="16" t="s">
        <v>446</v>
      </c>
      <c r="AR158" s="16" t="s">
        <v>446</v>
      </c>
      <c r="AS158" s="16" t="s">
        <v>446</v>
      </c>
      <c r="AT158" s="17" t="s">
        <v>446</v>
      </c>
      <c r="AU158" s="16" t="s">
        <v>446</v>
      </c>
      <c r="AV158" s="16" t="s">
        <v>446</v>
      </c>
      <c r="AW158" s="16" t="s">
        <v>446</v>
      </c>
      <c r="AX158" s="17" t="s">
        <v>446</v>
      </c>
      <c r="AY158" s="16" t="s">
        <v>446</v>
      </c>
      <c r="AZ158" s="16" t="s">
        <v>446</v>
      </c>
      <c r="BA158" s="16" t="s">
        <v>446</v>
      </c>
      <c r="BB158" s="17" t="s">
        <v>446</v>
      </c>
      <c r="BC158" s="16" t="s">
        <v>446</v>
      </c>
      <c r="BD158" s="16" t="s">
        <v>446</v>
      </c>
      <c r="BE158" s="16" t="s">
        <v>446</v>
      </c>
      <c r="BF158" s="17" t="s">
        <v>446</v>
      </c>
      <c r="BG158" s="16" t="s">
        <v>446</v>
      </c>
      <c r="BH158" s="16" t="s">
        <v>446</v>
      </c>
      <c r="BI158" s="16" t="s">
        <v>446</v>
      </c>
      <c r="BJ158" s="17" t="s">
        <v>446</v>
      </c>
      <c r="BK158" s="16" t="s">
        <v>446</v>
      </c>
      <c r="BL158" s="16" t="s">
        <v>446</v>
      </c>
      <c r="BM158" s="16" t="s">
        <v>446</v>
      </c>
      <c r="BN158" s="17" t="s">
        <v>446</v>
      </c>
      <c r="BP158" s="19" t="s">
        <v>446</v>
      </c>
      <c r="BQ158" s="16" t="s">
        <v>446</v>
      </c>
      <c r="BR158" s="16" t="s">
        <v>446</v>
      </c>
      <c r="BS158" s="17" t="s">
        <v>446</v>
      </c>
      <c r="BU158" s="19" t="s">
        <v>446</v>
      </c>
      <c r="BV158" s="16" t="s">
        <v>446</v>
      </c>
      <c r="BW158" s="16" t="s">
        <v>446</v>
      </c>
      <c r="BX158" s="17" t="s">
        <v>446</v>
      </c>
      <c r="BZ158" s="19" t="s">
        <v>446</v>
      </c>
      <c r="CA158" s="16" t="s">
        <v>446</v>
      </c>
      <c r="CB158" s="16" t="s">
        <v>446</v>
      </c>
      <c r="CC158" s="17" t="s">
        <v>446</v>
      </c>
    </row>
    <row r="159" spans="2:81" ht="18" customHeight="1" x14ac:dyDescent="0.2">
      <c r="B159" s="8">
        <f>garage!B159</f>
        <v>159</v>
      </c>
      <c r="C159" s="8">
        <f>garage!C159</f>
        <v>4</v>
      </c>
      <c r="D159" s="8">
        <f>garage!D159</f>
        <v>31</v>
      </c>
      <c r="E159" s="8">
        <f>garage!E159</f>
        <v>12</v>
      </c>
      <c r="F159" s="8" t="str">
        <f>garage!F159</f>
        <v>L</v>
      </c>
      <c r="G159" s="8" t="str">
        <f>garage!G159</f>
        <v>O</v>
      </c>
      <c r="H159" s="8" t="str">
        <f>garage!H159</f>
        <v>N</v>
      </c>
      <c r="I159" s="8" t="str">
        <f>garage!I159</f>
        <v>N</v>
      </c>
      <c r="J159" s="8" t="str">
        <f>garage!J159</f>
        <v>N</v>
      </c>
      <c r="K159" s="8" t="str">
        <f>garage!K159</f>
        <v>A</v>
      </c>
      <c r="L159" s="9" t="str">
        <f>garage!L159</f>
        <v>Lamborghini</v>
      </c>
      <c r="M159" s="9" t="str">
        <f>garage!M159</f>
        <v>SC18</v>
      </c>
      <c r="O159" s="18" t="s">
        <v>446</v>
      </c>
      <c r="P159" s="14" t="s">
        <v>446</v>
      </c>
      <c r="Q159" s="14" t="s">
        <v>446</v>
      </c>
      <c r="R159" s="15" t="s">
        <v>446</v>
      </c>
      <c r="S159" s="14" t="s">
        <v>446</v>
      </c>
      <c r="T159" s="14" t="s">
        <v>446</v>
      </c>
      <c r="U159" s="14" t="s">
        <v>446</v>
      </c>
      <c r="V159" s="15" t="s">
        <v>446</v>
      </c>
      <c r="W159" s="14" t="s">
        <v>446</v>
      </c>
      <c r="X159" s="14" t="s">
        <v>446</v>
      </c>
      <c r="Y159" s="14" t="s">
        <v>446</v>
      </c>
      <c r="Z159" s="15" t="s">
        <v>446</v>
      </c>
      <c r="AA159" s="14" t="s">
        <v>446</v>
      </c>
      <c r="AB159" s="14" t="s">
        <v>446</v>
      </c>
      <c r="AC159" s="14" t="s">
        <v>446</v>
      </c>
      <c r="AD159" s="15" t="s">
        <v>446</v>
      </c>
      <c r="AE159" s="14" t="s">
        <v>446</v>
      </c>
      <c r="AF159" s="14" t="s">
        <v>446</v>
      </c>
      <c r="AG159" s="14" t="s">
        <v>446</v>
      </c>
      <c r="AH159" s="15" t="s">
        <v>446</v>
      </c>
      <c r="AI159" s="14" t="s">
        <v>446</v>
      </c>
      <c r="AJ159" s="14" t="s">
        <v>446</v>
      </c>
      <c r="AK159" s="14" t="s">
        <v>446</v>
      </c>
      <c r="AL159" s="15" t="s">
        <v>446</v>
      </c>
      <c r="AM159" s="14" t="s">
        <v>446</v>
      </c>
      <c r="AN159" s="14" t="s">
        <v>446</v>
      </c>
      <c r="AO159" s="14" t="s">
        <v>446</v>
      </c>
      <c r="AP159" s="15" t="s">
        <v>446</v>
      </c>
      <c r="AQ159" s="14" t="s">
        <v>446</v>
      </c>
      <c r="AR159" s="14" t="s">
        <v>446</v>
      </c>
      <c r="AS159" s="14" t="s">
        <v>446</v>
      </c>
      <c r="AT159" s="15" t="s">
        <v>446</v>
      </c>
      <c r="AU159" s="14" t="s">
        <v>446</v>
      </c>
      <c r="AV159" s="14" t="s">
        <v>446</v>
      </c>
      <c r="AW159" s="14" t="s">
        <v>446</v>
      </c>
      <c r="AX159" s="15" t="s">
        <v>446</v>
      </c>
      <c r="AY159" s="14" t="s">
        <v>446</v>
      </c>
      <c r="AZ159" s="14" t="s">
        <v>446</v>
      </c>
      <c r="BA159" s="14" t="s">
        <v>446</v>
      </c>
      <c r="BB159" s="15" t="s">
        <v>446</v>
      </c>
      <c r="BC159" s="14" t="s">
        <v>446</v>
      </c>
      <c r="BD159" s="14" t="s">
        <v>446</v>
      </c>
      <c r="BE159" s="14" t="s">
        <v>446</v>
      </c>
      <c r="BF159" s="15" t="s">
        <v>446</v>
      </c>
      <c r="BG159" s="14" t="s">
        <v>446</v>
      </c>
      <c r="BH159" s="14" t="s">
        <v>446</v>
      </c>
      <c r="BI159" s="14" t="s">
        <v>446</v>
      </c>
      <c r="BJ159" s="15" t="s">
        <v>446</v>
      </c>
      <c r="BK159" s="14" t="s">
        <v>446</v>
      </c>
      <c r="BL159" s="14" t="s">
        <v>446</v>
      </c>
      <c r="BM159" s="14" t="s">
        <v>446</v>
      </c>
      <c r="BN159" s="15" t="s">
        <v>446</v>
      </c>
      <c r="BP159" s="18" t="s">
        <v>446</v>
      </c>
      <c r="BQ159" s="14" t="s">
        <v>446</v>
      </c>
      <c r="BR159" s="14" t="s">
        <v>446</v>
      </c>
      <c r="BS159" s="15" t="s">
        <v>446</v>
      </c>
      <c r="BU159" s="18" t="s">
        <v>446</v>
      </c>
      <c r="BV159" s="14" t="s">
        <v>446</v>
      </c>
      <c r="BW159" s="14" t="s">
        <v>446</v>
      </c>
      <c r="BX159" s="15" t="s">
        <v>446</v>
      </c>
      <c r="BZ159" s="18" t="s">
        <v>446</v>
      </c>
      <c r="CA159" s="14" t="s">
        <v>446</v>
      </c>
      <c r="CB159" s="14" t="s">
        <v>446</v>
      </c>
      <c r="CC159" s="15" t="s">
        <v>446</v>
      </c>
    </row>
    <row r="160" spans="2:81" ht="18" customHeight="1" x14ac:dyDescent="0.2">
      <c r="B160" s="10">
        <f>garage!B160</f>
        <v>160</v>
      </c>
      <c r="C160" s="10">
        <f>garage!C160</f>
        <v>4</v>
      </c>
      <c r="D160" s="10">
        <f>garage!D160</f>
        <v>32</v>
      </c>
      <c r="E160" s="10">
        <f>garage!E160</f>
        <v>6</v>
      </c>
      <c r="F160" s="10" t="str">
        <f>garage!F160</f>
        <v>F</v>
      </c>
      <c r="G160" s="10" t="str">
        <f>garage!G160</f>
        <v>O</v>
      </c>
      <c r="H160" s="10" t="str">
        <f>garage!H160</f>
        <v>O</v>
      </c>
      <c r="I160" s="10" t="str">
        <f>garage!I160</f>
        <v>O</v>
      </c>
      <c r="J160" s="10" t="str">
        <f>garage!J160</f>
        <v>N</v>
      </c>
      <c r="K160" s="10" t="str">
        <f>garage!K160</f>
        <v>A</v>
      </c>
      <c r="L160" s="11" t="str">
        <f>garage!L160</f>
        <v>Ferrari</v>
      </c>
      <c r="M160" s="11" t="str">
        <f>garage!M160</f>
        <v>LaFerrari Aperta</v>
      </c>
      <c r="O160" s="19">
        <v>1</v>
      </c>
      <c r="P160" s="16">
        <v>1</v>
      </c>
      <c r="Q160" s="16">
        <v>1</v>
      </c>
      <c r="R160" s="17">
        <v>1</v>
      </c>
      <c r="S160" s="16">
        <v>1</v>
      </c>
      <c r="T160" s="16">
        <v>1</v>
      </c>
      <c r="U160" s="16">
        <v>1</v>
      </c>
      <c r="V160" s="17">
        <v>1</v>
      </c>
      <c r="W160" s="16">
        <v>1</v>
      </c>
      <c r="X160" s="16">
        <v>1</v>
      </c>
      <c r="Y160" s="16">
        <v>1</v>
      </c>
      <c r="Z160" s="17">
        <v>1</v>
      </c>
      <c r="AA160" s="16">
        <v>1</v>
      </c>
      <c r="AB160" s="16">
        <v>1</v>
      </c>
      <c r="AC160" s="16">
        <v>1</v>
      </c>
      <c r="AD160" s="17">
        <v>1</v>
      </c>
      <c r="AE160" s="16">
        <v>1</v>
      </c>
      <c r="AF160" s="16">
        <v>1</v>
      </c>
      <c r="AG160" s="16">
        <v>1</v>
      </c>
      <c r="AH160" s="17">
        <v>1</v>
      </c>
      <c r="AI160" s="16">
        <v>1</v>
      </c>
      <c r="AJ160" s="16">
        <v>1</v>
      </c>
      <c r="AK160" s="16">
        <v>1</v>
      </c>
      <c r="AL160" s="17">
        <v>1</v>
      </c>
      <c r="AM160" s="16">
        <v>1</v>
      </c>
      <c r="AN160" s="16">
        <v>1</v>
      </c>
      <c r="AO160" s="16">
        <v>1</v>
      </c>
      <c r="AP160" s="17">
        <v>1</v>
      </c>
      <c r="AQ160" s="16">
        <v>1</v>
      </c>
      <c r="AR160" s="16">
        <v>1</v>
      </c>
      <c r="AS160" s="16">
        <v>1</v>
      </c>
      <c r="AT160" s="17">
        <v>1</v>
      </c>
      <c r="AU160" s="16">
        <v>1</v>
      </c>
      <c r="AV160" s="16">
        <v>1</v>
      </c>
      <c r="AW160" s="16">
        <v>1</v>
      </c>
      <c r="AX160" s="17">
        <v>1</v>
      </c>
      <c r="AY160" s="16">
        <v>1</v>
      </c>
      <c r="AZ160" s="16">
        <v>1</v>
      </c>
      <c r="BA160" s="16">
        <v>1</v>
      </c>
      <c r="BB160" s="17">
        <v>1</v>
      </c>
      <c r="BC160" s="16">
        <v>1</v>
      </c>
      <c r="BD160" s="16">
        <v>1</v>
      </c>
      <c r="BE160" s="16">
        <v>1</v>
      </c>
      <c r="BF160" s="17">
        <v>1</v>
      </c>
      <c r="BG160" s="16">
        <v>1</v>
      </c>
      <c r="BH160" s="16">
        <v>1</v>
      </c>
      <c r="BI160" s="16">
        <v>1</v>
      </c>
      <c r="BJ160" s="17">
        <v>1</v>
      </c>
      <c r="BK160" s="16">
        <v>1</v>
      </c>
      <c r="BL160" s="16">
        <v>1</v>
      </c>
      <c r="BM160" s="16">
        <v>1</v>
      </c>
      <c r="BN160" s="17">
        <v>1</v>
      </c>
      <c r="BP160" s="19">
        <v>6</v>
      </c>
      <c r="BQ160" s="16">
        <v>6</v>
      </c>
      <c r="BR160" s="16">
        <v>6</v>
      </c>
      <c r="BS160" s="17">
        <v>6</v>
      </c>
      <c r="BU160" s="19">
        <v>5</v>
      </c>
      <c r="BV160" s="16">
        <v>5</v>
      </c>
      <c r="BW160" s="16">
        <v>5</v>
      </c>
      <c r="BX160" s="17">
        <v>5</v>
      </c>
      <c r="BZ160" s="19">
        <v>4</v>
      </c>
      <c r="CA160" s="16">
        <v>4</v>
      </c>
      <c r="CB160" s="16">
        <v>4</v>
      </c>
      <c r="CC160" s="17">
        <v>4</v>
      </c>
    </row>
    <row r="161" spans="2:81" ht="18" customHeight="1" x14ac:dyDescent="0.2">
      <c r="B161" s="8">
        <f>garage!B161</f>
        <v>161</v>
      </c>
      <c r="C161" s="8">
        <f>garage!C161</f>
        <v>4</v>
      </c>
      <c r="D161" s="8">
        <f>garage!D161</f>
        <v>33</v>
      </c>
      <c r="E161" s="8">
        <f>garage!E161</f>
        <v>15</v>
      </c>
      <c r="F161" s="8" t="str">
        <f>garage!F161</f>
        <v>F</v>
      </c>
      <c r="G161" s="8" t="str">
        <f>garage!G161</f>
        <v>N</v>
      </c>
      <c r="H161" s="8" t="str">
        <f>garage!H161</f>
        <v>N</v>
      </c>
      <c r="I161" s="8" t="str">
        <f>garage!I161</f>
        <v>N</v>
      </c>
      <c r="J161" s="8" t="str">
        <f>garage!J161</f>
        <v>N</v>
      </c>
      <c r="K161" s="8" t="str">
        <f>garage!K161</f>
        <v>A</v>
      </c>
      <c r="L161" s="9" t="str">
        <f>garage!L161</f>
        <v>Ferrari</v>
      </c>
      <c r="M161" s="9" t="str">
        <f>garage!M161</f>
        <v>F8 Tributo</v>
      </c>
      <c r="O161" s="18" t="s">
        <v>446</v>
      </c>
      <c r="P161" s="14" t="s">
        <v>446</v>
      </c>
      <c r="Q161" s="14" t="s">
        <v>446</v>
      </c>
      <c r="R161" s="15" t="s">
        <v>446</v>
      </c>
      <c r="S161" s="14" t="s">
        <v>446</v>
      </c>
      <c r="T161" s="14" t="s">
        <v>446</v>
      </c>
      <c r="U161" s="14" t="s">
        <v>446</v>
      </c>
      <c r="V161" s="15" t="s">
        <v>446</v>
      </c>
      <c r="W161" s="14" t="s">
        <v>446</v>
      </c>
      <c r="X161" s="14" t="s">
        <v>446</v>
      </c>
      <c r="Y161" s="14" t="s">
        <v>446</v>
      </c>
      <c r="Z161" s="15" t="s">
        <v>446</v>
      </c>
      <c r="AA161" s="14" t="s">
        <v>446</v>
      </c>
      <c r="AB161" s="14" t="s">
        <v>446</v>
      </c>
      <c r="AC161" s="14" t="s">
        <v>446</v>
      </c>
      <c r="AD161" s="15" t="s">
        <v>446</v>
      </c>
      <c r="AE161" s="14" t="s">
        <v>446</v>
      </c>
      <c r="AF161" s="14" t="s">
        <v>446</v>
      </c>
      <c r="AG161" s="14" t="s">
        <v>446</v>
      </c>
      <c r="AH161" s="15" t="s">
        <v>446</v>
      </c>
      <c r="AI161" s="14" t="s">
        <v>446</v>
      </c>
      <c r="AJ161" s="14" t="s">
        <v>446</v>
      </c>
      <c r="AK161" s="14" t="s">
        <v>446</v>
      </c>
      <c r="AL161" s="15" t="s">
        <v>446</v>
      </c>
      <c r="AM161" s="14" t="s">
        <v>446</v>
      </c>
      <c r="AN161" s="14" t="s">
        <v>446</v>
      </c>
      <c r="AO161" s="14" t="s">
        <v>446</v>
      </c>
      <c r="AP161" s="15" t="s">
        <v>446</v>
      </c>
      <c r="AQ161" s="14" t="s">
        <v>446</v>
      </c>
      <c r="AR161" s="14" t="s">
        <v>446</v>
      </c>
      <c r="AS161" s="14" t="s">
        <v>446</v>
      </c>
      <c r="AT161" s="15" t="s">
        <v>446</v>
      </c>
      <c r="AU161" s="14" t="s">
        <v>446</v>
      </c>
      <c r="AV161" s="14" t="s">
        <v>446</v>
      </c>
      <c r="AW161" s="14" t="s">
        <v>446</v>
      </c>
      <c r="AX161" s="15" t="s">
        <v>446</v>
      </c>
      <c r="AY161" s="14" t="s">
        <v>446</v>
      </c>
      <c r="AZ161" s="14" t="s">
        <v>446</v>
      </c>
      <c r="BA161" s="14" t="s">
        <v>446</v>
      </c>
      <c r="BB161" s="15" t="s">
        <v>446</v>
      </c>
      <c r="BC161" s="14" t="s">
        <v>446</v>
      </c>
      <c r="BD161" s="14" t="s">
        <v>446</v>
      </c>
      <c r="BE161" s="14" t="s">
        <v>446</v>
      </c>
      <c r="BF161" s="15" t="s">
        <v>446</v>
      </c>
      <c r="BG161" s="14" t="s">
        <v>446</v>
      </c>
      <c r="BH161" s="14" t="s">
        <v>446</v>
      </c>
      <c r="BI161" s="14" t="s">
        <v>446</v>
      </c>
      <c r="BJ161" s="15" t="s">
        <v>446</v>
      </c>
      <c r="BK161" s="14" t="s">
        <v>446</v>
      </c>
      <c r="BL161" s="14" t="s">
        <v>446</v>
      </c>
      <c r="BM161" s="14" t="s">
        <v>446</v>
      </c>
      <c r="BN161" s="15" t="s">
        <v>446</v>
      </c>
      <c r="BP161" s="18" t="s">
        <v>446</v>
      </c>
      <c r="BQ161" s="14" t="s">
        <v>446</v>
      </c>
      <c r="BR161" s="14" t="s">
        <v>446</v>
      </c>
      <c r="BS161" s="15" t="s">
        <v>446</v>
      </c>
      <c r="BU161" s="18" t="s">
        <v>446</v>
      </c>
      <c r="BV161" s="14" t="s">
        <v>446</v>
      </c>
      <c r="BW161" s="14" t="s">
        <v>446</v>
      </c>
      <c r="BX161" s="15" t="s">
        <v>446</v>
      </c>
      <c r="BZ161" s="18" t="s">
        <v>446</v>
      </c>
      <c r="CA161" s="14" t="s">
        <v>446</v>
      </c>
      <c r="CB161" s="14" t="s">
        <v>446</v>
      </c>
      <c r="CC161" s="15" t="s">
        <v>446</v>
      </c>
    </row>
    <row r="162" spans="2:81" ht="18" customHeight="1" x14ac:dyDescent="0.2">
      <c r="B162" s="10">
        <f>garage!B162</f>
        <v>162</v>
      </c>
      <c r="C162" s="10">
        <f>garage!C162</f>
        <v>4</v>
      </c>
      <c r="D162" s="10">
        <f>garage!D162</f>
        <v>34</v>
      </c>
      <c r="E162" s="10">
        <f>garage!E162</f>
        <v>20</v>
      </c>
      <c r="F162" s="10" t="str">
        <f>garage!F162</f>
        <v>L</v>
      </c>
      <c r="G162" s="10" t="str">
        <f>garage!G162</f>
        <v>N</v>
      </c>
      <c r="H162" s="10" t="str">
        <f>garage!H162</f>
        <v>N</v>
      </c>
      <c r="I162" s="10" t="str">
        <f>garage!I162</f>
        <v>N</v>
      </c>
      <c r="J162" s="10" t="str">
        <f>garage!J162</f>
        <v>N</v>
      </c>
      <c r="K162" s="10" t="str">
        <f>garage!K162</f>
        <v>A</v>
      </c>
      <c r="L162" s="11" t="str">
        <f>garage!L162</f>
        <v>Lamborghini</v>
      </c>
      <c r="M162" s="11" t="str">
        <f>garage!M162</f>
        <v>SC20</v>
      </c>
      <c r="O162" s="19">
        <v>1</v>
      </c>
      <c r="P162" s="16">
        <v>1</v>
      </c>
      <c r="Q162" s="16">
        <v>1</v>
      </c>
      <c r="R162" s="17">
        <v>1</v>
      </c>
      <c r="S162" s="16">
        <v>1</v>
      </c>
      <c r="T162" s="16">
        <v>1</v>
      </c>
      <c r="U162" s="16">
        <v>1</v>
      </c>
      <c r="V162" s="17">
        <v>1</v>
      </c>
      <c r="W162" s="16">
        <v>1</v>
      </c>
      <c r="X162" s="16">
        <v>1</v>
      </c>
      <c r="Y162" s="16">
        <v>1</v>
      </c>
      <c r="Z162" s="17">
        <v>1</v>
      </c>
      <c r="AA162" s="16">
        <v>1</v>
      </c>
      <c r="AB162" s="16">
        <v>1</v>
      </c>
      <c r="AC162" s="16">
        <v>1</v>
      </c>
      <c r="AD162" s="17">
        <v>1</v>
      </c>
      <c r="AE162" s="16">
        <v>1</v>
      </c>
      <c r="AF162" s="16">
        <v>1</v>
      </c>
      <c r="AG162" s="16">
        <v>1</v>
      </c>
      <c r="AH162" s="17">
        <v>1</v>
      </c>
      <c r="AI162" s="16">
        <v>1</v>
      </c>
      <c r="AJ162" s="16">
        <v>1</v>
      </c>
      <c r="AK162" s="16">
        <v>1</v>
      </c>
      <c r="AL162" s="17">
        <v>1</v>
      </c>
      <c r="AM162" s="16" t="s">
        <v>446</v>
      </c>
      <c r="AN162" s="16" t="s">
        <v>446</v>
      </c>
      <c r="AO162" s="16" t="s">
        <v>446</v>
      </c>
      <c r="AP162" s="17" t="s">
        <v>446</v>
      </c>
      <c r="AQ162" s="16" t="s">
        <v>446</v>
      </c>
      <c r="AR162" s="16" t="s">
        <v>446</v>
      </c>
      <c r="AS162" s="16" t="s">
        <v>446</v>
      </c>
      <c r="AT162" s="17" t="s">
        <v>446</v>
      </c>
      <c r="AU162" s="16" t="s">
        <v>446</v>
      </c>
      <c r="AV162" s="16" t="s">
        <v>446</v>
      </c>
      <c r="AW162" s="16" t="s">
        <v>446</v>
      </c>
      <c r="AX162" s="17" t="s">
        <v>446</v>
      </c>
      <c r="AY162" s="16" t="s">
        <v>446</v>
      </c>
      <c r="AZ162" s="16" t="s">
        <v>446</v>
      </c>
      <c r="BA162" s="16" t="s">
        <v>446</v>
      </c>
      <c r="BB162" s="17" t="s">
        <v>446</v>
      </c>
      <c r="BC162" s="16" t="s">
        <v>446</v>
      </c>
      <c r="BD162" s="16" t="s">
        <v>446</v>
      </c>
      <c r="BE162" s="16" t="s">
        <v>446</v>
      </c>
      <c r="BF162" s="17" t="s">
        <v>446</v>
      </c>
      <c r="BG162" s="16" t="s">
        <v>446</v>
      </c>
      <c r="BH162" s="16" t="s">
        <v>446</v>
      </c>
      <c r="BI162" s="16" t="s">
        <v>446</v>
      </c>
      <c r="BJ162" s="17" t="s">
        <v>446</v>
      </c>
      <c r="BK162" s="16" t="s">
        <v>446</v>
      </c>
      <c r="BL162" s="16" t="s">
        <v>446</v>
      </c>
      <c r="BM162" s="16" t="s">
        <v>446</v>
      </c>
      <c r="BN162" s="17" t="s">
        <v>446</v>
      </c>
      <c r="BP162" s="19">
        <v>4</v>
      </c>
      <c r="BQ162" s="16">
        <v>4</v>
      </c>
      <c r="BR162" s="16">
        <v>4</v>
      </c>
      <c r="BS162" s="17">
        <v>4</v>
      </c>
      <c r="BU162" s="19">
        <v>1</v>
      </c>
      <c r="BV162" s="16">
        <v>1</v>
      </c>
      <c r="BW162" s="16">
        <v>1</v>
      </c>
      <c r="BX162" s="17">
        <v>1</v>
      </c>
      <c r="BZ162" s="19" t="s">
        <v>446</v>
      </c>
      <c r="CA162" s="16" t="s">
        <v>446</v>
      </c>
      <c r="CB162" s="16" t="s">
        <v>446</v>
      </c>
      <c r="CC162" s="17" t="s">
        <v>446</v>
      </c>
    </row>
    <row r="163" spans="2:81" ht="18" customHeight="1" x14ac:dyDescent="0.2">
      <c r="B163" s="8">
        <f>garage!B163</f>
        <v>163</v>
      </c>
      <c r="C163" s="8">
        <f>garage!C163</f>
        <v>4</v>
      </c>
      <c r="D163" s="8">
        <f>garage!D163</f>
        <v>35</v>
      </c>
      <c r="E163" s="8">
        <f>garage!E163</f>
        <v>0</v>
      </c>
      <c r="F163" s="8" t="str">
        <f>garage!F163</f>
        <v>--</v>
      </c>
      <c r="G163" s="8" t="str">
        <f>garage!G163</f>
        <v>O</v>
      </c>
      <c r="H163" s="8" t="str">
        <f>garage!H163</f>
        <v>O</v>
      </c>
      <c r="I163" s="8" t="str">
        <f>garage!I163</f>
        <v>O</v>
      </c>
      <c r="J163" s="8" t="str">
        <f>garage!J163</f>
        <v>N</v>
      </c>
      <c r="K163" s="8" t="str">
        <f>garage!K163</f>
        <v>A</v>
      </c>
      <c r="L163" s="9" t="str">
        <f>garage!L163</f>
        <v>Genty</v>
      </c>
      <c r="M163" s="9" t="str">
        <f>garage!M163</f>
        <v>Akylone</v>
      </c>
      <c r="O163" s="18">
        <v>1</v>
      </c>
      <c r="P163" s="14">
        <v>1</v>
      </c>
      <c r="Q163" s="14">
        <v>1</v>
      </c>
      <c r="R163" s="15">
        <v>1</v>
      </c>
      <c r="S163" s="14">
        <v>1</v>
      </c>
      <c r="T163" s="14">
        <v>1</v>
      </c>
      <c r="U163" s="14">
        <v>1</v>
      </c>
      <c r="V163" s="15">
        <v>1</v>
      </c>
      <c r="W163" s="14">
        <v>1</v>
      </c>
      <c r="X163" s="14">
        <v>1</v>
      </c>
      <c r="Y163" s="14">
        <v>1</v>
      </c>
      <c r="Z163" s="15">
        <v>1</v>
      </c>
      <c r="AA163" s="14">
        <v>1</v>
      </c>
      <c r="AB163" s="14">
        <v>1</v>
      </c>
      <c r="AC163" s="14">
        <v>1</v>
      </c>
      <c r="AD163" s="15">
        <v>1</v>
      </c>
      <c r="AE163" s="14">
        <v>1</v>
      </c>
      <c r="AF163" s="14">
        <v>1</v>
      </c>
      <c r="AG163" s="14">
        <v>1</v>
      </c>
      <c r="AH163" s="15">
        <v>1</v>
      </c>
      <c r="AI163" s="14">
        <v>1</v>
      </c>
      <c r="AJ163" s="14">
        <v>1</v>
      </c>
      <c r="AK163" s="14">
        <v>1</v>
      </c>
      <c r="AL163" s="15">
        <v>1</v>
      </c>
      <c r="AM163" s="14">
        <v>1</v>
      </c>
      <c r="AN163" s="14">
        <v>1</v>
      </c>
      <c r="AO163" s="14">
        <v>1</v>
      </c>
      <c r="AP163" s="15">
        <v>1</v>
      </c>
      <c r="AQ163" s="14">
        <v>1</v>
      </c>
      <c r="AR163" s="14">
        <v>1</v>
      </c>
      <c r="AS163" s="14">
        <v>1</v>
      </c>
      <c r="AT163" s="15">
        <v>1</v>
      </c>
      <c r="AU163" s="14">
        <v>1</v>
      </c>
      <c r="AV163" s="14">
        <v>1</v>
      </c>
      <c r="AW163" s="14">
        <v>1</v>
      </c>
      <c r="AX163" s="15">
        <v>1</v>
      </c>
      <c r="AY163" s="14">
        <v>1</v>
      </c>
      <c r="AZ163" s="14">
        <v>1</v>
      </c>
      <c r="BA163" s="14">
        <v>1</v>
      </c>
      <c r="BB163" s="15">
        <v>1</v>
      </c>
      <c r="BC163" s="14">
        <v>1</v>
      </c>
      <c r="BD163" s="14">
        <v>1</v>
      </c>
      <c r="BE163" s="14">
        <v>1</v>
      </c>
      <c r="BF163" s="15">
        <v>1</v>
      </c>
      <c r="BG163" s="14">
        <v>1</v>
      </c>
      <c r="BH163" s="14">
        <v>1</v>
      </c>
      <c r="BI163" s="14">
        <v>1</v>
      </c>
      <c r="BJ163" s="15">
        <v>1</v>
      </c>
      <c r="BK163" s="14">
        <v>1</v>
      </c>
      <c r="BL163" s="14">
        <v>1</v>
      </c>
      <c r="BM163" s="14">
        <v>1</v>
      </c>
      <c r="BN163" s="15">
        <v>1</v>
      </c>
      <c r="BP163" s="18">
        <v>6</v>
      </c>
      <c r="BQ163" s="14">
        <v>6</v>
      </c>
      <c r="BR163" s="14">
        <v>6</v>
      </c>
      <c r="BS163" s="15">
        <v>6</v>
      </c>
      <c r="BU163" s="18">
        <v>5</v>
      </c>
      <c r="BV163" s="14">
        <v>5</v>
      </c>
      <c r="BW163" s="14">
        <v>5</v>
      </c>
      <c r="BX163" s="15">
        <v>5</v>
      </c>
      <c r="BZ163" s="18">
        <v>4</v>
      </c>
      <c r="CA163" s="14">
        <v>4</v>
      </c>
      <c r="CB163" s="14">
        <v>4</v>
      </c>
      <c r="CC163" s="15">
        <v>4</v>
      </c>
    </row>
    <row r="164" spans="2:81" ht="18" customHeight="1" x14ac:dyDescent="0.2">
      <c r="B164" s="10">
        <f>garage!B164</f>
        <v>164</v>
      </c>
      <c r="C164" s="10">
        <f>garage!C164</f>
        <v>4</v>
      </c>
      <c r="D164" s="10">
        <f>garage!D164</f>
        <v>36</v>
      </c>
      <c r="E164" s="10">
        <f>garage!E164</f>
        <v>0</v>
      </c>
      <c r="F164" s="10" t="str">
        <f>garage!F164</f>
        <v>--</v>
      </c>
      <c r="G164" s="10" t="str">
        <f>garage!G164</f>
        <v>O</v>
      </c>
      <c r="H164" s="10" t="str">
        <f>garage!H164</f>
        <v>N</v>
      </c>
      <c r="I164" s="10" t="str">
        <f>garage!I164</f>
        <v>N</v>
      </c>
      <c r="J164" s="10" t="str">
        <f>garage!J164</f>
        <v>N</v>
      </c>
      <c r="K164" s="10" t="str">
        <f>garage!K164</f>
        <v>A</v>
      </c>
      <c r="L164" s="11" t="str">
        <f>garage!L164</f>
        <v>Techrules</v>
      </c>
      <c r="M164" s="11" t="str">
        <f>garage!M164</f>
        <v>AT96 track version</v>
      </c>
      <c r="O164" s="19">
        <v>1</v>
      </c>
      <c r="P164" s="16">
        <v>1</v>
      </c>
      <c r="Q164" s="16">
        <v>1</v>
      </c>
      <c r="R164" s="17">
        <v>1</v>
      </c>
      <c r="S164" s="16">
        <v>1</v>
      </c>
      <c r="T164" s="16">
        <v>1</v>
      </c>
      <c r="U164" s="16">
        <v>1</v>
      </c>
      <c r="V164" s="17">
        <v>1</v>
      </c>
      <c r="W164" s="16">
        <v>1</v>
      </c>
      <c r="X164" s="16">
        <v>1</v>
      </c>
      <c r="Y164" s="16">
        <v>1</v>
      </c>
      <c r="Z164" s="17">
        <v>1</v>
      </c>
      <c r="AA164" s="16">
        <v>1</v>
      </c>
      <c r="AB164" s="16">
        <v>1</v>
      </c>
      <c r="AC164" s="16">
        <v>1</v>
      </c>
      <c r="AD164" s="17">
        <v>1</v>
      </c>
      <c r="AE164" s="16">
        <v>1</v>
      </c>
      <c r="AF164" s="16">
        <v>1</v>
      </c>
      <c r="AG164" s="16">
        <v>1</v>
      </c>
      <c r="AH164" s="17">
        <v>1</v>
      </c>
      <c r="AI164" s="16">
        <v>1</v>
      </c>
      <c r="AJ164" s="16">
        <v>1</v>
      </c>
      <c r="AK164" s="16">
        <v>1</v>
      </c>
      <c r="AL164" s="17">
        <v>1</v>
      </c>
      <c r="AM164" s="16">
        <v>1</v>
      </c>
      <c r="AN164" s="16">
        <v>1</v>
      </c>
      <c r="AO164" s="16">
        <v>1</v>
      </c>
      <c r="AP164" s="17">
        <v>1</v>
      </c>
      <c r="AQ164" s="16">
        <v>1</v>
      </c>
      <c r="AR164" s="16">
        <v>1</v>
      </c>
      <c r="AS164" s="16">
        <v>1</v>
      </c>
      <c r="AT164" s="17">
        <v>1</v>
      </c>
      <c r="AU164" s="16" t="s">
        <v>446</v>
      </c>
      <c r="AV164" s="16" t="s">
        <v>446</v>
      </c>
      <c r="AW164" s="16" t="s">
        <v>446</v>
      </c>
      <c r="AX164" s="17" t="s">
        <v>446</v>
      </c>
      <c r="AY164" s="16" t="s">
        <v>446</v>
      </c>
      <c r="AZ164" s="16" t="s">
        <v>446</v>
      </c>
      <c r="BA164" s="16" t="s">
        <v>446</v>
      </c>
      <c r="BB164" s="17" t="s">
        <v>446</v>
      </c>
      <c r="BC164" s="16" t="s">
        <v>446</v>
      </c>
      <c r="BD164" s="16" t="s">
        <v>446</v>
      </c>
      <c r="BE164" s="16" t="s">
        <v>446</v>
      </c>
      <c r="BF164" s="17" t="s">
        <v>446</v>
      </c>
      <c r="BG164" s="16" t="s">
        <v>446</v>
      </c>
      <c r="BH164" s="16" t="s">
        <v>446</v>
      </c>
      <c r="BI164" s="16" t="s">
        <v>446</v>
      </c>
      <c r="BJ164" s="17" t="s">
        <v>446</v>
      </c>
      <c r="BK164" s="16" t="s">
        <v>446</v>
      </c>
      <c r="BL164" s="16" t="s">
        <v>446</v>
      </c>
      <c r="BM164" s="16" t="s">
        <v>446</v>
      </c>
      <c r="BN164" s="17" t="s">
        <v>446</v>
      </c>
      <c r="BP164" s="19">
        <v>5</v>
      </c>
      <c r="BQ164" s="16">
        <v>5</v>
      </c>
      <c r="BR164" s="16">
        <v>5</v>
      </c>
      <c r="BS164" s="17">
        <v>5</v>
      </c>
      <c r="BU164" s="19">
        <v>2</v>
      </c>
      <c r="BV164" s="16">
        <v>2</v>
      </c>
      <c r="BW164" s="16">
        <v>2</v>
      </c>
      <c r="BX164" s="17">
        <v>2</v>
      </c>
      <c r="BZ164" s="19" t="s">
        <v>446</v>
      </c>
      <c r="CA164" s="16" t="s">
        <v>446</v>
      </c>
      <c r="CB164" s="16" t="s">
        <v>446</v>
      </c>
      <c r="CC164" s="17" t="s">
        <v>446</v>
      </c>
    </row>
    <row r="165" spans="2:81" ht="18" customHeight="1" x14ac:dyDescent="0.2">
      <c r="B165" s="10">
        <f>garage!B165</f>
        <v>165</v>
      </c>
      <c r="C165" s="10">
        <f>garage!C165</f>
        <v>4</v>
      </c>
      <c r="D165" s="10">
        <f>garage!D165</f>
        <v>37</v>
      </c>
      <c r="E165" s="10">
        <f>garage!E165</f>
        <v>32</v>
      </c>
      <c r="F165" s="10" t="str">
        <f>garage!F165</f>
        <v>--</v>
      </c>
      <c r="G165" s="10" t="str">
        <f>garage!G165</f>
        <v>N</v>
      </c>
      <c r="H165" s="10" t="str">
        <f>garage!H165</f>
        <v>N</v>
      </c>
      <c r="I165" s="10" t="str">
        <f>garage!I165</f>
        <v>N</v>
      </c>
      <c r="J165" s="10" t="str">
        <f>garage!J165</f>
        <v>N</v>
      </c>
      <c r="K165" s="10" t="str">
        <f>garage!K165</f>
        <v>A</v>
      </c>
      <c r="L165" s="11" t="str">
        <f>garage!L165</f>
        <v>Noble</v>
      </c>
      <c r="M165" s="11" t="str">
        <f>garage!M165</f>
        <v>M600 Speedster</v>
      </c>
      <c r="O165" s="19" t="s">
        <v>446</v>
      </c>
      <c r="P165" s="16" t="s">
        <v>446</v>
      </c>
      <c r="Q165" s="16" t="s">
        <v>446</v>
      </c>
      <c r="R165" s="17" t="s">
        <v>446</v>
      </c>
      <c r="S165" s="16" t="s">
        <v>446</v>
      </c>
      <c r="T165" s="16" t="s">
        <v>446</v>
      </c>
      <c r="U165" s="16" t="s">
        <v>446</v>
      </c>
      <c r="V165" s="17" t="s">
        <v>446</v>
      </c>
      <c r="W165" s="16" t="s">
        <v>446</v>
      </c>
      <c r="X165" s="16" t="s">
        <v>446</v>
      </c>
      <c r="Y165" s="16" t="s">
        <v>446</v>
      </c>
      <c r="Z165" s="17" t="s">
        <v>446</v>
      </c>
      <c r="AA165" s="16" t="s">
        <v>446</v>
      </c>
      <c r="AB165" s="16" t="s">
        <v>446</v>
      </c>
      <c r="AC165" s="16" t="s">
        <v>446</v>
      </c>
      <c r="AD165" s="17" t="s">
        <v>446</v>
      </c>
      <c r="AE165" s="16" t="s">
        <v>446</v>
      </c>
      <c r="AF165" s="16" t="s">
        <v>446</v>
      </c>
      <c r="AG165" s="16" t="s">
        <v>446</v>
      </c>
      <c r="AH165" s="17" t="s">
        <v>446</v>
      </c>
      <c r="AI165" s="16" t="s">
        <v>446</v>
      </c>
      <c r="AJ165" s="16" t="s">
        <v>446</v>
      </c>
      <c r="AK165" s="16" t="s">
        <v>446</v>
      </c>
      <c r="AL165" s="17" t="s">
        <v>446</v>
      </c>
      <c r="AM165" s="16" t="s">
        <v>446</v>
      </c>
      <c r="AN165" s="16" t="s">
        <v>446</v>
      </c>
      <c r="AO165" s="16" t="s">
        <v>446</v>
      </c>
      <c r="AP165" s="17" t="s">
        <v>446</v>
      </c>
      <c r="AQ165" s="16" t="s">
        <v>446</v>
      </c>
      <c r="AR165" s="16" t="s">
        <v>446</v>
      </c>
      <c r="AS165" s="16" t="s">
        <v>446</v>
      </c>
      <c r="AT165" s="17" t="s">
        <v>446</v>
      </c>
      <c r="AU165" s="16" t="s">
        <v>446</v>
      </c>
      <c r="AV165" s="16" t="s">
        <v>446</v>
      </c>
      <c r="AW165" s="16" t="s">
        <v>446</v>
      </c>
      <c r="AX165" s="17" t="s">
        <v>446</v>
      </c>
      <c r="AY165" s="16" t="s">
        <v>446</v>
      </c>
      <c r="AZ165" s="16" t="s">
        <v>446</v>
      </c>
      <c r="BA165" s="16" t="s">
        <v>446</v>
      </c>
      <c r="BB165" s="17" t="s">
        <v>446</v>
      </c>
      <c r="BC165" s="16" t="s">
        <v>446</v>
      </c>
      <c r="BD165" s="16" t="s">
        <v>446</v>
      </c>
      <c r="BE165" s="16" t="s">
        <v>446</v>
      </c>
      <c r="BF165" s="17" t="s">
        <v>446</v>
      </c>
      <c r="BG165" s="16" t="s">
        <v>446</v>
      </c>
      <c r="BH165" s="16" t="s">
        <v>446</v>
      </c>
      <c r="BI165" s="16" t="s">
        <v>446</v>
      </c>
      <c r="BJ165" s="17" t="s">
        <v>446</v>
      </c>
      <c r="BK165" s="16" t="s">
        <v>446</v>
      </c>
      <c r="BL165" s="16" t="s">
        <v>446</v>
      </c>
      <c r="BM165" s="16" t="s">
        <v>446</v>
      </c>
      <c r="BN165" s="17" t="s">
        <v>446</v>
      </c>
      <c r="BP165" s="19" t="s">
        <v>446</v>
      </c>
      <c r="BQ165" s="16" t="s">
        <v>446</v>
      </c>
      <c r="BR165" s="16" t="s">
        <v>446</v>
      </c>
      <c r="BS165" s="17" t="s">
        <v>446</v>
      </c>
      <c r="BU165" s="19" t="s">
        <v>446</v>
      </c>
      <c r="BV165" s="16" t="s">
        <v>446</v>
      </c>
      <c r="BW165" s="16" t="s">
        <v>446</v>
      </c>
      <c r="BX165" s="17" t="s">
        <v>446</v>
      </c>
      <c r="BZ165" s="19" t="s">
        <v>446</v>
      </c>
      <c r="CA165" s="16" t="s">
        <v>446</v>
      </c>
      <c r="CB165" s="16" t="s">
        <v>446</v>
      </c>
      <c r="CC165" s="17" t="s">
        <v>446</v>
      </c>
    </row>
    <row r="166" spans="2:81" ht="18" customHeight="1" x14ac:dyDescent="0.2">
      <c r="B166" s="8">
        <f>garage!B166</f>
        <v>166</v>
      </c>
      <c r="C166" s="8">
        <f>garage!C166</f>
        <v>4</v>
      </c>
      <c r="D166" s="8">
        <f>garage!D166</f>
        <v>38</v>
      </c>
      <c r="E166" s="8">
        <f>garage!E166</f>
        <v>21</v>
      </c>
      <c r="F166" s="8" t="str">
        <f>garage!F166</f>
        <v>--</v>
      </c>
      <c r="G166" s="8" t="str">
        <f>garage!G166</f>
        <v>O</v>
      </c>
      <c r="H166" s="8" t="str">
        <f>garage!H166</f>
        <v>N</v>
      </c>
      <c r="I166" s="8" t="str">
        <f>garage!I166</f>
        <v>N</v>
      </c>
      <c r="J166" s="8" t="str">
        <f>garage!J166</f>
        <v>N</v>
      </c>
      <c r="K166" s="8" t="str">
        <f>garage!K166</f>
        <v>A</v>
      </c>
      <c r="L166" s="9" t="str">
        <f>garage!L166</f>
        <v>Rimac</v>
      </c>
      <c r="M166" s="9" t="str">
        <f>garage!M166</f>
        <v>Concept_One</v>
      </c>
      <c r="O166" s="18" t="s">
        <v>446</v>
      </c>
      <c r="P166" s="14" t="s">
        <v>446</v>
      </c>
      <c r="Q166" s="14" t="s">
        <v>446</v>
      </c>
      <c r="R166" s="15" t="s">
        <v>446</v>
      </c>
      <c r="S166" s="14" t="s">
        <v>446</v>
      </c>
      <c r="T166" s="14" t="s">
        <v>446</v>
      </c>
      <c r="U166" s="14" t="s">
        <v>446</v>
      </c>
      <c r="V166" s="15" t="s">
        <v>446</v>
      </c>
      <c r="W166" s="14" t="s">
        <v>446</v>
      </c>
      <c r="X166" s="14" t="s">
        <v>446</v>
      </c>
      <c r="Y166" s="14" t="s">
        <v>446</v>
      </c>
      <c r="Z166" s="15" t="s">
        <v>446</v>
      </c>
      <c r="AA166" s="14" t="s">
        <v>446</v>
      </c>
      <c r="AB166" s="14" t="s">
        <v>446</v>
      </c>
      <c r="AC166" s="14" t="s">
        <v>446</v>
      </c>
      <c r="AD166" s="15" t="s">
        <v>446</v>
      </c>
      <c r="AE166" s="14" t="s">
        <v>446</v>
      </c>
      <c r="AF166" s="14" t="s">
        <v>446</v>
      </c>
      <c r="AG166" s="14" t="s">
        <v>446</v>
      </c>
      <c r="AH166" s="15" t="s">
        <v>446</v>
      </c>
      <c r="AI166" s="14" t="s">
        <v>446</v>
      </c>
      <c r="AJ166" s="14" t="s">
        <v>446</v>
      </c>
      <c r="AK166" s="14" t="s">
        <v>446</v>
      </c>
      <c r="AL166" s="15" t="s">
        <v>446</v>
      </c>
      <c r="AM166" s="14" t="s">
        <v>446</v>
      </c>
      <c r="AN166" s="14" t="s">
        <v>446</v>
      </c>
      <c r="AO166" s="14" t="s">
        <v>446</v>
      </c>
      <c r="AP166" s="15" t="s">
        <v>446</v>
      </c>
      <c r="AQ166" s="14" t="s">
        <v>446</v>
      </c>
      <c r="AR166" s="14" t="s">
        <v>446</v>
      </c>
      <c r="AS166" s="14" t="s">
        <v>446</v>
      </c>
      <c r="AT166" s="15" t="s">
        <v>446</v>
      </c>
      <c r="AU166" s="14" t="s">
        <v>446</v>
      </c>
      <c r="AV166" s="14" t="s">
        <v>446</v>
      </c>
      <c r="AW166" s="14" t="s">
        <v>446</v>
      </c>
      <c r="AX166" s="15" t="s">
        <v>446</v>
      </c>
      <c r="AY166" s="14" t="s">
        <v>446</v>
      </c>
      <c r="AZ166" s="14" t="s">
        <v>446</v>
      </c>
      <c r="BA166" s="14" t="s">
        <v>446</v>
      </c>
      <c r="BB166" s="15" t="s">
        <v>446</v>
      </c>
      <c r="BC166" s="14" t="s">
        <v>446</v>
      </c>
      <c r="BD166" s="14" t="s">
        <v>446</v>
      </c>
      <c r="BE166" s="14" t="s">
        <v>446</v>
      </c>
      <c r="BF166" s="15" t="s">
        <v>446</v>
      </c>
      <c r="BG166" s="14" t="s">
        <v>446</v>
      </c>
      <c r="BH166" s="14" t="s">
        <v>446</v>
      </c>
      <c r="BI166" s="14" t="s">
        <v>446</v>
      </c>
      <c r="BJ166" s="15" t="s">
        <v>446</v>
      </c>
      <c r="BK166" s="14" t="s">
        <v>446</v>
      </c>
      <c r="BL166" s="14" t="s">
        <v>446</v>
      </c>
      <c r="BM166" s="14" t="s">
        <v>446</v>
      </c>
      <c r="BN166" s="15" t="s">
        <v>446</v>
      </c>
      <c r="BP166" s="18" t="s">
        <v>446</v>
      </c>
      <c r="BQ166" s="14" t="s">
        <v>446</v>
      </c>
      <c r="BR166" s="14" t="s">
        <v>446</v>
      </c>
      <c r="BS166" s="15" t="s">
        <v>446</v>
      </c>
      <c r="BU166" s="18" t="s">
        <v>446</v>
      </c>
      <c r="BV166" s="14" t="s">
        <v>446</v>
      </c>
      <c r="BW166" s="14" t="s">
        <v>446</v>
      </c>
      <c r="BX166" s="15" t="s">
        <v>446</v>
      </c>
      <c r="BZ166" s="18" t="s">
        <v>446</v>
      </c>
      <c r="CA166" s="14" t="s">
        <v>446</v>
      </c>
      <c r="CB166" s="14" t="s">
        <v>446</v>
      </c>
      <c r="CC166" s="15" t="s">
        <v>446</v>
      </c>
    </row>
    <row r="167" spans="2:81" ht="18" customHeight="1" x14ac:dyDescent="0.2">
      <c r="B167" s="10">
        <f>garage!B167</f>
        <v>167</v>
      </c>
      <c r="C167" s="10">
        <f>garage!C167</f>
        <v>4</v>
      </c>
      <c r="D167" s="10">
        <f>garage!D167</f>
        <v>39</v>
      </c>
      <c r="E167" s="10">
        <f>garage!E167</f>
        <v>14</v>
      </c>
      <c r="F167" s="10" t="str">
        <f>garage!F167</f>
        <v>AM</v>
      </c>
      <c r="G167" s="10" t="str">
        <f>garage!G167</f>
        <v>O</v>
      </c>
      <c r="H167" s="10" t="str">
        <f>garage!H167</f>
        <v>O</v>
      </c>
      <c r="I167" s="10" t="str">
        <f>garage!I167</f>
        <v>N</v>
      </c>
      <c r="J167" s="10" t="str">
        <f>garage!J167</f>
        <v>N</v>
      </c>
      <c r="K167" s="10" t="str">
        <f>garage!K167</f>
        <v>A</v>
      </c>
      <c r="L167" s="11" t="str">
        <f>garage!L167</f>
        <v>Aston Martin</v>
      </c>
      <c r="M167" s="11" t="str">
        <f>garage!M167</f>
        <v>Valhalla Concept Car</v>
      </c>
      <c r="O167" s="19">
        <v>1</v>
      </c>
      <c r="P167" s="16">
        <v>1</v>
      </c>
      <c r="Q167" s="16">
        <v>1</v>
      </c>
      <c r="R167" s="17">
        <v>1</v>
      </c>
      <c r="S167" s="16">
        <v>1</v>
      </c>
      <c r="T167" s="16">
        <v>1</v>
      </c>
      <c r="U167" s="16">
        <v>1</v>
      </c>
      <c r="V167" s="17">
        <v>1</v>
      </c>
      <c r="W167" s="16">
        <v>1</v>
      </c>
      <c r="X167" s="16">
        <v>1</v>
      </c>
      <c r="Y167" s="16">
        <v>1</v>
      </c>
      <c r="Z167" s="17">
        <v>1</v>
      </c>
      <c r="AA167" s="16">
        <v>1</v>
      </c>
      <c r="AB167" s="16">
        <v>1</v>
      </c>
      <c r="AC167" s="16">
        <v>1</v>
      </c>
      <c r="AD167" s="17">
        <v>1</v>
      </c>
      <c r="AE167" s="16">
        <v>1</v>
      </c>
      <c r="AF167" s="16">
        <v>1</v>
      </c>
      <c r="AG167" s="16">
        <v>1</v>
      </c>
      <c r="AH167" s="17">
        <v>1</v>
      </c>
      <c r="AI167" s="16">
        <v>1</v>
      </c>
      <c r="AJ167" s="16">
        <v>1</v>
      </c>
      <c r="AK167" s="16">
        <v>1</v>
      </c>
      <c r="AL167" s="17">
        <v>1</v>
      </c>
      <c r="AM167" s="16">
        <v>1</v>
      </c>
      <c r="AN167" s="16">
        <v>1</v>
      </c>
      <c r="AO167" s="16">
        <v>1</v>
      </c>
      <c r="AP167" s="17">
        <v>1</v>
      </c>
      <c r="AQ167" s="16">
        <v>1</v>
      </c>
      <c r="AR167" s="16">
        <v>1</v>
      </c>
      <c r="AS167" s="16">
        <v>1</v>
      </c>
      <c r="AT167" s="17">
        <v>1</v>
      </c>
      <c r="AU167" s="16">
        <v>1</v>
      </c>
      <c r="AV167" s="16">
        <v>1</v>
      </c>
      <c r="AW167" s="16">
        <v>1</v>
      </c>
      <c r="AX167" s="17">
        <v>1</v>
      </c>
      <c r="AY167" s="16">
        <v>1</v>
      </c>
      <c r="AZ167" s="16">
        <v>1</v>
      </c>
      <c r="BA167" s="16">
        <v>1</v>
      </c>
      <c r="BB167" s="17">
        <v>1</v>
      </c>
      <c r="BC167" s="16">
        <v>1</v>
      </c>
      <c r="BD167" s="16">
        <v>1</v>
      </c>
      <c r="BE167" s="16">
        <v>1</v>
      </c>
      <c r="BF167" s="17">
        <v>1</v>
      </c>
      <c r="BG167" s="16">
        <v>1</v>
      </c>
      <c r="BH167" s="16">
        <v>1</v>
      </c>
      <c r="BI167" s="16">
        <v>1</v>
      </c>
      <c r="BJ167" s="17">
        <v>1</v>
      </c>
      <c r="BK167" s="16">
        <v>1</v>
      </c>
      <c r="BL167" s="16">
        <v>1</v>
      </c>
      <c r="BM167" s="16">
        <v>1</v>
      </c>
      <c r="BN167" s="17">
        <v>1</v>
      </c>
      <c r="BP167" s="19">
        <v>6</v>
      </c>
      <c r="BQ167" s="16">
        <v>6</v>
      </c>
      <c r="BR167" s="16">
        <v>6</v>
      </c>
      <c r="BS167" s="17">
        <v>6</v>
      </c>
      <c r="BU167" s="19">
        <v>5</v>
      </c>
      <c r="BV167" s="16">
        <v>5</v>
      </c>
      <c r="BW167" s="16">
        <v>5</v>
      </c>
      <c r="BX167" s="17">
        <v>5</v>
      </c>
      <c r="BZ167" s="19">
        <v>4</v>
      </c>
      <c r="CA167" s="16" t="s">
        <v>446</v>
      </c>
      <c r="CB167" s="16">
        <v>4</v>
      </c>
      <c r="CC167" s="17">
        <v>2</v>
      </c>
    </row>
    <row r="168" spans="2:81" ht="18" customHeight="1" x14ac:dyDescent="0.2">
      <c r="B168" s="8">
        <f>garage!B168</f>
        <v>168</v>
      </c>
      <c r="C168" s="8">
        <f>garage!C168</f>
        <v>4</v>
      </c>
      <c r="D168" s="8">
        <f>garage!D168</f>
        <v>40</v>
      </c>
      <c r="E168" s="8">
        <f>garage!E168</f>
        <v>18</v>
      </c>
      <c r="F168" s="8" t="str">
        <f>garage!F168</f>
        <v>--</v>
      </c>
      <c r="G168" s="8" t="str">
        <f>garage!G168</f>
        <v>O</v>
      </c>
      <c r="H168" s="8" t="str">
        <f>garage!H168</f>
        <v>N</v>
      </c>
      <c r="I168" s="8" t="str">
        <f>garage!I168</f>
        <v>N</v>
      </c>
      <c r="J168" s="8" t="str">
        <f>garage!J168</f>
        <v>N</v>
      </c>
      <c r="K168" s="8" t="str">
        <f>garage!K168</f>
        <v>A</v>
      </c>
      <c r="L168" s="9" t="str">
        <f>garage!L168</f>
        <v>Pagani</v>
      </c>
      <c r="M168" s="9" t="str">
        <f>garage!M168</f>
        <v>Imola</v>
      </c>
      <c r="O168" s="18">
        <v>1</v>
      </c>
      <c r="P168" s="14">
        <v>1</v>
      </c>
      <c r="Q168" s="14">
        <v>1</v>
      </c>
      <c r="R168" s="15">
        <v>1</v>
      </c>
      <c r="S168" s="14">
        <v>1</v>
      </c>
      <c r="T168" s="14">
        <v>1</v>
      </c>
      <c r="U168" s="14">
        <v>1</v>
      </c>
      <c r="V168" s="15">
        <v>1</v>
      </c>
      <c r="W168" s="14" t="s">
        <v>446</v>
      </c>
      <c r="X168" s="14" t="s">
        <v>446</v>
      </c>
      <c r="Y168" s="14" t="s">
        <v>446</v>
      </c>
      <c r="Z168" s="15" t="s">
        <v>446</v>
      </c>
      <c r="AA168" s="14" t="s">
        <v>446</v>
      </c>
      <c r="AB168" s="14" t="s">
        <v>446</v>
      </c>
      <c r="AC168" s="14" t="s">
        <v>446</v>
      </c>
      <c r="AD168" s="15" t="s">
        <v>446</v>
      </c>
      <c r="AE168" s="14" t="s">
        <v>446</v>
      </c>
      <c r="AF168" s="14" t="s">
        <v>446</v>
      </c>
      <c r="AG168" s="14" t="s">
        <v>446</v>
      </c>
      <c r="AH168" s="15" t="s">
        <v>446</v>
      </c>
      <c r="AI168" s="14" t="s">
        <v>446</v>
      </c>
      <c r="AJ168" s="14" t="s">
        <v>446</v>
      </c>
      <c r="AK168" s="14" t="s">
        <v>446</v>
      </c>
      <c r="AL168" s="15" t="s">
        <v>446</v>
      </c>
      <c r="AM168" s="14" t="s">
        <v>446</v>
      </c>
      <c r="AN168" s="14" t="s">
        <v>446</v>
      </c>
      <c r="AO168" s="14" t="s">
        <v>446</v>
      </c>
      <c r="AP168" s="15" t="s">
        <v>446</v>
      </c>
      <c r="AQ168" s="14" t="s">
        <v>446</v>
      </c>
      <c r="AR168" s="14" t="s">
        <v>446</v>
      </c>
      <c r="AS168" s="14" t="s">
        <v>446</v>
      </c>
      <c r="AT168" s="15" t="s">
        <v>446</v>
      </c>
      <c r="AU168" s="14" t="s">
        <v>446</v>
      </c>
      <c r="AV168" s="14" t="s">
        <v>446</v>
      </c>
      <c r="AW168" s="14" t="s">
        <v>446</v>
      </c>
      <c r="AX168" s="15" t="s">
        <v>446</v>
      </c>
      <c r="AY168" s="14" t="s">
        <v>446</v>
      </c>
      <c r="AZ168" s="14" t="s">
        <v>446</v>
      </c>
      <c r="BA168" s="14" t="s">
        <v>446</v>
      </c>
      <c r="BB168" s="15" t="s">
        <v>446</v>
      </c>
      <c r="BC168" s="14" t="s">
        <v>446</v>
      </c>
      <c r="BD168" s="14" t="s">
        <v>446</v>
      </c>
      <c r="BE168" s="14" t="s">
        <v>446</v>
      </c>
      <c r="BF168" s="15" t="s">
        <v>446</v>
      </c>
      <c r="BG168" s="14" t="s">
        <v>446</v>
      </c>
      <c r="BH168" s="14" t="s">
        <v>446</v>
      </c>
      <c r="BI168" s="14" t="s">
        <v>446</v>
      </c>
      <c r="BJ168" s="15" t="s">
        <v>446</v>
      </c>
      <c r="BK168" s="14" t="s">
        <v>446</v>
      </c>
      <c r="BL168" s="14" t="s">
        <v>446</v>
      </c>
      <c r="BM168" s="14" t="s">
        <v>446</v>
      </c>
      <c r="BN168" s="15" t="s">
        <v>446</v>
      </c>
      <c r="BP168" s="18" t="s">
        <v>446</v>
      </c>
      <c r="BQ168" s="14" t="s">
        <v>446</v>
      </c>
      <c r="BR168" s="14" t="s">
        <v>446</v>
      </c>
      <c r="BS168" s="15" t="s">
        <v>446</v>
      </c>
      <c r="BU168" s="18" t="s">
        <v>446</v>
      </c>
      <c r="BV168" s="14" t="s">
        <v>446</v>
      </c>
      <c r="BW168" s="14" t="s">
        <v>446</v>
      </c>
      <c r="BX168" s="15" t="s">
        <v>446</v>
      </c>
      <c r="BZ168" s="18" t="s">
        <v>446</v>
      </c>
      <c r="CA168" s="14" t="s">
        <v>446</v>
      </c>
      <c r="CB168" s="14" t="s">
        <v>446</v>
      </c>
      <c r="CC168" s="15" t="s">
        <v>446</v>
      </c>
    </row>
    <row r="169" spans="2:81" ht="18" customHeight="1" x14ac:dyDescent="0.2">
      <c r="B169" s="10">
        <f>garage!B169</f>
        <v>169</v>
      </c>
      <c r="C169" s="10">
        <f>garage!C169</f>
        <v>4</v>
      </c>
      <c r="D169" s="10">
        <f>garage!D169</f>
        <v>41</v>
      </c>
      <c r="E169" s="10">
        <f>garage!E169</f>
        <v>30</v>
      </c>
      <c r="F169" s="10" t="str">
        <f>garage!F169</f>
        <v>--</v>
      </c>
      <c r="G169" s="10" t="str">
        <f>garage!G169</f>
        <v>N</v>
      </c>
      <c r="H169" s="10" t="str">
        <f>garage!H169</f>
        <v>N</v>
      </c>
      <c r="I169" s="10" t="str">
        <f>garage!I169</f>
        <v>N</v>
      </c>
      <c r="J169" s="10" t="str">
        <f>garage!J169</f>
        <v>N</v>
      </c>
      <c r="K169" s="10" t="str">
        <f>garage!K169</f>
        <v>A</v>
      </c>
      <c r="L169" s="11" t="str">
        <f>garage!L169</f>
        <v>Jaguar</v>
      </c>
      <c r="M169" s="11" t="str">
        <f>garage!M169</f>
        <v>XJR-9</v>
      </c>
      <c r="O169" s="19" t="s">
        <v>446</v>
      </c>
      <c r="P169" s="16" t="s">
        <v>446</v>
      </c>
      <c r="Q169" s="16" t="s">
        <v>446</v>
      </c>
      <c r="R169" s="17" t="s">
        <v>446</v>
      </c>
      <c r="S169" s="16" t="s">
        <v>446</v>
      </c>
      <c r="T169" s="16" t="s">
        <v>446</v>
      </c>
      <c r="U169" s="16" t="s">
        <v>446</v>
      </c>
      <c r="V169" s="17" t="s">
        <v>446</v>
      </c>
      <c r="W169" s="16" t="s">
        <v>446</v>
      </c>
      <c r="X169" s="16" t="s">
        <v>446</v>
      </c>
      <c r="Y169" s="16" t="s">
        <v>446</v>
      </c>
      <c r="Z169" s="17" t="s">
        <v>446</v>
      </c>
      <c r="AA169" s="16" t="s">
        <v>446</v>
      </c>
      <c r="AB169" s="16" t="s">
        <v>446</v>
      </c>
      <c r="AC169" s="16" t="s">
        <v>446</v>
      </c>
      <c r="AD169" s="17" t="s">
        <v>446</v>
      </c>
      <c r="AE169" s="16" t="s">
        <v>446</v>
      </c>
      <c r="AF169" s="16" t="s">
        <v>446</v>
      </c>
      <c r="AG169" s="16" t="s">
        <v>446</v>
      </c>
      <c r="AH169" s="17" t="s">
        <v>446</v>
      </c>
      <c r="AI169" s="16" t="s">
        <v>446</v>
      </c>
      <c r="AJ169" s="16" t="s">
        <v>446</v>
      </c>
      <c r="AK169" s="16" t="s">
        <v>446</v>
      </c>
      <c r="AL169" s="17" t="s">
        <v>446</v>
      </c>
      <c r="AM169" s="16" t="s">
        <v>446</v>
      </c>
      <c r="AN169" s="16" t="s">
        <v>446</v>
      </c>
      <c r="AO169" s="16" t="s">
        <v>446</v>
      </c>
      <c r="AP169" s="17" t="s">
        <v>446</v>
      </c>
      <c r="AQ169" s="16" t="s">
        <v>446</v>
      </c>
      <c r="AR169" s="16" t="s">
        <v>446</v>
      </c>
      <c r="AS169" s="16" t="s">
        <v>446</v>
      </c>
      <c r="AT169" s="17" t="s">
        <v>446</v>
      </c>
      <c r="AU169" s="16" t="s">
        <v>446</v>
      </c>
      <c r="AV169" s="16" t="s">
        <v>446</v>
      </c>
      <c r="AW169" s="16" t="s">
        <v>446</v>
      </c>
      <c r="AX169" s="17" t="s">
        <v>446</v>
      </c>
      <c r="AY169" s="16" t="s">
        <v>446</v>
      </c>
      <c r="AZ169" s="16" t="s">
        <v>446</v>
      </c>
      <c r="BA169" s="16" t="s">
        <v>446</v>
      </c>
      <c r="BB169" s="17" t="s">
        <v>446</v>
      </c>
      <c r="BC169" s="16" t="s">
        <v>446</v>
      </c>
      <c r="BD169" s="16" t="s">
        <v>446</v>
      </c>
      <c r="BE169" s="16" t="s">
        <v>446</v>
      </c>
      <c r="BF169" s="17" t="s">
        <v>446</v>
      </c>
      <c r="BG169" s="16" t="s">
        <v>446</v>
      </c>
      <c r="BH169" s="16" t="s">
        <v>446</v>
      </c>
      <c r="BI169" s="16" t="s">
        <v>446</v>
      </c>
      <c r="BJ169" s="17" t="s">
        <v>446</v>
      </c>
      <c r="BK169" s="16" t="s">
        <v>446</v>
      </c>
      <c r="BL169" s="16" t="s">
        <v>446</v>
      </c>
      <c r="BM169" s="16" t="s">
        <v>446</v>
      </c>
      <c r="BN169" s="17" t="s">
        <v>446</v>
      </c>
      <c r="BP169" s="19" t="s">
        <v>446</v>
      </c>
      <c r="BQ169" s="16" t="s">
        <v>446</v>
      </c>
      <c r="BR169" s="16" t="s">
        <v>446</v>
      </c>
      <c r="BS169" s="17" t="s">
        <v>446</v>
      </c>
      <c r="BU169" s="19" t="s">
        <v>446</v>
      </c>
      <c r="BV169" s="16" t="s">
        <v>446</v>
      </c>
      <c r="BW169" s="16" t="s">
        <v>446</v>
      </c>
      <c r="BX169" s="17" t="s">
        <v>446</v>
      </c>
      <c r="BZ169" s="19" t="s">
        <v>446</v>
      </c>
      <c r="CA169" s="16" t="s">
        <v>446</v>
      </c>
      <c r="CB169" s="16" t="s">
        <v>446</v>
      </c>
      <c r="CC169" s="17" t="s">
        <v>446</v>
      </c>
    </row>
    <row r="170" spans="2:81" ht="18" customHeight="1" x14ac:dyDescent="0.2">
      <c r="B170" s="8">
        <f>garage!B170</f>
        <v>170</v>
      </c>
      <c r="C170" s="8">
        <f>garage!C170</f>
        <v>4</v>
      </c>
      <c r="D170" s="8">
        <f>garage!D170</f>
        <v>42</v>
      </c>
      <c r="E170" s="8">
        <f>garage!E170</f>
        <v>25</v>
      </c>
      <c r="F170" s="8" t="str">
        <f>garage!F170</f>
        <v>L</v>
      </c>
      <c r="G170" s="8" t="str">
        <f>garage!G170</f>
        <v>N</v>
      </c>
      <c r="H170" s="8" t="str">
        <f>garage!H170</f>
        <v>N</v>
      </c>
      <c r="I170" s="8" t="str">
        <f>garage!I170</f>
        <v>N</v>
      </c>
      <c r="J170" s="8" t="str">
        <f>garage!J170</f>
        <v>N</v>
      </c>
      <c r="K170" s="8" t="str">
        <f>garage!K170</f>
        <v>A</v>
      </c>
      <c r="L170" s="9" t="str">
        <f>garage!L170</f>
        <v>Lamborghini</v>
      </c>
      <c r="M170" s="9" t="str">
        <f>garage!M170</f>
        <v>Countach LPI 800-4</v>
      </c>
      <c r="O170" s="18" t="s">
        <v>446</v>
      </c>
      <c r="P170" s="14" t="s">
        <v>446</v>
      </c>
      <c r="Q170" s="14" t="s">
        <v>446</v>
      </c>
      <c r="R170" s="15" t="s">
        <v>446</v>
      </c>
      <c r="S170" s="14" t="s">
        <v>446</v>
      </c>
      <c r="T170" s="14" t="s">
        <v>446</v>
      </c>
      <c r="U170" s="14" t="s">
        <v>446</v>
      </c>
      <c r="V170" s="15" t="s">
        <v>446</v>
      </c>
      <c r="W170" s="14" t="s">
        <v>446</v>
      </c>
      <c r="X170" s="14" t="s">
        <v>446</v>
      </c>
      <c r="Y170" s="14" t="s">
        <v>446</v>
      </c>
      <c r="Z170" s="15" t="s">
        <v>446</v>
      </c>
      <c r="AA170" s="14" t="s">
        <v>446</v>
      </c>
      <c r="AB170" s="14" t="s">
        <v>446</v>
      </c>
      <c r="AC170" s="14" t="s">
        <v>446</v>
      </c>
      <c r="AD170" s="15" t="s">
        <v>446</v>
      </c>
      <c r="AE170" s="14" t="s">
        <v>446</v>
      </c>
      <c r="AF170" s="14" t="s">
        <v>446</v>
      </c>
      <c r="AG170" s="14" t="s">
        <v>446</v>
      </c>
      <c r="AH170" s="15" t="s">
        <v>446</v>
      </c>
      <c r="AI170" s="14" t="s">
        <v>446</v>
      </c>
      <c r="AJ170" s="14" t="s">
        <v>446</v>
      </c>
      <c r="AK170" s="14" t="s">
        <v>446</v>
      </c>
      <c r="AL170" s="15" t="s">
        <v>446</v>
      </c>
      <c r="AM170" s="14" t="s">
        <v>446</v>
      </c>
      <c r="AN170" s="14" t="s">
        <v>446</v>
      </c>
      <c r="AO170" s="14" t="s">
        <v>446</v>
      </c>
      <c r="AP170" s="15" t="s">
        <v>446</v>
      </c>
      <c r="AQ170" s="14" t="s">
        <v>446</v>
      </c>
      <c r="AR170" s="14" t="s">
        <v>446</v>
      </c>
      <c r="AS170" s="14" t="s">
        <v>446</v>
      </c>
      <c r="AT170" s="15" t="s">
        <v>446</v>
      </c>
      <c r="AU170" s="14" t="s">
        <v>446</v>
      </c>
      <c r="AV170" s="14" t="s">
        <v>446</v>
      </c>
      <c r="AW170" s="14" t="s">
        <v>446</v>
      </c>
      <c r="AX170" s="15" t="s">
        <v>446</v>
      </c>
      <c r="AY170" s="14" t="s">
        <v>446</v>
      </c>
      <c r="AZ170" s="14" t="s">
        <v>446</v>
      </c>
      <c r="BA170" s="14" t="s">
        <v>446</v>
      </c>
      <c r="BB170" s="15" t="s">
        <v>446</v>
      </c>
      <c r="BC170" s="14" t="s">
        <v>446</v>
      </c>
      <c r="BD170" s="14" t="s">
        <v>446</v>
      </c>
      <c r="BE170" s="14" t="s">
        <v>446</v>
      </c>
      <c r="BF170" s="15" t="s">
        <v>446</v>
      </c>
      <c r="BG170" s="14" t="s">
        <v>446</v>
      </c>
      <c r="BH170" s="14" t="s">
        <v>446</v>
      </c>
      <c r="BI170" s="14" t="s">
        <v>446</v>
      </c>
      <c r="BJ170" s="15" t="s">
        <v>446</v>
      </c>
      <c r="BK170" s="14" t="s">
        <v>446</v>
      </c>
      <c r="BL170" s="14" t="s">
        <v>446</v>
      </c>
      <c r="BM170" s="14" t="s">
        <v>446</v>
      </c>
      <c r="BN170" s="15" t="s">
        <v>446</v>
      </c>
      <c r="BP170" s="18" t="s">
        <v>446</v>
      </c>
      <c r="BQ170" s="14" t="s">
        <v>446</v>
      </c>
      <c r="BR170" s="14" t="s">
        <v>446</v>
      </c>
      <c r="BS170" s="15" t="s">
        <v>446</v>
      </c>
      <c r="BU170" s="18" t="s">
        <v>446</v>
      </c>
      <c r="BV170" s="14" t="s">
        <v>446</v>
      </c>
      <c r="BW170" s="14" t="s">
        <v>446</v>
      </c>
      <c r="BX170" s="15" t="s">
        <v>446</v>
      </c>
      <c r="BZ170" s="18" t="s">
        <v>446</v>
      </c>
      <c r="CA170" s="14" t="s">
        <v>446</v>
      </c>
      <c r="CB170" s="14" t="s">
        <v>446</v>
      </c>
      <c r="CC170" s="15" t="s">
        <v>446</v>
      </c>
    </row>
    <row r="171" spans="2:81" ht="18" customHeight="1" x14ac:dyDescent="0.2">
      <c r="B171" s="10">
        <f>garage!B171</f>
        <v>171</v>
      </c>
      <c r="C171" s="10">
        <f>garage!C171</f>
        <v>4</v>
      </c>
      <c r="D171" s="10">
        <f>garage!D171</f>
        <v>43</v>
      </c>
      <c r="E171" s="10">
        <f>garage!E171</f>
        <v>31</v>
      </c>
      <c r="F171" s="10" t="str">
        <f>garage!F171</f>
        <v>--</v>
      </c>
      <c r="G171" s="10" t="str">
        <f>garage!G171</f>
        <v>N</v>
      </c>
      <c r="H171" s="10" t="str">
        <f>garage!H171</f>
        <v>N</v>
      </c>
      <c r="I171" s="10" t="str">
        <f>garage!I171</f>
        <v>N</v>
      </c>
      <c r="J171" s="10" t="str">
        <f>garage!J171</f>
        <v>N</v>
      </c>
      <c r="K171" s="10" t="str">
        <f>garage!K171</f>
        <v>A</v>
      </c>
      <c r="L171" s="11" t="str">
        <f>garage!L171</f>
        <v>De Tomaso</v>
      </c>
      <c r="M171" s="11" t="str">
        <f>garage!M171</f>
        <v>P72</v>
      </c>
      <c r="O171" s="19" t="s">
        <v>446</v>
      </c>
      <c r="P171" s="16" t="s">
        <v>446</v>
      </c>
      <c r="Q171" s="16" t="s">
        <v>446</v>
      </c>
      <c r="R171" s="17" t="s">
        <v>446</v>
      </c>
      <c r="S171" s="16" t="s">
        <v>446</v>
      </c>
      <c r="T171" s="16" t="s">
        <v>446</v>
      </c>
      <c r="U171" s="16" t="s">
        <v>446</v>
      </c>
      <c r="V171" s="17" t="s">
        <v>446</v>
      </c>
      <c r="W171" s="16" t="s">
        <v>446</v>
      </c>
      <c r="X171" s="16" t="s">
        <v>446</v>
      </c>
      <c r="Y171" s="16" t="s">
        <v>446</v>
      </c>
      <c r="Z171" s="17" t="s">
        <v>446</v>
      </c>
      <c r="AA171" s="16" t="s">
        <v>446</v>
      </c>
      <c r="AB171" s="16" t="s">
        <v>446</v>
      </c>
      <c r="AC171" s="16" t="s">
        <v>446</v>
      </c>
      <c r="AD171" s="17" t="s">
        <v>446</v>
      </c>
      <c r="AE171" s="16" t="s">
        <v>446</v>
      </c>
      <c r="AF171" s="16" t="s">
        <v>446</v>
      </c>
      <c r="AG171" s="16" t="s">
        <v>446</v>
      </c>
      <c r="AH171" s="17" t="s">
        <v>446</v>
      </c>
      <c r="AI171" s="16" t="s">
        <v>446</v>
      </c>
      <c r="AJ171" s="16" t="s">
        <v>446</v>
      </c>
      <c r="AK171" s="16" t="s">
        <v>446</v>
      </c>
      <c r="AL171" s="17" t="s">
        <v>446</v>
      </c>
      <c r="AM171" s="16" t="s">
        <v>446</v>
      </c>
      <c r="AN171" s="16" t="s">
        <v>446</v>
      </c>
      <c r="AO171" s="16" t="s">
        <v>446</v>
      </c>
      <c r="AP171" s="17" t="s">
        <v>446</v>
      </c>
      <c r="AQ171" s="16" t="s">
        <v>446</v>
      </c>
      <c r="AR171" s="16" t="s">
        <v>446</v>
      </c>
      <c r="AS171" s="16" t="s">
        <v>446</v>
      </c>
      <c r="AT171" s="17" t="s">
        <v>446</v>
      </c>
      <c r="AU171" s="16" t="s">
        <v>446</v>
      </c>
      <c r="AV171" s="16" t="s">
        <v>446</v>
      </c>
      <c r="AW171" s="16" t="s">
        <v>446</v>
      </c>
      <c r="AX171" s="17" t="s">
        <v>446</v>
      </c>
      <c r="AY171" s="16" t="s">
        <v>446</v>
      </c>
      <c r="AZ171" s="16" t="s">
        <v>446</v>
      </c>
      <c r="BA171" s="16" t="s">
        <v>446</v>
      </c>
      <c r="BB171" s="17" t="s">
        <v>446</v>
      </c>
      <c r="BC171" s="16" t="s">
        <v>446</v>
      </c>
      <c r="BD171" s="16" t="s">
        <v>446</v>
      </c>
      <c r="BE171" s="16" t="s">
        <v>446</v>
      </c>
      <c r="BF171" s="17" t="s">
        <v>446</v>
      </c>
      <c r="BG171" s="16" t="s">
        <v>446</v>
      </c>
      <c r="BH171" s="16" t="s">
        <v>446</v>
      </c>
      <c r="BI171" s="16" t="s">
        <v>446</v>
      </c>
      <c r="BJ171" s="17" t="s">
        <v>446</v>
      </c>
      <c r="BK171" s="16" t="s">
        <v>446</v>
      </c>
      <c r="BL171" s="16" t="s">
        <v>446</v>
      </c>
      <c r="BM171" s="16" t="s">
        <v>446</v>
      </c>
      <c r="BN171" s="17" t="s">
        <v>446</v>
      </c>
      <c r="BP171" s="19" t="s">
        <v>446</v>
      </c>
      <c r="BQ171" s="16" t="s">
        <v>446</v>
      </c>
      <c r="BR171" s="16" t="s">
        <v>446</v>
      </c>
      <c r="BS171" s="17" t="s">
        <v>446</v>
      </c>
      <c r="BU171" s="19" t="s">
        <v>446</v>
      </c>
      <c r="BV171" s="16" t="s">
        <v>446</v>
      </c>
      <c r="BW171" s="16" t="s">
        <v>446</v>
      </c>
      <c r="BX171" s="17" t="s">
        <v>446</v>
      </c>
      <c r="BZ171" s="19" t="s">
        <v>446</v>
      </c>
      <c r="CA171" s="16" t="s">
        <v>446</v>
      </c>
      <c r="CB171" s="16" t="s">
        <v>446</v>
      </c>
      <c r="CC171" s="17" t="s">
        <v>446</v>
      </c>
    </row>
    <row r="172" spans="2:81" ht="18" customHeight="1" x14ac:dyDescent="0.2">
      <c r="B172" s="8">
        <f>garage!B172</f>
        <v>172</v>
      </c>
      <c r="C172" s="8">
        <f>garage!C172</f>
        <v>4</v>
      </c>
      <c r="D172" s="8">
        <f>garage!D172</f>
        <v>99</v>
      </c>
      <c r="E172" s="8">
        <f>garage!E172</f>
        <v>20</v>
      </c>
      <c r="F172" s="8" t="str">
        <f>garage!F172</f>
        <v>--</v>
      </c>
      <c r="G172" s="8" t="str">
        <f>garage!G172</f>
        <v>N</v>
      </c>
      <c r="H172" s="8" t="str">
        <f>garage!H172</f>
        <v>N</v>
      </c>
      <c r="I172" s="8" t="str">
        <f>garage!I172</f>
        <v>N</v>
      </c>
      <c r="J172" s="8" t="str">
        <f>garage!J172</f>
        <v>N</v>
      </c>
      <c r="K172" s="8" t="str">
        <f>garage!K172</f>
        <v>A</v>
      </c>
      <c r="L172" s="9" t="str">
        <f>garage!L172</f>
        <v>Lego Technic McLaren</v>
      </c>
      <c r="M172" s="9" t="str">
        <f>garage!M172</f>
        <v>Senna GTR</v>
      </c>
      <c r="O172" s="18" t="s">
        <v>446</v>
      </c>
      <c r="P172" s="14" t="s">
        <v>446</v>
      </c>
      <c r="Q172" s="14" t="s">
        <v>446</v>
      </c>
      <c r="R172" s="15" t="s">
        <v>446</v>
      </c>
      <c r="S172" s="14" t="s">
        <v>446</v>
      </c>
      <c r="T172" s="14" t="s">
        <v>446</v>
      </c>
      <c r="U172" s="14" t="s">
        <v>446</v>
      </c>
      <c r="V172" s="15" t="s">
        <v>446</v>
      </c>
      <c r="W172" s="14" t="s">
        <v>446</v>
      </c>
      <c r="X172" s="14" t="s">
        <v>446</v>
      </c>
      <c r="Y172" s="14" t="s">
        <v>446</v>
      </c>
      <c r="Z172" s="15" t="s">
        <v>446</v>
      </c>
      <c r="AA172" s="14" t="s">
        <v>446</v>
      </c>
      <c r="AB172" s="14" t="s">
        <v>446</v>
      </c>
      <c r="AC172" s="14" t="s">
        <v>446</v>
      </c>
      <c r="AD172" s="15" t="s">
        <v>446</v>
      </c>
      <c r="AE172" s="14" t="s">
        <v>446</v>
      </c>
      <c r="AF172" s="14" t="s">
        <v>446</v>
      </c>
      <c r="AG172" s="14" t="s">
        <v>446</v>
      </c>
      <c r="AH172" s="15" t="s">
        <v>446</v>
      </c>
      <c r="AI172" s="14" t="s">
        <v>446</v>
      </c>
      <c r="AJ172" s="14" t="s">
        <v>446</v>
      </c>
      <c r="AK172" s="14" t="s">
        <v>446</v>
      </c>
      <c r="AL172" s="15" t="s">
        <v>446</v>
      </c>
      <c r="AM172" s="14" t="s">
        <v>446</v>
      </c>
      <c r="AN172" s="14" t="s">
        <v>446</v>
      </c>
      <c r="AO172" s="14" t="s">
        <v>446</v>
      </c>
      <c r="AP172" s="15" t="s">
        <v>446</v>
      </c>
      <c r="AQ172" s="14" t="s">
        <v>446</v>
      </c>
      <c r="AR172" s="14" t="s">
        <v>446</v>
      </c>
      <c r="AS172" s="14" t="s">
        <v>446</v>
      </c>
      <c r="AT172" s="15" t="s">
        <v>446</v>
      </c>
      <c r="AU172" s="14" t="s">
        <v>446</v>
      </c>
      <c r="AV172" s="14" t="s">
        <v>446</v>
      </c>
      <c r="AW172" s="14" t="s">
        <v>446</v>
      </c>
      <c r="AX172" s="15" t="s">
        <v>446</v>
      </c>
      <c r="AY172" s="14" t="s">
        <v>446</v>
      </c>
      <c r="AZ172" s="14" t="s">
        <v>446</v>
      </c>
      <c r="BA172" s="14" t="s">
        <v>446</v>
      </c>
      <c r="BB172" s="15" t="s">
        <v>446</v>
      </c>
      <c r="BC172" s="14" t="s">
        <v>446</v>
      </c>
      <c r="BD172" s="14" t="s">
        <v>446</v>
      </c>
      <c r="BE172" s="14" t="s">
        <v>446</v>
      </c>
      <c r="BF172" s="15" t="s">
        <v>446</v>
      </c>
      <c r="BG172" s="14" t="s">
        <v>446</v>
      </c>
      <c r="BH172" s="14" t="s">
        <v>446</v>
      </c>
      <c r="BI172" s="14" t="s">
        <v>446</v>
      </c>
      <c r="BJ172" s="15" t="s">
        <v>446</v>
      </c>
      <c r="BK172" s="14" t="s">
        <v>446</v>
      </c>
      <c r="BL172" s="14" t="s">
        <v>446</v>
      </c>
      <c r="BM172" s="14" t="s">
        <v>446</v>
      </c>
      <c r="BN172" s="15" t="s">
        <v>446</v>
      </c>
      <c r="BP172" s="18" t="s">
        <v>446</v>
      </c>
      <c r="BQ172" s="14" t="s">
        <v>446</v>
      </c>
      <c r="BR172" s="14" t="s">
        <v>446</v>
      </c>
      <c r="BS172" s="15" t="s">
        <v>446</v>
      </c>
      <c r="BU172" s="18" t="s">
        <v>446</v>
      </c>
      <c r="BV172" s="14" t="s">
        <v>446</v>
      </c>
      <c r="BW172" s="14" t="s">
        <v>446</v>
      </c>
      <c r="BX172" s="15" t="s">
        <v>446</v>
      </c>
      <c r="BZ172" s="18" t="s">
        <v>446</v>
      </c>
      <c r="CA172" s="14" t="s">
        <v>446</v>
      </c>
      <c r="CB172" s="14" t="s">
        <v>446</v>
      </c>
      <c r="CC172" s="15" t="s">
        <v>446</v>
      </c>
    </row>
    <row r="173" spans="2:81" ht="18" customHeight="1" x14ac:dyDescent="0.2">
      <c r="B173" s="10">
        <f>garage!B173</f>
        <v>173</v>
      </c>
      <c r="C173" s="10">
        <f>garage!C173</f>
        <v>5</v>
      </c>
      <c r="D173" s="10">
        <f>garage!D173</f>
        <v>1</v>
      </c>
      <c r="E173" s="10">
        <f>garage!E173</f>
        <v>0</v>
      </c>
      <c r="F173" s="10" t="str">
        <f>garage!F173</f>
        <v>L</v>
      </c>
      <c r="G173" s="10" t="str">
        <f>garage!G173</f>
        <v>O</v>
      </c>
      <c r="H173" s="10" t="str">
        <f>garage!H173</f>
        <v>O</v>
      </c>
      <c r="I173" s="10" t="str">
        <f>garage!I173</f>
        <v>O</v>
      </c>
      <c r="J173" s="10" t="str">
        <f>garage!J173</f>
        <v>N</v>
      </c>
      <c r="K173" s="10" t="str">
        <f>garage!K173</f>
        <v>S</v>
      </c>
      <c r="L173" s="11" t="str">
        <f>garage!L173</f>
        <v>Lamborghini</v>
      </c>
      <c r="M173" s="11" t="str">
        <f>garage!M173</f>
        <v>Centenario</v>
      </c>
      <c r="O173" s="19">
        <v>1</v>
      </c>
      <c r="P173" s="16">
        <v>1</v>
      </c>
      <c r="Q173" s="16">
        <v>1</v>
      </c>
      <c r="R173" s="17">
        <v>1</v>
      </c>
      <c r="S173" s="16">
        <v>1</v>
      </c>
      <c r="T173" s="16">
        <v>1</v>
      </c>
      <c r="U173" s="16">
        <v>1</v>
      </c>
      <c r="V173" s="17">
        <v>1</v>
      </c>
      <c r="W173" s="16">
        <v>1</v>
      </c>
      <c r="X173" s="16">
        <v>1</v>
      </c>
      <c r="Y173" s="16">
        <v>1</v>
      </c>
      <c r="Z173" s="17">
        <v>1</v>
      </c>
      <c r="AA173" s="16">
        <v>1</v>
      </c>
      <c r="AB173" s="16">
        <v>1</v>
      </c>
      <c r="AC173" s="16">
        <v>1</v>
      </c>
      <c r="AD173" s="17">
        <v>1</v>
      </c>
      <c r="AE173" s="16">
        <v>1</v>
      </c>
      <c r="AF173" s="16">
        <v>1</v>
      </c>
      <c r="AG173" s="16">
        <v>1</v>
      </c>
      <c r="AH173" s="17">
        <v>1</v>
      </c>
      <c r="AI173" s="16">
        <v>1</v>
      </c>
      <c r="AJ173" s="16">
        <v>1</v>
      </c>
      <c r="AK173" s="16">
        <v>1</v>
      </c>
      <c r="AL173" s="17">
        <v>1</v>
      </c>
      <c r="AM173" s="16">
        <v>1</v>
      </c>
      <c r="AN173" s="16">
        <v>1</v>
      </c>
      <c r="AO173" s="16">
        <v>1</v>
      </c>
      <c r="AP173" s="17">
        <v>1</v>
      </c>
      <c r="AQ173" s="16">
        <v>1</v>
      </c>
      <c r="AR173" s="16">
        <v>1</v>
      </c>
      <c r="AS173" s="16">
        <v>1</v>
      </c>
      <c r="AT173" s="17">
        <v>1</v>
      </c>
      <c r="AU173" s="16">
        <v>1</v>
      </c>
      <c r="AV173" s="16">
        <v>1</v>
      </c>
      <c r="AW173" s="16">
        <v>1</v>
      </c>
      <c r="AX173" s="17">
        <v>1</v>
      </c>
      <c r="AY173" s="16">
        <v>1</v>
      </c>
      <c r="AZ173" s="16">
        <v>1</v>
      </c>
      <c r="BA173" s="16">
        <v>1</v>
      </c>
      <c r="BB173" s="17">
        <v>1</v>
      </c>
      <c r="BC173" s="16">
        <v>1</v>
      </c>
      <c r="BD173" s="16">
        <v>1</v>
      </c>
      <c r="BE173" s="16">
        <v>1</v>
      </c>
      <c r="BF173" s="17">
        <v>1</v>
      </c>
      <c r="BG173" s="16">
        <v>1</v>
      </c>
      <c r="BH173" s="16">
        <v>1</v>
      </c>
      <c r="BI173" s="16">
        <v>1</v>
      </c>
      <c r="BJ173" s="17">
        <v>1</v>
      </c>
      <c r="BK173" s="16" t="s">
        <v>446</v>
      </c>
      <c r="BL173" s="16" t="s">
        <v>446</v>
      </c>
      <c r="BM173" s="16" t="s">
        <v>446</v>
      </c>
      <c r="BN173" s="17" t="s">
        <v>446</v>
      </c>
      <c r="BP173" s="19">
        <v>7</v>
      </c>
      <c r="BQ173" s="16">
        <v>7</v>
      </c>
      <c r="BR173" s="16">
        <v>7</v>
      </c>
      <c r="BS173" s="17">
        <v>7</v>
      </c>
      <c r="BU173" s="19">
        <v>5</v>
      </c>
      <c r="BV173" s="16">
        <v>5</v>
      </c>
      <c r="BW173" s="16">
        <v>5</v>
      </c>
      <c r="BX173" s="17">
        <v>5</v>
      </c>
      <c r="BZ173" s="19">
        <v>2</v>
      </c>
      <c r="CA173" s="16" t="s">
        <v>446</v>
      </c>
      <c r="CB173" s="16" t="s">
        <v>446</v>
      </c>
      <c r="CC173" s="17">
        <v>3</v>
      </c>
    </row>
    <row r="174" spans="2:81" ht="18" customHeight="1" x14ac:dyDescent="0.2">
      <c r="B174" s="8">
        <f>garage!B174</f>
        <v>174</v>
      </c>
      <c r="C174" s="8">
        <f>garage!C174</f>
        <v>5</v>
      </c>
      <c r="D174" s="8">
        <f>garage!D174</f>
        <v>2</v>
      </c>
      <c r="E174" s="8">
        <f>garage!E174</f>
        <v>0</v>
      </c>
      <c r="F174" s="8" t="str">
        <f>garage!F174</f>
        <v>F</v>
      </c>
      <c r="G174" s="8" t="str">
        <f>garage!G174</f>
        <v>O</v>
      </c>
      <c r="H174" s="8" t="str">
        <f>garage!H174</f>
        <v>O</v>
      </c>
      <c r="I174" s="8" t="str">
        <f>garage!I174</f>
        <v>O</v>
      </c>
      <c r="J174" s="8" t="str">
        <f>garage!J174</f>
        <v>N</v>
      </c>
      <c r="K174" s="8" t="str">
        <f>garage!K174</f>
        <v>S</v>
      </c>
      <c r="L174" s="9" t="str">
        <f>garage!L174</f>
        <v>Ferrari</v>
      </c>
      <c r="M174" s="9" t="str">
        <f>garage!M174</f>
        <v>FXX K</v>
      </c>
      <c r="O174" s="18">
        <v>1</v>
      </c>
      <c r="P174" s="14">
        <v>1</v>
      </c>
      <c r="Q174" s="14">
        <v>1</v>
      </c>
      <c r="R174" s="15">
        <v>1</v>
      </c>
      <c r="S174" s="14">
        <v>1</v>
      </c>
      <c r="T174" s="14">
        <v>1</v>
      </c>
      <c r="U174" s="14">
        <v>1</v>
      </c>
      <c r="V174" s="15">
        <v>1</v>
      </c>
      <c r="W174" s="14">
        <v>1</v>
      </c>
      <c r="X174" s="14">
        <v>1</v>
      </c>
      <c r="Y174" s="14">
        <v>1</v>
      </c>
      <c r="Z174" s="15">
        <v>1</v>
      </c>
      <c r="AA174" s="14">
        <v>1</v>
      </c>
      <c r="AB174" s="14">
        <v>1</v>
      </c>
      <c r="AC174" s="14">
        <v>1</v>
      </c>
      <c r="AD174" s="15">
        <v>1</v>
      </c>
      <c r="AE174" s="14">
        <v>1</v>
      </c>
      <c r="AF174" s="14">
        <v>1</v>
      </c>
      <c r="AG174" s="14">
        <v>1</v>
      </c>
      <c r="AH174" s="15">
        <v>1</v>
      </c>
      <c r="AI174" s="14">
        <v>1</v>
      </c>
      <c r="AJ174" s="14">
        <v>1</v>
      </c>
      <c r="AK174" s="14">
        <v>1</v>
      </c>
      <c r="AL174" s="15">
        <v>1</v>
      </c>
      <c r="AM174" s="14">
        <v>1</v>
      </c>
      <c r="AN174" s="14">
        <v>1</v>
      </c>
      <c r="AO174" s="14">
        <v>1</v>
      </c>
      <c r="AP174" s="15">
        <v>1</v>
      </c>
      <c r="AQ174" s="14">
        <v>1</v>
      </c>
      <c r="AR174" s="14">
        <v>1</v>
      </c>
      <c r="AS174" s="14">
        <v>1</v>
      </c>
      <c r="AT174" s="15">
        <v>1</v>
      </c>
      <c r="AU174" s="14">
        <v>1</v>
      </c>
      <c r="AV174" s="14">
        <v>1</v>
      </c>
      <c r="AW174" s="14">
        <v>1</v>
      </c>
      <c r="AX174" s="15">
        <v>1</v>
      </c>
      <c r="AY174" s="14">
        <v>1</v>
      </c>
      <c r="AZ174" s="14">
        <v>1</v>
      </c>
      <c r="BA174" s="14">
        <v>1</v>
      </c>
      <c r="BB174" s="15">
        <v>1</v>
      </c>
      <c r="BC174" s="14">
        <v>1</v>
      </c>
      <c r="BD174" s="14">
        <v>1</v>
      </c>
      <c r="BE174" s="14">
        <v>1</v>
      </c>
      <c r="BF174" s="15">
        <v>1</v>
      </c>
      <c r="BG174" s="14">
        <v>1</v>
      </c>
      <c r="BH174" s="14">
        <v>1</v>
      </c>
      <c r="BI174" s="14">
        <v>1</v>
      </c>
      <c r="BJ174" s="15">
        <v>1</v>
      </c>
      <c r="BK174" s="14" t="s">
        <v>446</v>
      </c>
      <c r="BL174" s="14" t="s">
        <v>446</v>
      </c>
      <c r="BM174" s="14" t="s">
        <v>446</v>
      </c>
      <c r="BN174" s="15" t="s">
        <v>446</v>
      </c>
      <c r="BP174" s="18">
        <v>7</v>
      </c>
      <c r="BQ174" s="14">
        <v>7</v>
      </c>
      <c r="BR174" s="14">
        <v>7</v>
      </c>
      <c r="BS174" s="15">
        <v>7</v>
      </c>
      <c r="BU174" s="18">
        <v>5</v>
      </c>
      <c r="BV174" s="14">
        <v>5</v>
      </c>
      <c r="BW174" s="14">
        <v>5</v>
      </c>
      <c r="BX174" s="15">
        <v>5</v>
      </c>
      <c r="BZ174" s="18">
        <v>3</v>
      </c>
      <c r="CA174" s="14">
        <v>3</v>
      </c>
      <c r="CB174" s="14">
        <v>3</v>
      </c>
      <c r="CC174" s="15">
        <v>3</v>
      </c>
    </row>
    <row r="175" spans="2:81" ht="18" customHeight="1" x14ac:dyDescent="0.2">
      <c r="B175" s="10">
        <f>garage!B175</f>
        <v>175</v>
      </c>
      <c r="C175" s="10">
        <f>garage!C175</f>
        <v>5</v>
      </c>
      <c r="D175" s="10">
        <f>garage!D175</f>
        <v>3</v>
      </c>
      <c r="E175" s="10">
        <f>garage!E175</f>
        <v>0</v>
      </c>
      <c r="F175" s="10" t="str">
        <f>garage!F175</f>
        <v>--</v>
      </c>
      <c r="G175" s="10" t="str">
        <f>garage!G175</f>
        <v>O</v>
      </c>
      <c r="H175" s="10" t="str">
        <f>garage!H175</f>
        <v>O</v>
      </c>
      <c r="I175" s="10" t="str">
        <f>garage!I175</f>
        <v>O</v>
      </c>
      <c r="J175" s="10" t="str">
        <f>garage!J175</f>
        <v>N</v>
      </c>
      <c r="K175" s="10" t="str">
        <f>garage!K175</f>
        <v>S</v>
      </c>
      <c r="L175" s="11" t="str">
        <f>garage!L175</f>
        <v>Icona</v>
      </c>
      <c r="M175" s="11" t="str">
        <f>garage!M175</f>
        <v>Vulcano Titanium</v>
      </c>
      <c r="O175" s="19">
        <v>1</v>
      </c>
      <c r="P175" s="16">
        <v>1</v>
      </c>
      <c r="Q175" s="16">
        <v>1</v>
      </c>
      <c r="R175" s="17">
        <v>1</v>
      </c>
      <c r="S175" s="16">
        <v>1</v>
      </c>
      <c r="T175" s="16">
        <v>1</v>
      </c>
      <c r="U175" s="16">
        <v>1</v>
      </c>
      <c r="V175" s="17">
        <v>1</v>
      </c>
      <c r="W175" s="16">
        <v>1</v>
      </c>
      <c r="X175" s="16">
        <v>1</v>
      </c>
      <c r="Y175" s="16">
        <v>1</v>
      </c>
      <c r="Z175" s="17">
        <v>1</v>
      </c>
      <c r="AA175" s="16">
        <v>1</v>
      </c>
      <c r="AB175" s="16">
        <v>1</v>
      </c>
      <c r="AC175" s="16">
        <v>1</v>
      </c>
      <c r="AD175" s="17">
        <v>1</v>
      </c>
      <c r="AE175" s="16">
        <v>1</v>
      </c>
      <c r="AF175" s="16">
        <v>1</v>
      </c>
      <c r="AG175" s="16">
        <v>1</v>
      </c>
      <c r="AH175" s="17">
        <v>1</v>
      </c>
      <c r="AI175" s="16">
        <v>1</v>
      </c>
      <c r="AJ175" s="16">
        <v>1</v>
      </c>
      <c r="AK175" s="16">
        <v>1</v>
      </c>
      <c r="AL175" s="17">
        <v>1</v>
      </c>
      <c r="AM175" s="16">
        <v>1</v>
      </c>
      <c r="AN175" s="16">
        <v>1</v>
      </c>
      <c r="AO175" s="16">
        <v>1</v>
      </c>
      <c r="AP175" s="17">
        <v>1</v>
      </c>
      <c r="AQ175" s="16">
        <v>1</v>
      </c>
      <c r="AR175" s="16">
        <v>1</v>
      </c>
      <c r="AS175" s="16">
        <v>1</v>
      </c>
      <c r="AT175" s="17">
        <v>1</v>
      </c>
      <c r="AU175" s="16">
        <v>1</v>
      </c>
      <c r="AV175" s="16">
        <v>1</v>
      </c>
      <c r="AW175" s="16">
        <v>1</v>
      </c>
      <c r="AX175" s="17">
        <v>1</v>
      </c>
      <c r="AY175" s="16">
        <v>1</v>
      </c>
      <c r="AZ175" s="16">
        <v>1</v>
      </c>
      <c r="BA175" s="16">
        <v>1</v>
      </c>
      <c r="BB175" s="17">
        <v>1</v>
      </c>
      <c r="BC175" s="16">
        <v>1</v>
      </c>
      <c r="BD175" s="16">
        <v>1</v>
      </c>
      <c r="BE175" s="16">
        <v>1</v>
      </c>
      <c r="BF175" s="17">
        <v>1</v>
      </c>
      <c r="BG175" s="16">
        <v>1</v>
      </c>
      <c r="BH175" s="16">
        <v>1</v>
      </c>
      <c r="BI175" s="16">
        <v>1</v>
      </c>
      <c r="BJ175" s="17">
        <v>1</v>
      </c>
      <c r="BK175" s="16" t="s">
        <v>446</v>
      </c>
      <c r="BL175" s="16" t="s">
        <v>446</v>
      </c>
      <c r="BM175" s="16" t="s">
        <v>446</v>
      </c>
      <c r="BN175" s="17" t="s">
        <v>446</v>
      </c>
      <c r="BP175" s="19">
        <v>7</v>
      </c>
      <c r="BQ175" s="16">
        <v>7</v>
      </c>
      <c r="BR175" s="16">
        <v>7</v>
      </c>
      <c r="BS175" s="17">
        <v>7</v>
      </c>
      <c r="BU175" s="19">
        <v>5</v>
      </c>
      <c r="BV175" s="16">
        <v>5</v>
      </c>
      <c r="BW175" s="16">
        <v>5</v>
      </c>
      <c r="BX175" s="17">
        <v>5</v>
      </c>
      <c r="BZ175" s="19">
        <v>3</v>
      </c>
      <c r="CA175" s="16">
        <v>3</v>
      </c>
      <c r="CB175" s="16">
        <v>3</v>
      </c>
      <c r="CC175" s="17">
        <v>3</v>
      </c>
    </row>
    <row r="176" spans="2:81" ht="18" customHeight="1" x14ac:dyDescent="0.2">
      <c r="B176" s="8">
        <f>garage!B176</f>
        <v>176</v>
      </c>
      <c r="C176" s="8">
        <f>garage!C176</f>
        <v>5</v>
      </c>
      <c r="D176" s="8">
        <f>garage!D176</f>
        <v>4</v>
      </c>
      <c r="E176" s="8">
        <f>garage!E176</f>
        <v>0</v>
      </c>
      <c r="F176" s="8" t="str">
        <f>garage!F176</f>
        <v>--</v>
      </c>
      <c r="G176" s="8" t="str">
        <f>garage!G176</f>
        <v>O</v>
      </c>
      <c r="H176" s="8" t="str">
        <f>garage!H176</f>
        <v>O</v>
      </c>
      <c r="I176" s="8" t="str">
        <f>garage!I176</f>
        <v>O</v>
      </c>
      <c r="J176" s="8" t="str">
        <f>garage!J176</f>
        <v>N</v>
      </c>
      <c r="K176" s="8" t="str">
        <f>garage!K176</f>
        <v>S</v>
      </c>
      <c r="L176" s="9" t="str">
        <f>garage!L176</f>
        <v>W Motors</v>
      </c>
      <c r="M176" s="9" t="str">
        <f>garage!M176</f>
        <v>Lykan Hypersport</v>
      </c>
      <c r="O176" s="18">
        <v>1</v>
      </c>
      <c r="P176" s="14">
        <v>1</v>
      </c>
      <c r="Q176" s="14">
        <v>1</v>
      </c>
      <c r="R176" s="15">
        <v>1</v>
      </c>
      <c r="S176" s="14">
        <v>1</v>
      </c>
      <c r="T176" s="14">
        <v>1</v>
      </c>
      <c r="U176" s="14">
        <v>1</v>
      </c>
      <c r="V176" s="15">
        <v>1</v>
      </c>
      <c r="W176" s="14">
        <v>1</v>
      </c>
      <c r="X176" s="14">
        <v>1</v>
      </c>
      <c r="Y176" s="14">
        <v>1</v>
      </c>
      <c r="Z176" s="15">
        <v>1</v>
      </c>
      <c r="AA176" s="14">
        <v>1</v>
      </c>
      <c r="AB176" s="14">
        <v>1</v>
      </c>
      <c r="AC176" s="14">
        <v>1</v>
      </c>
      <c r="AD176" s="15">
        <v>1</v>
      </c>
      <c r="AE176" s="14">
        <v>1</v>
      </c>
      <c r="AF176" s="14">
        <v>1</v>
      </c>
      <c r="AG176" s="14">
        <v>1</v>
      </c>
      <c r="AH176" s="15">
        <v>1</v>
      </c>
      <c r="AI176" s="14">
        <v>1</v>
      </c>
      <c r="AJ176" s="14">
        <v>1</v>
      </c>
      <c r="AK176" s="14">
        <v>1</v>
      </c>
      <c r="AL176" s="15">
        <v>1</v>
      </c>
      <c r="AM176" s="14">
        <v>1</v>
      </c>
      <c r="AN176" s="14">
        <v>1</v>
      </c>
      <c r="AO176" s="14">
        <v>1</v>
      </c>
      <c r="AP176" s="15">
        <v>1</v>
      </c>
      <c r="AQ176" s="14">
        <v>1</v>
      </c>
      <c r="AR176" s="14">
        <v>1</v>
      </c>
      <c r="AS176" s="14">
        <v>1</v>
      </c>
      <c r="AT176" s="15">
        <v>1</v>
      </c>
      <c r="AU176" s="14">
        <v>1</v>
      </c>
      <c r="AV176" s="14">
        <v>1</v>
      </c>
      <c r="AW176" s="14">
        <v>1</v>
      </c>
      <c r="AX176" s="15">
        <v>1</v>
      </c>
      <c r="AY176" s="14">
        <v>1</v>
      </c>
      <c r="AZ176" s="14">
        <v>1</v>
      </c>
      <c r="BA176" s="14">
        <v>1</v>
      </c>
      <c r="BB176" s="15">
        <v>1</v>
      </c>
      <c r="BC176" s="14">
        <v>1</v>
      </c>
      <c r="BD176" s="14">
        <v>1</v>
      </c>
      <c r="BE176" s="14">
        <v>1</v>
      </c>
      <c r="BF176" s="15">
        <v>1</v>
      </c>
      <c r="BG176" s="14">
        <v>1</v>
      </c>
      <c r="BH176" s="14">
        <v>1</v>
      </c>
      <c r="BI176" s="14">
        <v>1</v>
      </c>
      <c r="BJ176" s="15">
        <v>1</v>
      </c>
      <c r="BK176" s="14" t="s">
        <v>446</v>
      </c>
      <c r="BL176" s="14" t="s">
        <v>446</v>
      </c>
      <c r="BM176" s="14" t="s">
        <v>446</v>
      </c>
      <c r="BN176" s="15" t="s">
        <v>446</v>
      </c>
      <c r="BP176" s="18">
        <v>7</v>
      </c>
      <c r="BQ176" s="14">
        <v>7</v>
      </c>
      <c r="BR176" s="14">
        <v>7</v>
      </c>
      <c r="BS176" s="15">
        <v>7</v>
      </c>
      <c r="BU176" s="18">
        <v>5</v>
      </c>
      <c r="BV176" s="14">
        <v>5</v>
      </c>
      <c r="BW176" s="14">
        <v>5</v>
      </c>
      <c r="BX176" s="15">
        <v>5</v>
      </c>
      <c r="BZ176" s="18">
        <v>3</v>
      </c>
      <c r="CA176" s="14">
        <v>3</v>
      </c>
      <c r="CB176" s="14">
        <v>3</v>
      </c>
      <c r="CC176" s="15">
        <v>3</v>
      </c>
    </row>
    <row r="177" spans="2:81" ht="18" customHeight="1" x14ac:dyDescent="0.2">
      <c r="B177" s="10">
        <f>garage!B177</f>
        <v>177</v>
      </c>
      <c r="C177" s="10">
        <f>garage!C177</f>
        <v>5</v>
      </c>
      <c r="D177" s="10">
        <f>garage!D177</f>
        <v>5</v>
      </c>
      <c r="E177" s="10">
        <f>garage!E177</f>
        <v>21</v>
      </c>
      <c r="F177" s="10" t="str">
        <f>garage!F177</f>
        <v>--</v>
      </c>
      <c r="G177" s="10" t="str">
        <f>garage!G177</f>
        <v>N</v>
      </c>
      <c r="H177" s="10" t="str">
        <f>garage!H177</f>
        <v>N</v>
      </c>
      <c r="I177" s="10" t="str">
        <f>garage!I177</f>
        <v>N</v>
      </c>
      <c r="J177" s="10" t="str">
        <f>garage!J177</f>
        <v>N</v>
      </c>
      <c r="K177" s="10" t="str">
        <f>garage!K177</f>
        <v>S</v>
      </c>
      <c r="L177" s="11" t="str">
        <f>garage!L177</f>
        <v>Raesr</v>
      </c>
      <c r="M177" s="11" t="str">
        <f>garage!M177</f>
        <v>Tachyon Speed</v>
      </c>
      <c r="O177" s="19" t="s">
        <v>446</v>
      </c>
      <c r="P177" s="16" t="s">
        <v>446</v>
      </c>
      <c r="Q177" s="16" t="s">
        <v>446</v>
      </c>
      <c r="R177" s="17" t="s">
        <v>446</v>
      </c>
      <c r="S177" s="16" t="s">
        <v>446</v>
      </c>
      <c r="T177" s="16" t="s">
        <v>446</v>
      </c>
      <c r="U177" s="16" t="s">
        <v>446</v>
      </c>
      <c r="V177" s="17" t="s">
        <v>446</v>
      </c>
      <c r="W177" s="16" t="s">
        <v>446</v>
      </c>
      <c r="X177" s="16" t="s">
        <v>446</v>
      </c>
      <c r="Y177" s="16" t="s">
        <v>446</v>
      </c>
      <c r="Z177" s="17" t="s">
        <v>446</v>
      </c>
      <c r="AA177" s="16" t="s">
        <v>446</v>
      </c>
      <c r="AB177" s="16" t="s">
        <v>446</v>
      </c>
      <c r="AC177" s="16" t="s">
        <v>446</v>
      </c>
      <c r="AD177" s="17" t="s">
        <v>446</v>
      </c>
      <c r="AE177" s="16" t="s">
        <v>446</v>
      </c>
      <c r="AF177" s="16" t="s">
        <v>446</v>
      </c>
      <c r="AG177" s="16" t="s">
        <v>446</v>
      </c>
      <c r="AH177" s="17" t="s">
        <v>446</v>
      </c>
      <c r="AI177" s="16" t="s">
        <v>446</v>
      </c>
      <c r="AJ177" s="16" t="s">
        <v>446</v>
      </c>
      <c r="AK177" s="16" t="s">
        <v>446</v>
      </c>
      <c r="AL177" s="17" t="s">
        <v>446</v>
      </c>
      <c r="AM177" s="16" t="s">
        <v>446</v>
      </c>
      <c r="AN177" s="16" t="s">
        <v>446</v>
      </c>
      <c r="AO177" s="16" t="s">
        <v>446</v>
      </c>
      <c r="AP177" s="17" t="s">
        <v>446</v>
      </c>
      <c r="AQ177" s="16" t="s">
        <v>446</v>
      </c>
      <c r="AR177" s="16" t="s">
        <v>446</v>
      </c>
      <c r="AS177" s="16" t="s">
        <v>446</v>
      </c>
      <c r="AT177" s="17" t="s">
        <v>446</v>
      </c>
      <c r="AU177" s="16" t="s">
        <v>446</v>
      </c>
      <c r="AV177" s="16" t="s">
        <v>446</v>
      </c>
      <c r="AW177" s="16" t="s">
        <v>446</v>
      </c>
      <c r="AX177" s="17" t="s">
        <v>446</v>
      </c>
      <c r="AY177" s="16" t="s">
        <v>446</v>
      </c>
      <c r="AZ177" s="16" t="s">
        <v>446</v>
      </c>
      <c r="BA177" s="16" t="s">
        <v>446</v>
      </c>
      <c r="BB177" s="17" t="s">
        <v>446</v>
      </c>
      <c r="BC177" s="16" t="s">
        <v>446</v>
      </c>
      <c r="BD177" s="16" t="s">
        <v>446</v>
      </c>
      <c r="BE177" s="16" t="s">
        <v>446</v>
      </c>
      <c r="BF177" s="17" t="s">
        <v>446</v>
      </c>
      <c r="BG177" s="16" t="s">
        <v>446</v>
      </c>
      <c r="BH177" s="16" t="s">
        <v>446</v>
      </c>
      <c r="BI177" s="16" t="s">
        <v>446</v>
      </c>
      <c r="BJ177" s="17" t="s">
        <v>446</v>
      </c>
      <c r="BK177" s="16" t="s">
        <v>446</v>
      </c>
      <c r="BL177" s="16" t="s">
        <v>446</v>
      </c>
      <c r="BM177" s="16" t="s">
        <v>446</v>
      </c>
      <c r="BN177" s="17" t="s">
        <v>446</v>
      </c>
      <c r="BP177" s="19" t="s">
        <v>446</v>
      </c>
      <c r="BQ177" s="16" t="s">
        <v>446</v>
      </c>
      <c r="BR177" s="16" t="s">
        <v>446</v>
      </c>
      <c r="BS177" s="17" t="s">
        <v>446</v>
      </c>
      <c r="BU177" s="19" t="s">
        <v>446</v>
      </c>
      <c r="BV177" s="16" t="s">
        <v>446</v>
      </c>
      <c r="BW177" s="16" t="s">
        <v>446</v>
      </c>
      <c r="BX177" s="17" t="s">
        <v>446</v>
      </c>
      <c r="BZ177" s="19" t="s">
        <v>446</v>
      </c>
      <c r="CA177" s="16" t="s">
        <v>446</v>
      </c>
      <c r="CB177" s="16" t="s">
        <v>446</v>
      </c>
      <c r="CC177" s="17" t="s">
        <v>446</v>
      </c>
    </row>
    <row r="178" spans="2:81" ht="18" customHeight="1" x14ac:dyDescent="0.2">
      <c r="B178" s="8">
        <f>garage!B178</f>
        <v>178</v>
      </c>
      <c r="C178" s="8">
        <f>garage!C178</f>
        <v>5</v>
      </c>
      <c r="D178" s="8">
        <f>garage!D178</f>
        <v>6</v>
      </c>
      <c r="E178" s="8">
        <f>garage!E178</f>
        <v>12</v>
      </c>
      <c r="F178" s="8" t="str">
        <f>garage!F178</f>
        <v>L</v>
      </c>
      <c r="G178" s="8" t="str">
        <f>garage!G178</f>
        <v>O</v>
      </c>
      <c r="H178" s="8" t="str">
        <f>garage!H178</f>
        <v>O</v>
      </c>
      <c r="I178" s="8" t="str">
        <f>garage!I178</f>
        <v>O</v>
      </c>
      <c r="J178" s="8" t="str">
        <f>garage!J178</f>
        <v>N</v>
      </c>
      <c r="K178" s="8" t="str">
        <f>garage!K178</f>
        <v>S</v>
      </c>
      <c r="L178" s="9" t="str">
        <f>garage!L178</f>
        <v>Lamborghini</v>
      </c>
      <c r="M178" s="9" t="str">
        <f>garage!M178</f>
        <v>Veneno</v>
      </c>
      <c r="O178" s="18">
        <v>1</v>
      </c>
      <c r="P178" s="14">
        <v>1</v>
      </c>
      <c r="Q178" s="14">
        <v>1</v>
      </c>
      <c r="R178" s="15">
        <v>1</v>
      </c>
      <c r="S178" s="14">
        <v>1</v>
      </c>
      <c r="T178" s="14">
        <v>1</v>
      </c>
      <c r="U178" s="14">
        <v>1</v>
      </c>
      <c r="V178" s="15">
        <v>1</v>
      </c>
      <c r="W178" s="14">
        <v>1</v>
      </c>
      <c r="X178" s="14">
        <v>1</v>
      </c>
      <c r="Y178" s="14">
        <v>1</v>
      </c>
      <c r="Z178" s="15">
        <v>1</v>
      </c>
      <c r="AA178" s="14">
        <v>1</v>
      </c>
      <c r="AB178" s="14">
        <v>1</v>
      </c>
      <c r="AC178" s="14">
        <v>1</v>
      </c>
      <c r="AD178" s="15">
        <v>1</v>
      </c>
      <c r="AE178" s="14">
        <v>1</v>
      </c>
      <c r="AF178" s="14">
        <v>1</v>
      </c>
      <c r="AG178" s="14">
        <v>1</v>
      </c>
      <c r="AH178" s="15">
        <v>1</v>
      </c>
      <c r="AI178" s="14">
        <v>1</v>
      </c>
      <c r="AJ178" s="14">
        <v>1</v>
      </c>
      <c r="AK178" s="14">
        <v>1</v>
      </c>
      <c r="AL178" s="15">
        <v>1</v>
      </c>
      <c r="AM178" s="14">
        <v>1</v>
      </c>
      <c r="AN178" s="14">
        <v>1</v>
      </c>
      <c r="AO178" s="14">
        <v>1</v>
      </c>
      <c r="AP178" s="15">
        <v>1</v>
      </c>
      <c r="AQ178" s="14">
        <v>1</v>
      </c>
      <c r="AR178" s="14">
        <v>1</v>
      </c>
      <c r="AS178" s="14">
        <v>1</v>
      </c>
      <c r="AT178" s="15">
        <v>1</v>
      </c>
      <c r="AU178" s="14">
        <v>1</v>
      </c>
      <c r="AV178" s="14">
        <v>1</v>
      </c>
      <c r="AW178" s="14">
        <v>1</v>
      </c>
      <c r="AX178" s="15">
        <v>1</v>
      </c>
      <c r="AY178" s="14">
        <v>1</v>
      </c>
      <c r="AZ178" s="14">
        <v>1</v>
      </c>
      <c r="BA178" s="14">
        <v>1</v>
      </c>
      <c r="BB178" s="15">
        <v>1</v>
      </c>
      <c r="BC178" s="14">
        <v>1</v>
      </c>
      <c r="BD178" s="14">
        <v>1</v>
      </c>
      <c r="BE178" s="14">
        <v>1</v>
      </c>
      <c r="BF178" s="15">
        <v>1</v>
      </c>
      <c r="BG178" s="14">
        <v>1</v>
      </c>
      <c r="BH178" s="14">
        <v>1</v>
      </c>
      <c r="BI178" s="14">
        <v>1</v>
      </c>
      <c r="BJ178" s="15">
        <v>1</v>
      </c>
      <c r="BK178" s="14">
        <v>1</v>
      </c>
      <c r="BL178" s="14">
        <v>1</v>
      </c>
      <c r="BM178" s="14">
        <v>1</v>
      </c>
      <c r="BN178" s="15">
        <v>1</v>
      </c>
      <c r="BP178" s="18">
        <v>7</v>
      </c>
      <c r="BQ178" s="14">
        <v>7</v>
      </c>
      <c r="BR178" s="14">
        <v>7</v>
      </c>
      <c r="BS178" s="15">
        <v>7</v>
      </c>
      <c r="BU178" s="18">
        <v>5</v>
      </c>
      <c r="BV178" s="14">
        <v>5</v>
      </c>
      <c r="BW178" s="14">
        <v>5</v>
      </c>
      <c r="BX178" s="15">
        <v>5</v>
      </c>
      <c r="BZ178" s="18">
        <v>3</v>
      </c>
      <c r="CA178" s="14" t="s">
        <v>446</v>
      </c>
      <c r="CB178" s="14" t="s">
        <v>446</v>
      </c>
      <c r="CC178" s="15" t="s">
        <v>446</v>
      </c>
    </row>
    <row r="179" spans="2:81" ht="18" customHeight="1" x14ac:dyDescent="0.2">
      <c r="B179" s="10">
        <f>garage!B179</f>
        <v>179</v>
      </c>
      <c r="C179" s="10">
        <f>garage!C179</f>
        <v>5</v>
      </c>
      <c r="D179" s="10">
        <f>garage!D179</f>
        <v>7</v>
      </c>
      <c r="E179" s="10">
        <f>garage!E179</f>
        <v>23</v>
      </c>
      <c r="F179" s="10" t="str">
        <f>garage!F179</f>
        <v>--</v>
      </c>
      <c r="G179" s="10" t="str">
        <f>garage!G179</f>
        <v>N</v>
      </c>
      <c r="H179" s="10" t="str">
        <f>garage!H179</f>
        <v>N</v>
      </c>
      <c r="I179" s="10" t="str">
        <f>garage!I179</f>
        <v>N</v>
      </c>
      <c r="J179" s="10" t="str">
        <f>garage!J179</f>
        <v>N</v>
      </c>
      <c r="K179" s="10" t="str">
        <f>garage!K179</f>
        <v>S</v>
      </c>
      <c r="L179" s="11" t="str">
        <f>garage!L179</f>
        <v>Jaguar</v>
      </c>
      <c r="M179" s="11" t="str">
        <f>garage!M179</f>
        <v>XJ220S TWR</v>
      </c>
      <c r="O179" s="19" t="s">
        <v>446</v>
      </c>
      <c r="P179" s="16" t="s">
        <v>446</v>
      </c>
      <c r="Q179" s="16" t="s">
        <v>446</v>
      </c>
      <c r="R179" s="17" t="s">
        <v>446</v>
      </c>
      <c r="S179" s="16" t="s">
        <v>446</v>
      </c>
      <c r="T179" s="16" t="s">
        <v>446</v>
      </c>
      <c r="U179" s="16" t="s">
        <v>446</v>
      </c>
      <c r="V179" s="17" t="s">
        <v>446</v>
      </c>
      <c r="W179" s="16" t="s">
        <v>446</v>
      </c>
      <c r="X179" s="16" t="s">
        <v>446</v>
      </c>
      <c r="Y179" s="16" t="s">
        <v>446</v>
      </c>
      <c r="Z179" s="17" t="s">
        <v>446</v>
      </c>
      <c r="AA179" s="16" t="s">
        <v>446</v>
      </c>
      <c r="AB179" s="16" t="s">
        <v>446</v>
      </c>
      <c r="AC179" s="16" t="s">
        <v>446</v>
      </c>
      <c r="AD179" s="17" t="s">
        <v>446</v>
      </c>
      <c r="AE179" s="16" t="s">
        <v>446</v>
      </c>
      <c r="AF179" s="16" t="s">
        <v>446</v>
      </c>
      <c r="AG179" s="16" t="s">
        <v>446</v>
      </c>
      <c r="AH179" s="17" t="s">
        <v>446</v>
      </c>
      <c r="AI179" s="16" t="s">
        <v>446</v>
      </c>
      <c r="AJ179" s="16" t="s">
        <v>446</v>
      </c>
      <c r="AK179" s="16" t="s">
        <v>446</v>
      </c>
      <c r="AL179" s="17" t="s">
        <v>446</v>
      </c>
      <c r="AM179" s="16" t="s">
        <v>446</v>
      </c>
      <c r="AN179" s="16" t="s">
        <v>446</v>
      </c>
      <c r="AO179" s="16" t="s">
        <v>446</v>
      </c>
      <c r="AP179" s="17" t="s">
        <v>446</v>
      </c>
      <c r="AQ179" s="16" t="s">
        <v>446</v>
      </c>
      <c r="AR179" s="16" t="s">
        <v>446</v>
      </c>
      <c r="AS179" s="16" t="s">
        <v>446</v>
      </c>
      <c r="AT179" s="17" t="s">
        <v>446</v>
      </c>
      <c r="AU179" s="16" t="s">
        <v>446</v>
      </c>
      <c r="AV179" s="16" t="s">
        <v>446</v>
      </c>
      <c r="AW179" s="16" t="s">
        <v>446</v>
      </c>
      <c r="AX179" s="17" t="s">
        <v>446</v>
      </c>
      <c r="AY179" s="16" t="s">
        <v>446</v>
      </c>
      <c r="AZ179" s="16" t="s">
        <v>446</v>
      </c>
      <c r="BA179" s="16" t="s">
        <v>446</v>
      </c>
      <c r="BB179" s="17" t="s">
        <v>446</v>
      </c>
      <c r="BC179" s="16" t="s">
        <v>446</v>
      </c>
      <c r="BD179" s="16" t="s">
        <v>446</v>
      </c>
      <c r="BE179" s="16" t="s">
        <v>446</v>
      </c>
      <c r="BF179" s="17" t="s">
        <v>446</v>
      </c>
      <c r="BG179" s="16" t="s">
        <v>446</v>
      </c>
      <c r="BH179" s="16" t="s">
        <v>446</v>
      </c>
      <c r="BI179" s="16" t="s">
        <v>446</v>
      </c>
      <c r="BJ179" s="17" t="s">
        <v>446</v>
      </c>
      <c r="BK179" s="16" t="s">
        <v>446</v>
      </c>
      <c r="BL179" s="16" t="s">
        <v>446</v>
      </c>
      <c r="BM179" s="16" t="s">
        <v>446</v>
      </c>
      <c r="BN179" s="17" t="s">
        <v>446</v>
      </c>
      <c r="BP179" s="19" t="s">
        <v>446</v>
      </c>
      <c r="BQ179" s="16" t="s">
        <v>446</v>
      </c>
      <c r="BR179" s="16" t="s">
        <v>446</v>
      </c>
      <c r="BS179" s="17" t="s">
        <v>446</v>
      </c>
      <c r="BU179" s="19" t="s">
        <v>446</v>
      </c>
      <c r="BV179" s="16" t="s">
        <v>446</v>
      </c>
      <c r="BW179" s="16" t="s">
        <v>446</v>
      </c>
      <c r="BX179" s="17" t="s">
        <v>446</v>
      </c>
      <c r="BZ179" s="19" t="s">
        <v>446</v>
      </c>
      <c r="CA179" s="16" t="s">
        <v>446</v>
      </c>
      <c r="CB179" s="16" t="s">
        <v>446</v>
      </c>
      <c r="CC179" s="17" t="s">
        <v>446</v>
      </c>
    </row>
    <row r="180" spans="2:81" ht="18" customHeight="1" x14ac:dyDescent="0.2">
      <c r="B180" s="8">
        <f>garage!B180</f>
        <v>180</v>
      </c>
      <c r="C180" s="8">
        <f>garage!C180</f>
        <v>5</v>
      </c>
      <c r="D180" s="8">
        <f>garage!D180</f>
        <v>8</v>
      </c>
      <c r="E180" s="8">
        <f>garage!E180</f>
        <v>0</v>
      </c>
      <c r="F180" s="8" t="str">
        <f>garage!F180</f>
        <v>L</v>
      </c>
      <c r="G180" s="8" t="str">
        <f>garage!G180</f>
        <v>O</v>
      </c>
      <c r="H180" s="8" t="str">
        <f>garage!H180</f>
        <v>O</v>
      </c>
      <c r="I180" s="8" t="str">
        <f>garage!I180</f>
        <v>O</v>
      </c>
      <c r="J180" s="8" t="str">
        <f>garage!J180</f>
        <v>N</v>
      </c>
      <c r="K180" s="8" t="str">
        <f>garage!K180</f>
        <v>S</v>
      </c>
      <c r="L180" s="9" t="str">
        <f>garage!L180</f>
        <v>Lamborghini</v>
      </c>
      <c r="M180" s="9" t="str">
        <f>garage!M180</f>
        <v>Egoista</v>
      </c>
      <c r="O180" s="18">
        <v>1</v>
      </c>
      <c r="P180" s="14">
        <v>1</v>
      </c>
      <c r="Q180" s="14">
        <v>1</v>
      </c>
      <c r="R180" s="15">
        <v>1</v>
      </c>
      <c r="S180" s="14">
        <v>1</v>
      </c>
      <c r="T180" s="14">
        <v>1</v>
      </c>
      <c r="U180" s="14">
        <v>1</v>
      </c>
      <c r="V180" s="15">
        <v>1</v>
      </c>
      <c r="W180" s="14">
        <v>1</v>
      </c>
      <c r="X180" s="14">
        <v>1</v>
      </c>
      <c r="Y180" s="14">
        <v>1</v>
      </c>
      <c r="Z180" s="15">
        <v>1</v>
      </c>
      <c r="AA180" s="14">
        <v>1</v>
      </c>
      <c r="AB180" s="14">
        <v>1</v>
      </c>
      <c r="AC180" s="14">
        <v>1</v>
      </c>
      <c r="AD180" s="15">
        <v>1</v>
      </c>
      <c r="AE180" s="14">
        <v>1</v>
      </c>
      <c r="AF180" s="14">
        <v>1</v>
      </c>
      <c r="AG180" s="14">
        <v>1</v>
      </c>
      <c r="AH180" s="15">
        <v>1</v>
      </c>
      <c r="AI180" s="14">
        <v>1</v>
      </c>
      <c r="AJ180" s="14">
        <v>1</v>
      </c>
      <c r="AK180" s="14">
        <v>1</v>
      </c>
      <c r="AL180" s="15">
        <v>1</v>
      </c>
      <c r="AM180" s="14">
        <v>1</v>
      </c>
      <c r="AN180" s="14">
        <v>1</v>
      </c>
      <c r="AO180" s="14">
        <v>1</v>
      </c>
      <c r="AP180" s="15">
        <v>1</v>
      </c>
      <c r="AQ180" s="14">
        <v>1</v>
      </c>
      <c r="AR180" s="14">
        <v>1</v>
      </c>
      <c r="AS180" s="14">
        <v>1</v>
      </c>
      <c r="AT180" s="15">
        <v>1</v>
      </c>
      <c r="AU180" s="14">
        <v>1</v>
      </c>
      <c r="AV180" s="14">
        <v>1</v>
      </c>
      <c r="AW180" s="14">
        <v>1</v>
      </c>
      <c r="AX180" s="15">
        <v>1</v>
      </c>
      <c r="AY180" s="14">
        <v>1</v>
      </c>
      <c r="AZ180" s="14">
        <v>1</v>
      </c>
      <c r="BA180" s="14">
        <v>1</v>
      </c>
      <c r="BB180" s="15">
        <v>1</v>
      </c>
      <c r="BC180" s="14">
        <v>1</v>
      </c>
      <c r="BD180" s="14">
        <v>1</v>
      </c>
      <c r="BE180" s="14">
        <v>1</v>
      </c>
      <c r="BF180" s="15">
        <v>1</v>
      </c>
      <c r="BG180" s="14">
        <v>1</v>
      </c>
      <c r="BH180" s="14">
        <v>1</v>
      </c>
      <c r="BI180" s="14">
        <v>1</v>
      </c>
      <c r="BJ180" s="15">
        <v>1</v>
      </c>
      <c r="BK180" s="14">
        <v>1</v>
      </c>
      <c r="BL180" s="14">
        <v>1</v>
      </c>
      <c r="BM180" s="14">
        <v>1</v>
      </c>
      <c r="BN180" s="15">
        <v>1</v>
      </c>
      <c r="BP180" s="18">
        <v>7</v>
      </c>
      <c r="BQ180" s="14">
        <v>7</v>
      </c>
      <c r="BR180" s="14">
        <v>7</v>
      </c>
      <c r="BS180" s="15">
        <v>7</v>
      </c>
      <c r="BU180" s="18">
        <v>5</v>
      </c>
      <c r="BV180" s="14">
        <v>5</v>
      </c>
      <c r="BW180" s="14">
        <v>5</v>
      </c>
      <c r="BX180" s="15">
        <v>5</v>
      </c>
      <c r="BZ180" s="18">
        <v>4</v>
      </c>
      <c r="CA180" s="14">
        <v>4</v>
      </c>
      <c r="CB180" s="14">
        <v>4</v>
      </c>
      <c r="CC180" s="15">
        <v>4</v>
      </c>
    </row>
    <row r="181" spans="2:81" ht="18" customHeight="1" x14ac:dyDescent="0.2">
      <c r="B181" s="10">
        <f>garage!B181</f>
        <v>181</v>
      </c>
      <c r="C181" s="10">
        <f>garage!C181</f>
        <v>5</v>
      </c>
      <c r="D181" s="10">
        <f>garage!D181</f>
        <v>9</v>
      </c>
      <c r="E181" s="10">
        <f>garage!E181</f>
        <v>28</v>
      </c>
      <c r="F181" s="10" t="str">
        <f>garage!F181</f>
        <v>--</v>
      </c>
      <c r="G181" s="10" t="str">
        <f>garage!G181</f>
        <v>N</v>
      </c>
      <c r="H181" s="10" t="str">
        <f>garage!H181</f>
        <v>N</v>
      </c>
      <c r="I181" s="10" t="str">
        <f>garage!I181</f>
        <v>N</v>
      </c>
      <c r="J181" s="10" t="str">
        <f>garage!J181</f>
        <v>N</v>
      </c>
      <c r="K181" s="10" t="str">
        <f>garage!K181</f>
        <v>S</v>
      </c>
      <c r="L181" s="11" t="str">
        <f>garage!L181</f>
        <v>Chrysler</v>
      </c>
      <c r="M181" s="11" t="str">
        <f>garage!M181</f>
        <v>ME412</v>
      </c>
      <c r="O181" s="19" t="s">
        <v>446</v>
      </c>
      <c r="P181" s="16" t="s">
        <v>446</v>
      </c>
      <c r="Q181" s="16" t="s">
        <v>446</v>
      </c>
      <c r="R181" s="17" t="s">
        <v>446</v>
      </c>
      <c r="S181" s="16" t="s">
        <v>446</v>
      </c>
      <c r="T181" s="16" t="s">
        <v>446</v>
      </c>
      <c r="U181" s="16" t="s">
        <v>446</v>
      </c>
      <c r="V181" s="17" t="s">
        <v>446</v>
      </c>
      <c r="W181" s="16" t="s">
        <v>446</v>
      </c>
      <c r="X181" s="16" t="s">
        <v>446</v>
      </c>
      <c r="Y181" s="16" t="s">
        <v>446</v>
      </c>
      <c r="Z181" s="17" t="s">
        <v>446</v>
      </c>
      <c r="AA181" s="16" t="s">
        <v>446</v>
      </c>
      <c r="AB181" s="16" t="s">
        <v>446</v>
      </c>
      <c r="AC181" s="16" t="s">
        <v>446</v>
      </c>
      <c r="AD181" s="17" t="s">
        <v>446</v>
      </c>
      <c r="AE181" s="16" t="s">
        <v>446</v>
      </c>
      <c r="AF181" s="16" t="s">
        <v>446</v>
      </c>
      <c r="AG181" s="16" t="s">
        <v>446</v>
      </c>
      <c r="AH181" s="17" t="s">
        <v>446</v>
      </c>
      <c r="AI181" s="16" t="s">
        <v>446</v>
      </c>
      <c r="AJ181" s="16" t="s">
        <v>446</v>
      </c>
      <c r="AK181" s="16" t="s">
        <v>446</v>
      </c>
      <c r="AL181" s="17" t="s">
        <v>446</v>
      </c>
      <c r="AM181" s="16" t="s">
        <v>446</v>
      </c>
      <c r="AN181" s="16" t="s">
        <v>446</v>
      </c>
      <c r="AO181" s="16" t="s">
        <v>446</v>
      </c>
      <c r="AP181" s="17" t="s">
        <v>446</v>
      </c>
      <c r="AQ181" s="16" t="s">
        <v>446</v>
      </c>
      <c r="AR181" s="16" t="s">
        <v>446</v>
      </c>
      <c r="AS181" s="16" t="s">
        <v>446</v>
      </c>
      <c r="AT181" s="17" t="s">
        <v>446</v>
      </c>
      <c r="AU181" s="16" t="s">
        <v>446</v>
      </c>
      <c r="AV181" s="16" t="s">
        <v>446</v>
      </c>
      <c r="AW181" s="16" t="s">
        <v>446</v>
      </c>
      <c r="AX181" s="17" t="s">
        <v>446</v>
      </c>
      <c r="AY181" s="16" t="s">
        <v>446</v>
      </c>
      <c r="AZ181" s="16" t="s">
        <v>446</v>
      </c>
      <c r="BA181" s="16" t="s">
        <v>446</v>
      </c>
      <c r="BB181" s="17" t="s">
        <v>446</v>
      </c>
      <c r="BC181" s="16" t="s">
        <v>446</v>
      </c>
      <c r="BD181" s="16" t="s">
        <v>446</v>
      </c>
      <c r="BE181" s="16" t="s">
        <v>446</v>
      </c>
      <c r="BF181" s="17" t="s">
        <v>446</v>
      </c>
      <c r="BG181" s="16" t="s">
        <v>446</v>
      </c>
      <c r="BH181" s="16" t="s">
        <v>446</v>
      </c>
      <c r="BI181" s="16" t="s">
        <v>446</v>
      </c>
      <c r="BJ181" s="17" t="s">
        <v>446</v>
      </c>
      <c r="BK181" s="16" t="s">
        <v>446</v>
      </c>
      <c r="BL181" s="16" t="s">
        <v>446</v>
      </c>
      <c r="BM181" s="16" t="s">
        <v>446</v>
      </c>
      <c r="BN181" s="17" t="s">
        <v>446</v>
      </c>
      <c r="BP181" s="19" t="s">
        <v>446</v>
      </c>
      <c r="BQ181" s="16" t="s">
        <v>446</v>
      </c>
      <c r="BR181" s="16" t="s">
        <v>446</v>
      </c>
      <c r="BS181" s="17" t="s">
        <v>446</v>
      </c>
      <c r="BU181" s="19" t="s">
        <v>446</v>
      </c>
      <c r="BV181" s="16" t="s">
        <v>446</v>
      </c>
      <c r="BW181" s="16" t="s">
        <v>446</v>
      </c>
      <c r="BX181" s="17" t="s">
        <v>446</v>
      </c>
      <c r="BZ181" s="19" t="s">
        <v>446</v>
      </c>
      <c r="CA181" s="16" t="s">
        <v>446</v>
      </c>
      <c r="CB181" s="16" t="s">
        <v>446</v>
      </c>
      <c r="CC181" s="17" t="s">
        <v>446</v>
      </c>
    </row>
    <row r="182" spans="2:81" ht="18" customHeight="1" x14ac:dyDescent="0.2">
      <c r="B182" s="8">
        <f>garage!B182</f>
        <v>182</v>
      </c>
      <c r="C182" s="8">
        <f>garage!C182</f>
        <v>5</v>
      </c>
      <c r="D182" s="8">
        <f>garage!D182</f>
        <v>10</v>
      </c>
      <c r="E182" s="8">
        <f>garage!E182</f>
        <v>0</v>
      </c>
      <c r="F182" s="8" t="str">
        <f>garage!F182</f>
        <v>--</v>
      </c>
      <c r="G182" s="8" t="str">
        <f>garage!G182</f>
        <v>O</v>
      </c>
      <c r="H182" s="8" t="str">
        <f>garage!H182</f>
        <v>O</v>
      </c>
      <c r="I182" s="8" t="str">
        <f>garage!I182</f>
        <v>O</v>
      </c>
      <c r="J182" s="8" t="str">
        <f>garage!J182</f>
        <v>N</v>
      </c>
      <c r="K182" s="8" t="str">
        <f>garage!K182</f>
        <v>S</v>
      </c>
      <c r="L182" s="9" t="str">
        <f>garage!L182</f>
        <v>Trion</v>
      </c>
      <c r="M182" s="9" t="str">
        <f>garage!M182</f>
        <v>Nemesis</v>
      </c>
      <c r="O182" s="18">
        <v>1</v>
      </c>
      <c r="P182" s="14">
        <v>1</v>
      </c>
      <c r="Q182" s="14">
        <v>1</v>
      </c>
      <c r="R182" s="15">
        <v>1</v>
      </c>
      <c r="S182" s="14">
        <v>1</v>
      </c>
      <c r="T182" s="14">
        <v>1</v>
      </c>
      <c r="U182" s="14">
        <v>1</v>
      </c>
      <c r="V182" s="15">
        <v>1</v>
      </c>
      <c r="W182" s="14">
        <v>1</v>
      </c>
      <c r="X182" s="14">
        <v>1</v>
      </c>
      <c r="Y182" s="14">
        <v>1</v>
      </c>
      <c r="Z182" s="15">
        <v>1</v>
      </c>
      <c r="AA182" s="14">
        <v>1</v>
      </c>
      <c r="AB182" s="14">
        <v>1</v>
      </c>
      <c r="AC182" s="14">
        <v>1</v>
      </c>
      <c r="AD182" s="15">
        <v>1</v>
      </c>
      <c r="AE182" s="14">
        <v>1</v>
      </c>
      <c r="AF182" s="14">
        <v>1</v>
      </c>
      <c r="AG182" s="14">
        <v>1</v>
      </c>
      <c r="AH182" s="15">
        <v>1</v>
      </c>
      <c r="AI182" s="14">
        <v>1</v>
      </c>
      <c r="AJ182" s="14">
        <v>1</v>
      </c>
      <c r="AK182" s="14">
        <v>1</v>
      </c>
      <c r="AL182" s="15">
        <v>1</v>
      </c>
      <c r="AM182" s="14">
        <v>1</v>
      </c>
      <c r="AN182" s="14">
        <v>1</v>
      </c>
      <c r="AO182" s="14">
        <v>1</v>
      </c>
      <c r="AP182" s="15">
        <v>1</v>
      </c>
      <c r="AQ182" s="14">
        <v>1</v>
      </c>
      <c r="AR182" s="14">
        <v>1</v>
      </c>
      <c r="AS182" s="14">
        <v>1</v>
      </c>
      <c r="AT182" s="15">
        <v>1</v>
      </c>
      <c r="AU182" s="14">
        <v>1</v>
      </c>
      <c r="AV182" s="14">
        <v>1</v>
      </c>
      <c r="AW182" s="14">
        <v>1</v>
      </c>
      <c r="AX182" s="15">
        <v>1</v>
      </c>
      <c r="AY182" s="14">
        <v>1</v>
      </c>
      <c r="AZ182" s="14">
        <v>1</v>
      </c>
      <c r="BA182" s="14">
        <v>1</v>
      </c>
      <c r="BB182" s="15">
        <v>1</v>
      </c>
      <c r="BC182" s="14">
        <v>1</v>
      </c>
      <c r="BD182" s="14">
        <v>1</v>
      </c>
      <c r="BE182" s="14">
        <v>1</v>
      </c>
      <c r="BF182" s="15">
        <v>1</v>
      </c>
      <c r="BG182" s="14">
        <v>1</v>
      </c>
      <c r="BH182" s="14">
        <v>1</v>
      </c>
      <c r="BI182" s="14">
        <v>1</v>
      </c>
      <c r="BJ182" s="15">
        <v>1</v>
      </c>
      <c r="BK182" s="14">
        <v>1</v>
      </c>
      <c r="BL182" s="14">
        <v>1</v>
      </c>
      <c r="BM182" s="14">
        <v>1</v>
      </c>
      <c r="BN182" s="15">
        <v>1</v>
      </c>
      <c r="BP182" s="18">
        <v>7</v>
      </c>
      <c r="BQ182" s="14">
        <v>7</v>
      </c>
      <c r="BR182" s="14">
        <v>7</v>
      </c>
      <c r="BS182" s="15">
        <v>7</v>
      </c>
      <c r="BU182" s="18">
        <v>5</v>
      </c>
      <c r="BV182" s="14">
        <v>5</v>
      </c>
      <c r="BW182" s="14">
        <v>5</v>
      </c>
      <c r="BX182" s="15">
        <v>5</v>
      </c>
      <c r="BZ182" s="18">
        <v>4</v>
      </c>
      <c r="CA182" s="14">
        <v>4</v>
      </c>
      <c r="CB182" s="14">
        <v>4</v>
      </c>
      <c r="CC182" s="15">
        <v>4</v>
      </c>
    </row>
    <row r="183" spans="2:81" ht="18" customHeight="1" x14ac:dyDescent="0.2">
      <c r="B183" s="10">
        <f>garage!B183</f>
        <v>183</v>
      </c>
      <c r="C183" s="10">
        <f>garage!C183</f>
        <v>5</v>
      </c>
      <c r="D183" s="10">
        <f>garage!D183</f>
        <v>11</v>
      </c>
      <c r="E183" s="10">
        <f>garage!E183</f>
        <v>29</v>
      </c>
      <c r="F183" s="10" t="str">
        <f>garage!F183</f>
        <v>--</v>
      </c>
      <c r="G183" s="10" t="str">
        <f>garage!G183</f>
        <v>N</v>
      </c>
      <c r="H183" s="10" t="str">
        <f>garage!H183</f>
        <v>N</v>
      </c>
      <c r="I183" s="10" t="str">
        <f>garage!I183</f>
        <v>N</v>
      </c>
      <c r="J183" s="10" t="str">
        <f>garage!J183</f>
        <v>N</v>
      </c>
      <c r="K183" s="10" t="str">
        <f>garage!K183</f>
        <v>S</v>
      </c>
      <c r="L183" s="11" t="str">
        <f>garage!L183</f>
        <v>Spania GTA</v>
      </c>
      <c r="M183" s="11" t="str">
        <f>garage!M183</f>
        <v>2015 GTA Spano</v>
      </c>
      <c r="O183" s="19" t="s">
        <v>446</v>
      </c>
      <c r="P183" s="16" t="s">
        <v>446</v>
      </c>
      <c r="Q183" s="16" t="s">
        <v>446</v>
      </c>
      <c r="R183" s="17" t="s">
        <v>446</v>
      </c>
      <c r="S183" s="16" t="s">
        <v>446</v>
      </c>
      <c r="T183" s="16" t="s">
        <v>446</v>
      </c>
      <c r="U183" s="16" t="s">
        <v>446</v>
      </c>
      <c r="V183" s="17" t="s">
        <v>446</v>
      </c>
      <c r="W183" s="16" t="s">
        <v>446</v>
      </c>
      <c r="X183" s="16" t="s">
        <v>446</v>
      </c>
      <c r="Y183" s="16" t="s">
        <v>446</v>
      </c>
      <c r="Z183" s="17" t="s">
        <v>446</v>
      </c>
      <c r="AA183" s="16" t="s">
        <v>446</v>
      </c>
      <c r="AB183" s="16" t="s">
        <v>446</v>
      </c>
      <c r="AC183" s="16" t="s">
        <v>446</v>
      </c>
      <c r="AD183" s="17" t="s">
        <v>446</v>
      </c>
      <c r="AE183" s="16" t="s">
        <v>446</v>
      </c>
      <c r="AF183" s="16" t="s">
        <v>446</v>
      </c>
      <c r="AG183" s="16" t="s">
        <v>446</v>
      </c>
      <c r="AH183" s="17" t="s">
        <v>446</v>
      </c>
      <c r="AI183" s="16" t="s">
        <v>446</v>
      </c>
      <c r="AJ183" s="16" t="s">
        <v>446</v>
      </c>
      <c r="AK183" s="16" t="s">
        <v>446</v>
      </c>
      <c r="AL183" s="17" t="s">
        <v>446</v>
      </c>
      <c r="AM183" s="16" t="s">
        <v>446</v>
      </c>
      <c r="AN183" s="16" t="s">
        <v>446</v>
      </c>
      <c r="AO183" s="16" t="s">
        <v>446</v>
      </c>
      <c r="AP183" s="17" t="s">
        <v>446</v>
      </c>
      <c r="AQ183" s="16" t="s">
        <v>446</v>
      </c>
      <c r="AR183" s="16" t="s">
        <v>446</v>
      </c>
      <c r="AS183" s="16" t="s">
        <v>446</v>
      </c>
      <c r="AT183" s="17" t="s">
        <v>446</v>
      </c>
      <c r="AU183" s="16" t="s">
        <v>446</v>
      </c>
      <c r="AV183" s="16" t="s">
        <v>446</v>
      </c>
      <c r="AW183" s="16" t="s">
        <v>446</v>
      </c>
      <c r="AX183" s="17" t="s">
        <v>446</v>
      </c>
      <c r="AY183" s="16" t="s">
        <v>446</v>
      </c>
      <c r="AZ183" s="16" t="s">
        <v>446</v>
      </c>
      <c r="BA183" s="16" t="s">
        <v>446</v>
      </c>
      <c r="BB183" s="17" t="s">
        <v>446</v>
      </c>
      <c r="BC183" s="16" t="s">
        <v>446</v>
      </c>
      <c r="BD183" s="16" t="s">
        <v>446</v>
      </c>
      <c r="BE183" s="16" t="s">
        <v>446</v>
      </c>
      <c r="BF183" s="17" t="s">
        <v>446</v>
      </c>
      <c r="BG183" s="16" t="s">
        <v>446</v>
      </c>
      <c r="BH183" s="16" t="s">
        <v>446</v>
      </c>
      <c r="BI183" s="16" t="s">
        <v>446</v>
      </c>
      <c r="BJ183" s="17" t="s">
        <v>446</v>
      </c>
      <c r="BK183" s="16" t="s">
        <v>446</v>
      </c>
      <c r="BL183" s="16" t="s">
        <v>446</v>
      </c>
      <c r="BM183" s="16" t="s">
        <v>446</v>
      </c>
      <c r="BN183" s="17" t="s">
        <v>446</v>
      </c>
      <c r="BP183" s="19" t="s">
        <v>446</v>
      </c>
      <c r="BQ183" s="16" t="s">
        <v>446</v>
      </c>
      <c r="BR183" s="16" t="s">
        <v>446</v>
      </c>
      <c r="BS183" s="17" t="s">
        <v>446</v>
      </c>
      <c r="BU183" s="19" t="s">
        <v>446</v>
      </c>
      <c r="BV183" s="16" t="s">
        <v>446</v>
      </c>
      <c r="BW183" s="16" t="s">
        <v>446</v>
      </c>
      <c r="BX183" s="17" t="s">
        <v>446</v>
      </c>
      <c r="BZ183" s="19" t="s">
        <v>446</v>
      </c>
      <c r="CA183" s="16" t="s">
        <v>446</v>
      </c>
      <c r="CB183" s="16" t="s">
        <v>446</v>
      </c>
      <c r="CC183" s="17" t="s">
        <v>446</v>
      </c>
    </row>
    <row r="184" spans="2:81" ht="18" customHeight="1" x14ac:dyDescent="0.2">
      <c r="B184" s="8">
        <f>garage!B184</f>
        <v>184</v>
      </c>
      <c r="C184" s="8">
        <f>garage!C184</f>
        <v>5</v>
      </c>
      <c r="D184" s="8">
        <f>garage!D184</f>
        <v>12</v>
      </c>
      <c r="E184" s="8">
        <f>garage!E184</f>
        <v>15</v>
      </c>
      <c r="F184" s="8" t="str">
        <f>garage!F184</f>
        <v>F</v>
      </c>
      <c r="G184" s="8" t="str">
        <f>garage!G184</f>
        <v>O</v>
      </c>
      <c r="H184" s="8" t="str">
        <f>garage!H184</f>
        <v>N</v>
      </c>
      <c r="I184" s="8" t="str">
        <f>garage!I184</f>
        <v>N</v>
      </c>
      <c r="J184" s="8" t="str">
        <f>garage!J184</f>
        <v>N</v>
      </c>
      <c r="K184" s="8" t="str">
        <f>garage!K184</f>
        <v>S</v>
      </c>
      <c r="L184" s="9" t="str">
        <f>garage!L184</f>
        <v>Ferrari</v>
      </c>
      <c r="M184" s="9" t="str">
        <f>garage!M184</f>
        <v>SF90 Stradale</v>
      </c>
      <c r="O184" s="18">
        <v>1</v>
      </c>
      <c r="P184" s="14">
        <v>1</v>
      </c>
      <c r="Q184" s="14">
        <v>1</v>
      </c>
      <c r="R184" s="15">
        <v>1</v>
      </c>
      <c r="S184" s="14">
        <v>1</v>
      </c>
      <c r="T184" s="14">
        <v>1</v>
      </c>
      <c r="U184" s="14">
        <v>1</v>
      </c>
      <c r="V184" s="15">
        <v>1</v>
      </c>
      <c r="W184" s="14">
        <v>1</v>
      </c>
      <c r="X184" s="14" t="s">
        <v>446</v>
      </c>
      <c r="Y184" s="14" t="s">
        <v>446</v>
      </c>
      <c r="Z184" s="15" t="s">
        <v>446</v>
      </c>
      <c r="AA184" s="14" t="s">
        <v>446</v>
      </c>
      <c r="AB184" s="14" t="s">
        <v>446</v>
      </c>
      <c r="AC184" s="14" t="s">
        <v>446</v>
      </c>
      <c r="AD184" s="15" t="s">
        <v>446</v>
      </c>
      <c r="AE184" s="14" t="s">
        <v>446</v>
      </c>
      <c r="AF184" s="14" t="s">
        <v>446</v>
      </c>
      <c r="AG184" s="14" t="s">
        <v>446</v>
      </c>
      <c r="AH184" s="15" t="s">
        <v>446</v>
      </c>
      <c r="AI184" s="14" t="s">
        <v>446</v>
      </c>
      <c r="AJ184" s="14" t="s">
        <v>446</v>
      </c>
      <c r="AK184" s="14" t="s">
        <v>446</v>
      </c>
      <c r="AL184" s="15" t="s">
        <v>446</v>
      </c>
      <c r="AM184" s="14" t="s">
        <v>446</v>
      </c>
      <c r="AN184" s="14" t="s">
        <v>446</v>
      </c>
      <c r="AO184" s="14" t="s">
        <v>446</v>
      </c>
      <c r="AP184" s="15" t="s">
        <v>446</v>
      </c>
      <c r="AQ184" s="14" t="s">
        <v>446</v>
      </c>
      <c r="AR184" s="14" t="s">
        <v>446</v>
      </c>
      <c r="AS184" s="14" t="s">
        <v>446</v>
      </c>
      <c r="AT184" s="15" t="s">
        <v>446</v>
      </c>
      <c r="AU184" s="14" t="s">
        <v>446</v>
      </c>
      <c r="AV184" s="14" t="s">
        <v>446</v>
      </c>
      <c r="AW184" s="14" t="s">
        <v>446</v>
      </c>
      <c r="AX184" s="15" t="s">
        <v>446</v>
      </c>
      <c r="AY184" s="14" t="s">
        <v>446</v>
      </c>
      <c r="AZ184" s="14" t="s">
        <v>446</v>
      </c>
      <c r="BA184" s="14" t="s">
        <v>446</v>
      </c>
      <c r="BB184" s="15" t="s">
        <v>446</v>
      </c>
      <c r="BC184" s="14" t="s">
        <v>446</v>
      </c>
      <c r="BD184" s="14" t="s">
        <v>446</v>
      </c>
      <c r="BE184" s="14" t="s">
        <v>446</v>
      </c>
      <c r="BF184" s="15" t="s">
        <v>446</v>
      </c>
      <c r="BG184" s="14" t="s">
        <v>446</v>
      </c>
      <c r="BH184" s="14" t="s">
        <v>446</v>
      </c>
      <c r="BI184" s="14" t="s">
        <v>446</v>
      </c>
      <c r="BJ184" s="15" t="s">
        <v>446</v>
      </c>
      <c r="BK184" s="14" t="s">
        <v>446</v>
      </c>
      <c r="BL184" s="14" t="s">
        <v>446</v>
      </c>
      <c r="BM184" s="14" t="s">
        <v>446</v>
      </c>
      <c r="BN184" s="15" t="s">
        <v>446</v>
      </c>
      <c r="BP184" s="18" t="s">
        <v>446</v>
      </c>
      <c r="BQ184" s="14" t="s">
        <v>446</v>
      </c>
      <c r="BR184" s="14" t="s">
        <v>446</v>
      </c>
      <c r="BS184" s="15" t="s">
        <v>446</v>
      </c>
      <c r="BU184" s="18" t="s">
        <v>446</v>
      </c>
      <c r="BV184" s="14" t="s">
        <v>446</v>
      </c>
      <c r="BW184" s="14" t="s">
        <v>446</v>
      </c>
      <c r="BX184" s="15" t="s">
        <v>446</v>
      </c>
      <c r="BZ184" s="18" t="s">
        <v>446</v>
      </c>
      <c r="CA184" s="14" t="s">
        <v>446</v>
      </c>
      <c r="CB184" s="14" t="s">
        <v>446</v>
      </c>
      <c r="CC184" s="15" t="s">
        <v>446</v>
      </c>
    </row>
    <row r="185" spans="2:81" ht="18" customHeight="1" x14ac:dyDescent="0.2">
      <c r="B185" s="10">
        <f>garage!B185</f>
        <v>185</v>
      </c>
      <c r="C185" s="10">
        <f>garage!C185</f>
        <v>5</v>
      </c>
      <c r="D185" s="10">
        <f>garage!D185</f>
        <v>13</v>
      </c>
      <c r="E185" s="10">
        <f>garage!E185</f>
        <v>30</v>
      </c>
      <c r="F185" s="10" t="str">
        <f>garage!F185</f>
        <v>--</v>
      </c>
      <c r="G185" s="10" t="str">
        <f>garage!G185</f>
        <v>N</v>
      </c>
      <c r="H185" s="10" t="str">
        <f>garage!H185</f>
        <v>N</v>
      </c>
      <c r="I185" s="10" t="str">
        <f>garage!I185</f>
        <v>N</v>
      </c>
      <c r="J185" s="10" t="str">
        <f>garage!J185</f>
        <v>N</v>
      </c>
      <c r="K185" s="10" t="str">
        <f>garage!K185</f>
        <v>S</v>
      </c>
      <c r="L185" s="11" t="str">
        <f>garage!L185</f>
        <v>FV Frangivento</v>
      </c>
      <c r="M185" s="11" t="str">
        <f>garage!M185</f>
        <v>Sorpasso GT3</v>
      </c>
      <c r="O185" s="19" t="s">
        <v>446</v>
      </c>
      <c r="P185" s="16" t="s">
        <v>446</v>
      </c>
      <c r="Q185" s="16" t="s">
        <v>446</v>
      </c>
      <c r="R185" s="17" t="s">
        <v>446</v>
      </c>
      <c r="S185" s="16" t="s">
        <v>446</v>
      </c>
      <c r="T185" s="16" t="s">
        <v>446</v>
      </c>
      <c r="U185" s="16" t="s">
        <v>446</v>
      </c>
      <c r="V185" s="17" t="s">
        <v>446</v>
      </c>
      <c r="W185" s="16" t="s">
        <v>446</v>
      </c>
      <c r="X185" s="16" t="s">
        <v>446</v>
      </c>
      <c r="Y185" s="16" t="s">
        <v>446</v>
      </c>
      <c r="Z185" s="17" t="s">
        <v>446</v>
      </c>
      <c r="AA185" s="16" t="s">
        <v>446</v>
      </c>
      <c r="AB185" s="16" t="s">
        <v>446</v>
      </c>
      <c r="AC185" s="16" t="s">
        <v>446</v>
      </c>
      <c r="AD185" s="17" t="s">
        <v>446</v>
      </c>
      <c r="AE185" s="16" t="s">
        <v>446</v>
      </c>
      <c r="AF185" s="16" t="s">
        <v>446</v>
      </c>
      <c r="AG185" s="16" t="s">
        <v>446</v>
      </c>
      <c r="AH185" s="17" t="s">
        <v>446</v>
      </c>
      <c r="AI185" s="16" t="s">
        <v>446</v>
      </c>
      <c r="AJ185" s="16" t="s">
        <v>446</v>
      </c>
      <c r="AK185" s="16" t="s">
        <v>446</v>
      </c>
      <c r="AL185" s="17" t="s">
        <v>446</v>
      </c>
      <c r="AM185" s="16" t="s">
        <v>446</v>
      </c>
      <c r="AN185" s="16" t="s">
        <v>446</v>
      </c>
      <c r="AO185" s="16" t="s">
        <v>446</v>
      </c>
      <c r="AP185" s="17" t="s">
        <v>446</v>
      </c>
      <c r="AQ185" s="16" t="s">
        <v>446</v>
      </c>
      <c r="AR185" s="16" t="s">
        <v>446</v>
      </c>
      <c r="AS185" s="16" t="s">
        <v>446</v>
      </c>
      <c r="AT185" s="17" t="s">
        <v>446</v>
      </c>
      <c r="AU185" s="16" t="s">
        <v>446</v>
      </c>
      <c r="AV185" s="16" t="s">
        <v>446</v>
      </c>
      <c r="AW185" s="16" t="s">
        <v>446</v>
      </c>
      <c r="AX185" s="17" t="s">
        <v>446</v>
      </c>
      <c r="AY185" s="16" t="s">
        <v>446</v>
      </c>
      <c r="AZ185" s="16" t="s">
        <v>446</v>
      </c>
      <c r="BA185" s="16" t="s">
        <v>446</v>
      </c>
      <c r="BB185" s="17" t="s">
        <v>446</v>
      </c>
      <c r="BC185" s="16" t="s">
        <v>446</v>
      </c>
      <c r="BD185" s="16" t="s">
        <v>446</v>
      </c>
      <c r="BE185" s="16" t="s">
        <v>446</v>
      </c>
      <c r="BF185" s="17" t="s">
        <v>446</v>
      </c>
      <c r="BG185" s="16" t="s">
        <v>446</v>
      </c>
      <c r="BH185" s="16" t="s">
        <v>446</v>
      </c>
      <c r="BI185" s="16" t="s">
        <v>446</v>
      </c>
      <c r="BJ185" s="17" t="s">
        <v>446</v>
      </c>
      <c r="BK185" s="16" t="s">
        <v>446</v>
      </c>
      <c r="BL185" s="16" t="s">
        <v>446</v>
      </c>
      <c r="BM185" s="16" t="s">
        <v>446</v>
      </c>
      <c r="BN185" s="17" t="s">
        <v>446</v>
      </c>
      <c r="BP185" s="19" t="s">
        <v>446</v>
      </c>
      <c r="BQ185" s="16" t="s">
        <v>446</v>
      </c>
      <c r="BR185" s="16" t="s">
        <v>446</v>
      </c>
      <c r="BS185" s="17" t="s">
        <v>446</v>
      </c>
      <c r="BU185" s="19" t="s">
        <v>446</v>
      </c>
      <c r="BV185" s="16" t="s">
        <v>446</v>
      </c>
      <c r="BW185" s="16" t="s">
        <v>446</v>
      </c>
      <c r="BX185" s="17" t="s">
        <v>446</v>
      </c>
      <c r="BZ185" s="19" t="s">
        <v>446</v>
      </c>
      <c r="CA185" s="16" t="s">
        <v>446</v>
      </c>
      <c r="CB185" s="16" t="s">
        <v>446</v>
      </c>
      <c r="CC185" s="17" t="s">
        <v>446</v>
      </c>
    </row>
    <row r="186" spans="2:81" ht="18" customHeight="1" x14ac:dyDescent="0.2">
      <c r="B186" s="8">
        <f>garage!B186</f>
        <v>186</v>
      </c>
      <c r="C186" s="8">
        <f>garage!C186</f>
        <v>5</v>
      </c>
      <c r="D186" s="8">
        <f>garage!D186</f>
        <v>14</v>
      </c>
      <c r="E186" s="8">
        <f>garage!E186</f>
        <v>7</v>
      </c>
      <c r="F186" s="8" t="str">
        <f>garage!F186</f>
        <v>M</v>
      </c>
      <c r="G186" s="8" t="str">
        <f>garage!G186</f>
        <v>O</v>
      </c>
      <c r="H186" s="8" t="str">
        <f>garage!H186</f>
        <v>N</v>
      </c>
      <c r="I186" s="8" t="str">
        <f>garage!I186</f>
        <v>N</v>
      </c>
      <c r="J186" s="8" t="str">
        <f>garage!J186</f>
        <v>N</v>
      </c>
      <c r="K186" s="8" t="str">
        <f>garage!K186</f>
        <v>S</v>
      </c>
      <c r="L186" s="9" t="str">
        <f>garage!L186</f>
        <v>McLaren</v>
      </c>
      <c r="M186" s="9" t="str">
        <f>garage!M186</f>
        <v>Senna</v>
      </c>
      <c r="O186" s="18">
        <v>1</v>
      </c>
      <c r="P186" s="14">
        <v>1</v>
      </c>
      <c r="Q186" s="14">
        <v>1</v>
      </c>
      <c r="R186" s="15">
        <v>1</v>
      </c>
      <c r="S186" s="14">
        <v>1</v>
      </c>
      <c r="T186" s="14">
        <v>1</v>
      </c>
      <c r="U186" s="14">
        <v>1</v>
      </c>
      <c r="V186" s="15">
        <v>1</v>
      </c>
      <c r="W186" s="14">
        <v>1</v>
      </c>
      <c r="X186" s="14">
        <v>1</v>
      </c>
      <c r="Y186" s="14">
        <v>1</v>
      </c>
      <c r="Z186" s="15">
        <v>1</v>
      </c>
      <c r="AA186" s="14">
        <v>1</v>
      </c>
      <c r="AB186" s="14">
        <v>1</v>
      </c>
      <c r="AC186" s="14">
        <v>1</v>
      </c>
      <c r="AD186" s="15">
        <v>1</v>
      </c>
      <c r="AE186" s="14">
        <v>1</v>
      </c>
      <c r="AF186" s="14">
        <v>1</v>
      </c>
      <c r="AG186" s="14">
        <v>1</v>
      </c>
      <c r="AH186" s="15">
        <v>1</v>
      </c>
      <c r="AI186" s="14">
        <v>1</v>
      </c>
      <c r="AJ186" s="14">
        <v>1</v>
      </c>
      <c r="AK186" s="14">
        <v>1</v>
      </c>
      <c r="AL186" s="15">
        <v>1</v>
      </c>
      <c r="AM186" s="14">
        <v>1</v>
      </c>
      <c r="AN186" s="14">
        <v>1</v>
      </c>
      <c r="AO186" s="14">
        <v>1</v>
      </c>
      <c r="AP186" s="15">
        <v>1</v>
      </c>
      <c r="AQ186" s="14">
        <v>1</v>
      </c>
      <c r="AR186" s="14">
        <v>1</v>
      </c>
      <c r="AS186" s="14">
        <v>1</v>
      </c>
      <c r="AT186" s="15">
        <v>1</v>
      </c>
      <c r="AU186" s="14">
        <v>1</v>
      </c>
      <c r="AV186" s="14">
        <v>1</v>
      </c>
      <c r="AW186" s="14">
        <v>1</v>
      </c>
      <c r="AX186" s="15">
        <v>1</v>
      </c>
      <c r="AY186" s="14">
        <v>1</v>
      </c>
      <c r="AZ186" s="14">
        <v>1</v>
      </c>
      <c r="BA186" s="14">
        <v>1</v>
      </c>
      <c r="BB186" s="15">
        <v>1</v>
      </c>
      <c r="BC186" s="14">
        <v>1</v>
      </c>
      <c r="BD186" s="14">
        <v>1</v>
      </c>
      <c r="BE186" s="14">
        <v>1</v>
      </c>
      <c r="BF186" s="15">
        <v>1</v>
      </c>
      <c r="BG186" s="14">
        <v>1</v>
      </c>
      <c r="BH186" s="14">
        <v>1</v>
      </c>
      <c r="BI186" s="14">
        <v>1</v>
      </c>
      <c r="BJ186" s="15">
        <v>1</v>
      </c>
      <c r="BK186" s="14" t="s">
        <v>446</v>
      </c>
      <c r="BL186" s="14" t="s">
        <v>446</v>
      </c>
      <c r="BM186" s="14" t="s">
        <v>446</v>
      </c>
      <c r="BN186" s="15" t="s">
        <v>446</v>
      </c>
      <c r="BP186" s="18">
        <v>7</v>
      </c>
      <c r="BQ186" s="14">
        <v>6</v>
      </c>
      <c r="BR186" s="14">
        <v>6</v>
      </c>
      <c r="BS186" s="15">
        <v>7</v>
      </c>
      <c r="BU186" s="18">
        <v>3</v>
      </c>
      <c r="BV186" s="14">
        <v>5</v>
      </c>
      <c r="BW186" s="14">
        <v>5</v>
      </c>
      <c r="BX186" s="15">
        <v>3</v>
      </c>
      <c r="BZ186" s="18" t="s">
        <v>446</v>
      </c>
      <c r="CA186" s="14" t="s">
        <v>446</v>
      </c>
      <c r="CB186" s="14" t="s">
        <v>446</v>
      </c>
      <c r="CC186" s="15" t="s">
        <v>446</v>
      </c>
    </row>
    <row r="187" spans="2:81" ht="18" customHeight="1" x14ac:dyDescent="0.2">
      <c r="B187" s="10">
        <f>garage!B187</f>
        <v>187</v>
      </c>
      <c r="C187" s="10">
        <f>garage!C187</f>
        <v>5</v>
      </c>
      <c r="D187" s="10">
        <f>garage!D187</f>
        <v>15</v>
      </c>
      <c r="E187" s="10">
        <f>garage!E187</f>
        <v>20</v>
      </c>
      <c r="F187" s="10" t="str">
        <f>garage!F187</f>
        <v>B</v>
      </c>
      <c r="G187" s="10" t="str">
        <f>garage!G187</f>
        <v>N</v>
      </c>
      <c r="H187" s="10" t="str">
        <f>garage!H187</f>
        <v>N</v>
      </c>
      <c r="I187" s="10" t="str">
        <f>garage!I187</f>
        <v>N</v>
      </c>
      <c r="J187" s="10" t="str">
        <f>garage!J187</f>
        <v>N</v>
      </c>
      <c r="K187" s="10" t="str">
        <f>garage!K187</f>
        <v>S</v>
      </c>
      <c r="L187" s="11" t="str">
        <f>garage!L187</f>
        <v>Bugatti</v>
      </c>
      <c r="M187" s="11" t="str">
        <f>garage!M187</f>
        <v>Veyron 16.4 Grand Sport Vitesse</v>
      </c>
      <c r="O187" s="19" t="s">
        <v>446</v>
      </c>
      <c r="P187" s="16" t="s">
        <v>446</v>
      </c>
      <c r="Q187" s="16" t="s">
        <v>446</v>
      </c>
      <c r="R187" s="17" t="s">
        <v>446</v>
      </c>
      <c r="S187" s="16" t="s">
        <v>446</v>
      </c>
      <c r="T187" s="16" t="s">
        <v>446</v>
      </c>
      <c r="U187" s="16" t="s">
        <v>446</v>
      </c>
      <c r="V187" s="17" t="s">
        <v>446</v>
      </c>
      <c r="W187" s="16" t="s">
        <v>446</v>
      </c>
      <c r="X187" s="16" t="s">
        <v>446</v>
      </c>
      <c r="Y187" s="16" t="s">
        <v>446</v>
      </c>
      <c r="Z187" s="17" t="s">
        <v>446</v>
      </c>
      <c r="AA187" s="16" t="s">
        <v>446</v>
      </c>
      <c r="AB187" s="16" t="s">
        <v>446</v>
      </c>
      <c r="AC187" s="16" t="s">
        <v>446</v>
      </c>
      <c r="AD187" s="17" t="s">
        <v>446</v>
      </c>
      <c r="AE187" s="16" t="s">
        <v>446</v>
      </c>
      <c r="AF187" s="16" t="s">
        <v>446</v>
      </c>
      <c r="AG187" s="16" t="s">
        <v>446</v>
      </c>
      <c r="AH187" s="17" t="s">
        <v>446</v>
      </c>
      <c r="AI187" s="16" t="s">
        <v>446</v>
      </c>
      <c r="AJ187" s="16" t="s">
        <v>446</v>
      </c>
      <c r="AK187" s="16" t="s">
        <v>446</v>
      </c>
      <c r="AL187" s="17" t="s">
        <v>446</v>
      </c>
      <c r="AM187" s="16" t="s">
        <v>446</v>
      </c>
      <c r="AN187" s="16" t="s">
        <v>446</v>
      </c>
      <c r="AO187" s="16" t="s">
        <v>446</v>
      </c>
      <c r="AP187" s="17" t="s">
        <v>446</v>
      </c>
      <c r="AQ187" s="16" t="s">
        <v>446</v>
      </c>
      <c r="AR187" s="16" t="s">
        <v>446</v>
      </c>
      <c r="AS187" s="16" t="s">
        <v>446</v>
      </c>
      <c r="AT187" s="17" t="s">
        <v>446</v>
      </c>
      <c r="AU187" s="16" t="s">
        <v>446</v>
      </c>
      <c r="AV187" s="16" t="s">
        <v>446</v>
      </c>
      <c r="AW187" s="16" t="s">
        <v>446</v>
      </c>
      <c r="AX187" s="17" t="s">
        <v>446</v>
      </c>
      <c r="AY187" s="16" t="s">
        <v>446</v>
      </c>
      <c r="AZ187" s="16" t="s">
        <v>446</v>
      </c>
      <c r="BA187" s="16" t="s">
        <v>446</v>
      </c>
      <c r="BB187" s="17" t="s">
        <v>446</v>
      </c>
      <c r="BC187" s="16" t="s">
        <v>446</v>
      </c>
      <c r="BD187" s="16" t="s">
        <v>446</v>
      </c>
      <c r="BE187" s="16" t="s">
        <v>446</v>
      </c>
      <c r="BF187" s="17" t="s">
        <v>446</v>
      </c>
      <c r="BG187" s="16" t="s">
        <v>446</v>
      </c>
      <c r="BH187" s="16" t="s">
        <v>446</v>
      </c>
      <c r="BI187" s="16" t="s">
        <v>446</v>
      </c>
      <c r="BJ187" s="17" t="s">
        <v>446</v>
      </c>
      <c r="BK187" s="16" t="s">
        <v>446</v>
      </c>
      <c r="BL187" s="16" t="s">
        <v>446</v>
      </c>
      <c r="BM187" s="16" t="s">
        <v>446</v>
      </c>
      <c r="BN187" s="17" t="s">
        <v>446</v>
      </c>
      <c r="BP187" s="19" t="s">
        <v>446</v>
      </c>
      <c r="BQ187" s="16" t="s">
        <v>446</v>
      </c>
      <c r="BR187" s="16" t="s">
        <v>446</v>
      </c>
      <c r="BS187" s="17" t="s">
        <v>446</v>
      </c>
      <c r="BU187" s="19" t="s">
        <v>446</v>
      </c>
      <c r="BV187" s="16" t="s">
        <v>446</v>
      </c>
      <c r="BW187" s="16" t="s">
        <v>446</v>
      </c>
      <c r="BX187" s="17" t="s">
        <v>446</v>
      </c>
      <c r="BZ187" s="19" t="s">
        <v>446</v>
      </c>
      <c r="CA187" s="16" t="s">
        <v>446</v>
      </c>
      <c r="CB187" s="16" t="s">
        <v>446</v>
      </c>
      <c r="CC187" s="17" t="s">
        <v>446</v>
      </c>
    </row>
    <row r="188" spans="2:81" ht="18" customHeight="1" x14ac:dyDescent="0.2">
      <c r="B188" s="8">
        <f>garage!B188</f>
        <v>188</v>
      </c>
      <c r="C188" s="8">
        <f>garage!C188</f>
        <v>5</v>
      </c>
      <c r="D188" s="8">
        <f>garage!D188</f>
        <v>16</v>
      </c>
      <c r="E188" s="8">
        <f>garage!E188</f>
        <v>0</v>
      </c>
      <c r="F188" s="8" t="str">
        <f>garage!F188</f>
        <v>L</v>
      </c>
      <c r="G188" s="8" t="str">
        <f>garage!G188</f>
        <v>O</v>
      </c>
      <c r="H188" s="8" t="str">
        <f>garage!H188</f>
        <v>O</v>
      </c>
      <c r="I188" s="8" t="str">
        <f>garage!I188</f>
        <v>O</v>
      </c>
      <c r="J188" s="8" t="str">
        <f>garage!J188</f>
        <v>N</v>
      </c>
      <c r="K188" s="8" t="str">
        <f>garage!K188</f>
        <v>S</v>
      </c>
      <c r="L188" s="9" t="str">
        <f>garage!L188</f>
        <v>Lamborghini</v>
      </c>
      <c r="M188" s="9" t="str">
        <f>garage!M188</f>
        <v>Terzo Millennio</v>
      </c>
      <c r="O188" s="18">
        <v>1</v>
      </c>
      <c r="P188" s="14">
        <v>1</v>
      </c>
      <c r="Q188" s="14">
        <v>1</v>
      </c>
      <c r="R188" s="15">
        <v>1</v>
      </c>
      <c r="S188" s="14">
        <v>1</v>
      </c>
      <c r="T188" s="14">
        <v>1</v>
      </c>
      <c r="U188" s="14">
        <v>1</v>
      </c>
      <c r="V188" s="15">
        <v>1</v>
      </c>
      <c r="W188" s="14">
        <v>1</v>
      </c>
      <c r="X188" s="14">
        <v>1</v>
      </c>
      <c r="Y188" s="14">
        <v>1</v>
      </c>
      <c r="Z188" s="15">
        <v>1</v>
      </c>
      <c r="AA188" s="14">
        <v>1</v>
      </c>
      <c r="AB188" s="14">
        <v>1</v>
      </c>
      <c r="AC188" s="14">
        <v>1</v>
      </c>
      <c r="AD188" s="15">
        <v>1</v>
      </c>
      <c r="AE188" s="14">
        <v>1</v>
      </c>
      <c r="AF188" s="14">
        <v>1</v>
      </c>
      <c r="AG188" s="14">
        <v>1</v>
      </c>
      <c r="AH188" s="15">
        <v>1</v>
      </c>
      <c r="AI188" s="14">
        <v>1</v>
      </c>
      <c r="AJ188" s="14">
        <v>1</v>
      </c>
      <c r="AK188" s="14">
        <v>1</v>
      </c>
      <c r="AL188" s="15">
        <v>1</v>
      </c>
      <c r="AM188" s="14">
        <v>1</v>
      </c>
      <c r="AN188" s="14">
        <v>1</v>
      </c>
      <c r="AO188" s="14">
        <v>1</v>
      </c>
      <c r="AP188" s="15">
        <v>1</v>
      </c>
      <c r="AQ188" s="14">
        <v>1</v>
      </c>
      <c r="AR188" s="14">
        <v>1</v>
      </c>
      <c r="AS188" s="14">
        <v>1</v>
      </c>
      <c r="AT188" s="15">
        <v>1</v>
      </c>
      <c r="AU188" s="14">
        <v>1</v>
      </c>
      <c r="AV188" s="14">
        <v>1</v>
      </c>
      <c r="AW188" s="14">
        <v>1</v>
      </c>
      <c r="AX188" s="15">
        <v>1</v>
      </c>
      <c r="AY188" s="14">
        <v>1</v>
      </c>
      <c r="AZ188" s="14">
        <v>1</v>
      </c>
      <c r="BA188" s="14">
        <v>1</v>
      </c>
      <c r="BB188" s="15">
        <v>1</v>
      </c>
      <c r="BC188" s="14">
        <v>1</v>
      </c>
      <c r="BD188" s="14">
        <v>1</v>
      </c>
      <c r="BE188" s="14">
        <v>1</v>
      </c>
      <c r="BF188" s="15">
        <v>1</v>
      </c>
      <c r="BG188" s="14">
        <v>1</v>
      </c>
      <c r="BH188" s="14">
        <v>1</v>
      </c>
      <c r="BI188" s="14">
        <v>1</v>
      </c>
      <c r="BJ188" s="15">
        <v>1</v>
      </c>
      <c r="BK188" s="14">
        <v>1</v>
      </c>
      <c r="BL188" s="14">
        <v>1</v>
      </c>
      <c r="BM188" s="14">
        <v>1</v>
      </c>
      <c r="BN188" s="15">
        <v>1</v>
      </c>
      <c r="BP188" s="18">
        <v>7</v>
      </c>
      <c r="BQ188" s="14">
        <v>7</v>
      </c>
      <c r="BR188" s="14">
        <v>7</v>
      </c>
      <c r="BS188" s="15">
        <v>7</v>
      </c>
      <c r="BU188" s="18">
        <v>5</v>
      </c>
      <c r="BV188" s="14">
        <v>5</v>
      </c>
      <c r="BW188" s="14">
        <v>5</v>
      </c>
      <c r="BX188" s="15">
        <v>5</v>
      </c>
      <c r="BZ188" s="18">
        <v>4</v>
      </c>
      <c r="CA188" s="14">
        <v>4</v>
      </c>
      <c r="CB188" s="14">
        <v>4</v>
      </c>
      <c r="CC188" s="15">
        <v>4</v>
      </c>
    </row>
    <row r="189" spans="2:81" ht="18" customHeight="1" x14ac:dyDescent="0.2">
      <c r="B189" s="10">
        <f>garage!B189</f>
        <v>189</v>
      </c>
      <c r="C189" s="10">
        <f>garage!C189</f>
        <v>5</v>
      </c>
      <c r="D189" s="10">
        <f>garage!D189</f>
        <v>17</v>
      </c>
      <c r="E189" s="10">
        <f>garage!E189</f>
        <v>24</v>
      </c>
      <c r="F189" s="10" t="str">
        <f>garage!F189</f>
        <v>--</v>
      </c>
      <c r="G189" s="10" t="str">
        <f>garage!G189</f>
        <v>O</v>
      </c>
      <c r="H189" s="10" t="str">
        <f>garage!H189</f>
        <v>N</v>
      </c>
      <c r="I189" s="10" t="str">
        <f>garage!I189</f>
        <v>N</v>
      </c>
      <c r="J189" s="10" t="str">
        <f>garage!J189</f>
        <v>N</v>
      </c>
      <c r="K189" s="10" t="str">
        <f>garage!K189</f>
        <v>S</v>
      </c>
      <c r="L189" s="11" t="str">
        <f>garage!L189</f>
        <v>Vision</v>
      </c>
      <c r="M189" s="11">
        <f>garage!M189</f>
        <v>1789</v>
      </c>
      <c r="O189" s="19" t="s">
        <v>446</v>
      </c>
      <c r="P189" s="16" t="s">
        <v>446</v>
      </c>
      <c r="Q189" s="16" t="s">
        <v>446</v>
      </c>
      <c r="R189" s="17" t="s">
        <v>446</v>
      </c>
      <c r="S189" s="16" t="s">
        <v>446</v>
      </c>
      <c r="T189" s="16" t="s">
        <v>446</v>
      </c>
      <c r="U189" s="16" t="s">
        <v>446</v>
      </c>
      <c r="V189" s="17" t="s">
        <v>446</v>
      </c>
      <c r="W189" s="16" t="s">
        <v>446</v>
      </c>
      <c r="X189" s="16" t="s">
        <v>446</v>
      </c>
      <c r="Y189" s="16" t="s">
        <v>446</v>
      </c>
      <c r="Z189" s="17" t="s">
        <v>446</v>
      </c>
      <c r="AA189" s="16" t="s">
        <v>446</v>
      </c>
      <c r="AB189" s="16" t="s">
        <v>446</v>
      </c>
      <c r="AC189" s="16" t="s">
        <v>446</v>
      </c>
      <c r="AD189" s="17" t="s">
        <v>446</v>
      </c>
      <c r="AE189" s="16" t="s">
        <v>446</v>
      </c>
      <c r="AF189" s="16" t="s">
        <v>446</v>
      </c>
      <c r="AG189" s="16" t="s">
        <v>446</v>
      </c>
      <c r="AH189" s="17" t="s">
        <v>446</v>
      </c>
      <c r="AI189" s="16" t="s">
        <v>446</v>
      </c>
      <c r="AJ189" s="16" t="s">
        <v>446</v>
      </c>
      <c r="AK189" s="16" t="s">
        <v>446</v>
      </c>
      <c r="AL189" s="17" t="s">
        <v>446</v>
      </c>
      <c r="AM189" s="16" t="s">
        <v>446</v>
      </c>
      <c r="AN189" s="16" t="s">
        <v>446</v>
      </c>
      <c r="AO189" s="16" t="s">
        <v>446</v>
      </c>
      <c r="AP189" s="17" t="s">
        <v>446</v>
      </c>
      <c r="AQ189" s="16" t="s">
        <v>446</v>
      </c>
      <c r="AR189" s="16" t="s">
        <v>446</v>
      </c>
      <c r="AS189" s="16" t="s">
        <v>446</v>
      </c>
      <c r="AT189" s="17" t="s">
        <v>446</v>
      </c>
      <c r="AU189" s="16" t="s">
        <v>446</v>
      </c>
      <c r="AV189" s="16" t="s">
        <v>446</v>
      </c>
      <c r="AW189" s="16" t="s">
        <v>446</v>
      </c>
      <c r="AX189" s="17" t="s">
        <v>446</v>
      </c>
      <c r="AY189" s="16" t="s">
        <v>446</v>
      </c>
      <c r="AZ189" s="16" t="s">
        <v>446</v>
      </c>
      <c r="BA189" s="16" t="s">
        <v>446</v>
      </c>
      <c r="BB189" s="17" t="s">
        <v>446</v>
      </c>
      <c r="BC189" s="16" t="s">
        <v>446</v>
      </c>
      <c r="BD189" s="16" t="s">
        <v>446</v>
      </c>
      <c r="BE189" s="16" t="s">
        <v>446</v>
      </c>
      <c r="BF189" s="17" t="s">
        <v>446</v>
      </c>
      <c r="BG189" s="16" t="s">
        <v>446</v>
      </c>
      <c r="BH189" s="16" t="s">
        <v>446</v>
      </c>
      <c r="BI189" s="16" t="s">
        <v>446</v>
      </c>
      <c r="BJ189" s="17" t="s">
        <v>446</v>
      </c>
      <c r="BK189" s="16" t="s">
        <v>446</v>
      </c>
      <c r="BL189" s="16" t="s">
        <v>446</v>
      </c>
      <c r="BM189" s="16" t="s">
        <v>446</v>
      </c>
      <c r="BN189" s="17" t="s">
        <v>446</v>
      </c>
      <c r="BP189" s="19" t="s">
        <v>446</v>
      </c>
      <c r="BQ189" s="16" t="s">
        <v>446</v>
      </c>
      <c r="BR189" s="16" t="s">
        <v>446</v>
      </c>
      <c r="BS189" s="17" t="s">
        <v>446</v>
      </c>
      <c r="BU189" s="19" t="s">
        <v>446</v>
      </c>
      <c r="BV189" s="16" t="s">
        <v>446</v>
      </c>
      <c r="BW189" s="16" t="s">
        <v>446</v>
      </c>
      <c r="BX189" s="17" t="s">
        <v>446</v>
      </c>
      <c r="BZ189" s="19" t="s">
        <v>446</v>
      </c>
      <c r="CA189" s="16" t="s">
        <v>446</v>
      </c>
      <c r="CB189" s="16" t="s">
        <v>446</v>
      </c>
      <c r="CC189" s="17" t="s">
        <v>446</v>
      </c>
    </row>
    <row r="190" spans="2:81" ht="18" customHeight="1" x14ac:dyDescent="0.2">
      <c r="B190" s="8">
        <f>garage!B190</f>
        <v>190</v>
      </c>
      <c r="C190" s="8">
        <f>garage!C190</f>
        <v>5</v>
      </c>
      <c r="D190" s="8">
        <f>garage!D190</f>
        <v>18</v>
      </c>
      <c r="E190" s="8">
        <f>garage!E190</f>
        <v>0</v>
      </c>
      <c r="F190" s="8" t="str">
        <f>garage!F190</f>
        <v>--</v>
      </c>
      <c r="G190" s="8" t="str">
        <f>garage!G190</f>
        <v>O</v>
      </c>
      <c r="H190" s="8" t="str">
        <f>garage!H190</f>
        <v>O</v>
      </c>
      <c r="I190" s="8" t="str">
        <f>garage!I190</f>
        <v>N</v>
      </c>
      <c r="J190" s="8" t="str">
        <f>garage!J190</f>
        <v>N</v>
      </c>
      <c r="K190" s="8" t="str">
        <f>garage!K190</f>
        <v>S</v>
      </c>
      <c r="L190" s="9" t="str">
        <f>garage!L190</f>
        <v>W Motors</v>
      </c>
      <c r="M190" s="9" t="str">
        <f>garage!M190</f>
        <v>Fenyr Supersport</v>
      </c>
      <c r="O190" s="18">
        <v>1</v>
      </c>
      <c r="P190" s="14">
        <v>1</v>
      </c>
      <c r="Q190" s="14">
        <v>1</v>
      </c>
      <c r="R190" s="15">
        <v>1</v>
      </c>
      <c r="S190" s="14">
        <v>1</v>
      </c>
      <c r="T190" s="14">
        <v>1</v>
      </c>
      <c r="U190" s="14">
        <v>1</v>
      </c>
      <c r="V190" s="15">
        <v>1</v>
      </c>
      <c r="W190" s="14">
        <v>1</v>
      </c>
      <c r="X190" s="14">
        <v>1</v>
      </c>
      <c r="Y190" s="14">
        <v>1</v>
      </c>
      <c r="Z190" s="15">
        <v>1</v>
      </c>
      <c r="AA190" s="14">
        <v>1</v>
      </c>
      <c r="AB190" s="14">
        <v>1</v>
      </c>
      <c r="AC190" s="14">
        <v>1</v>
      </c>
      <c r="AD190" s="15">
        <v>1</v>
      </c>
      <c r="AE190" s="14">
        <v>1</v>
      </c>
      <c r="AF190" s="14">
        <v>1</v>
      </c>
      <c r="AG190" s="14">
        <v>1</v>
      </c>
      <c r="AH190" s="15">
        <v>1</v>
      </c>
      <c r="AI190" s="14">
        <v>1</v>
      </c>
      <c r="AJ190" s="14">
        <v>1</v>
      </c>
      <c r="AK190" s="14">
        <v>1</v>
      </c>
      <c r="AL190" s="15">
        <v>1</v>
      </c>
      <c r="AM190" s="14">
        <v>1</v>
      </c>
      <c r="AN190" s="14">
        <v>1</v>
      </c>
      <c r="AO190" s="14">
        <v>1</v>
      </c>
      <c r="AP190" s="15">
        <v>1</v>
      </c>
      <c r="AQ190" s="14">
        <v>1</v>
      </c>
      <c r="AR190" s="14">
        <v>1</v>
      </c>
      <c r="AS190" s="14">
        <v>1</v>
      </c>
      <c r="AT190" s="15">
        <v>1</v>
      </c>
      <c r="AU190" s="14">
        <v>1</v>
      </c>
      <c r="AV190" s="14">
        <v>1</v>
      </c>
      <c r="AW190" s="14">
        <v>1</v>
      </c>
      <c r="AX190" s="15">
        <v>1</v>
      </c>
      <c r="AY190" s="14">
        <v>1</v>
      </c>
      <c r="AZ190" s="14">
        <v>1</v>
      </c>
      <c r="BA190" s="14">
        <v>1</v>
      </c>
      <c r="BB190" s="15">
        <v>1</v>
      </c>
      <c r="BC190" s="14">
        <v>1</v>
      </c>
      <c r="BD190" s="14">
        <v>1</v>
      </c>
      <c r="BE190" s="14">
        <v>1</v>
      </c>
      <c r="BF190" s="15">
        <v>1</v>
      </c>
      <c r="BG190" s="14">
        <v>1</v>
      </c>
      <c r="BH190" s="14">
        <v>1</v>
      </c>
      <c r="BI190" s="14">
        <v>1</v>
      </c>
      <c r="BJ190" s="15">
        <v>1</v>
      </c>
      <c r="BK190" s="14">
        <v>1</v>
      </c>
      <c r="BL190" s="14">
        <v>1</v>
      </c>
      <c r="BM190" s="14">
        <v>1</v>
      </c>
      <c r="BN190" s="15">
        <v>1</v>
      </c>
      <c r="BP190" s="18">
        <v>7</v>
      </c>
      <c r="BQ190" s="14">
        <v>7</v>
      </c>
      <c r="BR190" s="14">
        <v>7</v>
      </c>
      <c r="BS190" s="15">
        <v>7</v>
      </c>
      <c r="BU190" s="18">
        <v>5</v>
      </c>
      <c r="BV190" s="14">
        <v>5</v>
      </c>
      <c r="BW190" s="14">
        <v>5</v>
      </c>
      <c r="BX190" s="15">
        <v>5</v>
      </c>
      <c r="BZ190" s="18" t="s">
        <v>446</v>
      </c>
      <c r="CA190" s="14">
        <v>4</v>
      </c>
      <c r="CB190" s="14" t="s">
        <v>446</v>
      </c>
      <c r="CC190" s="15">
        <v>4</v>
      </c>
    </row>
    <row r="191" spans="2:81" ht="18" customHeight="1" x14ac:dyDescent="0.2">
      <c r="B191" s="10">
        <f>garage!B191</f>
        <v>191</v>
      </c>
      <c r="C191" s="10">
        <f>garage!C191</f>
        <v>5</v>
      </c>
      <c r="D191" s="10">
        <f>garage!D191</f>
        <v>19</v>
      </c>
      <c r="E191" s="10">
        <f>garage!E191</f>
        <v>19</v>
      </c>
      <c r="F191" s="10" t="str">
        <f>garage!F191</f>
        <v>AM</v>
      </c>
      <c r="G191" s="10" t="str">
        <f>garage!G191</f>
        <v>N</v>
      </c>
      <c r="H191" s="10" t="str">
        <f>garage!H191</f>
        <v>N</v>
      </c>
      <c r="I191" s="10" t="str">
        <f>garage!I191</f>
        <v>N</v>
      </c>
      <c r="J191" s="10" t="str">
        <f>garage!J191</f>
        <v>N</v>
      </c>
      <c r="K191" s="10" t="str">
        <f>garage!K191</f>
        <v>S</v>
      </c>
      <c r="L191" s="11" t="str">
        <f>garage!L191</f>
        <v>Aston Martin</v>
      </c>
      <c r="M191" s="11" t="str">
        <f>garage!M191</f>
        <v>Valkyrie</v>
      </c>
      <c r="O191" s="19" t="s">
        <v>446</v>
      </c>
      <c r="P191" s="16" t="s">
        <v>446</v>
      </c>
      <c r="Q191" s="16" t="s">
        <v>446</v>
      </c>
      <c r="R191" s="17" t="s">
        <v>446</v>
      </c>
      <c r="S191" s="16" t="s">
        <v>446</v>
      </c>
      <c r="T191" s="16" t="s">
        <v>446</v>
      </c>
      <c r="U191" s="16" t="s">
        <v>446</v>
      </c>
      <c r="V191" s="17" t="s">
        <v>446</v>
      </c>
      <c r="W191" s="16" t="s">
        <v>446</v>
      </c>
      <c r="X191" s="16" t="s">
        <v>446</v>
      </c>
      <c r="Y191" s="16" t="s">
        <v>446</v>
      </c>
      <c r="Z191" s="17" t="s">
        <v>446</v>
      </c>
      <c r="AA191" s="16" t="s">
        <v>446</v>
      </c>
      <c r="AB191" s="16" t="s">
        <v>446</v>
      </c>
      <c r="AC191" s="16" t="s">
        <v>446</v>
      </c>
      <c r="AD191" s="17" t="s">
        <v>446</v>
      </c>
      <c r="AE191" s="16" t="s">
        <v>446</v>
      </c>
      <c r="AF191" s="16" t="s">
        <v>446</v>
      </c>
      <c r="AG191" s="16" t="s">
        <v>446</v>
      </c>
      <c r="AH191" s="17" t="s">
        <v>446</v>
      </c>
      <c r="AI191" s="16" t="s">
        <v>446</v>
      </c>
      <c r="AJ191" s="16" t="s">
        <v>446</v>
      </c>
      <c r="AK191" s="16" t="s">
        <v>446</v>
      </c>
      <c r="AL191" s="17" t="s">
        <v>446</v>
      </c>
      <c r="AM191" s="16" t="s">
        <v>446</v>
      </c>
      <c r="AN191" s="16" t="s">
        <v>446</v>
      </c>
      <c r="AO191" s="16" t="s">
        <v>446</v>
      </c>
      <c r="AP191" s="17" t="s">
        <v>446</v>
      </c>
      <c r="AQ191" s="16" t="s">
        <v>446</v>
      </c>
      <c r="AR191" s="16" t="s">
        <v>446</v>
      </c>
      <c r="AS191" s="16" t="s">
        <v>446</v>
      </c>
      <c r="AT191" s="17" t="s">
        <v>446</v>
      </c>
      <c r="AU191" s="16" t="s">
        <v>446</v>
      </c>
      <c r="AV191" s="16" t="s">
        <v>446</v>
      </c>
      <c r="AW191" s="16" t="s">
        <v>446</v>
      </c>
      <c r="AX191" s="17" t="s">
        <v>446</v>
      </c>
      <c r="AY191" s="16" t="s">
        <v>446</v>
      </c>
      <c r="AZ191" s="16" t="s">
        <v>446</v>
      </c>
      <c r="BA191" s="16" t="s">
        <v>446</v>
      </c>
      <c r="BB191" s="17" t="s">
        <v>446</v>
      </c>
      <c r="BC191" s="16" t="s">
        <v>446</v>
      </c>
      <c r="BD191" s="16" t="s">
        <v>446</v>
      </c>
      <c r="BE191" s="16" t="s">
        <v>446</v>
      </c>
      <c r="BF191" s="17" t="s">
        <v>446</v>
      </c>
      <c r="BG191" s="16" t="s">
        <v>446</v>
      </c>
      <c r="BH191" s="16" t="s">
        <v>446</v>
      </c>
      <c r="BI191" s="16" t="s">
        <v>446</v>
      </c>
      <c r="BJ191" s="17" t="s">
        <v>446</v>
      </c>
      <c r="BK191" s="16" t="s">
        <v>446</v>
      </c>
      <c r="BL191" s="16" t="s">
        <v>446</v>
      </c>
      <c r="BM191" s="16" t="s">
        <v>446</v>
      </c>
      <c r="BN191" s="17" t="s">
        <v>446</v>
      </c>
      <c r="BP191" s="19" t="s">
        <v>446</v>
      </c>
      <c r="BQ191" s="16" t="s">
        <v>446</v>
      </c>
      <c r="BR191" s="16" t="s">
        <v>446</v>
      </c>
      <c r="BS191" s="17" t="s">
        <v>446</v>
      </c>
      <c r="BU191" s="19" t="s">
        <v>446</v>
      </c>
      <c r="BV191" s="16" t="s">
        <v>446</v>
      </c>
      <c r="BW191" s="16" t="s">
        <v>446</v>
      </c>
      <c r="BX191" s="17" t="s">
        <v>446</v>
      </c>
      <c r="BZ191" s="19" t="s">
        <v>446</v>
      </c>
      <c r="CA191" s="16" t="s">
        <v>446</v>
      </c>
      <c r="CB191" s="16" t="s">
        <v>446</v>
      </c>
      <c r="CC191" s="17" t="s">
        <v>446</v>
      </c>
    </row>
    <row r="192" spans="2:81" ht="18" customHeight="1" x14ac:dyDescent="0.2">
      <c r="B192" s="8">
        <f>garage!B192</f>
        <v>192</v>
      </c>
      <c r="C192" s="8">
        <f>garage!C192</f>
        <v>5</v>
      </c>
      <c r="D192" s="8">
        <f>garage!D192</f>
        <v>20</v>
      </c>
      <c r="E192" s="8">
        <f>garage!E192</f>
        <v>0</v>
      </c>
      <c r="F192" s="8" t="str">
        <f>garage!F192</f>
        <v>--</v>
      </c>
      <c r="G192" s="8" t="str">
        <f>garage!G192</f>
        <v>O</v>
      </c>
      <c r="H192" s="8" t="str">
        <f>garage!H192</f>
        <v>O</v>
      </c>
      <c r="I192" s="8" t="str">
        <f>garage!I192</f>
        <v>N</v>
      </c>
      <c r="J192" s="8" t="str">
        <f>garage!J192</f>
        <v>N</v>
      </c>
      <c r="K192" s="8" t="str">
        <f>garage!K192</f>
        <v>S</v>
      </c>
      <c r="L192" s="9" t="str">
        <f>garage!L192</f>
        <v>Zenvo</v>
      </c>
      <c r="M192" s="9" t="str">
        <f>garage!M192</f>
        <v>TS1 GT Anniversary</v>
      </c>
      <c r="O192" s="18">
        <v>1</v>
      </c>
      <c r="P192" s="14">
        <v>1</v>
      </c>
      <c r="Q192" s="14">
        <v>1</v>
      </c>
      <c r="R192" s="15">
        <v>1</v>
      </c>
      <c r="S192" s="14">
        <v>1</v>
      </c>
      <c r="T192" s="14">
        <v>1</v>
      </c>
      <c r="U192" s="14">
        <v>1</v>
      </c>
      <c r="V192" s="15">
        <v>1</v>
      </c>
      <c r="W192" s="14">
        <v>1</v>
      </c>
      <c r="X192" s="14">
        <v>1</v>
      </c>
      <c r="Y192" s="14">
        <v>1</v>
      </c>
      <c r="Z192" s="15">
        <v>1</v>
      </c>
      <c r="AA192" s="14">
        <v>1</v>
      </c>
      <c r="AB192" s="14">
        <v>1</v>
      </c>
      <c r="AC192" s="14">
        <v>1</v>
      </c>
      <c r="AD192" s="15">
        <v>1</v>
      </c>
      <c r="AE192" s="14">
        <v>1</v>
      </c>
      <c r="AF192" s="14">
        <v>1</v>
      </c>
      <c r="AG192" s="14">
        <v>1</v>
      </c>
      <c r="AH192" s="15">
        <v>1</v>
      </c>
      <c r="AI192" s="14">
        <v>1</v>
      </c>
      <c r="AJ192" s="14">
        <v>1</v>
      </c>
      <c r="AK192" s="14">
        <v>1</v>
      </c>
      <c r="AL192" s="15">
        <v>1</v>
      </c>
      <c r="AM192" s="14">
        <v>1</v>
      </c>
      <c r="AN192" s="14">
        <v>1</v>
      </c>
      <c r="AO192" s="14">
        <v>1</v>
      </c>
      <c r="AP192" s="15">
        <v>1</v>
      </c>
      <c r="AQ192" s="14">
        <v>1</v>
      </c>
      <c r="AR192" s="14">
        <v>1</v>
      </c>
      <c r="AS192" s="14">
        <v>1</v>
      </c>
      <c r="AT192" s="15">
        <v>1</v>
      </c>
      <c r="AU192" s="14">
        <v>1</v>
      </c>
      <c r="AV192" s="14">
        <v>1</v>
      </c>
      <c r="AW192" s="14">
        <v>1</v>
      </c>
      <c r="AX192" s="15">
        <v>1</v>
      </c>
      <c r="AY192" s="14">
        <v>1</v>
      </c>
      <c r="AZ192" s="14">
        <v>1</v>
      </c>
      <c r="BA192" s="14">
        <v>1</v>
      </c>
      <c r="BB192" s="15">
        <v>1</v>
      </c>
      <c r="BC192" s="14">
        <v>1</v>
      </c>
      <c r="BD192" s="14">
        <v>1</v>
      </c>
      <c r="BE192" s="14">
        <v>1</v>
      </c>
      <c r="BF192" s="15">
        <v>1</v>
      </c>
      <c r="BG192" s="14">
        <v>1</v>
      </c>
      <c r="BH192" s="14">
        <v>1</v>
      </c>
      <c r="BI192" s="14">
        <v>1</v>
      </c>
      <c r="BJ192" s="15">
        <v>1</v>
      </c>
      <c r="BK192" s="14">
        <v>1</v>
      </c>
      <c r="BL192" s="14">
        <v>1</v>
      </c>
      <c r="BM192" s="14">
        <v>1</v>
      </c>
      <c r="BN192" s="15">
        <v>1</v>
      </c>
      <c r="BP192" s="18">
        <v>7</v>
      </c>
      <c r="BQ192" s="14">
        <v>7</v>
      </c>
      <c r="BR192" s="14">
        <v>7</v>
      </c>
      <c r="BS192" s="15">
        <v>7</v>
      </c>
      <c r="BU192" s="18">
        <v>5</v>
      </c>
      <c r="BV192" s="14">
        <v>5</v>
      </c>
      <c r="BW192" s="14">
        <v>5</v>
      </c>
      <c r="BX192" s="15">
        <v>5</v>
      </c>
      <c r="BZ192" s="18">
        <v>0</v>
      </c>
      <c r="CA192" s="14">
        <v>2</v>
      </c>
      <c r="CB192" s="14">
        <v>0</v>
      </c>
      <c r="CC192" s="15">
        <v>4</v>
      </c>
    </row>
    <row r="193" spans="2:81" ht="18" customHeight="1" x14ac:dyDescent="0.2">
      <c r="B193" s="10">
        <f>garage!B193</f>
        <v>193</v>
      </c>
      <c r="C193" s="10">
        <f>garage!C193</f>
        <v>5</v>
      </c>
      <c r="D193" s="10">
        <f>garage!D193</f>
        <v>21</v>
      </c>
      <c r="E193" s="10">
        <f>garage!E193</f>
        <v>8</v>
      </c>
      <c r="F193" s="10" t="str">
        <f>garage!F193</f>
        <v>--</v>
      </c>
      <c r="G193" s="10" t="str">
        <f>garage!G193</f>
        <v>O</v>
      </c>
      <c r="H193" s="10" t="str">
        <f>garage!H193</f>
        <v>N</v>
      </c>
      <c r="I193" s="10" t="str">
        <f>garage!I193</f>
        <v>N</v>
      </c>
      <c r="J193" s="10" t="str">
        <f>garage!J193</f>
        <v>N</v>
      </c>
      <c r="K193" s="10" t="str">
        <f>garage!K193</f>
        <v>S</v>
      </c>
      <c r="L193" s="11" t="str">
        <f>garage!L193</f>
        <v>Automobili Pininfarina</v>
      </c>
      <c r="M193" s="11" t="str">
        <f>garage!M193</f>
        <v>Battista</v>
      </c>
      <c r="O193" s="19">
        <v>1</v>
      </c>
      <c r="P193" s="16">
        <v>1</v>
      </c>
      <c r="Q193" s="16">
        <v>1</v>
      </c>
      <c r="R193" s="17">
        <v>1</v>
      </c>
      <c r="S193" s="16">
        <v>1</v>
      </c>
      <c r="T193" s="16">
        <v>1</v>
      </c>
      <c r="U193" s="16">
        <v>1</v>
      </c>
      <c r="V193" s="17">
        <v>1</v>
      </c>
      <c r="W193" s="16">
        <v>1</v>
      </c>
      <c r="X193" s="16">
        <v>1</v>
      </c>
      <c r="Y193" s="16">
        <v>1</v>
      </c>
      <c r="Z193" s="17">
        <v>1</v>
      </c>
      <c r="AA193" s="16">
        <v>1</v>
      </c>
      <c r="AB193" s="16">
        <v>1</v>
      </c>
      <c r="AC193" s="16">
        <v>1</v>
      </c>
      <c r="AD193" s="17">
        <v>1</v>
      </c>
      <c r="AE193" s="16">
        <v>1</v>
      </c>
      <c r="AF193" s="16">
        <v>1</v>
      </c>
      <c r="AG193" s="16">
        <v>1</v>
      </c>
      <c r="AH193" s="17">
        <v>1</v>
      </c>
      <c r="AI193" s="16">
        <v>1</v>
      </c>
      <c r="AJ193" s="16">
        <v>1</v>
      </c>
      <c r="AK193" s="16">
        <v>1</v>
      </c>
      <c r="AL193" s="17">
        <v>1</v>
      </c>
      <c r="AM193" s="16">
        <v>1</v>
      </c>
      <c r="AN193" s="16">
        <v>1</v>
      </c>
      <c r="AO193" s="16">
        <v>1</v>
      </c>
      <c r="AP193" s="17">
        <v>1</v>
      </c>
      <c r="AQ193" s="16">
        <v>1</v>
      </c>
      <c r="AR193" s="16">
        <v>1</v>
      </c>
      <c r="AS193" s="16">
        <v>1</v>
      </c>
      <c r="AT193" s="17">
        <v>1</v>
      </c>
      <c r="AU193" s="16">
        <v>1</v>
      </c>
      <c r="AV193" s="16">
        <v>1</v>
      </c>
      <c r="AW193" s="16">
        <v>1</v>
      </c>
      <c r="AX193" s="17">
        <v>1</v>
      </c>
      <c r="AY193" s="16">
        <v>1</v>
      </c>
      <c r="AZ193" s="16">
        <v>1</v>
      </c>
      <c r="BA193" s="16">
        <v>1</v>
      </c>
      <c r="BB193" s="17">
        <v>1</v>
      </c>
      <c r="BC193" s="16" t="s">
        <v>446</v>
      </c>
      <c r="BD193" s="16" t="s">
        <v>446</v>
      </c>
      <c r="BE193" s="16" t="s">
        <v>446</v>
      </c>
      <c r="BF193" s="17" t="s">
        <v>446</v>
      </c>
      <c r="BG193" s="16" t="s">
        <v>446</v>
      </c>
      <c r="BH193" s="16" t="s">
        <v>446</v>
      </c>
      <c r="BI193" s="16" t="s">
        <v>446</v>
      </c>
      <c r="BJ193" s="17" t="s">
        <v>446</v>
      </c>
      <c r="BK193" s="16" t="s">
        <v>446</v>
      </c>
      <c r="BL193" s="16" t="s">
        <v>446</v>
      </c>
      <c r="BM193" s="16" t="s">
        <v>446</v>
      </c>
      <c r="BN193" s="17" t="s">
        <v>446</v>
      </c>
      <c r="BP193" s="19">
        <v>7</v>
      </c>
      <c r="BQ193" s="16">
        <v>6</v>
      </c>
      <c r="BR193" s="16">
        <v>4</v>
      </c>
      <c r="BS193" s="17">
        <v>4</v>
      </c>
      <c r="BU193" s="19">
        <v>2</v>
      </c>
      <c r="BV193" s="16">
        <v>2</v>
      </c>
      <c r="BW193" s="16">
        <v>3</v>
      </c>
      <c r="BX193" s="17">
        <v>2</v>
      </c>
      <c r="BZ193" s="19" t="s">
        <v>446</v>
      </c>
      <c r="CA193" s="16" t="s">
        <v>446</v>
      </c>
      <c r="CB193" s="16" t="s">
        <v>446</v>
      </c>
      <c r="CC193" s="17" t="s">
        <v>446</v>
      </c>
    </row>
    <row r="194" spans="2:81" ht="18" customHeight="1" x14ac:dyDescent="0.2">
      <c r="B194" s="8">
        <f>garage!B194</f>
        <v>194</v>
      </c>
      <c r="C194" s="8">
        <f>garage!C194</f>
        <v>5</v>
      </c>
      <c r="D194" s="8">
        <f>garage!D194</f>
        <v>22</v>
      </c>
      <c r="E194" s="8">
        <f>garage!E194</f>
        <v>22</v>
      </c>
      <c r="F194" s="8" t="str">
        <f>garage!F194</f>
        <v>--</v>
      </c>
      <c r="G194" s="8" t="str">
        <f>garage!G194</f>
        <v>N</v>
      </c>
      <c r="H194" s="8" t="str">
        <f>garage!H194</f>
        <v>N</v>
      </c>
      <c r="I194" s="8" t="str">
        <f>garage!I194</f>
        <v>N</v>
      </c>
      <c r="J194" s="8" t="str">
        <f>garage!J194</f>
        <v>N</v>
      </c>
      <c r="K194" s="8" t="str">
        <f>garage!K194</f>
        <v>S</v>
      </c>
      <c r="L194" s="9" t="str">
        <f>garage!L194</f>
        <v>Naran</v>
      </c>
      <c r="M194" s="9" t="str">
        <f>garage!M194</f>
        <v>Hyper Coupé</v>
      </c>
      <c r="O194" s="18" t="s">
        <v>446</v>
      </c>
      <c r="P194" s="14" t="s">
        <v>446</v>
      </c>
      <c r="Q194" s="14" t="s">
        <v>446</v>
      </c>
      <c r="R194" s="15" t="s">
        <v>446</v>
      </c>
      <c r="S194" s="14" t="s">
        <v>446</v>
      </c>
      <c r="T194" s="14" t="s">
        <v>446</v>
      </c>
      <c r="U194" s="14" t="s">
        <v>446</v>
      </c>
      <c r="V194" s="15" t="s">
        <v>446</v>
      </c>
      <c r="W194" s="14" t="s">
        <v>446</v>
      </c>
      <c r="X194" s="14" t="s">
        <v>446</v>
      </c>
      <c r="Y194" s="14" t="s">
        <v>446</v>
      </c>
      <c r="Z194" s="15" t="s">
        <v>446</v>
      </c>
      <c r="AA194" s="14" t="s">
        <v>446</v>
      </c>
      <c r="AB194" s="14" t="s">
        <v>446</v>
      </c>
      <c r="AC194" s="14" t="s">
        <v>446</v>
      </c>
      <c r="AD194" s="15" t="s">
        <v>446</v>
      </c>
      <c r="AE194" s="14" t="s">
        <v>446</v>
      </c>
      <c r="AF194" s="14" t="s">
        <v>446</v>
      </c>
      <c r="AG194" s="14" t="s">
        <v>446</v>
      </c>
      <c r="AH194" s="15" t="s">
        <v>446</v>
      </c>
      <c r="AI194" s="14" t="s">
        <v>446</v>
      </c>
      <c r="AJ194" s="14" t="s">
        <v>446</v>
      </c>
      <c r="AK194" s="14" t="s">
        <v>446</v>
      </c>
      <c r="AL194" s="15" t="s">
        <v>446</v>
      </c>
      <c r="AM194" s="14" t="s">
        <v>446</v>
      </c>
      <c r="AN194" s="14" t="s">
        <v>446</v>
      </c>
      <c r="AO194" s="14" t="s">
        <v>446</v>
      </c>
      <c r="AP194" s="15" t="s">
        <v>446</v>
      </c>
      <c r="AQ194" s="14" t="s">
        <v>446</v>
      </c>
      <c r="AR194" s="14" t="s">
        <v>446</v>
      </c>
      <c r="AS194" s="14" t="s">
        <v>446</v>
      </c>
      <c r="AT194" s="15" t="s">
        <v>446</v>
      </c>
      <c r="AU194" s="14" t="s">
        <v>446</v>
      </c>
      <c r="AV194" s="14" t="s">
        <v>446</v>
      </c>
      <c r="AW194" s="14" t="s">
        <v>446</v>
      </c>
      <c r="AX194" s="15" t="s">
        <v>446</v>
      </c>
      <c r="AY194" s="14" t="s">
        <v>446</v>
      </c>
      <c r="AZ194" s="14" t="s">
        <v>446</v>
      </c>
      <c r="BA194" s="14" t="s">
        <v>446</v>
      </c>
      <c r="BB194" s="15" t="s">
        <v>446</v>
      </c>
      <c r="BC194" s="14" t="s">
        <v>446</v>
      </c>
      <c r="BD194" s="14" t="s">
        <v>446</v>
      </c>
      <c r="BE194" s="14" t="s">
        <v>446</v>
      </c>
      <c r="BF194" s="15" t="s">
        <v>446</v>
      </c>
      <c r="BG194" s="14" t="s">
        <v>446</v>
      </c>
      <c r="BH194" s="14" t="s">
        <v>446</v>
      </c>
      <c r="BI194" s="14" t="s">
        <v>446</v>
      </c>
      <c r="BJ194" s="15" t="s">
        <v>446</v>
      </c>
      <c r="BK194" s="14" t="s">
        <v>446</v>
      </c>
      <c r="BL194" s="14" t="s">
        <v>446</v>
      </c>
      <c r="BM194" s="14" t="s">
        <v>446</v>
      </c>
      <c r="BN194" s="15" t="s">
        <v>446</v>
      </c>
      <c r="BP194" s="18" t="s">
        <v>446</v>
      </c>
      <c r="BQ194" s="14" t="s">
        <v>446</v>
      </c>
      <c r="BR194" s="14" t="s">
        <v>446</v>
      </c>
      <c r="BS194" s="15" t="s">
        <v>446</v>
      </c>
      <c r="BU194" s="18" t="s">
        <v>446</v>
      </c>
      <c r="BV194" s="14" t="s">
        <v>446</v>
      </c>
      <c r="BW194" s="14" t="s">
        <v>446</v>
      </c>
      <c r="BX194" s="15" t="s">
        <v>446</v>
      </c>
      <c r="BZ194" s="18" t="s">
        <v>446</v>
      </c>
      <c r="CA194" s="14" t="s">
        <v>446</v>
      </c>
      <c r="CB194" s="14" t="s">
        <v>446</v>
      </c>
      <c r="CC194" s="15" t="s">
        <v>446</v>
      </c>
    </row>
    <row r="195" spans="2:81" ht="18" customHeight="1" x14ac:dyDescent="0.2">
      <c r="B195" s="10">
        <f>garage!B195</f>
        <v>195</v>
      </c>
      <c r="C195" s="10">
        <f>garage!C195</f>
        <v>5</v>
      </c>
      <c r="D195" s="10">
        <f>garage!D195</f>
        <v>23</v>
      </c>
      <c r="E195" s="10">
        <f>garage!E195</f>
        <v>14</v>
      </c>
      <c r="F195" s="10" t="str">
        <f>garage!F195</f>
        <v>M</v>
      </c>
      <c r="G195" s="10" t="str">
        <f>garage!G195</f>
        <v>O</v>
      </c>
      <c r="H195" s="10" t="str">
        <f>garage!H195</f>
        <v>N</v>
      </c>
      <c r="I195" s="10" t="str">
        <f>garage!I195</f>
        <v>N</v>
      </c>
      <c r="J195" s="10" t="str">
        <f>garage!J195</f>
        <v>N</v>
      </c>
      <c r="K195" s="10" t="str">
        <f>garage!K195</f>
        <v>S</v>
      </c>
      <c r="L195" s="11" t="str">
        <f>garage!L195</f>
        <v>McLaren</v>
      </c>
      <c r="M195" s="11" t="str">
        <f>garage!M195</f>
        <v>Speedtail</v>
      </c>
      <c r="O195" s="19">
        <v>1</v>
      </c>
      <c r="P195" s="16">
        <v>1</v>
      </c>
      <c r="Q195" s="16">
        <v>1</v>
      </c>
      <c r="R195" s="17">
        <v>1</v>
      </c>
      <c r="S195" s="16">
        <v>1</v>
      </c>
      <c r="T195" s="16">
        <v>1</v>
      </c>
      <c r="U195" s="16">
        <v>1</v>
      </c>
      <c r="V195" s="17">
        <v>1</v>
      </c>
      <c r="W195" s="16">
        <v>1</v>
      </c>
      <c r="X195" s="16">
        <v>1</v>
      </c>
      <c r="Y195" s="16">
        <v>1</v>
      </c>
      <c r="Z195" s="17">
        <v>1</v>
      </c>
      <c r="AA195" s="16">
        <v>1</v>
      </c>
      <c r="AB195" s="16">
        <v>1</v>
      </c>
      <c r="AC195" s="16">
        <v>1</v>
      </c>
      <c r="AD195" s="17">
        <v>1</v>
      </c>
      <c r="AE195" s="16">
        <v>1</v>
      </c>
      <c r="AF195" s="16">
        <v>1</v>
      </c>
      <c r="AG195" s="16">
        <v>1</v>
      </c>
      <c r="AH195" s="17">
        <v>1</v>
      </c>
      <c r="AI195" s="16">
        <v>1</v>
      </c>
      <c r="AJ195" s="16">
        <v>1</v>
      </c>
      <c r="AK195" s="16">
        <v>1</v>
      </c>
      <c r="AL195" s="17">
        <v>1</v>
      </c>
      <c r="AM195" s="16">
        <v>1</v>
      </c>
      <c r="AN195" s="16">
        <v>1</v>
      </c>
      <c r="AO195" s="16">
        <v>1</v>
      </c>
      <c r="AP195" s="17">
        <v>1</v>
      </c>
      <c r="AQ195" s="16">
        <v>1</v>
      </c>
      <c r="AR195" s="16">
        <v>1</v>
      </c>
      <c r="AS195" s="16">
        <v>1</v>
      </c>
      <c r="AT195" s="17">
        <v>1</v>
      </c>
      <c r="AU195" s="16">
        <v>1</v>
      </c>
      <c r="AV195" s="16">
        <v>1</v>
      </c>
      <c r="AW195" s="16">
        <v>1</v>
      </c>
      <c r="AX195" s="17">
        <v>1</v>
      </c>
      <c r="AY195" s="16">
        <v>1</v>
      </c>
      <c r="AZ195" s="16">
        <v>1</v>
      </c>
      <c r="BA195" s="16">
        <v>1</v>
      </c>
      <c r="BB195" s="17">
        <v>1</v>
      </c>
      <c r="BC195" s="16">
        <v>1</v>
      </c>
      <c r="BD195" s="16">
        <v>1</v>
      </c>
      <c r="BE195" s="16">
        <v>1</v>
      </c>
      <c r="BF195" s="17">
        <v>1</v>
      </c>
      <c r="BG195" s="16">
        <v>1</v>
      </c>
      <c r="BH195" s="16">
        <v>1</v>
      </c>
      <c r="BI195" s="16">
        <v>1</v>
      </c>
      <c r="BJ195" s="17">
        <v>1</v>
      </c>
      <c r="BK195" s="16" t="s">
        <v>446</v>
      </c>
      <c r="BL195" s="16" t="s">
        <v>446</v>
      </c>
      <c r="BM195" s="16" t="s">
        <v>446</v>
      </c>
      <c r="BN195" s="17" t="s">
        <v>446</v>
      </c>
      <c r="BP195" s="19">
        <v>7</v>
      </c>
      <c r="BQ195" s="16">
        <v>6</v>
      </c>
      <c r="BR195" s="16">
        <v>6</v>
      </c>
      <c r="BS195" s="17">
        <v>7</v>
      </c>
      <c r="BU195" s="19">
        <v>3</v>
      </c>
      <c r="BV195" s="16">
        <v>3</v>
      </c>
      <c r="BW195" s="16">
        <v>3</v>
      </c>
      <c r="BX195" s="17">
        <v>3</v>
      </c>
      <c r="BZ195" s="19" t="s">
        <v>446</v>
      </c>
      <c r="CA195" s="16" t="s">
        <v>446</v>
      </c>
      <c r="CB195" s="16" t="s">
        <v>446</v>
      </c>
      <c r="CC195" s="17" t="s">
        <v>446</v>
      </c>
    </row>
    <row r="196" spans="2:81" ht="18" customHeight="1" x14ac:dyDescent="0.2">
      <c r="B196" s="8">
        <f>garage!B196</f>
        <v>196</v>
      </c>
      <c r="C196" s="8">
        <f>garage!C196</f>
        <v>5</v>
      </c>
      <c r="D196" s="8">
        <f>garage!D196</f>
        <v>24</v>
      </c>
      <c r="E196" s="8">
        <f>garage!E196</f>
        <v>28</v>
      </c>
      <c r="F196" s="8" t="str">
        <f>garage!F196</f>
        <v>--</v>
      </c>
      <c r="G196" s="8" t="str">
        <f>garage!G196</f>
        <v>N</v>
      </c>
      <c r="H196" s="8" t="str">
        <f>garage!H196</f>
        <v>N</v>
      </c>
      <c r="I196" s="8" t="str">
        <f>garage!I196</f>
        <v>N</v>
      </c>
      <c r="J196" s="8" t="str">
        <f>garage!J196</f>
        <v>N</v>
      </c>
      <c r="K196" s="8" t="str">
        <f>garage!K196</f>
        <v>S</v>
      </c>
      <c r="L196" s="9" t="str">
        <f>garage!L196</f>
        <v>Faraday</v>
      </c>
      <c r="M196" s="9" t="str">
        <f>garage!M196</f>
        <v>FFZero1</v>
      </c>
      <c r="O196" s="18" t="s">
        <v>446</v>
      </c>
      <c r="P196" s="14" t="s">
        <v>446</v>
      </c>
      <c r="Q196" s="14" t="s">
        <v>446</v>
      </c>
      <c r="R196" s="15" t="s">
        <v>446</v>
      </c>
      <c r="S196" s="14" t="s">
        <v>446</v>
      </c>
      <c r="T196" s="14" t="s">
        <v>446</v>
      </c>
      <c r="U196" s="14" t="s">
        <v>446</v>
      </c>
      <c r="V196" s="15" t="s">
        <v>446</v>
      </c>
      <c r="W196" s="14" t="s">
        <v>446</v>
      </c>
      <c r="X196" s="14" t="s">
        <v>446</v>
      </c>
      <c r="Y196" s="14" t="s">
        <v>446</v>
      </c>
      <c r="Z196" s="15" t="s">
        <v>446</v>
      </c>
      <c r="AA196" s="14" t="s">
        <v>446</v>
      </c>
      <c r="AB196" s="14" t="s">
        <v>446</v>
      </c>
      <c r="AC196" s="14" t="s">
        <v>446</v>
      </c>
      <c r="AD196" s="15" t="s">
        <v>446</v>
      </c>
      <c r="AE196" s="14" t="s">
        <v>446</v>
      </c>
      <c r="AF196" s="14" t="s">
        <v>446</v>
      </c>
      <c r="AG196" s="14" t="s">
        <v>446</v>
      </c>
      <c r="AH196" s="15" t="s">
        <v>446</v>
      </c>
      <c r="AI196" s="14" t="s">
        <v>446</v>
      </c>
      <c r="AJ196" s="14" t="s">
        <v>446</v>
      </c>
      <c r="AK196" s="14" t="s">
        <v>446</v>
      </c>
      <c r="AL196" s="15" t="s">
        <v>446</v>
      </c>
      <c r="AM196" s="14" t="s">
        <v>446</v>
      </c>
      <c r="AN196" s="14" t="s">
        <v>446</v>
      </c>
      <c r="AO196" s="14" t="s">
        <v>446</v>
      </c>
      <c r="AP196" s="15" t="s">
        <v>446</v>
      </c>
      <c r="AQ196" s="14" t="s">
        <v>446</v>
      </c>
      <c r="AR196" s="14" t="s">
        <v>446</v>
      </c>
      <c r="AS196" s="14" t="s">
        <v>446</v>
      </c>
      <c r="AT196" s="15" t="s">
        <v>446</v>
      </c>
      <c r="AU196" s="14" t="s">
        <v>446</v>
      </c>
      <c r="AV196" s="14" t="s">
        <v>446</v>
      </c>
      <c r="AW196" s="14" t="s">
        <v>446</v>
      </c>
      <c r="AX196" s="15" t="s">
        <v>446</v>
      </c>
      <c r="AY196" s="14" t="s">
        <v>446</v>
      </c>
      <c r="AZ196" s="14" t="s">
        <v>446</v>
      </c>
      <c r="BA196" s="14" t="s">
        <v>446</v>
      </c>
      <c r="BB196" s="15" t="s">
        <v>446</v>
      </c>
      <c r="BC196" s="14" t="s">
        <v>446</v>
      </c>
      <c r="BD196" s="14" t="s">
        <v>446</v>
      </c>
      <c r="BE196" s="14" t="s">
        <v>446</v>
      </c>
      <c r="BF196" s="15" t="s">
        <v>446</v>
      </c>
      <c r="BG196" s="14" t="s">
        <v>446</v>
      </c>
      <c r="BH196" s="14" t="s">
        <v>446</v>
      </c>
      <c r="BI196" s="14" t="s">
        <v>446</v>
      </c>
      <c r="BJ196" s="15" t="s">
        <v>446</v>
      </c>
      <c r="BK196" s="14" t="s">
        <v>446</v>
      </c>
      <c r="BL196" s="14" t="s">
        <v>446</v>
      </c>
      <c r="BM196" s="14" t="s">
        <v>446</v>
      </c>
      <c r="BN196" s="15" t="s">
        <v>446</v>
      </c>
      <c r="BP196" s="18" t="s">
        <v>446</v>
      </c>
      <c r="BQ196" s="14" t="s">
        <v>446</v>
      </c>
      <c r="BR196" s="14" t="s">
        <v>446</v>
      </c>
      <c r="BS196" s="15" t="s">
        <v>446</v>
      </c>
      <c r="BU196" s="18" t="s">
        <v>446</v>
      </c>
      <c r="BV196" s="14" t="s">
        <v>446</v>
      </c>
      <c r="BW196" s="14" t="s">
        <v>446</v>
      </c>
      <c r="BX196" s="15" t="s">
        <v>446</v>
      </c>
      <c r="BZ196" s="18" t="s">
        <v>446</v>
      </c>
      <c r="CA196" s="14" t="s">
        <v>446</v>
      </c>
      <c r="CB196" s="14" t="s">
        <v>446</v>
      </c>
      <c r="CC196" s="15" t="s">
        <v>446</v>
      </c>
    </row>
    <row r="197" spans="2:81" ht="18" customHeight="1" x14ac:dyDescent="0.2">
      <c r="B197" s="10">
        <f>garage!B197</f>
        <v>197</v>
      </c>
      <c r="C197" s="10">
        <f>garage!C197</f>
        <v>5</v>
      </c>
      <c r="D197" s="10">
        <f>garage!D197</f>
        <v>25</v>
      </c>
      <c r="E197" s="10">
        <f>garage!E197</f>
        <v>0</v>
      </c>
      <c r="F197" s="10" t="str">
        <f>garage!F197</f>
        <v>--</v>
      </c>
      <c r="G197" s="10" t="str">
        <f>garage!G197</f>
        <v>O</v>
      </c>
      <c r="H197" s="10" t="str">
        <f>garage!H197</f>
        <v>O</v>
      </c>
      <c r="I197" s="10" t="str">
        <f>garage!I197</f>
        <v>O</v>
      </c>
      <c r="J197" s="10" t="str">
        <f>garage!J197</f>
        <v>N</v>
      </c>
      <c r="K197" s="10" t="str">
        <f>garage!K197</f>
        <v>S</v>
      </c>
      <c r="L197" s="11" t="str">
        <f>garage!L197</f>
        <v>Koenigsegg</v>
      </c>
      <c r="M197" s="11" t="str">
        <f>garage!M197</f>
        <v>Regera</v>
      </c>
      <c r="O197" s="19">
        <v>1</v>
      </c>
      <c r="P197" s="16">
        <v>1</v>
      </c>
      <c r="Q197" s="16">
        <v>1</v>
      </c>
      <c r="R197" s="17">
        <v>1</v>
      </c>
      <c r="S197" s="16">
        <v>1</v>
      </c>
      <c r="T197" s="16">
        <v>1</v>
      </c>
      <c r="U197" s="16">
        <v>1</v>
      </c>
      <c r="V197" s="17">
        <v>1</v>
      </c>
      <c r="W197" s="16">
        <v>1</v>
      </c>
      <c r="X197" s="16">
        <v>1</v>
      </c>
      <c r="Y197" s="16">
        <v>1</v>
      </c>
      <c r="Z197" s="17">
        <v>1</v>
      </c>
      <c r="AA197" s="16">
        <v>1</v>
      </c>
      <c r="AB197" s="16">
        <v>1</v>
      </c>
      <c r="AC197" s="16">
        <v>1</v>
      </c>
      <c r="AD197" s="17">
        <v>1</v>
      </c>
      <c r="AE197" s="16">
        <v>1</v>
      </c>
      <c r="AF197" s="16">
        <v>1</v>
      </c>
      <c r="AG197" s="16">
        <v>1</v>
      </c>
      <c r="AH197" s="17">
        <v>1</v>
      </c>
      <c r="AI197" s="16">
        <v>1</v>
      </c>
      <c r="AJ197" s="16">
        <v>1</v>
      </c>
      <c r="AK197" s="16">
        <v>1</v>
      </c>
      <c r="AL197" s="17">
        <v>1</v>
      </c>
      <c r="AM197" s="16">
        <v>1</v>
      </c>
      <c r="AN197" s="16">
        <v>1</v>
      </c>
      <c r="AO197" s="16">
        <v>1</v>
      </c>
      <c r="AP197" s="17">
        <v>1</v>
      </c>
      <c r="AQ197" s="16">
        <v>1</v>
      </c>
      <c r="AR197" s="16">
        <v>1</v>
      </c>
      <c r="AS197" s="16">
        <v>1</v>
      </c>
      <c r="AT197" s="17">
        <v>1</v>
      </c>
      <c r="AU197" s="16">
        <v>1</v>
      </c>
      <c r="AV197" s="16">
        <v>1</v>
      </c>
      <c r="AW197" s="16">
        <v>1</v>
      </c>
      <c r="AX197" s="17">
        <v>1</v>
      </c>
      <c r="AY197" s="16">
        <v>1</v>
      </c>
      <c r="AZ197" s="16">
        <v>1</v>
      </c>
      <c r="BA197" s="16">
        <v>1</v>
      </c>
      <c r="BB197" s="17">
        <v>1</v>
      </c>
      <c r="BC197" s="16">
        <v>1</v>
      </c>
      <c r="BD197" s="16">
        <v>1</v>
      </c>
      <c r="BE197" s="16">
        <v>1</v>
      </c>
      <c r="BF197" s="17">
        <v>1</v>
      </c>
      <c r="BG197" s="16">
        <v>1</v>
      </c>
      <c r="BH197" s="16">
        <v>1</v>
      </c>
      <c r="BI197" s="16">
        <v>1</v>
      </c>
      <c r="BJ197" s="17">
        <v>1</v>
      </c>
      <c r="BK197" s="16">
        <v>1</v>
      </c>
      <c r="BL197" s="16">
        <v>1</v>
      </c>
      <c r="BM197" s="16">
        <v>1</v>
      </c>
      <c r="BN197" s="17">
        <v>1</v>
      </c>
      <c r="BP197" s="19">
        <v>7</v>
      </c>
      <c r="BQ197" s="16">
        <v>7</v>
      </c>
      <c r="BR197" s="16">
        <v>7</v>
      </c>
      <c r="BS197" s="17">
        <v>7</v>
      </c>
      <c r="BU197" s="19">
        <v>5</v>
      </c>
      <c r="BV197" s="16">
        <v>5</v>
      </c>
      <c r="BW197" s="16">
        <v>5</v>
      </c>
      <c r="BX197" s="17">
        <v>5</v>
      </c>
      <c r="BZ197" s="19">
        <v>4</v>
      </c>
      <c r="CA197" s="16">
        <v>4</v>
      </c>
      <c r="CB197" s="16">
        <v>4</v>
      </c>
      <c r="CC197" s="17">
        <v>4</v>
      </c>
    </row>
    <row r="198" spans="2:81" ht="18" customHeight="1" x14ac:dyDescent="0.2">
      <c r="B198" s="10">
        <f>garage!B198</f>
        <v>198</v>
      </c>
      <c r="C198" s="10">
        <f>garage!C198</f>
        <v>5</v>
      </c>
      <c r="D198" s="10">
        <f>garage!D198</f>
        <v>26</v>
      </c>
      <c r="E198" s="10">
        <f>garage!E198</f>
        <v>32</v>
      </c>
      <c r="F198" s="10" t="str">
        <f>garage!F198</f>
        <v>--</v>
      </c>
      <c r="G198" s="10" t="str">
        <f>garage!G198</f>
        <v>N</v>
      </c>
      <c r="H198" s="10" t="str">
        <f>garage!H198</f>
        <v>N</v>
      </c>
      <c r="I198" s="10" t="str">
        <f>garage!I198</f>
        <v>N</v>
      </c>
      <c r="J198" s="10" t="str">
        <f>garage!J198</f>
        <v>N</v>
      </c>
      <c r="K198" s="10" t="str">
        <f>garage!K198</f>
        <v>S</v>
      </c>
      <c r="L198" s="11" t="str">
        <f>garage!L198</f>
        <v>Saleen</v>
      </c>
      <c r="M198" s="11" t="str">
        <f>garage!M198</f>
        <v>S7 Twin Turbo</v>
      </c>
      <c r="O198" s="19" t="s">
        <v>446</v>
      </c>
      <c r="P198" s="16" t="s">
        <v>446</v>
      </c>
      <c r="Q198" s="16" t="s">
        <v>446</v>
      </c>
      <c r="R198" s="17" t="s">
        <v>446</v>
      </c>
      <c r="S198" s="16" t="s">
        <v>446</v>
      </c>
      <c r="T198" s="16" t="s">
        <v>446</v>
      </c>
      <c r="U198" s="16" t="s">
        <v>446</v>
      </c>
      <c r="V198" s="17" t="s">
        <v>446</v>
      </c>
      <c r="W198" s="16" t="s">
        <v>446</v>
      </c>
      <c r="X198" s="16" t="s">
        <v>446</v>
      </c>
      <c r="Y198" s="16" t="s">
        <v>446</v>
      </c>
      <c r="Z198" s="17" t="s">
        <v>446</v>
      </c>
      <c r="AA198" s="16" t="s">
        <v>446</v>
      </c>
      <c r="AB198" s="16" t="s">
        <v>446</v>
      </c>
      <c r="AC198" s="16" t="s">
        <v>446</v>
      </c>
      <c r="AD198" s="17" t="s">
        <v>446</v>
      </c>
      <c r="AE198" s="16" t="s">
        <v>446</v>
      </c>
      <c r="AF198" s="16" t="s">
        <v>446</v>
      </c>
      <c r="AG198" s="16" t="s">
        <v>446</v>
      </c>
      <c r="AH198" s="17" t="s">
        <v>446</v>
      </c>
      <c r="AI198" s="16" t="s">
        <v>446</v>
      </c>
      <c r="AJ198" s="16" t="s">
        <v>446</v>
      </c>
      <c r="AK198" s="16" t="s">
        <v>446</v>
      </c>
      <c r="AL198" s="17" t="s">
        <v>446</v>
      </c>
      <c r="AM198" s="16" t="s">
        <v>446</v>
      </c>
      <c r="AN198" s="16" t="s">
        <v>446</v>
      </c>
      <c r="AO198" s="16" t="s">
        <v>446</v>
      </c>
      <c r="AP198" s="17" t="s">
        <v>446</v>
      </c>
      <c r="AQ198" s="16" t="s">
        <v>446</v>
      </c>
      <c r="AR198" s="16" t="s">
        <v>446</v>
      </c>
      <c r="AS198" s="16" t="s">
        <v>446</v>
      </c>
      <c r="AT198" s="17" t="s">
        <v>446</v>
      </c>
      <c r="AU198" s="16" t="s">
        <v>446</v>
      </c>
      <c r="AV198" s="16" t="s">
        <v>446</v>
      </c>
      <c r="AW198" s="16" t="s">
        <v>446</v>
      </c>
      <c r="AX198" s="17" t="s">
        <v>446</v>
      </c>
      <c r="AY198" s="16" t="s">
        <v>446</v>
      </c>
      <c r="AZ198" s="16" t="s">
        <v>446</v>
      </c>
      <c r="BA198" s="16" t="s">
        <v>446</v>
      </c>
      <c r="BB198" s="17" t="s">
        <v>446</v>
      </c>
      <c r="BC198" s="16" t="s">
        <v>446</v>
      </c>
      <c r="BD198" s="16" t="s">
        <v>446</v>
      </c>
      <c r="BE198" s="16" t="s">
        <v>446</v>
      </c>
      <c r="BF198" s="17" t="s">
        <v>446</v>
      </c>
      <c r="BG198" s="16" t="s">
        <v>446</v>
      </c>
      <c r="BH198" s="16" t="s">
        <v>446</v>
      </c>
      <c r="BI198" s="16" t="s">
        <v>446</v>
      </c>
      <c r="BJ198" s="17" t="s">
        <v>446</v>
      </c>
      <c r="BK198" s="16" t="s">
        <v>446</v>
      </c>
      <c r="BL198" s="16" t="s">
        <v>446</v>
      </c>
      <c r="BM198" s="16" t="s">
        <v>446</v>
      </c>
      <c r="BN198" s="17" t="s">
        <v>446</v>
      </c>
      <c r="BP198" s="19" t="s">
        <v>446</v>
      </c>
      <c r="BQ198" s="16" t="s">
        <v>446</v>
      </c>
      <c r="BR198" s="16" t="s">
        <v>446</v>
      </c>
      <c r="BS198" s="17" t="s">
        <v>446</v>
      </c>
      <c r="BU198" s="19" t="s">
        <v>446</v>
      </c>
      <c r="BV198" s="16" t="s">
        <v>446</v>
      </c>
      <c r="BW198" s="16" t="s">
        <v>446</v>
      </c>
      <c r="BX198" s="17" t="s">
        <v>446</v>
      </c>
      <c r="BZ198" s="19" t="s">
        <v>446</v>
      </c>
      <c r="CA198" s="16" t="s">
        <v>446</v>
      </c>
      <c r="CB198" s="16" t="s">
        <v>446</v>
      </c>
      <c r="CC198" s="17" t="s">
        <v>446</v>
      </c>
    </row>
    <row r="199" spans="2:81" ht="18" customHeight="1" x14ac:dyDescent="0.2">
      <c r="B199" s="8">
        <f>garage!B199</f>
        <v>199</v>
      </c>
      <c r="C199" s="8">
        <f>garage!C199</f>
        <v>5</v>
      </c>
      <c r="D199" s="8">
        <f>garage!D199</f>
        <v>27</v>
      </c>
      <c r="E199" s="8">
        <f>garage!E199</f>
        <v>23</v>
      </c>
      <c r="F199" s="8" t="str">
        <f>garage!F199</f>
        <v>--</v>
      </c>
      <c r="G199" s="8" t="str">
        <f>garage!G199</f>
        <v>N</v>
      </c>
      <c r="H199" s="8" t="str">
        <f>garage!H199</f>
        <v>N</v>
      </c>
      <c r="I199" s="8" t="str">
        <f>garage!I199</f>
        <v>N</v>
      </c>
      <c r="J199" s="8" t="str">
        <f>garage!J199</f>
        <v>N</v>
      </c>
      <c r="K199" s="8" t="str">
        <f>garage!K199</f>
        <v>S</v>
      </c>
      <c r="L199" s="9" t="str">
        <f>garage!L199</f>
        <v>Ultima</v>
      </c>
      <c r="M199" s="9" t="str">
        <f>garage!M199</f>
        <v>RS</v>
      </c>
      <c r="O199" s="18" t="s">
        <v>446</v>
      </c>
      <c r="P199" s="14" t="s">
        <v>446</v>
      </c>
      <c r="Q199" s="14" t="s">
        <v>446</v>
      </c>
      <c r="R199" s="15" t="s">
        <v>446</v>
      </c>
      <c r="S199" s="14" t="s">
        <v>446</v>
      </c>
      <c r="T199" s="14" t="s">
        <v>446</v>
      </c>
      <c r="U199" s="14" t="s">
        <v>446</v>
      </c>
      <c r="V199" s="15" t="s">
        <v>446</v>
      </c>
      <c r="W199" s="14" t="s">
        <v>446</v>
      </c>
      <c r="X199" s="14" t="s">
        <v>446</v>
      </c>
      <c r="Y199" s="14" t="s">
        <v>446</v>
      </c>
      <c r="Z199" s="15" t="s">
        <v>446</v>
      </c>
      <c r="AA199" s="14" t="s">
        <v>446</v>
      </c>
      <c r="AB199" s="14" t="s">
        <v>446</v>
      </c>
      <c r="AC199" s="14" t="s">
        <v>446</v>
      </c>
      <c r="AD199" s="15" t="s">
        <v>446</v>
      </c>
      <c r="AE199" s="14" t="s">
        <v>446</v>
      </c>
      <c r="AF199" s="14" t="s">
        <v>446</v>
      </c>
      <c r="AG199" s="14" t="s">
        <v>446</v>
      </c>
      <c r="AH199" s="15" t="s">
        <v>446</v>
      </c>
      <c r="AI199" s="14" t="s">
        <v>446</v>
      </c>
      <c r="AJ199" s="14" t="s">
        <v>446</v>
      </c>
      <c r="AK199" s="14" t="s">
        <v>446</v>
      </c>
      <c r="AL199" s="15" t="s">
        <v>446</v>
      </c>
      <c r="AM199" s="14" t="s">
        <v>446</v>
      </c>
      <c r="AN199" s="14" t="s">
        <v>446</v>
      </c>
      <c r="AO199" s="14" t="s">
        <v>446</v>
      </c>
      <c r="AP199" s="15" t="s">
        <v>446</v>
      </c>
      <c r="AQ199" s="14" t="s">
        <v>446</v>
      </c>
      <c r="AR199" s="14" t="s">
        <v>446</v>
      </c>
      <c r="AS199" s="14" t="s">
        <v>446</v>
      </c>
      <c r="AT199" s="15" t="s">
        <v>446</v>
      </c>
      <c r="AU199" s="14" t="s">
        <v>446</v>
      </c>
      <c r="AV199" s="14" t="s">
        <v>446</v>
      </c>
      <c r="AW199" s="14" t="s">
        <v>446</v>
      </c>
      <c r="AX199" s="15" t="s">
        <v>446</v>
      </c>
      <c r="AY199" s="14" t="s">
        <v>446</v>
      </c>
      <c r="AZ199" s="14" t="s">
        <v>446</v>
      </c>
      <c r="BA199" s="14" t="s">
        <v>446</v>
      </c>
      <c r="BB199" s="15" t="s">
        <v>446</v>
      </c>
      <c r="BC199" s="14" t="s">
        <v>446</v>
      </c>
      <c r="BD199" s="14" t="s">
        <v>446</v>
      </c>
      <c r="BE199" s="14" t="s">
        <v>446</v>
      </c>
      <c r="BF199" s="15" t="s">
        <v>446</v>
      </c>
      <c r="BG199" s="14" t="s">
        <v>446</v>
      </c>
      <c r="BH199" s="14" t="s">
        <v>446</v>
      </c>
      <c r="BI199" s="14" t="s">
        <v>446</v>
      </c>
      <c r="BJ199" s="15" t="s">
        <v>446</v>
      </c>
      <c r="BK199" s="14" t="s">
        <v>446</v>
      </c>
      <c r="BL199" s="14" t="s">
        <v>446</v>
      </c>
      <c r="BM199" s="14" t="s">
        <v>446</v>
      </c>
      <c r="BN199" s="15" t="s">
        <v>446</v>
      </c>
      <c r="BP199" s="18" t="s">
        <v>446</v>
      </c>
      <c r="BQ199" s="14" t="s">
        <v>446</v>
      </c>
      <c r="BR199" s="14" t="s">
        <v>446</v>
      </c>
      <c r="BS199" s="15" t="s">
        <v>446</v>
      </c>
      <c r="BU199" s="18" t="s">
        <v>446</v>
      </c>
      <c r="BV199" s="14" t="s">
        <v>446</v>
      </c>
      <c r="BW199" s="14" t="s">
        <v>446</v>
      </c>
      <c r="BX199" s="15" t="s">
        <v>446</v>
      </c>
      <c r="BZ199" s="18" t="s">
        <v>446</v>
      </c>
      <c r="CA199" s="14" t="s">
        <v>446</v>
      </c>
      <c r="CB199" s="14" t="s">
        <v>446</v>
      </c>
      <c r="CC199" s="15" t="s">
        <v>446</v>
      </c>
    </row>
    <row r="200" spans="2:81" ht="18" customHeight="1" x14ac:dyDescent="0.2">
      <c r="B200" s="10">
        <f>garage!B200</f>
        <v>200</v>
      </c>
      <c r="C200" s="10">
        <f>garage!C200</f>
        <v>5</v>
      </c>
      <c r="D200" s="10">
        <f>garage!D200</f>
        <v>28</v>
      </c>
      <c r="E200" s="10">
        <f>garage!E200</f>
        <v>12</v>
      </c>
      <c r="F200" s="10" t="str">
        <f>garage!F200</f>
        <v>L</v>
      </c>
      <c r="G200" s="10" t="str">
        <f>garage!G200</f>
        <v>N</v>
      </c>
      <c r="H200" s="10" t="str">
        <f>garage!H200</f>
        <v>N</v>
      </c>
      <c r="I200" s="10" t="str">
        <f>garage!I200</f>
        <v>N</v>
      </c>
      <c r="J200" s="10" t="str">
        <f>garage!J200</f>
        <v>N</v>
      </c>
      <c r="K200" s="10" t="str">
        <f>garage!K200</f>
        <v>S</v>
      </c>
      <c r="L200" s="11" t="str">
        <f>garage!L200</f>
        <v>Lamborghini</v>
      </c>
      <c r="M200" s="11" t="str">
        <f>garage!M200</f>
        <v>Sián FKP 37</v>
      </c>
      <c r="O200" s="19" t="s">
        <v>446</v>
      </c>
      <c r="P200" s="16" t="s">
        <v>446</v>
      </c>
      <c r="Q200" s="16" t="s">
        <v>446</v>
      </c>
      <c r="R200" s="17" t="s">
        <v>446</v>
      </c>
      <c r="S200" s="16" t="s">
        <v>446</v>
      </c>
      <c r="T200" s="16" t="s">
        <v>446</v>
      </c>
      <c r="U200" s="16" t="s">
        <v>446</v>
      </c>
      <c r="V200" s="17" t="s">
        <v>446</v>
      </c>
      <c r="W200" s="16" t="s">
        <v>446</v>
      </c>
      <c r="X200" s="16" t="s">
        <v>446</v>
      </c>
      <c r="Y200" s="16" t="s">
        <v>446</v>
      </c>
      <c r="Z200" s="17" t="s">
        <v>446</v>
      </c>
      <c r="AA200" s="16" t="s">
        <v>446</v>
      </c>
      <c r="AB200" s="16" t="s">
        <v>446</v>
      </c>
      <c r="AC200" s="16" t="s">
        <v>446</v>
      </c>
      <c r="AD200" s="17" t="s">
        <v>446</v>
      </c>
      <c r="AE200" s="16" t="s">
        <v>446</v>
      </c>
      <c r="AF200" s="16" t="s">
        <v>446</v>
      </c>
      <c r="AG200" s="16" t="s">
        <v>446</v>
      </c>
      <c r="AH200" s="17" t="s">
        <v>446</v>
      </c>
      <c r="AI200" s="16" t="s">
        <v>446</v>
      </c>
      <c r="AJ200" s="16" t="s">
        <v>446</v>
      </c>
      <c r="AK200" s="16" t="s">
        <v>446</v>
      </c>
      <c r="AL200" s="17" t="s">
        <v>446</v>
      </c>
      <c r="AM200" s="16" t="s">
        <v>446</v>
      </c>
      <c r="AN200" s="16" t="s">
        <v>446</v>
      </c>
      <c r="AO200" s="16" t="s">
        <v>446</v>
      </c>
      <c r="AP200" s="17" t="s">
        <v>446</v>
      </c>
      <c r="AQ200" s="16" t="s">
        <v>446</v>
      </c>
      <c r="AR200" s="16" t="s">
        <v>446</v>
      </c>
      <c r="AS200" s="16" t="s">
        <v>446</v>
      </c>
      <c r="AT200" s="17" t="s">
        <v>446</v>
      </c>
      <c r="AU200" s="16" t="s">
        <v>446</v>
      </c>
      <c r="AV200" s="16" t="s">
        <v>446</v>
      </c>
      <c r="AW200" s="16" t="s">
        <v>446</v>
      </c>
      <c r="AX200" s="17" t="s">
        <v>446</v>
      </c>
      <c r="AY200" s="16" t="s">
        <v>446</v>
      </c>
      <c r="AZ200" s="16" t="s">
        <v>446</v>
      </c>
      <c r="BA200" s="16" t="s">
        <v>446</v>
      </c>
      <c r="BB200" s="17" t="s">
        <v>446</v>
      </c>
      <c r="BC200" s="16" t="s">
        <v>446</v>
      </c>
      <c r="BD200" s="16" t="s">
        <v>446</v>
      </c>
      <c r="BE200" s="16" t="s">
        <v>446</v>
      </c>
      <c r="BF200" s="17" t="s">
        <v>446</v>
      </c>
      <c r="BG200" s="16" t="s">
        <v>446</v>
      </c>
      <c r="BH200" s="16" t="s">
        <v>446</v>
      </c>
      <c r="BI200" s="16" t="s">
        <v>446</v>
      </c>
      <c r="BJ200" s="17" t="s">
        <v>446</v>
      </c>
      <c r="BK200" s="16" t="s">
        <v>446</v>
      </c>
      <c r="BL200" s="16" t="s">
        <v>446</v>
      </c>
      <c r="BM200" s="16" t="s">
        <v>446</v>
      </c>
      <c r="BN200" s="17" t="s">
        <v>446</v>
      </c>
      <c r="BP200" s="19" t="s">
        <v>446</v>
      </c>
      <c r="BQ200" s="16" t="s">
        <v>446</v>
      </c>
      <c r="BR200" s="16" t="s">
        <v>446</v>
      </c>
      <c r="BS200" s="17" t="s">
        <v>446</v>
      </c>
      <c r="BU200" s="19" t="s">
        <v>446</v>
      </c>
      <c r="BV200" s="16" t="s">
        <v>446</v>
      </c>
      <c r="BW200" s="16" t="s">
        <v>446</v>
      </c>
      <c r="BX200" s="17" t="s">
        <v>446</v>
      </c>
      <c r="BZ200" s="19" t="s">
        <v>446</v>
      </c>
      <c r="CA200" s="16" t="s">
        <v>446</v>
      </c>
      <c r="CB200" s="16" t="s">
        <v>446</v>
      </c>
      <c r="CC200" s="17" t="s">
        <v>446</v>
      </c>
    </row>
    <row r="201" spans="2:81" ht="18" customHeight="1" x14ac:dyDescent="0.2">
      <c r="B201" s="8">
        <f>garage!B201</f>
        <v>201</v>
      </c>
      <c r="C201" s="8">
        <f>garage!C201</f>
        <v>5</v>
      </c>
      <c r="D201" s="8">
        <f>garage!D201</f>
        <v>29</v>
      </c>
      <c r="E201" s="8">
        <f>garage!E201</f>
        <v>27</v>
      </c>
      <c r="F201" s="8" t="str">
        <f>garage!F201</f>
        <v>--</v>
      </c>
      <c r="G201" s="8" t="str">
        <f>garage!G201</f>
        <v>N</v>
      </c>
      <c r="H201" s="8" t="str">
        <f>garage!H201</f>
        <v>N</v>
      </c>
      <c r="I201" s="8" t="str">
        <f>garage!I201</f>
        <v>N</v>
      </c>
      <c r="J201" s="8" t="str">
        <f>garage!J201</f>
        <v>N</v>
      </c>
      <c r="K201" s="8" t="str">
        <f>garage!K201</f>
        <v>S</v>
      </c>
      <c r="L201" s="9" t="str">
        <f>garage!L201</f>
        <v>Ajlani</v>
      </c>
      <c r="M201" s="9" t="str">
        <f>garage!M201</f>
        <v>Drakuma</v>
      </c>
      <c r="O201" s="18" t="s">
        <v>446</v>
      </c>
      <c r="P201" s="14" t="s">
        <v>446</v>
      </c>
      <c r="Q201" s="14" t="s">
        <v>446</v>
      </c>
      <c r="R201" s="15" t="s">
        <v>446</v>
      </c>
      <c r="S201" s="14" t="s">
        <v>446</v>
      </c>
      <c r="T201" s="14" t="s">
        <v>446</v>
      </c>
      <c r="U201" s="14" t="s">
        <v>446</v>
      </c>
      <c r="V201" s="15" t="s">
        <v>446</v>
      </c>
      <c r="W201" s="14" t="s">
        <v>446</v>
      </c>
      <c r="X201" s="14" t="s">
        <v>446</v>
      </c>
      <c r="Y201" s="14" t="s">
        <v>446</v>
      </c>
      <c r="Z201" s="15" t="s">
        <v>446</v>
      </c>
      <c r="AA201" s="14" t="s">
        <v>446</v>
      </c>
      <c r="AB201" s="14" t="s">
        <v>446</v>
      </c>
      <c r="AC201" s="14" t="s">
        <v>446</v>
      </c>
      <c r="AD201" s="15" t="s">
        <v>446</v>
      </c>
      <c r="AE201" s="14" t="s">
        <v>446</v>
      </c>
      <c r="AF201" s="14" t="s">
        <v>446</v>
      </c>
      <c r="AG201" s="14" t="s">
        <v>446</v>
      </c>
      <c r="AH201" s="15" t="s">
        <v>446</v>
      </c>
      <c r="AI201" s="14" t="s">
        <v>446</v>
      </c>
      <c r="AJ201" s="14" t="s">
        <v>446</v>
      </c>
      <c r="AK201" s="14" t="s">
        <v>446</v>
      </c>
      <c r="AL201" s="15" t="s">
        <v>446</v>
      </c>
      <c r="AM201" s="14" t="s">
        <v>446</v>
      </c>
      <c r="AN201" s="14" t="s">
        <v>446</v>
      </c>
      <c r="AO201" s="14" t="s">
        <v>446</v>
      </c>
      <c r="AP201" s="15" t="s">
        <v>446</v>
      </c>
      <c r="AQ201" s="14" t="s">
        <v>446</v>
      </c>
      <c r="AR201" s="14" t="s">
        <v>446</v>
      </c>
      <c r="AS201" s="14" t="s">
        <v>446</v>
      </c>
      <c r="AT201" s="15" t="s">
        <v>446</v>
      </c>
      <c r="AU201" s="14" t="s">
        <v>446</v>
      </c>
      <c r="AV201" s="14" t="s">
        <v>446</v>
      </c>
      <c r="AW201" s="14" t="s">
        <v>446</v>
      </c>
      <c r="AX201" s="15" t="s">
        <v>446</v>
      </c>
      <c r="AY201" s="14" t="s">
        <v>446</v>
      </c>
      <c r="AZ201" s="14" t="s">
        <v>446</v>
      </c>
      <c r="BA201" s="14" t="s">
        <v>446</v>
      </c>
      <c r="BB201" s="15" t="s">
        <v>446</v>
      </c>
      <c r="BC201" s="14" t="s">
        <v>446</v>
      </c>
      <c r="BD201" s="14" t="s">
        <v>446</v>
      </c>
      <c r="BE201" s="14" t="s">
        <v>446</v>
      </c>
      <c r="BF201" s="15" t="s">
        <v>446</v>
      </c>
      <c r="BG201" s="14" t="s">
        <v>446</v>
      </c>
      <c r="BH201" s="14" t="s">
        <v>446</v>
      </c>
      <c r="BI201" s="14" t="s">
        <v>446</v>
      </c>
      <c r="BJ201" s="15" t="s">
        <v>446</v>
      </c>
      <c r="BK201" s="14" t="s">
        <v>446</v>
      </c>
      <c r="BL201" s="14" t="s">
        <v>446</v>
      </c>
      <c r="BM201" s="14" t="s">
        <v>446</v>
      </c>
      <c r="BN201" s="15" t="s">
        <v>446</v>
      </c>
      <c r="BP201" s="18" t="s">
        <v>446</v>
      </c>
      <c r="BQ201" s="14" t="s">
        <v>446</v>
      </c>
      <c r="BR201" s="14" t="s">
        <v>446</v>
      </c>
      <c r="BS201" s="15" t="s">
        <v>446</v>
      </c>
      <c r="BU201" s="18" t="s">
        <v>446</v>
      </c>
      <c r="BV201" s="14" t="s">
        <v>446</v>
      </c>
      <c r="BW201" s="14" t="s">
        <v>446</v>
      </c>
      <c r="BX201" s="15" t="s">
        <v>446</v>
      </c>
      <c r="BZ201" s="18" t="s">
        <v>446</v>
      </c>
      <c r="CA201" s="14" t="s">
        <v>446</v>
      </c>
      <c r="CB201" s="14" t="s">
        <v>446</v>
      </c>
      <c r="CC201" s="15" t="s">
        <v>446</v>
      </c>
    </row>
    <row r="202" spans="2:81" ht="18" customHeight="1" x14ac:dyDescent="0.2">
      <c r="B202" s="10">
        <f>garage!B202</f>
        <v>202</v>
      </c>
      <c r="C202" s="10">
        <f>garage!C202</f>
        <v>5</v>
      </c>
      <c r="D202" s="10">
        <f>garage!D202</f>
        <v>30</v>
      </c>
      <c r="E202" s="10">
        <f>garage!E202</f>
        <v>17</v>
      </c>
      <c r="F202" s="10" t="str">
        <f>garage!F202</f>
        <v>--</v>
      </c>
      <c r="G202" s="10" t="str">
        <f>garage!G202</f>
        <v>O</v>
      </c>
      <c r="H202" s="10" t="str">
        <f>garage!H202</f>
        <v>N</v>
      </c>
      <c r="I202" s="10" t="str">
        <f>garage!I202</f>
        <v>N</v>
      </c>
      <c r="J202" s="10" t="str">
        <f>garage!J202</f>
        <v>N</v>
      </c>
      <c r="K202" s="10" t="str">
        <f>garage!K202</f>
        <v>S</v>
      </c>
      <c r="L202" s="11" t="str">
        <f>garage!L202</f>
        <v>Inferno Automobili</v>
      </c>
      <c r="M202" s="11" t="str">
        <f>garage!M202</f>
        <v>Inferno</v>
      </c>
      <c r="O202" s="19">
        <v>1</v>
      </c>
      <c r="P202" s="16">
        <v>1</v>
      </c>
      <c r="Q202" s="16">
        <v>1</v>
      </c>
      <c r="R202" s="17">
        <v>1</v>
      </c>
      <c r="S202" s="16">
        <v>1</v>
      </c>
      <c r="T202" s="16">
        <v>1</v>
      </c>
      <c r="U202" s="16">
        <v>1</v>
      </c>
      <c r="V202" s="17">
        <v>1</v>
      </c>
      <c r="W202" s="16">
        <v>1</v>
      </c>
      <c r="X202" s="16">
        <v>1</v>
      </c>
      <c r="Y202" s="16">
        <v>1</v>
      </c>
      <c r="Z202" s="17">
        <v>1</v>
      </c>
      <c r="AA202" s="16">
        <v>1</v>
      </c>
      <c r="AB202" s="16">
        <v>1</v>
      </c>
      <c r="AC202" s="16">
        <v>1</v>
      </c>
      <c r="AD202" s="17">
        <v>1</v>
      </c>
      <c r="AE202" s="16">
        <v>1</v>
      </c>
      <c r="AF202" s="16">
        <v>1</v>
      </c>
      <c r="AG202" s="16">
        <v>1</v>
      </c>
      <c r="AH202" s="17">
        <v>1</v>
      </c>
      <c r="AI202" s="16">
        <v>1</v>
      </c>
      <c r="AJ202" s="16">
        <v>1</v>
      </c>
      <c r="AK202" s="16">
        <v>1</v>
      </c>
      <c r="AL202" s="17">
        <v>1</v>
      </c>
      <c r="AM202" s="16">
        <v>1</v>
      </c>
      <c r="AN202" s="16">
        <v>1</v>
      </c>
      <c r="AO202" s="16">
        <v>1</v>
      </c>
      <c r="AP202" s="17">
        <v>1</v>
      </c>
      <c r="AQ202" s="16" t="s">
        <v>446</v>
      </c>
      <c r="AR202" s="16" t="s">
        <v>446</v>
      </c>
      <c r="AS202" s="16" t="s">
        <v>446</v>
      </c>
      <c r="AT202" s="17" t="s">
        <v>446</v>
      </c>
      <c r="AU202" s="16" t="s">
        <v>446</v>
      </c>
      <c r="AV202" s="16" t="s">
        <v>446</v>
      </c>
      <c r="AW202" s="16" t="s">
        <v>446</v>
      </c>
      <c r="AX202" s="17" t="s">
        <v>446</v>
      </c>
      <c r="AY202" s="16" t="s">
        <v>446</v>
      </c>
      <c r="AZ202" s="16" t="s">
        <v>446</v>
      </c>
      <c r="BA202" s="16" t="s">
        <v>446</v>
      </c>
      <c r="BB202" s="17" t="s">
        <v>446</v>
      </c>
      <c r="BC202" s="16" t="s">
        <v>446</v>
      </c>
      <c r="BD202" s="16" t="s">
        <v>446</v>
      </c>
      <c r="BE202" s="16" t="s">
        <v>446</v>
      </c>
      <c r="BF202" s="17" t="s">
        <v>446</v>
      </c>
      <c r="BG202" s="16" t="s">
        <v>446</v>
      </c>
      <c r="BH202" s="16" t="s">
        <v>446</v>
      </c>
      <c r="BI202" s="16" t="s">
        <v>446</v>
      </c>
      <c r="BJ202" s="17" t="s">
        <v>446</v>
      </c>
      <c r="BK202" s="16" t="s">
        <v>446</v>
      </c>
      <c r="BL202" s="16" t="s">
        <v>446</v>
      </c>
      <c r="BM202" s="16" t="s">
        <v>446</v>
      </c>
      <c r="BN202" s="17" t="s">
        <v>446</v>
      </c>
      <c r="BP202" s="19">
        <v>4</v>
      </c>
      <c r="BQ202" s="16">
        <v>4</v>
      </c>
      <c r="BR202" s="16">
        <v>4</v>
      </c>
      <c r="BS202" s="17">
        <v>4</v>
      </c>
      <c r="BU202" s="19">
        <v>2</v>
      </c>
      <c r="BV202" s="16">
        <v>2</v>
      </c>
      <c r="BW202" s="16">
        <v>2</v>
      </c>
      <c r="BX202" s="17">
        <v>2</v>
      </c>
      <c r="BZ202" s="19" t="s">
        <v>446</v>
      </c>
      <c r="CA202" s="16" t="s">
        <v>446</v>
      </c>
      <c r="CB202" s="16" t="s">
        <v>446</v>
      </c>
      <c r="CC202" s="17" t="s">
        <v>446</v>
      </c>
    </row>
    <row r="203" spans="2:81" ht="18" customHeight="1" x14ac:dyDescent="0.2">
      <c r="B203" s="8">
        <f>garage!B203</f>
        <v>203</v>
      </c>
      <c r="C203" s="8">
        <f>garage!C203</f>
        <v>5</v>
      </c>
      <c r="D203" s="8">
        <f>garage!D203</f>
        <v>31</v>
      </c>
      <c r="E203" s="8">
        <f>garage!E203</f>
        <v>29</v>
      </c>
      <c r="F203" s="8" t="str">
        <f>garage!F203</f>
        <v>--</v>
      </c>
      <c r="G203" s="8" t="str">
        <f>garage!G203</f>
        <v>N</v>
      </c>
      <c r="H203" s="8" t="str">
        <f>garage!H203</f>
        <v>N</v>
      </c>
      <c r="I203" s="8" t="str">
        <f>garage!I203</f>
        <v>N</v>
      </c>
      <c r="J203" s="8" t="str">
        <f>garage!J203</f>
        <v>N</v>
      </c>
      <c r="K203" s="8" t="str">
        <f>garage!K203</f>
        <v>S</v>
      </c>
      <c r="L203" s="9" t="str">
        <f>garage!L203</f>
        <v>Torino Design</v>
      </c>
      <c r="M203" s="9" t="str">
        <f>garage!M203</f>
        <v>Super Sport</v>
      </c>
      <c r="O203" s="18" t="s">
        <v>446</v>
      </c>
      <c r="P203" s="14" t="s">
        <v>446</v>
      </c>
      <c r="Q203" s="14" t="s">
        <v>446</v>
      </c>
      <c r="R203" s="15" t="s">
        <v>446</v>
      </c>
      <c r="S203" s="14" t="s">
        <v>446</v>
      </c>
      <c r="T203" s="14" t="s">
        <v>446</v>
      </c>
      <c r="U203" s="14" t="s">
        <v>446</v>
      </c>
      <c r="V203" s="15" t="s">
        <v>446</v>
      </c>
      <c r="W203" s="14" t="s">
        <v>446</v>
      </c>
      <c r="X203" s="14" t="s">
        <v>446</v>
      </c>
      <c r="Y203" s="14" t="s">
        <v>446</v>
      </c>
      <c r="Z203" s="15" t="s">
        <v>446</v>
      </c>
      <c r="AA203" s="14" t="s">
        <v>446</v>
      </c>
      <c r="AB203" s="14" t="s">
        <v>446</v>
      </c>
      <c r="AC203" s="14" t="s">
        <v>446</v>
      </c>
      <c r="AD203" s="15" t="s">
        <v>446</v>
      </c>
      <c r="AE203" s="14" t="s">
        <v>446</v>
      </c>
      <c r="AF203" s="14" t="s">
        <v>446</v>
      </c>
      <c r="AG203" s="14" t="s">
        <v>446</v>
      </c>
      <c r="AH203" s="15" t="s">
        <v>446</v>
      </c>
      <c r="AI203" s="14" t="s">
        <v>446</v>
      </c>
      <c r="AJ203" s="14" t="s">
        <v>446</v>
      </c>
      <c r="AK203" s="14" t="s">
        <v>446</v>
      </c>
      <c r="AL203" s="15" t="s">
        <v>446</v>
      </c>
      <c r="AM203" s="14" t="s">
        <v>446</v>
      </c>
      <c r="AN203" s="14" t="s">
        <v>446</v>
      </c>
      <c r="AO203" s="14" t="s">
        <v>446</v>
      </c>
      <c r="AP203" s="15" t="s">
        <v>446</v>
      </c>
      <c r="AQ203" s="14" t="s">
        <v>446</v>
      </c>
      <c r="AR203" s="14" t="s">
        <v>446</v>
      </c>
      <c r="AS203" s="14" t="s">
        <v>446</v>
      </c>
      <c r="AT203" s="15" t="s">
        <v>446</v>
      </c>
      <c r="AU203" s="14" t="s">
        <v>446</v>
      </c>
      <c r="AV203" s="14" t="s">
        <v>446</v>
      </c>
      <c r="AW203" s="14" t="s">
        <v>446</v>
      </c>
      <c r="AX203" s="15" t="s">
        <v>446</v>
      </c>
      <c r="AY203" s="14" t="s">
        <v>446</v>
      </c>
      <c r="AZ203" s="14" t="s">
        <v>446</v>
      </c>
      <c r="BA203" s="14" t="s">
        <v>446</v>
      </c>
      <c r="BB203" s="15" t="s">
        <v>446</v>
      </c>
      <c r="BC203" s="14" t="s">
        <v>446</v>
      </c>
      <c r="BD203" s="14" t="s">
        <v>446</v>
      </c>
      <c r="BE203" s="14" t="s">
        <v>446</v>
      </c>
      <c r="BF203" s="15" t="s">
        <v>446</v>
      </c>
      <c r="BG203" s="14" t="s">
        <v>446</v>
      </c>
      <c r="BH203" s="14" t="s">
        <v>446</v>
      </c>
      <c r="BI203" s="14" t="s">
        <v>446</v>
      </c>
      <c r="BJ203" s="15" t="s">
        <v>446</v>
      </c>
      <c r="BK203" s="14" t="s">
        <v>446</v>
      </c>
      <c r="BL203" s="14" t="s">
        <v>446</v>
      </c>
      <c r="BM203" s="14" t="s">
        <v>446</v>
      </c>
      <c r="BN203" s="15" t="s">
        <v>446</v>
      </c>
      <c r="BP203" s="18" t="s">
        <v>446</v>
      </c>
      <c r="BQ203" s="14" t="s">
        <v>446</v>
      </c>
      <c r="BR203" s="14" t="s">
        <v>446</v>
      </c>
      <c r="BS203" s="15" t="s">
        <v>446</v>
      </c>
      <c r="BU203" s="18" t="s">
        <v>446</v>
      </c>
      <c r="BV203" s="14" t="s">
        <v>446</v>
      </c>
      <c r="BW203" s="14" t="s">
        <v>446</v>
      </c>
      <c r="BX203" s="15" t="s">
        <v>446</v>
      </c>
      <c r="BZ203" s="18" t="s">
        <v>446</v>
      </c>
      <c r="CA203" s="14" t="s">
        <v>446</v>
      </c>
      <c r="CB203" s="14" t="s">
        <v>446</v>
      </c>
      <c r="CC203" s="15" t="s">
        <v>446</v>
      </c>
    </row>
    <row r="204" spans="2:81" ht="18" customHeight="1" x14ac:dyDescent="0.2">
      <c r="B204" s="10">
        <f>garage!B204</f>
        <v>204</v>
      </c>
      <c r="C204" s="10">
        <f>garage!C204</f>
        <v>5</v>
      </c>
      <c r="D204" s="10">
        <f>garage!D204</f>
        <v>32</v>
      </c>
      <c r="E204" s="10">
        <f>garage!E204</f>
        <v>0</v>
      </c>
      <c r="F204" s="10" t="str">
        <f>garage!F204</f>
        <v>B</v>
      </c>
      <c r="G204" s="10" t="str">
        <f>garage!G204</f>
        <v>O</v>
      </c>
      <c r="H204" s="10" t="str">
        <f>garage!H204</f>
        <v>O</v>
      </c>
      <c r="I204" s="10" t="str">
        <f>garage!I204</f>
        <v>O</v>
      </c>
      <c r="J204" s="10" t="str">
        <f>garage!J204</f>
        <v>N</v>
      </c>
      <c r="K204" s="10" t="str">
        <f>garage!K204</f>
        <v>S</v>
      </c>
      <c r="L204" s="11" t="str">
        <f>garage!L204</f>
        <v>Bugatti</v>
      </c>
      <c r="M204" s="11" t="str">
        <f>garage!M204</f>
        <v>Chiron</v>
      </c>
      <c r="O204" s="19">
        <v>1</v>
      </c>
      <c r="P204" s="16">
        <v>1</v>
      </c>
      <c r="Q204" s="16">
        <v>1</v>
      </c>
      <c r="R204" s="17">
        <v>1</v>
      </c>
      <c r="S204" s="16">
        <v>1</v>
      </c>
      <c r="T204" s="16">
        <v>1</v>
      </c>
      <c r="U204" s="16">
        <v>1</v>
      </c>
      <c r="V204" s="17">
        <v>1</v>
      </c>
      <c r="W204" s="16">
        <v>1</v>
      </c>
      <c r="X204" s="16">
        <v>1</v>
      </c>
      <c r="Y204" s="16">
        <v>1</v>
      </c>
      <c r="Z204" s="17">
        <v>1</v>
      </c>
      <c r="AA204" s="16">
        <v>1</v>
      </c>
      <c r="AB204" s="16">
        <v>1</v>
      </c>
      <c r="AC204" s="16">
        <v>1</v>
      </c>
      <c r="AD204" s="17">
        <v>1</v>
      </c>
      <c r="AE204" s="16">
        <v>1</v>
      </c>
      <c r="AF204" s="16">
        <v>1</v>
      </c>
      <c r="AG204" s="16">
        <v>1</v>
      </c>
      <c r="AH204" s="17">
        <v>1</v>
      </c>
      <c r="AI204" s="16">
        <v>1</v>
      </c>
      <c r="AJ204" s="16">
        <v>1</v>
      </c>
      <c r="AK204" s="16">
        <v>1</v>
      </c>
      <c r="AL204" s="17">
        <v>1</v>
      </c>
      <c r="AM204" s="16">
        <v>1</v>
      </c>
      <c r="AN204" s="16">
        <v>1</v>
      </c>
      <c r="AO204" s="16">
        <v>1</v>
      </c>
      <c r="AP204" s="17">
        <v>1</v>
      </c>
      <c r="AQ204" s="16">
        <v>1</v>
      </c>
      <c r="AR204" s="16">
        <v>1</v>
      </c>
      <c r="AS204" s="16">
        <v>1</v>
      </c>
      <c r="AT204" s="17">
        <v>1</v>
      </c>
      <c r="AU204" s="16">
        <v>1</v>
      </c>
      <c r="AV204" s="16">
        <v>1</v>
      </c>
      <c r="AW204" s="16">
        <v>1</v>
      </c>
      <c r="AX204" s="17">
        <v>1</v>
      </c>
      <c r="AY204" s="16">
        <v>1</v>
      </c>
      <c r="AZ204" s="16">
        <v>1</v>
      </c>
      <c r="BA204" s="16">
        <v>1</v>
      </c>
      <c r="BB204" s="17">
        <v>1</v>
      </c>
      <c r="BC204" s="16">
        <v>1</v>
      </c>
      <c r="BD204" s="16">
        <v>1</v>
      </c>
      <c r="BE204" s="16">
        <v>1</v>
      </c>
      <c r="BF204" s="17">
        <v>1</v>
      </c>
      <c r="BG204" s="16">
        <v>1</v>
      </c>
      <c r="BH204" s="16">
        <v>1</v>
      </c>
      <c r="BI204" s="16">
        <v>1</v>
      </c>
      <c r="BJ204" s="17">
        <v>1</v>
      </c>
      <c r="BK204" s="16">
        <v>1</v>
      </c>
      <c r="BL204" s="16">
        <v>1</v>
      </c>
      <c r="BM204" s="16">
        <v>1</v>
      </c>
      <c r="BN204" s="17">
        <v>1</v>
      </c>
      <c r="BP204" s="19">
        <v>7</v>
      </c>
      <c r="BQ204" s="16">
        <v>7</v>
      </c>
      <c r="BR204" s="16">
        <v>7</v>
      </c>
      <c r="BS204" s="17">
        <v>7</v>
      </c>
      <c r="BU204" s="19">
        <v>5</v>
      </c>
      <c r="BV204" s="16">
        <v>5</v>
      </c>
      <c r="BW204" s="16">
        <v>5</v>
      </c>
      <c r="BX204" s="17">
        <v>5</v>
      </c>
      <c r="BZ204" s="19">
        <v>4</v>
      </c>
      <c r="CA204" s="16">
        <v>4</v>
      </c>
      <c r="CB204" s="16">
        <v>4</v>
      </c>
      <c r="CC204" s="17">
        <v>4</v>
      </c>
    </row>
    <row r="205" spans="2:81" ht="18" customHeight="1" x14ac:dyDescent="0.2">
      <c r="B205" s="8">
        <f>garage!B205</f>
        <v>205</v>
      </c>
      <c r="C205" s="8">
        <f>garage!C205</f>
        <v>5</v>
      </c>
      <c r="D205" s="8">
        <f>garage!D205</f>
        <v>33</v>
      </c>
      <c r="E205" s="8">
        <f>garage!E205</f>
        <v>13</v>
      </c>
      <c r="F205" s="8" t="str">
        <f>garage!F205</f>
        <v>--</v>
      </c>
      <c r="G205" s="8" t="str">
        <f>garage!G205</f>
        <v>O</v>
      </c>
      <c r="H205" s="8" t="str">
        <f>garage!H205</f>
        <v>O</v>
      </c>
      <c r="I205" s="8" t="str">
        <f>garage!I205</f>
        <v>N</v>
      </c>
      <c r="J205" s="8" t="str">
        <f>garage!J205</f>
        <v>N</v>
      </c>
      <c r="K205" s="8" t="str">
        <f>garage!K205</f>
        <v>S</v>
      </c>
      <c r="L205" s="9" t="str">
        <f>garage!L205</f>
        <v>BXR</v>
      </c>
      <c r="M205" s="9" t="str">
        <f>garage!M205</f>
        <v>Bailey Blade GT1</v>
      </c>
      <c r="O205" s="18">
        <v>1</v>
      </c>
      <c r="P205" s="14">
        <v>1</v>
      </c>
      <c r="Q205" s="14">
        <v>1</v>
      </c>
      <c r="R205" s="15">
        <v>1</v>
      </c>
      <c r="S205" s="14">
        <v>1</v>
      </c>
      <c r="T205" s="14">
        <v>1</v>
      </c>
      <c r="U205" s="14">
        <v>1</v>
      </c>
      <c r="V205" s="15">
        <v>1</v>
      </c>
      <c r="W205" s="14">
        <v>1</v>
      </c>
      <c r="X205" s="14">
        <v>1</v>
      </c>
      <c r="Y205" s="14">
        <v>1</v>
      </c>
      <c r="Z205" s="15">
        <v>1</v>
      </c>
      <c r="AA205" s="14">
        <v>1</v>
      </c>
      <c r="AB205" s="14">
        <v>1</v>
      </c>
      <c r="AC205" s="14">
        <v>1</v>
      </c>
      <c r="AD205" s="15">
        <v>1</v>
      </c>
      <c r="AE205" s="14">
        <v>1</v>
      </c>
      <c r="AF205" s="14">
        <v>1</v>
      </c>
      <c r="AG205" s="14">
        <v>1</v>
      </c>
      <c r="AH205" s="15">
        <v>1</v>
      </c>
      <c r="AI205" s="14">
        <v>1</v>
      </c>
      <c r="AJ205" s="14">
        <v>1</v>
      </c>
      <c r="AK205" s="14">
        <v>1</v>
      </c>
      <c r="AL205" s="15">
        <v>1</v>
      </c>
      <c r="AM205" s="14">
        <v>1</v>
      </c>
      <c r="AN205" s="14">
        <v>1</v>
      </c>
      <c r="AO205" s="14">
        <v>1</v>
      </c>
      <c r="AP205" s="15">
        <v>1</v>
      </c>
      <c r="AQ205" s="14">
        <v>1</v>
      </c>
      <c r="AR205" s="14">
        <v>1</v>
      </c>
      <c r="AS205" s="14">
        <v>1</v>
      </c>
      <c r="AT205" s="15">
        <v>1</v>
      </c>
      <c r="AU205" s="14">
        <v>1</v>
      </c>
      <c r="AV205" s="14">
        <v>1</v>
      </c>
      <c r="AW205" s="14">
        <v>1</v>
      </c>
      <c r="AX205" s="15">
        <v>1</v>
      </c>
      <c r="AY205" s="14">
        <v>1</v>
      </c>
      <c r="AZ205" s="14">
        <v>1</v>
      </c>
      <c r="BA205" s="14">
        <v>1</v>
      </c>
      <c r="BB205" s="15">
        <v>1</v>
      </c>
      <c r="BC205" s="14">
        <v>1</v>
      </c>
      <c r="BD205" s="14">
        <v>1</v>
      </c>
      <c r="BE205" s="14">
        <v>1</v>
      </c>
      <c r="BF205" s="15">
        <v>1</v>
      </c>
      <c r="BG205" s="14">
        <v>1</v>
      </c>
      <c r="BH205" s="14">
        <v>1</v>
      </c>
      <c r="BI205" s="14">
        <v>1</v>
      </c>
      <c r="BJ205" s="15">
        <v>1</v>
      </c>
      <c r="BK205" s="14">
        <v>1</v>
      </c>
      <c r="BL205" s="14">
        <v>1</v>
      </c>
      <c r="BM205" s="14">
        <v>1</v>
      </c>
      <c r="BN205" s="15">
        <v>1</v>
      </c>
      <c r="BP205" s="18">
        <v>7</v>
      </c>
      <c r="BQ205" s="14">
        <v>7</v>
      </c>
      <c r="BR205" s="14">
        <v>7</v>
      </c>
      <c r="BS205" s="15">
        <v>7</v>
      </c>
      <c r="BU205" s="18">
        <v>5</v>
      </c>
      <c r="BV205" s="14">
        <v>5</v>
      </c>
      <c r="BW205" s="14">
        <v>5</v>
      </c>
      <c r="BX205" s="15">
        <v>5</v>
      </c>
      <c r="BZ205" s="18">
        <v>2</v>
      </c>
      <c r="CA205" s="14">
        <v>4</v>
      </c>
      <c r="CB205" s="14">
        <v>2</v>
      </c>
      <c r="CC205" s="15">
        <v>4</v>
      </c>
    </row>
    <row r="206" spans="2:81" ht="18" customHeight="1" x14ac:dyDescent="0.2">
      <c r="B206" s="10">
        <f>garage!B206</f>
        <v>206</v>
      </c>
      <c r="C206" s="10">
        <f>garage!C206</f>
        <v>5</v>
      </c>
      <c r="D206" s="10">
        <f>garage!D206</f>
        <v>34</v>
      </c>
      <c r="E206" s="10">
        <f>garage!E206</f>
        <v>16</v>
      </c>
      <c r="F206" s="10" t="str">
        <f>garage!F206</f>
        <v>B</v>
      </c>
      <c r="G206" s="10" t="str">
        <f>garage!G206</f>
        <v>N</v>
      </c>
      <c r="H206" s="10" t="str">
        <f>garage!H206</f>
        <v>N</v>
      </c>
      <c r="I206" s="10" t="str">
        <f>garage!I206</f>
        <v>N</v>
      </c>
      <c r="J206" s="10" t="str">
        <f>garage!J206</f>
        <v>N</v>
      </c>
      <c r="K206" s="10" t="str">
        <f>garage!K206</f>
        <v>S</v>
      </c>
      <c r="L206" s="11" t="str">
        <f>garage!L206</f>
        <v>Bugatti</v>
      </c>
      <c r="M206" s="11" t="str">
        <f>garage!M206</f>
        <v>Divo</v>
      </c>
      <c r="O206" s="19" t="s">
        <v>446</v>
      </c>
      <c r="P206" s="16" t="s">
        <v>446</v>
      </c>
      <c r="Q206" s="16" t="s">
        <v>446</v>
      </c>
      <c r="R206" s="17" t="s">
        <v>446</v>
      </c>
      <c r="S206" s="16" t="s">
        <v>446</v>
      </c>
      <c r="T206" s="16" t="s">
        <v>446</v>
      </c>
      <c r="U206" s="16" t="s">
        <v>446</v>
      </c>
      <c r="V206" s="17" t="s">
        <v>446</v>
      </c>
      <c r="W206" s="16" t="s">
        <v>446</v>
      </c>
      <c r="X206" s="16" t="s">
        <v>446</v>
      </c>
      <c r="Y206" s="16" t="s">
        <v>446</v>
      </c>
      <c r="Z206" s="17" t="s">
        <v>446</v>
      </c>
      <c r="AA206" s="16" t="s">
        <v>446</v>
      </c>
      <c r="AB206" s="16" t="s">
        <v>446</v>
      </c>
      <c r="AC206" s="16" t="s">
        <v>446</v>
      </c>
      <c r="AD206" s="17" t="s">
        <v>446</v>
      </c>
      <c r="AE206" s="16" t="s">
        <v>446</v>
      </c>
      <c r="AF206" s="16" t="s">
        <v>446</v>
      </c>
      <c r="AG206" s="16" t="s">
        <v>446</v>
      </c>
      <c r="AH206" s="17" t="s">
        <v>446</v>
      </c>
      <c r="AI206" s="16" t="s">
        <v>446</v>
      </c>
      <c r="AJ206" s="16" t="s">
        <v>446</v>
      </c>
      <c r="AK206" s="16" t="s">
        <v>446</v>
      </c>
      <c r="AL206" s="17" t="s">
        <v>446</v>
      </c>
      <c r="AM206" s="16" t="s">
        <v>446</v>
      </c>
      <c r="AN206" s="16" t="s">
        <v>446</v>
      </c>
      <c r="AO206" s="16" t="s">
        <v>446</v>
      </c>
      <c r="AP206" s="17" t="s">
        <v>446</v>
      </c>
      <c r="AQ206" s="16" t="s">
        <v>446</v>
      </c>
      <c r="AR206" s="16" t="s">
        <v>446</v>
      </c>
      <c r="AS206" s="16" t="s">
        <v>446</v>
      </c>
      <c r="AT206" s="17" t="s">
        <v>446</v>
      </c>
      <c r="AU206" s="16" t="s">
        <v>446</v>
      </c>
      <c r="AV206" s="16" t="s">
        <v>446</v>
      </c>
      <c r="AW206" s="16" t="s">
        <v>446</v>
      </c>
      <c r="AX206" s="17" t="s">
        <v>446</v>
      </c>
      <c r="AY206" s="16" t="s">
        <v>446</v>
      </c>
      <c r="AZ206" s="16" t="s">
        <v>446</v>
      </c>
      <c r="BA206" s="16" t="s">
        <v>446</v>
      </c>
      <c r="BB206" s="17" t="s">
        <v>446</v>
      </c>
      <c r="BC206" s="16" t="s">
        <v>446</v>
      </c>
      <c r="BD206" s="16" t="s">
        <v>446</v>
      </c>
      <c r="BE206" s="16" t="s">
        <v>446</v>
      </c>
      <c r="BF206" s="17" t="s">
        <v>446</v>
      </c>
      <c r="BG206" s="16" t="s">
        <v>446</v>
      </c>
      <c r="BH206" s="16" t="s">
        <v>446</v>
      </c>
      <c r="BI206" s="16" t="s">
        <v>446</v>
      </c>
      <c r="BJ206" s="17" t="s">
        <v>446</v>
      </c>
      <c r="BK206" s="16" t="s">
        <v>446</v>
      </c>
      <c r="BL206" s="16" t="s">
        <v>446</v>
      </c>
      <c r="BM206" s="16" t="s">
        <v>446</v>
      </c>
      <c r="BN206" s="17" t="s">
        <v>446</v>
      </c>
      <c r="BP206" s="19" t="s">
        <v>446</v>
      </c>
      <c r="BQ206" s="16" t="s">
        <v>446</v>
      </c>
      <c r="BR206" s="16" t="s">
        <v>446</v>
      </c>
      <c r="BS206" s="17" t="s">
        <v>446</v>
      </c>
      <c r="BU206" s="19" t="s">
        <v>446</v>
      </c>
      <c r="BV206" s="16" t="s">
        <v>446</v>
      </c>
      <c r="BW206" s="16" t="s">
        <v>446</v>
      </c>
      <c r="BX206" s="17" t="s">
        <v>446</v>
      </c>
      <c r="BZ206" s="19" t="s">
        <v>446</v>
      </c>
      <c r="CA206" s="16" t="s">
        <v>446</v>
      </c>
      <c r="CB206" s="16" t="s">
        <v>446</v>
      </c>
      <c r="CC206" s="17" t="s">
        <v>446</v>
      </c>
    </row>
    <row r="207" spans="2:81" ht="18" customHeight="1" x14ac:dyDescent="0.2">
      <c r="B207" s="8">
        <f>garage!B207</f>
        <v>207</v>
      </c>
      <c r="C207" s="8">
        <f>garage!C207</f>
        <v>5</v>
      </c>
      <c r="D207" s="8">
        <f>garage!D207</f>
        <v>35</v>
      </c>
      <c r="E207" s="8">
        <f>garage!E207</f>
        <v>24</v>
      </c>
      <c r="F207" s="8" t="str">
        <f>garage!F207</f>
        <v>--</v>
      </c>
      <c r="G207" s="8" t="str">
        <f>garage!G207</f>
        <v>N</v>
      </c>
      <c r="H207" s="8" t="str">
        <f>garage!H207</f>
        <v>N</v>
      </c>
      <c r="I207" s="8" t="str">
        <f>garage!I207</f>
        <v>N</v>
      </c>
      <c r="J207" s="8" t="str">
        <f>garage!J207</f>
        <v>N</v>
      </c>
      <c r="K207" s="8" t="str">
        <f>garage!K207</f>
        <v>S</v>
      </c>
      <c r="L207" s="9" t="str">
        <f>garage!L207</f>
        <v>Tushek</v>
      </c>
      <c r="M207" s="9" t="str">
        <f>garage!M207</f>
        <v>TS 900 Racer Pro</v>
      </c>
      <c r="O207" s="18" t="s">
        <v>446</v>
      </c>
      <c r="P207" s="14" t="s">
        <v>446</v>
      </c>
      <c r="Q207" s="14" t="s">
        <v>446</v>
      </c>
      <c r="R207" s="15" t="s">
        <v>446</v>
      </c>
      <c r="S207" s="14" t="s">
        <v>446</v>
      </c>
      <c r="T207" s="14" t="s">
        <v>446</v>
      </c>
      <c r="U207" s="14" t="s">
        <v>446</v>
      </c>
      <c r="V207" s="15" t="s">
        <v>446</v>
      </c>
      <c r="W207" s="14" t="s">
        <v>446</v>
      </c>
      <c r="X207" s="14" t="s">
        <v>446</v>
      </c>
      <c r="Y207" s="14" t="s">
        <v>446</v>
      </c>
      <c r="Z207" s="15" t="s">
        <v>446</v>
      </c>
      <c r="AA207" s="14" t="s">
        <v>446</v>
      </c>
      <c r="AB207" s="14" t="s">
        <v>446</v>
      </c>
      <c r="AC207" s="14" t="s">
        <v>446</v>
      </c>
      <c r="AD207" s="15" t="s">
        <v>446</v>
      </c>
      <c r="AE207" s="14" t="s">
        <v>446</v>
      </c>
      <c r="AF207" s="14" t="s">
        <v>446</v>
      </c>
      <c r="AG207" s="14" t="s">
        <v>446</v>
      </c>
      <c r="AH207" s="15" t="s">
        <v>446</v>
      </c>
      <c r="AI207" s="14" t="s">
        <v>446</v>
      </c>
      <c r="AJ207" s="14" t="s">
        <v>446</v>
      </c>
      <c r="AK207" s="14" t="s">
        <v>446</v>
      </c>
      <c r="AL207" s="15" t="s">
        <v>446</v>
      </c>
      <c r="AM207" s="14" t="s">
        <v>446</v>
      </c>
      <c r="AN207" s="14" t="s">
        <v>446</v>
      </c>
      <c r="AO207" s="14" t="s">
        <v>446</v>
      </c>
      <c r="AP207" s="15" t="s">
        <v>446</v>
      </c>
      <c r="AQ207" s="14" t="s">
        <v>446</v>
      </c>
      <c r="AR207" s="14" t="s">
        <v>446</v>
      </c>
      <c r="AS207" s="14" t="s">
        <v>446</v>
      </c>
      <c r="AT207" s="15" t="s">
        <v>446</v>
      </c>
      <c r="AU207" s="14" t="s">
        <v>446</v>
      </c>
      <c r="AV207" s="14" t="s">
        <v>446</v>
      </c>
      <c r="AW207" s="14" t="s">
        <v>446</v>
      </c>
      <c r="AX207" s="15" t="s">
        <v>446</v>
      </c>
      <c r="AY207" s="14" t="s">
        <v>446</v>
      </c>
      <c r="AZ207" s="14" t="s">
        <v>446</v>
      </c>
      <c r="BA207" s="14" t="s">
        <v>446</v>
      </c>
      <c r="BB207" s="15" t="s">
        <v>446</v>
      </c>
      <c r="BC207" s="14" t="s">
        <v>446</v>
      </c>
      <c r="BD207" s="14" t="s">
        <v>446</v>
      </c>
      <c r="BE207" s="14" t="s">
        <v>446</v>
      </c>
      <c r="BF207" s="15" t="s">
        <v>446</v>
      </c>
      <c r="BG207" s="14" t="s">
        <v>446</v>
      </c>
      <c r="BH207" s="14" t="s">
        <v>446</v>
      </c>
      <c r="BI207" s="14" t="s">
        <v>446</v>
      </c>
      <c r="BJ207" s="15" t="s">
        <v>446</v>
      </c>
      <c r="BK207" s="14" t="s">
        <v>446</v>
      </c>
      <c r="BL207" s="14" t="s">
        <v>446</v>
      </c>
      <c r="BM207" s="14" t="s">
        <v>446</v>
      </c>
      <c r="BN207" s="15" t="s">
        <v>446</v>
      </c>
      <c r="BP207" s="18" t="s">
        <v>446</v>
      </c>
      <c r="BQ207" s="14" t="s">
        <v>446</v>
      </c>
      <c r="BR207" s="14" t="s">
        <v>446</v>
      </c>
      <c r="BS207" s="15" t="s">
        <v>446</v>
      </c>
      <c r="BU207" s="18" t="s">
        <v>446</v>
      </c>
      <c r="BV207" s="14" t="s">
        <v>446</v>
      </c>
      <c r="BW207" s="14" t="s">
        <v>446</v>
      </c>
      <c r="BX207" s="15" t="s">
        <v>446</v>
      </c>
      <c r="BZ207" s="18" t="s">
        <v>446</v>
      </c>
      <c r="CA207" s="14" t="s">
        <v>446</v>
      </c>
      <c r="CB207" s="14" t="s">
        <v>446</v>
      </c>
      <c r="CC207" s="15" t="s">
        <v>446</v>
      </c>
    </row>
    <row r="208" spans="2:81" ht="18" customHeight="1" x14ac:dyDescent="0.2">
      <c r="B208" s="10">
        <f>garage!B208</f>
        <v>208</v>
      </c>
      <c r="C208" s="10">
        <f>garage!C208</f>
        <v>5</v>
      </c>
      <c r="D208" s="10">
        <f>garage!D208</f>
        <v>36</v>
      </c>
      <c r="E208" s="10">
        <f>garage!E208</f>
        <v>18</v>
      </c>
      <c r="F208" s="10" t="str">
        <f>garage!F208</f>
        <v>--</v>
      </c>
      <c r="G208" s="10" t="str">
        <f>garage!G208</f>
        <v>N</v>
      </c>
      <c r="H208" s="10" t="str">
        <f>garage!H208</f>
        <v>N</v>
      </c>
      <c r="I208" s="10" t="str">
        <f>garage!I208</f>
        <v>N</v>
      </c>
      <c r="J208" s="10" t="str">
        <f>garage!J208</f>
        <v>N</v>
      </c>
      <c r="K208" s="10" t="str">
        <f>garage!K208</f>
        <v>S</v>
      </c>
      <c r="L208" s="11" t="str">
        <f>garage!L208</f>
        <v>Mazzanti</v>
      </c>
      <c r="M208" s="11" t="str">
        <f>garage!M208</f>
        <v>Evantra Millecavalli</v>
      </c>
      <c r="O208" s="19" t="s">
        <v>446</v>
      </c>
      <c r="P208" s="16" t="s">
        <v>446</v>
      </c>
      <c r="Q208" s="16" t="s">
        <v>446</v>
      </c>
      <c r="R208" s="17" t="s">
        <v>446</v>
      </c>
      <c r="S208" s="16" t="s">
        <v>446</v>
      </c>
      <c r="T208" s="16" t="s">
        <v>446</v>
      </c>
      <c r="U208" s="16" t="s">
        <v>446</v>
      </c>
      <c r="V208" s="17" t="s">
        <v>446</v>
      </c>
      <c r="W208" s="16" t="s">
        <v>446</v>
      </c>
      <c r="X208" s="16" t="s">
        <v>446</v>
      </c>
      <c r="Y208" s="16" t="s">
        <v>446</v>
      </c>
      <c r="Z208" s="17" t="s">
        <v>446</v>
      </c>
      <c r="AA208" s="16" t="s">
        <v>446</v>
      </c>
      <c r="AB208" s="16" t="s">
        <v>446</v>
      </c>
      <c r="AC208" s="16" t="s">
        <v>446</v>
      </c>
      <c r="AD208" s="17" t="s">
        <v>446</v>
      </c>
      <c r="AE208" s="16" t="s">
        <v>446</v>
      </c>
      <c r="AF208" s="16" t="s">
        <v>446</v>
      </c>
      <c r="AG208" s="16" t="s">
        <v>446</v>
      </c>
      <c r="AH208" s="17" t="s">
        <v>446</v>
      </c>
      <c r="AI208" s="16" t="s">
        <v>446</v>
      </c>
      <c r="AJ208" s="16" t="s">
        <v>446</v>
      </c>
      <c r="AK208" s="16" t="s">
        <v>446</v>
      </c>
      <c r="AL208" s="17" t="s">
        <v>446</v>
      </c>
      <c r="AM208" s="16" t="s">
        <v>446</v>
      </c>
      <c r="AN208" s="16" t="s">
        <v>446</v>
      </c>
      <c r="AO208" s="16" t="s">
        <v>446</v>
      </c>
      <c r="AP208" s="17" t="s">
        <v>446</v>
      </c>
      <c r="AQ208" s="16" t="s">
        <v>446</v>
      </c>
      <c r="AR208" s="16" t="s">
        <v>446</v>
      </c>
      <c r="AS208" s="16" t="s">
        <v>446</v>
      </c>
      <c r="AT208" s="17" t="s">
        <v>446</v>
      </c>
      <c r="AU208" s="16" t="s">
        <v>446</v>
      </c>
      <c r="AV208" s="16" t="s">
        <v>446</v>
      </c>
      <c r="AW208" s="16" t="s">
        <v>446</v>
      </c>
      <c r="AX208" s="17" t="s">
        <v>446</v>
      </c>
      <c r="AY208" s="16" t="s">
        <v>446</v>
      </c>
      <c r="AZ208" s="16" t="s">
        <v>446</v>
      </c>
      <c r="BA208" s="16" t="s">
        <v>446</v>
      </c>
      <c r="BB208" s="17" t="s">
        <v>446</v>
      </c>
      <c r="BC208" s="16" t="s">
        <v>446</v>
      </c>
      <c r="BD208" s="16" t="s">
        <v>446</v>
      </c>
      <c r="BE208" s="16" t="s">
        <v>446</v>
      </c>
      <c r="BF208" s="17" t="s">
        <v>446</v>
      </c>
      <c r="BG208" s="16" t="s">
        <v>446</v>
      </c>
      <c r="BH208" s="16" t="s">
        <v>446</v>
      </c>
      <c r="BI208" s="16" t="s">
        <v>446</v>
      </c>
      <c r="BJ208" s="17" t="s">
        <v>446</v>
      </c>
      <c r="BK208" s="16" t="s">
        <v>446</v>
      </c>
      <c r="BL208" s="16" t="s">
        <v>446</v>
      </c>
      <c r="BM208" s="16" t="s">
        <v>446</v>
      </c>
      <c r="BN208" s="17" t="s">
        <v>446</v>
      </c>
      <c r="BP208" s="19" t="s">
        <v>446</v>
      </c>
      <c r="BQ208" s="16" t="s">
        <v>446</v>
      </c>
      <c r="BR208" s="16" t="s">
        <v>446</v>
      </c>
      <c r="BS208" s="17" t="s">
        <v>446</v>
      </c>
      <c r="BU208" s="19" t="s">
        <v>446</v>
      </c>
      <c r="BV208" s="16" t="s">
        <v>446</v>
      </c>
      <c r="BW208" s="16" t="s">
        <v>446</v>
      </c>
      <c r="BX208" s="17" t="s">
        <v>446</v>
      </c>
      <c r="BZ208" s="19" t="s">
        <v>446</v>
      </c>
      <c r="CA208" s="16" t="s">
        <v>446</v>
      </c>
      <c r="CB208" s="16" t="s">
        <v>446</v>
      </c>
      <c r="CC208" s="17" t="s">
        <v>446</v>
      </c>
    </row>
    <row r="209" spans="2:81" ht="18" customHeight="1" x14ac:dyDescent="0.2">
      <c r="B209" s="8">
        <f>garage!B209</f>
        <v>209</v>
      </c>
      <c r="C209" s="8">
        <f>garage!C209</f>
        <v>5</v>
      </c>
      <c r="D209" s="8">
        <f>garage!D209</f>
        <v>37</v>
      </c>
      <c r="E209" s="8">
        <f>garage!E209</f>
        <v>21</v>
      </c>
      <c r="F209" s="8" t="str">
        <f>garage!F209</f>
        <v>TD</v>
      </c>
      <c r="G209" s="8" t="str">
        <f>garage!G209</f>
        <v>N</v>
      </c>
      <c r="H209" s="8" t="str">
        <f>garage!H209</f>
        <v>N</v>
      </c>
      <c r="I209" s="8" t="str">
        <f>garage!I209</f>
        <v>N</v>
      </c>
      <c r="J209" s="8" t="str">
        <f>garage!J209</f>
        <v>N</v>
      </c>
      <c r="K209" s="8" t="str">
        <f>garage!K209</f>
        <v>S</v>
      </c>
      <c r="L209" s="9" t="str">
        <f>garage!L209</f>
        <v>Toroidion</v>
      </c>
      <c r="M209" s="9" t="str">
        <f>garage!M209</f>
        <v>1MW</v>
      </c>
      <c r="O209" s="18" t="s">
        <v>446</v>
      </c>
      <c r="P209" s="14" t="s">
        <v>446</v>
      </c>
      <c r="Q209" s="14" t="s">
        <v>446</v>
      </c>
      <c r="R209" s="15" t="s">
        <v>446</v>
      </c>
      <c r="S209" s="14" t="s">
        <v>446</v>
      </c>
      <c r="T209" s="14" t="s">
        <v>446</v>
      </c>
      <c r="U209" s="14" t="s">
        <v>446</v>
      </c>
      <c r="V209" s="15" t="s">
        <v>446</v>
      </c>
      <c r="W209" s="14" t="s">
        <v>446</v>
      </c>
      <c r="X209" s="14" t="s">
        <v>446</v>
      </c>
      <c r="Y209" s="14" t="s">
        <v>446</v>
      </c>
      <c r="Z209" s="15" t="s">
        <v>446</v>
      </c>
      <c r="AA209" s="14" t="s">
        <v>446</v>
      </c>
      <c r="AB209" s="14" t="s">
        <v>446</v>
      </c>
      <c r="AC209" s="14" t="s">
        <v>446</v>
      </c>
      <c r="AD209" s="15" t="s">
        <v>446</v>
      </c>
      <c r="AE209" s="14" t="s">
        <v>446</v>
      </c>
      <c r="AF209" s="14" t="s">
        <v>446</v>
      </c>
      <c r="AG209" s="14" t="s">
        <v>446</v>
      </c>
      <c r="AH209" s="15" t="s">
        <v>446</v>
      </c>
      <c r="AI209" s="14" t="s">
        <v>446</v>
      </c>
      <c r="AJ209" s="14" t="s">
        <v>446</v>
      </c>
      <c r="AK209" s="14" t="s">
        <v>446</v>
      </c>
      <c r="AL209" s="15" t="s">
        <v>446</v>
      </c>
      <c r="AM209" s="14" t="s">
        <v>446</v>
      </c>
      <c r="AN209" s="14" t="s">
        <v>446</v>
      </c>
      <c r="AO209" s="14" t="s">
        <v>446</v>
      </c>
      <c r="AP209" s="15" t="s">
        <v>446</v>
      </c>
      <c r="AQ209" s="14" t="s">
        <v>446</v>
      </c>
      <c r="AR209" s="14" t="s">
        <v>446</v>
      </c>
      <c r="AS209" s="14" t="s">
        <v>446</v>
      </c>
      <c r="AT209" s="15" t="s">
        <v>446</v>
      </c>
      <c r="AU209" s="14" t="s">
        <v>446</v>
      </c>
      <c r="AV209" s="14" t="s">
        <v>446</v>
      </c>
      <c r="AW209" s="14" t="s">
        <v>446</v>
      </c>
      <c r="AX209" s="15" t="s">
        <v>446</v>
      </c>
      <c r="AY209" s="14" t="s">
        <v>446</v>
      </c>
      <c r="AZ209" s="14" t="s">
        <v>446</v>
      </c>
      <c r="BA209" s="14" t="s">
        <v>446</v>
      </c>
      <c r="BB209" s="15" t="s">
        <v>446</v>
      </c>
      <c r="BC209" s="14" t="s">
        <v>446</v>
      </c>
      <c r="BD209" s="14" t="s">
        <v>446</v>
      </c>
      <c r="BE209" s="14" t="s">
        <v>446</v>
      </c>
      <c r="BF209" s="15" t="s">
        <v>446</v>
      </c>
      <c r="BG209" s="14" t="s">
        <v>446</v>
      </c>
      <c r="BH209" s="14" t="s">
        <v>446</v>
      </c>
      <c r="BI209" s="14" t="s">
        <v>446</v>
      </c>
      <c r="BJ209" s="15" t="s">
        <v>446</v>
      </c>
      <c r="BK209" s="14" t="s">
        <v>446</v>
      </c>
      <c r="BL209" s="14" t="s">
        <v>446</v>
      </c>
      <c r="BM209" s="14" t="s">
        <v>446</v>
      </c>
      <c r="BN209" s="15" t="s">
        <v>446</v>
      </c>
      <c r="BP209" s="18" t="s">
        <v>446</v>
      </c>
      <c r="BQ209" s="14" t="s">
        <v>446</v>
      </c>
      <c r="BR209" s="14" t="s">
        <v>446</v>
      </c>
      <c r="BS209" s="15" t="s">
        <v>446</v>
      </c>
      <c r="BU209" s="18" t="s">
        <v>446</v>
      </c>
      <c r="BV209" s="14" t="s">
        <v>446</v>
      </c>
      <c r="BW209" s="14" t="s">
        <v>446</v>
      </c>
      <c r="BX209" s="15" t="s">
        <v>446</v>
      </c>
      <c r="BZ209" s="18" t="s">
        <v>446</v>
      </c>
      <c r="CA209" s="14" t="s">
        <v>446</v>
      </c>
      <c r="CB209" s="14" t="s">
        <v>446</v>
      </c>
      <c r="CC209" s="15" t="s">
        <v>446</v>
      </c>
    </row>
    <row r="210" spans="2:81" ht="18" customHeight="1" x14ac:dyDescent="0.2">
      <c r="B210" s="10">
        <f>garage!B210</f>
        <v>210</v>
      </c>
      <c r="C210" s="10">
        <f>garage!C210</f>
        <v>5</v>
      </c>
      <c r="D210" s="10">
        <f>garage!D210</f>
        <v>38</v>
      </c>
      <c r="E210" s="10">
        <f>garage!E210</f>
        <v>27</v>
      </c>
      <c r="F210" s="10" t="str">
        <f>garage!F210</f>
        <v>--</v>
      </c>
      <c r="G210" s="10" t="str">
        <f>garage!G210</f>
        <v>N</v>
      </c>
      <c r="H210" s="10" t="str">
        <f>garage!H210</f>
        <v>N</v>
      </c>
      <c r="I210" s="10" t="str">
        <f>garage!I210</f>
        <v>N</v>
      </c>
      <c r="J210" s="10" t="str">
        <f>garage!J210</f>
        <v>N</v>
      </c>
      <c r="K210" s="10" t="str">
        <f>garage!K210</f>
        <v>S</v>
      </c>
      <c r="L210" s="11" t="str">
        <f>garage!L210</f>
        <v>Inferno Automobili</v>
      </c>
      <c r="M210" s="11" t="str">
        <f>garage!M210</f>
        <v>Settimo Cerchio</v>
      </c>
      <c r="O210" s="19" t="s">
        <v>446</v>
      </c>
      <c r="P210" s="16" t="s">
        <v>446</v>
      </c>
      <c r="Q210" s="16" t="s">
        <v>446</v>
      </c>
      <c r="R210" s="17" t="s">
        <v>446</v>
      </c>
      <c r="S210" s="16" t="s">
        <v>446</v>
      </c>
      <c r="T210" s="16" t="s">
        <v>446</v>
      </c>
      <c r="U210" s="16" t="s">
        <v>446</v>
      </c>
      <c r="V210" s="17" t="s">
        <v>446</v>
      </c>
      <c r="W210" s="16" t="s">
        <v>446</v>
      </c>
      <c r="X210" s="16" t="s">
        <v>446</v>
      </c>
      <c r="Y210" s="16" t="s">
        <v>446</v>
      </c>
      <c r="Z210" s="17" t="s">
        <v>446</v>
      </c>
      <c r="AA210" s="16" t="s">
        <v>446</v>
      </c>
      <c r="AB210" s="16" t="s">
        <v>446</v>
      </c>
      <c r="AC210" s="16" t="s">
        <v>446</v>
      </c>
      <c r="AD210" s="17" t="s">
        <v>446</v>
      </c>
      <c r="AE210" s="16" t="s">
        <v>446</v>
      </c>
      <c r="AF210" s="16" t="s">
        <v>446</v>
      </c>
      <c r="AG210" s="16" t="s">
        <v>446</v>
      </c>
      <c r="AH210" s="17" t="s">
        <v>446</v>
      </c>
      <c r="AI210" s="16" t="s">
        <v>446</v>
      </c>
      <c r="AJ210" s="16" t="s">
        <v>446</v>
      </c>
      <c r="AK210" s="16" t="s">
        <v>446</v>
      </c>
      <c r="AL210" s="17" t="s">
        <v>446</v>
      </c>
      <c r="AM210" s="16" t="s">
        <v>446</v>
      </c>
      <c r="AN210" s="16" t="s">
        <v>446</v>
      </c>
      <c r="AO210" s="16" t="s">
        <v>446</v>
      </c>
      <c r="AP210" s="17" t="s">
        <v>446</v>
      </c>
      <c r="AQ210" s="16" t="s">
        <v>446</v>
      </c>
      <c r="AR210" s="16" t="s">
        <v>446</v>
      </c>
      <c r="AS210" s="16" t="s">
        <v>446</v>
      </c>
      <c r="AT210" s="17" t="s">
        <v>446</v>
      </c>
      <c r="AU210" s="16" t="s">
        <v>446</v>
      </c>
      <c r="AV210" s="16" t="s">
        <v>446</v>
      </c>
      <c r="AW210" s="16" t="s">
        <v>446</v>
      </c>
      <c r="AX210" s="17" t="s">
        <v>446</v>
      </c>
      <c r="AY210" s="16" t="s">
        <v>446</v>
      </c>
      <c r="AZ210" s="16" t="s">
        <v>446</v>
      </c>
      <c r="BA210" s="16" t="s">
        <v>446</v>
      </c>
      <c r="BB210" s="17" t="s">
        <v>446</v>
      </c>
      <c r="BC210" s="16" t="s">
        <v>446</v>
      </c>
      <c r="BD210" s="16" t="s">
        <v>446</v>
      </c>
      <c r="BE210" s="16" t="s">
        <v>446</v>
      </c>
      <c r="BF210" s="17" t="s">
        <v>446</v>
      </c>
      <c r="BG210" s="16" t="s">
        <v>446</v>
      </c>
      <c r="BH210" s="16" t="s">
        <v>446</v>
      </c>
      <c r="BI210" s="16" t="s">
        <v>446</v>
      </c>
      <c r="BJ210" s="17" t="s">
        <v>446</v>
      </c>
      <c r="BK210" s="16" t="s">
        <v>446</v>
      </c>
      <c r="BL210" s="16" t="s">
        <v>446</v>
      </c>
      <c r="BM210" s="16" t="s">
        <v>446</v>
      </c>
      <c r="BN210" s="17" t="s">
        <v>446</v>
      </c>
      <c r="BP210" s="19" t="s">
        <v>446</v>
      </c>
      <c r="BQ210" s="16" t="s">
        <v>446</v>
      </c>
      <c r="BR210" s="16" t="s">
        <v>446</v>
      </c>
      <c r="BS210" s="17" t="s">
        <v>446</v>
      </c>
      <c r="BU210" s="19" t="s">
        <v>446</v>
      </c>
      <c r="BV210" s="16" t="s">
        <v>446</v>
      </c>
      <c r="BW210" s="16" t="s">
        <v>446</v>
      </c>
      <c r="BX210" s="17" t="s">
        <v>446</v>
      </c>
      <c r="BZ210" s="19" t="s">
        <v>446</v>
      </c>
      <c r="CA210" s="16" t="s">
        <v>446</v>
      </c>
      <c r="CB210" s="16" t="s">
        <v>446</v>
      </c>
      <c r="CC210" s="17" t="s">
        <v>446</v>
      </c>
    </row>
    <row r="211" spans="2:81" ht="18" customHeight="1" x14ac:dyDescent="0.2">
      <c r="B211" s="8">
        <f>garage!B211</f>
        <v>211</v>
      </c>
      <c r="C211" s="8">
        <f>garage!C211</f>
        <v>5</v>
      </c>
      <c r="D211" s="8">
        <f>garage!D211</f>
        <v>39</v>
      </c>
      <c r="E211" s="8">
        <f>garage!E211</f>
        <v>6</v>
      </c>
      <c r="F211" s="8" t="str">
        <f>garage!F211</f>
        <v>--</v>
      </c>
      <c r="G211" s="8" t="str">
        <f>garage!G211</f>
        <v>N</v>
      </c>
      <c r="H211" s="8" t="str">
        <f>garage!H211</f>
        <v>O</v>
      </c>
      <c r="I211" s="8" t="str">
        <f>garage!I211</f>
        <v>N</v>
      </c>
      <c r="J211" s="8" t="str">
        <f>garage!J211</f>
        <v>N</v>
      </c>
      <c r="K211" s="8" t="str">
        <f>garage!K211</f>
        <v>S</v>
      </c>
      <c r="L211" s="9" t="str">
        <f>garage!L211</f>
        <v>Koenigsegg</v>
      </c>
      <c r="M211" s="9" t="str">
        <f>garage!M211</f>
        <v>Jesko</v>
      </c>
      <c r="O211" s="18" t="s">
        <v>446</v>
      </c>
      <c r="P211" s="14" t="s">
        <v>446</v>
      </c>
      <c r="Q211" s="14" t="s">
        <v>446</v>
      </c>
      <c r="R211" s="15" t="s">
        <v>446</v>
      </c>
      <c r="S211" s="14" t="s">
        <v>446</v>
      </c>
      <c r="T211" s="14" t="s">
        <v>446</v>
      </c>
      <c r="U211" s="14" t="s">
        <v>446</v>
      </c>
      <c r="V211" s="15" t="s">
        <v>446</v>
      </c>
      <c r="W211" s="14" t="s">
        <v>446</v>
      </c>
      <c r="X211" s="14" t="s">
        <v>446</v>
      </c>
      <c r="Y211" s="14" t="s">
        <v>446</v>
      </c>
      <c r="Z211" s="15" t="s">
        <v>446</v>
      </c>
      <c r="AA211" s="14" t="s">
        <v>446</v>
      </c>
      <c r="AB211" s="14" t="s">
        <v>446</v>
      </c>
      <c r="AC211" s="14" t="s">
        <v>446</v>
      </c>
      <c r="AD211" s="15" t="s">
        <v>446</v>
      </c>
      <c r="AE211" s="14" t="s">
        <v>446</v>
      </c>
      <c r="AF211" s="14" t="s">
        <v>446</v>
      </c>
      <c r="AG211" s="14" t="s">
        <v>446</v>
      </c>
      <c r="AH211" s="15" t="s">
        <v>446</v>
      </c>
      <c r="AI211" s="14" t="s">
        <v>446</v>
      </c>
      <c r="AJ211" s="14" t="s">
        <v>446</v>
      </c>
      <c r="AK211" s="14" t="s">
        <v>446</v>
      </c>
      <c r="AL211" s="15" t="s">
        <v>446</v>
      </c>
      <c r="AM211" s="14" t="s">
        <v>446</v>
      </c>
      <c r="AN211" s="14" t="s">
        <v>446</v>
      </c>
      <c r="AO211" s="14" t="s">
        <v>446</v>
      </c>
      <c r="AP211" s="15" t="s">
        <v>446</v>
      </c>
      <c r="AQ211" s="14" t="s">
        <v>446</v>
      </c>
      <c r="AR211" s="14" t="s">
        <v>446</v>
      </c>
      <c r="AS211" s="14" t="s">
        <v>446</v>
      </c>
      <c r="AT211" s="15" t="s">
        <v>446</v>
      </c>
      <c r="AU211" s="14" t="s">
        <v>446</v>
      </c>
      <c r="AV211" s="14" t="s">
        <v>446</v>
      </c>
      <c r="AW211" s="14" t="s">
        <v>446</v>
      </c>
      <c r="AX211" s="15" t="s">
        <v>446</v>
      </c>
      <c r="AY211" s="14" t="s">
        <v>446</v>
      </c>
      <c r="AZ211" s="14" t="s">
        <v>446</v>
      </c>
      <c r="BA211" s="14" t="s">
        <v>446</v>
      </c>
      <c r="BB211" s="15" t="s">
        <v>446</v>
      </c>
      <c r="BC211" s="14" t="s">
        <v>446</v>
      </c>
      <c r="BD211" s="14" t="s">
        <v>446</v>
      </c>
      <c r="BE211" s="14" t="s">
        <v>446</v>
      </c>
      <c r="BF211" s="15" t="s">
        <v>446</v>
      </c>
      <c r="BG211" s="14" t="s">
        <v>446</v>
      </c>
      <c r="BH211" s="14" t="s">
        <v>446</v>
      </c>
      <c r="BI211" s="14" t="s">
        <v>446</v>
      </c>
      <c r="BJ211" s="15" t="s">
        <v>446</v>
      </c>
      <c r="BK211" s="14" t="s">
        <v>446</v>
      </c>
      <c r="BL211" s="14" t="s">
        <v>446</v>
      </c>
      <c r="BM211" s="14" t="s">
        <v>446</v>
      </c>
      <c r="BN211" s="15" t="s">
        <v>446</v>
      </c>
      <c r="BP211" s="18" t="s">
        <v>446</v>
      </c>
      <c r="BQ211" s="14" t="s">
        <v>446</v>
      </c>
      <c r="BR211" s="14" t="s">
        <v>446</v>
      </c>
      <c r="BS211" s="15" t="s">
        <v>446</v>
      </c>
      <c r="BU211" s="18" t="s">
        <v>446</v>
      </c>
      <c r="BV211" s="14" t="s">
        <v>446</v>
      </c>
      <c r="BW211" s="14" t="s">
        <v>446</v>
      </c>
      <c r="BX211" s="15" t="s">
        <v>446</v>
      </c>
      <c r="BZ211" s="18" t="s">
        <v>446</v>
      </c>
      <c r="CA211" s="14" t="s">
        <v>446</v>
      </c>
      <c r="CB211" s="14" t="s">
        <v>446</v>
      </c>
      <c r="CC211" s="15" t="s">
        <v>446</v>
      </c>
    </row>
    <row r="212" spans="2:81" ht="18" customHeight="1" x14ac:dyDescent="0.2">
      <c r="B212" s="10">
        <f>garage!B212</f>
        <v>212</v>
      </c>
      <c r="C212" s="10">
        <f>garage!C212</f>
        <v>5</v>
      </c>
      <c r="D212" s="10">
        <f>garage!D212</f>
        <v>40</v>
      </c>
      <c r="E212" s="10">
        <f>garage!E212</f>
        <v>26</v>
      </c>
      <c r="F212" s="10" t="str">
        <f>garage!F212</f>
        <v>B</v>
      </c>
      <c r="G212" s="10" t="str">
        <f>garage!G212</f>
        <v>N</v>
      </c>
      <c r="H212" s="10" t="str">
        <f>garage!H212</f>
        <v>N</v>
      </c>
      <c r="I212" s="10" t="str">
        <f>garage!I212</f>
        <v>N</v>
      </c>
      <c r="J212" s="10" t="str">
        <f>garage!J212</f>
        <v>N</v>
      </c>
      <c r="K212" s="10" t="str">
        <f>garage!K212</f>
        <v>S</v>
      </c>
      <c r="L212" s="11" t="str">
        <f>garage!L212</f>
        <v>Bugatti</v>
      </c>
      <c r="M212" s="11" t="str">
        <f>garage!M212</f>
        <v>Centodieci</v>
      </c>
      <c r="O212" s="19" t="s">
        <v>446</v>
      </c>
      <c r="P212" s="16" t="s">
        <v>446</v>
      </c>
      <c r="Q212" s="16" t="s">
        <v>446</v>
      </c>
      <c r="R212" s="17" t="s">
        <v>446</v>
      </c>
      <c r="S212" s="16" t="s">
        <v>446</v>
      </c>
      <c r="T212" s="16" t="s">
        <v>446</v>
      </c>
      <c r="U212" s="16" t="s">
        <v>446</v>
      </c>
      <c r="V212" s="17" t="s">
        <v>446</v>
      </c>
      <c r="W212" s="16" t="s">
        <v>446</v>
      </c>
      <c r="X212" s="16" t="s">
        <v>446</v>
      </c>
      <c r="Y212" s="16" t="s">
        <v>446</v>
      </c>
      <c r="Z212" s="17" t="s">
        <v>446</v>
      </c>
      <c r="AA212" s="16" t="s">
        <v>446</v>
      </c>
      <c r="AB212" s="16" t="s">
        <v>446</v>
      </c>
      <c r="AC212" s="16" t="s">
        <v>446</v>
      </c>
      <c r="AD212" s="17" t="s">
        <v>446</v>
      </c>
      <c r="AE212" s="16" t="s">
        <v>446</v>
      </c>
      <c r="AF212" s="16" t="s">
        <v>446</v>
      </c>
      <c r="AG212" s="16" t="s">
        <v>446</v>
      </c>
      <c r="AH212" s="17" t="s">
        <v>446</v>
      </c>
      <c r="AI212" s="16" t="s">
        <v>446</v>
      </c>
      <c r="AJ212" s="16" t="s">
        <v>446</v>
      </c>
      <c r="AK212" s="16" t="s">
        <v>446</v>
      </c>
      <c r="AL212" s="17" t="s">
        <v>446</v>
      </c>
      <c r="AM212" s="16" t="s">
        <v>446</v>
      </c>
      <c r="AN212" s="16" t="s">
        <v>446</v>
      </c>
      <c r="AO212" s="16" t="s">
        <v>446</v>
      </c>
      <c r="AP212" s="17" t="s">
        <v>446</v>
      </c>
      <c r="AQ212" s="16" t="s">
        <v>446</v>
      </c>
      <c r="AR212" s="16" t="s">
        <v>446</v>
      </c>
      <c r="AS212" s="16" t="s">
        <v>446</v>
      </c>
      <c r="AT212" s="17" t="s">
        <v>446</v>
      </c>
      <c r="AU212" s="16" t="s">
        <v>446</v>
      </c>
      <c r="AV212" s="16" t="s">
        <v>446</v>
      </c>
      <c r="AW212" s="16" t="s">
        <v>446</v>
      </c>
      <c r="AX212" s="17" t="s">
        <v>446</v>
      </c>
      <c r="AY212" s="16" t="s">
        <v>446</v>
      </c>
      <c r="AZ212" s="16" t="s">
        <v>446</v>
      </c>
      <c r="BA212" s="16" t="s">
        <v>446</v>
      </c>
      <c r="BB212" s="17" t="s">
        <v>446</v>
      </c>
      <c r="BC212" s="16" t="s">
        <v>446</v>
      </c>
      <c r="BD212" s="16" t="s">
        <v>446</v>
      </c>
      <c r="BE212" s="16" t="s">
        <v>446</v>
      </c>
      <c r="BF212" s="17" t="s">
        <v>446</v>
      </c>
      <c r="BG212" s="16" t="s">
        <v>446</v>
      </c>
      <c r="BH212" s="16" t="s">
        <v>446</v>
      </c>
      <c r="BI212" s="16" t="s">
        <v>446</v>
      </c>
      <c r="BJ212" s="17" t="s">
        <v>446</v>
      </c>
      <c r="BK212" s="16" t="s">
        <v>446</v>
      </c>
      <c r="BL212" s="16" t="s">
        <v>446</v>
      </c>
      <c r="BM212" s="16" t="s">
        <v>446</v>
      </c>
      <c r="BN212" s="17" t="s">
        <v>446</v>
      </c>
      <c r="BP212" s="19" t="s">
        <v>446</v>
      </c>
      <c r="BQ212" s="16" t="s">
        <v>446</v>
      </c>
      <c r="BR212" s="16" t="s">
        <v>446</v>
      </c>
      <c r="BS212" s="17" t="s">
        <v>446</v>
      </c>
      <c r="BU212" s="19" t="s">
        <v>446</v>
      </c>
      <c r="BV212" s="16" t="s">
        <v>446</v>
      </c>
      <c r="BW212" s="16" t="s">
        <v>446</v>
      </c>
      <c r="BX212" s="17" t="s">
        <v>446</v>
      </c>
      <c r="BZ212" s="19" t="s">
        <v>446</v>
      </c>
      <c r="CA212" s="16" t="s">
        <v>446</v>
      </c>
      <c r="CB212" s="16" t="s">
        <v>446</v>
      </c>
      <c r="CC212" s="17" t="s">
        <v>446</v>
      </c>
    </row>
    <row r="213" spans="2:81" ht="18" customHeight="1" x14ac:dyDescent="0.2">
      <c r="B213" s="8">
        <f>garage!B213</f>
        <v>213</v>
      </c>
      <c r="C213" s="8">
        <f>garage!C213</f>
        <v>5</v>
      </c>
      <c r="D213" s="8">
        <f>garage!D213</f>
        <v>41</v>
      </c>
      <c r="E213" s="8">
        <f>garage!E213</f>
        <v>17</v>
      </c>
      <c r="F213" s="8" t="str">
        <f>garage!F213</f>
        <v>--</v>
      </c>
      <c r="G213" s="8" t="str">
        <f>garage!G213</f>
        <v>N</v>
      </c>
      <c r="H213" s="8" t="str">
        <f>garage!H213</f>
        <v>N</v>
      </c>
      <c r="I213" s="8" t="str">
        <f>garage!I213</f>
        <v>N</v>
      </c>
      <c r="J213" s="8" t="str">
        <f>garage!J213</f>
        <v>N</v>
      </c>
      <c r="K213" s="8" t="str">
        <f>garage!K213</f>
        <v>S</v>
      </c>
      <c r="L213" s="9" t="str">
        <f>garage!L213</f>
        <v>Aspark</v>
      </c>
      <c r="M213" s="9" t="str">
        <f>garage!M213</f>
        <v>Owl</v>
      </c>
      <c r="O213" s="18" t="s">
        <v>446</v>
      </c>
      <c r="P213" s="14" t="s">
        <v>446</v>
      </c>
      <c r="Q213" s="14" t="s">
        <v>446</v>
      </c>
      <c r="R213" s="15" t="s">
        <v>446</v>
      </c>
      <c r="S213" s="14" t="s">
        <v>446</v>
      </c>
      <c r="T213" s="14" t="s">
        <v>446</v>
      </c>
      <c r="U213" s="14" t="s">
        <v>446</v>
      </c>
      <c r="V213" s="15" t="s">
        <v>446</v>
      </c>
      <c r="W213" s="14" t="s">
        <v>446</v>
      </c>
      <c r="X213" s="14" t="s">
        <v>446</v>
      </c>
      <c r="Y213" s="14" t="s">
        <v>446</v>
      </c>
      <c r="Z213" s="15" t="s">
        <v>446</v>
      </c>
      <c r="AA213" s="14" t="s">
        <v>446</v>
      </c>
      <c r="AB213" s="14" t="s">
        <v>446</v>
      </c>
      <c r="AC213" s="14" t="s">
        <v>446</v>
      </c>
      <c r="AD213" s="15" t="s">
        <v>446</v>
      </c>
      <c r="AE213" s="14" t="s">
        <v>446</v>
      </c>
      <c r="AF213" s="14" t="s">
        <v>446</v>
      </c>
      <c r="AG213" s="14" t="s">
        <v>446</v>
      </c>
      <c r="AH213" s="15" t="s">
        <v>446</v>
      </c>
      <c r="AI213" s="14" t="s">
        <v>446</v>
      </c>
      <c r="AJ213" s="14" t="s">
        <v>446</v>
      </c>
      <c r="AK213" s="14" t="s">
        <v>446</v>
      </c>
      <c r="AL213" s="15" t="s">
        <v>446</v>
      </c>
      <c r="AM213" s="14" t="s">
        <v>446</v>
      </c>
      <c r="AN213" s="14" t="s">
        <v>446</v>
      </c>
      <c r="AO213" s="14" t="s">
        <v>446</v>
      </c>
      <c r="AP213" s="15" t="s">
        <v>446</v>
      </c>
      <c r="AQ213" s="14" t="s">
        <v>446</v>
      </c>
      <c r="AR213" s="14" t="s">
        <v>446</v>
      </c>
      <c r="AS213" s="14" t="s">
        <v>446</v>
      </c>
      <c r="AT213" s="15" t="s">
        <v>446</v>
      </c>
      <c r="AU213" s="14" t="s">
        <v>446</v>
      </c>
      <c r="AV213" s="14" t="s">
        <v>446</v>
      </c>
      <c r="AW213" s="14" t="s">
        <v>446</v>
      </c>
      <c r="AX213" s="15" t="s">
        <v>446</v>
      </c>
      <c r="AY213" s="14" t="s">
        <v>446</v>
      </c>
      <c r="AZ213" s="14" t="s">
        <v>446</v>
      </c>
      <c r="BA213" s="14" t="s">
        <v>446</v>
      </c>
      <c r="BB213" s="15" t="s">
        <v>446</v>
      </c>
      <c r="BC213" s="14" t="s">
        <v>446</v>
      </c>
      <c r="BD213" s="14" t="s">
        <v>446</v>
      </c>
      <c r="BE213" s="14" t="s">
        <v>446</v>
      </c>
      <c r="BF213" s="15" t="s">
        <v>446</v>
      </c>
      <c r="BG213" s="14" t="s">
        <v>446</v>
      </c>
      <c r="BH213" s="14" t="s">
        <v>446</v>
      </c>
      <c r="BI213" s="14" t="s">
        <v>446</v>
      </c>
      <c r="BJ213" s="15" t="s">
        <v>446</v>
      </c>
      <c r="BK213" s="14" t="s">
        <v>446</v>
      </c>
      <c r="BL213" s="14" t="s">
        <v>446</v>
      </c>
      <c r="BM213" s="14" t="s">
        <v>446</v>
      </c>
      <c r="BN213" s="15" t="s">
        <v>446</v>
      </c>
      <c r="BP213" s="18" t="s">
        <v>446</v>
      </c>
      <c r="BQ213" s="14" t="s">
        <v>446</v>
      </c>
      <c r="BR213" s="14" t="s">
        <v>446</v>
      </c>
      <c r="BS213" s="15" t="s">
        <v>446</v>
      </c>
      <c r="BU213" s="18" t="s">
        <v>446</v>
      </c>
      <c r="BV213" s="14" t="s">
        <v>446</v>
      </c>
      <c r="BW213" s="14" t="s">
        <v>446</v>
      </c>
      <c r="BX213" s="15" t="s">
        <v>446</v>
      </c>
      <c r="BZ213" s="18" t="s">
        <v>446</v>
      </c>
      <c r="CA213" s="14" t="s">
        <v>446</v>
      </c>
      <c r="CB213" s="14" t="s">
        <v>446</v>
      </c>
      <c r="CC213" s="15" t="s">
        <v>446</v>
      </c>
    </row>
    <row r="214" spans="2:81" ht="18" customHeight="1" x14ac:dyDescent="0.2">
      <c r="B214" s="10">
        <f>garage!B214</f>
        <v>214</v>
      </c>
      <c r="C214" s="10">
        <f>garage!C214</f>
        <v>5</v>
      </c>
      <c r="D214" s="10">
        <f>garage!D214</f>
        <v>42</v>
      </c>
      <c r="E214" s="10">
        <f>garage!E214</f>
        <v>0</v>
      </c>
      <c r="F214" s="10" t="str">
        <f>garage!F214</f>
        <v>--</v>
      </c>
      <c r="G214" s="10" t="str">
        <f>garage!G214</f>
        <v>N</v>
      </c>
      <c r="H214" s="10" t="str">
        <f>garage!H214</f>
        <v>N</v>
      </c>
      <c r="I214" s="10" t="str">
        <f>garage!I214</f>
        <v>N</v>
      </c>
      <c r="J214" s="10" t="str">
        <f>garage!J214</f>
        <v>N</v>
      </c>
      <c r="K214" s="10" t="str">
        <f>garage!K214</f>
        <v>S</v>
      </c>
      <c r="L214" s="11" t="str">
        <f>garage!L214</f>
        <v>Rimac</v>
      </c>
      <c r="M214" s="11" t="str">
        <f>garage!M214</f>
        <v>Nevera</v>
      </c>
      <c r="O214" s="19" t="s">
        <v>446</v>
      </c>
      <c r="P214" s="16" t="s">
        <v>446</v>
      </c>
      <c r="Q214" s="16" t="s">
        <v>446</v>
      </c>
      <c r="R214" s="17" t="s">
        <v>446</v>
      </c>
      <c r="S214" s="16" t="s">
        <v>446</v>
      </c>
      <c r="T214" s="16" t="s">
        <v>446</v>
      </c>
      <c r="U214" s="16" t="s">
        <v>446</v>
      </c>
      <c r="V214" s="17" t="s">
        <v>446</v>
      </c>
      <c r="W214" s="16" t="s">
        <v>446</v>
      </c>
      <c r="X214" s="16" t="s">
        <v>446</v>
      </c>
      <c r="Y214" s="16" t="s">
        <v>446</v>
      </c>
      <c r="Z214" s="17" t="s">
        <v>446</v>
      </c>
      <c r="AA214" s="16" t="s">
        <v>446</v>
      </c>
      <c r="AB214" s="16" t="s">
        <v>446</v>
      </c>
      <c r="AC214" s="16" t="s">
        <v>446</v>
      </c>
      <c r="AD214" s="17" t="s">
        <v>446</v>
      </c>
      <c r="AE214" s="16" t="s">
        <v>446</v>
      </c>
      <c r="AF214" s="16" t="s">
        <v>446</v>
      </c>
      <c r="AG214" s="16" t="s">
        <v>446</v>
      </c>
      <c r="AH214" s="17" t="s">
        <v>446</v>
      </c>
      <c r="AI214" s="16" t="s">
        <v>446</v>
      </c>
      <c r="AJ214" s="16" t="s">
        <v>446</v>
      </c>
      <c r="AK214" s="16" t="s">
        <v>446</v>
      </c>
      <c r="AL214" s="17" t="s">
        <v>446</v>
      </c>
      <c r="AM214" s="16" t="s">
        <v>446</v>
      </c>
      <c r="AN214" s="16" t="s">
        <v>446</v>
      </c>
      <c r="AO214" s="16" t="s">
        <v>446</v>
      </c>
      <c r="AP214" s="17" t="s">
        <v>446</v>
      </c>
      <c r="AQ214" s="16" t="s">
        <v>446</v>
      </c>
      <c r="AR214" s="16" t="s">
        <v>446</v>
      </c>
      <c r="AS214" s="16" t="s">
        <v>446</v>
      </c>
      <c r="AT214" s="17" t="s">
        <v>446</v>
      </c>
      <c r="AU214" s="16" t="s">
        <v>446</v>
      </c>
      <c r="AV214" s="16" t="s">
        <v>446</v>
      </c>
      <c r="AW214" s="16" t="s">
        <v>446</v>
      </c>
      <c r="AX214" s="17" t="s">
        <v>446</v>
      </c>
      <c r="AY214" s="16" t="s">
        <v>446</v>
      </c>
      <c r="AZ214" s="16" t="s">
        <v>446</v>
      </c>
      <c r="BA214" s="16" t="s">
        <v>446</v>
      </c>
      <c r="BB214" s="17" t="s">
        <v>446</v>
      </c>
      <c r="BC214" s="16" t="s">
        <v>446</v>
      </c>
      <c r="BD214" s="16" t="s">
        <v>446</v>
      </c>
      <c r="BE214" s="16" t="s">
        <v>446</v>
      </c>
      <c r="BF214" s="17" t="s">
        <v>446</v>
      </c>
      <c r="BG214" s="16" t="s">
        <v>446</v>
      </c>
      <c r="BH214" s="16" t="s">
        <v>446</v>
      </c>
      <c r="BI214" s="16" t="s">
        <v>446</v>
      </c>
      <c r="BJ214" s="17" t="s">
        <v>446</v>
      </c>
      <c r="BK214" s="16" t="s">
        <v>446</v>
      </c>
      <c r="BL214" s="16" t="s">
        <v>446</v>
      </c>
      <c r="BM214" s="16" t="s">
        <v>446</v>
      </c>
      <c r="BN214" s="17" t="s">
        <v>446</v>
      </c>
      <c r="BP214" s="19" t="s">
        <v>446</v>
      </c>
      <c r="BQ214" s="16" t="s">
        <v>446</v>
      </c>
      <c r="BR214" s="16" t="s">
        <v>446</v>
      </c>
      <c r="BS214" s="17" t="s">
        <v>446</v>
      </c>
      <c r="BU214" s="19" t="s">
        <v>446</v>
      </c>
      <c r="BV214" s="16" t="s">
        <v>446</v>
      </c>
      <c r="BW214" s="16" t="s">
        <v>446</v>
      </c>
      <c r="BX214" s="17" t="s">
        <v>446</v>
      </c>
      <c r="BZ214" s="19" t="s">
        <v>446</v>
      </c>
      <c r="CA214" s="16" t="s">
        <v>446</v>
      </c>
      <c r="CB214" s="16" t="s">
        <v>446</v>
      </c>
      <c r="CC214" s="17" t="s">
        <v>446</v>
      </c>
    </row>
    <row r="215" spans="2:81" ht="18" customHeight="1" x14ac:dyDescent="0.2">
      <c r="B215" s="8">
        <f>garage!B215</f>
        <v>215</v>
      </c>
      <c r="C215" s="8">
        <f>garage!C215</f>
        <v>5</v>
      </c>
      <c r="D215" s="8">
        <f>garage!D215</f>
        <v>43</v>
      </c>
      <c r="E215" s="8">
        <f>garage!E215</f>
        <v>27</v>
      </c>
      <c r="F215" s="8" t="str">
        <f>garage!F215</f>
        <v>--</v>
      </c>
      <c r="G215" s="8" t="str">
        <f>garage!G215</f>
        <v>N</v>
      </c>
      <c r="H215" s="8" t="str">
        <f>garage!H215</f>
        <v>N</v>
      </c>
      <c r="I215" s="8" t="str">
        <f>garage!I215</f>
        <v>N</v>
      </c>
      <c r="J215" s="8" t="str">
        <f>garage!J215</f>
        <v>N</v>
      </c>
      <c r="K215" s="8" t="str">
        <f>garage!K215</f>
        <v>S</v>
      </c>
      <c r="L215" s="9" t="str">
        <f>garage!L215</f>
        <v>Koenigsegg</v>
      </c>
      <c r="M215" s="9" t="str">
        <f>garage!M215</f>
        <v>Agera RS</v>
      </c>
      <c r="O215" s="18" t="s">
        <v>446</v>
      </c>
      <c r="P215" s="14" t="s">
        <v>446</v>
      </c>
      <c r="Q215" s="14" t="s">
        <v>446</v>
      </c>
      <c r="R215" s="15" t="s">
        <v>446</v>
      </c>
      <c r="S215" s="14" t="s">
        <v>446</v>
      </c>
      <c r="T215" s="14" t="s">
        <v>446</v>
      </c>
      <c r="U215" s="14" t="s">
        <v>446</v>
      </c>
      <c r="V215" s="15" t="s">
        <v>446</v>
      </c>
      <c r="W215" s="14" t="s">
        <v>446</v>
      </c>
      <c r="X215" s="14" t="s">
        <v>446</v>
      </c>
      <c r="Y215" s="14" t="s">
        <v>446</v>
      </c>
      <c r="Z215" s="15" t="s">
        <v>446</v>
      </c>
      <c r="AA215" s="14" t="s">
        <v>446</v>
      </c>
      <c r="AB215" s="14" t="s">
        <v>446</v>
      </c>
      <c r="AC215" s="14" t="s">
        <v>446</v>
      </c>
      <c r="AD215" s="15" t="s">
        <v>446</v>
      </c>
      <c r="AE215" s="14" t="s">
        <v>446</v>
      </c>
      <c r="AF215" s="14" t="s">
        <v>446</v>
      </c>
      <c r="AG215" s="14" t="s">
        <v>446</v>
      </c>
      <c r="AH215" s="15" t="s">
        <v>446</v>
      </c>
      <c r="AI215" s="14" t="s">
        <v>446</v>
      </c>
      <c r="AJ215" s="14" t="s">
        <v>446</v>
      </c>
      <c r="AK215" s="14" t="s">
        <v>446</v>
      </c>
      <c r="AL215" s="15" t="s">
        <v>446</v>
      </c>
      <c r="AM215" s="14" t="s">
        <v>446</v>
      </c>
      <c r="AN215" s="14" t="s">
        <v>446</v>
      </c>
      <c r="AO215" s="14" t="s">
        <v>446</v>
      </c>
      <c r="AP215" s="15" t="s">
        <v>446</v>
      </c>
      <c r="AQ215" s="14" t="s">
        <v>446</v>
      </c>
      <c r="AR215" s="14" t="s">
        <v>446</v>
      </c>
      <c r="AS215" s="14" t="s">
        <v>446</v>
      </c>
      <c r="AT215" s="15" t="s">
        <v>446</v>
      </c>
      <c r="AU215" s="14" t="s">
        <v>446</v>
      </c>
      <c r="AV215" s="14" t="s">
        <v>446</v>
      </c>
      <c r="AW215" s="14" t="s">
        <v>446</v>
      </c>
      <c r="AX215" s="15" t="s">
        <v>446</v>
      </c>
      <c r="AY215" s="14" t="s">
        <v>446</v>
      </c>
      <c r="AZ215" s="14" t="s">
        <v>446</v>
      </c>
      <c r="BA215" s="14" t="s">
        <v>446</v>
      </c>
      <c r="BB215" s="15" t="s">
        <v>446</v>
      </c>
      <c r="BC215" s="14" t="s">
        <v>446</v>
      </c>
      <c r="BD215" s="14" t="s">
        <v>446</v>
      </c>
      <c r="BE215" s="14" t="s">
        <v>446</v>
      </c>
      <c r="BF215" s="15" t="s">
        <v>446</v>
      </c>
      <c r="BG215" s="14" t="s">
        <v>446</v>
      </c>
      <c r="BH215" s="14" t="s">
        <v>446</v>
      </c>
      <c r="BI215" s="14" t="s">
        <v>446</v>
      </c>
      <c r="BJ215" s="15" t="s">
        <v>446</v>
      </c>
      <c r="BK215" s="14" t="s">
        <v>446</v>
      </c>
      <c r="BL215" s="14" t="s">
        <v>446</v>
      </c>
      <c r="BM215" s="14" t="s">
        <v>446</v>
      </c>
      <c r="BN215" s="15" t="s">
        <v>446</v>
      </c>
      <c r="BP215" s="18" t="s">
        <v>446</v>
      </c>
      <c r="BQ215" s="14" t="s">
        <v>446</v>
      </c>
      <c r="BR215" s="14" t="s">
        <v>446</v>
      </c>
      <c r="BS215" s="15" t="s">
        <v>446</v>
      </c>
      <c r="BU215" s="18" t="s">
        <v>446</v>
      </c>
      <c r="BV215" s="14" t="s">
        <v>446</v>
      </c>
      <c r="BW215" s="14" t="s">
        <v>446</v>
      </c>
      <c r="BX215" s="15" t="s">
        <v>446</v>
      </c>
      <c r="BZ215" s="18" t="s">
        <v>446</v>
      </c>
      <c r="CA215" s="14" t="s">
        <v>446</v>
      </c>
      <c r="CB215" s="14" t="s">
        <v>446</v>
      </c>
      <c r="CC215" s="15" t="s">
        <v>446</v>
      </c>
    </row>
    <row r="216" spans="2:81" ht="18" customHeight="1" x14ac:dyDescent="0.2">
      <c r="B216" s="10">
        <f>garage!B216</f>
        <v>216</v>
      </c>
      <c r="C216" s="10">
        <f>garage!C216</f>
        <v>5</v>
      </c>
      <c r="D216" s="10">
        <f>garage!D216</f>
        <v>44</v>
      </c>
      <c r="E216" s="10">
        <f>garage!E216</f>
        <v>13</v>
      </c>
      <c r="F216" s="10" t="str">
        <f>garage!F216</f>
        <v>--</v>
      </c>
      <c r="G216" s="10" t="str">
        <f>garage!G216</f>
        <v>N</v>
      </c>
      <c r="H216" s="10" t="str">
        <f>garage!H216</f>
        <v>O</v>
      </c>
      <c r="I216" s="10" t="str">
        <f>garage!I216</f>
        <v>N</v>
      </c>
      <c r="J216" s="10" t="str">
        <f>garage!J216</f>
        <v>N</v>
      </c>
      <c r="K216" s="10" t="str">
        <f>garage!K216</f>
        <v>S</v>
      </c>
      <c r="L216" s="11" t="str">
        <f>garage!L216</f>
        <v>SSC</v>
      </c>
      <c r="M216" s="11" t="str">
        <f>garage!M216</f>
        <v>Tuatara</v>
      </c>
      <c r="O216" s="19">
        <v>1</v>
      </c>
      <c r="P216" s="16">
        <v>1</v>
      </c>
      <c r="Q216" s="16">
        <v>1</v>
      </c>
      <c r="R216" s="17">
        <v>1</v>
      </c>
      <c r="S216" s="16">
        <v>1</v>
      </c>
      <c r="T216" s="16">
        <v>1</v>
      </c>
      <c r="U216" s="16">
        <v>1</v>
      </c>
      <c r="V216" s="17">
        <v>1</v>
      </c>
      <c r="W216" s="16">
        <v>1</v>
      </c>
      <c r="X216" s="16">
        <v>1</v>
      </c>
      <c r="Y216" s="16">
        <v>1</v>
      </c>
      <c r="Z216" s="17">
        <v>1</v>
      </c>
      <c r="AA216" s="16">
        <v>1</v>
      </c>
      <c r="AB216" s="16">
        <v>1</v>
      </c>
      <c r="AC216" s="16">
        <v>1</v>
      </c>
      <c r="AD216" s="17">
        <v>1</v>
      </c>
      <c r="AE216" s="16">
        <v>1</v>
      </c>
      <c r="AF216" s="16">
        <v>1</v>
      </c>
      <c r="AG216" s="16">
        <v>1</v>
      </c>
      <c r="AH216" s="17">
        <v>1</v>
      </c>
      <c r="AI216" s="16">
        <v>1</v>
      </c>
      <c r="AJ216" s="16">
        <v>1</v>
      </c>
      <c r="AK216" s="16">
        <v>1</v>
      </c>
      <c r="AL216" s="17">
        <v>1</v>
      </c>
      <c r="AM216" s="16">
        <v>1</v>
      </c>
      <c r="AN216" s="16">
        <v>1</v>
      </c>
      <c r="AO216" s="16">
        <v>1</v>
      </c>
      <c r="AP216" s="17">
        <v>1</v>
      </c>
      <c r="AQ216" s="16">
        <v>1</v>
      </c>
      <c r="AR216" s="16">
        <v>1</v>
      </c>
      <c r="AS216" s="16">
        <v>1</v>
      </c>
      <c r="AT216" s="17">
        <v>1</v>
      </c>
      <c r="AU216" s="16">
        <v>1</v>
      </c>
      <c r="AV216" s="16">
        <v>1</v>
      </c>
      <c r="AW216" s="16">
        <v>1</v>
      </c>
      <c r="AX216" s="17">
        <v>1</v>
      </c>
      <c r="AY216" s="16">
        <v>1</v>
      </c>
      <c r="AZ216" s="16">
        <v>1</v>
      </c>
      <c r="BA216" s="16">
        <v>1</v>
      </c>
      <c r="BB216" s="17">
        <v>1</v>
      </c>
      <c r="BC216" s="16">
        <v>1</v>
      </c>
      <c r="BD216" s="16">
        <v>1</v>
      </c>
      <c r="BE216" s="16">
        <v>1</v>
      </c>
      <c r="BF216" s="17">
        <v>1</v>
      </c>
      <c r="BG216" s="16">
        <v>1</v>
      </c>
      <c r="BH216" s="16">
        <v>1</v>
      </c>
      <c r="BI216" s="16">
        <v>1</v>
      </c>
      <c r="BJ216" s="17">
        <v>1</v>
      </c>
      <c r="BK216" s="16">
        <v>1</v>
      </c>
      <c r="BL216" s="16">
        <v>1</v>
      </c>
      <c r="BM216" s="16">
        <v>1</v>
      </c>
      <c r="BN216" s="17">
        <v>1</v>
      </c>
      <c r="BP216" s="19">
        <v>7</v>
      </c>
      <c r="BQ216" s="16">
        <v>7</v>
      </c>
      <c r="BR216" s="16">
        <v>7</v>
      </c>
      <c r="BS216" s="17">
        <v>7</v>
      </c>
      <c r="BU216" s="19">
        <v>5</v>
      </c>
      <c r="BV216" s="16">
        <v>5</v>
      </c>
      <c r="BW216" s="16">
        <v>5</v>
      </c>
      <c r="BX216" s="17">
        <v>5</v>
      </c>
      <c r="BZ216" s="19" t="s">
        <v>446</v>
      </c>
      <c r="CA216" s="16">
        <v>3</v>
      </c>
      <c r="CB216" s="16">
        <v>4</v>
      </c>
      <c r="CC216" s="17">
        <v>4</v>
      </c>
    </row>
    <row r="217" spans="2:81" ht="18" customHeight="1" x14ac:dyDescent="0.2">
      <c r="B217" s="8">
        <f>garage!B217</f>
        <v>217</v>
      </c>
      <c r="C217" s="8">
        <f>garage!C217</f>
        <v>5</v>
      </c>
      <c r="D217" s="8">
        <f>garage!D217</f>
        <v>45</v>
      </c>
      <c r="E217" s="8">
        <f>garage!E217</f>
        <v>30</v>
      </c>
      <c r="F217" s="8" t="str">
        <f>garage!F217</f>
        <v>--</v>
      </c>
      <c r="G217" s="8" t="str">
        <f>garage!G217</f>
        <v>N</v>
      </c>
      <c r="H217" s="8" t="str">
        <f>garage!H217</f>
        <v>N</v>
      </c>
      <c r="I217" s="8" t="str">
        <f>garage!I217</f>
        <v>N</v>
      </c>
      <c r="J217" s="8" t="str">
        <f>garage!J217</f>
        <v>N</v>
      </c>
      <c r="K217" s="8" t="str">
        <f>garage!K217</f>
        <v>S</v>
      </c>
      <c r="L217" s="9" t="str">
        <f>garage!L217</f>
        <v>Koenigsegg</v>
      </c>
      <c r="M217" s="9" t="str">
        <f>garage!M217</f>
        <v>CCXR</v>
      </c>
      <c r="O217" s="18" t="s">
        <v>446</v>
      </c>
      <c r="P217" s="14" t="s">
        <v>446</v>
      </c>
      <c r="Q217" s="14" t="s">
        <v>446</v>
      </c>
      <c r="R217" s="15" t="s">
        <v>446</v>
      </c>
      <c r="S217" s="14" t="s">
        <v>446</v>
      </c>
      <c r="T217" s="14" t="s">
        <v>446</v>
      </c>
      <c r="U217" s="14" t="s">
        <v>446</v>
      </c>
      <c r="V217" s="15" t="s">
        <v>446</v>
      </c>
      <c r="W217" s="14" t="s">
        <v>446</v>
      </c>
      <c r="X217" s="14" t="s">
        <v>446</v>
      </c>
      <c r="Y217" s="14" t="s">
        <v>446</v>
      </c>
      <c r="Z217" s="15" t="s">
        <v>446</v>
      </c>
      <c r="AA217" s="14" t="s">
        <v>446</v>
      </c>
      <c r="AB217" s="14" t="s">
        <v>446</v>
      </c>
      <c r="AC217" s="14" t="s">
        <v>446</v>
      </c>
      <c r="AD217" s="15" t="s">
        <v>446</v>
      </c>
      <c r="AE217" s="14" t="s">
        <v>446</v>
      </c>
      <c r="AF217" s="14" t="s">
        <v>446</v>
      </c>
      <c r="AG217" s="14" t="s">
        <v>446</v>
      </c>
      <c r="AH217" s="15" t="s">
        <v>446</v>
      </c>
      <c r="AI217" s="14" t="s">
        <v>446</v>
      </c>
      <c r="AJ217" s="14" t="s">
        <v>446</v>
      </c>
      <c r="AK217" s="14" t="s">
        <v>446</v>
      </c>
      <c r="AL217" s="15" t="s">
        <v>446</v>
      </c>
      <c r="AM217" s="14" t="s">
        <v>446</v>
      </c>
      <c r="AN217" s="14" t="s">
        <v>446</v>
      </c>
      <c r="AO217" s="14" t="s">
        <v>446</v>
      </c>
      <c r="AP217" s="15" t="s">
        <v>446</v>
      </c>
      <c r="AQ217" s="14" t="s">
        <v>446</v>
      </c>
      <c r="AR217" s="14" t="s">
        <v>446</v>
      </c>
      <c r="AS217" s="14" t="s">
        <v>446</v>
      </c>
      <c r="AT217" s="15" t="s">
        <v>446</v>
      </c>
      <c r="AU217" s="14" t="s">
        <v>446</v>
      </c>
      <c r="AV217" s="14" t="s">
        <v>446</v>
      </c>
      <c r="AW217" s="14" t="s">
        <v>446</v>
      </c>
      <c r="AX217" s="15" t="s">
        <v>446</v>
      </c>
      <c r="AY217" s="14" t="s">
        <v>446</v>
      </c>
      <c r="AZ217" s="14" t="s">
        <v>446</v>
      </c>
      <c r="BA217" s="14" t="s">
        <v>446</v>
      </c>
      <c r="BB217" s="15" t="s">
        <v>446</v>
      </c>
      <c r="BC217" s="14" t="s">
        <v>446</v>
      </c>
      <c r="BD217" s="14" t="s">
        <v>446</v>
      </c>
      <c r="BE217" s="14" t="s">
        <v>446</v>
      </c>
      <c r="BF217" s="15" t="s">
        <v>446</v>
      </c>
      <c r="BG217" s="14" t="s">
        <v>446</v>
      </c>
      <c r="BH217" s="14" t="s">
        <v>446</v>
      </c>
      <c r="BI217" s="14" t="s">
        <v>446</v>
      </c>
      <c r="BJ217" s="15" t="s">
        <v>446</v>
      </c>
      <c r="BK217" s="14" t="s">
        <v>446</v>
      </c>
      <c r="BL217" s="14" t="s">
        <v>446</v>
      </c>
      <c r="BM217" s="14" t="s">
        <v>446</v>
      </c>
      <c r="BN217" s="15" t="s">
        <v>446</v>
      </c>
      <c r="BP217" s="18" t="s">
        <v>446</v>
      </c>
      <c r="BQ217" s="14" t="s">
        <v>446</v>
      </c>
      <c r="BR217" s="14" t="s">
        <v>446</v>
      </c>
      <c r="BS217" s="15" t="s">
        <v>446</v>
      </c>
      <c r="BU217" s="18" t="s">
        <v>446</v>
      </c>
      <c r="BV217" s="14" t="s">
        <v>446</v>
      </c>
      <c r="BW217" s="14" t="s">
        <v>446</v>
      </c>
      <c r="BX217" s="15" t="s">
        <v>446</v>
      </c>
      <c r="BZ217" s="18" t="s">
        <v>446</v>
      </c>
      <c r="CA217" s="14" t="s">
        <v>446</v>
      </c>
      <c r="CB217" s="14" t="s">
        <v>446</v>
      </c>
      <c r="CC217" s="15" t="s">
        <v>446</v>
      </c>
    </row>
    <row r="218" spans="2:81" ht="18" customHeight="1" x14ac:dyDescent="0.2">
      <c r="B218" s="10">
        <f>garage!B218</f>
        <v>218</v>
      </c>
      <c r="C218" s="10">
        <f>garage!C218</f>
        <v>5</v>
      </c>
      <c r="D218" s="10">
        <f>garage!D218</f>
        <v>46</v>
      </c>
      <c r="E218" s="10">
        <f>garage!E218</f>
        <v>16</v>
      </c>
      <c r="F218" s="10" t="str">
        <f>garage!F218</f>
        <v>B</v>
      </c>
      <c r="G218" s="10" t="str">
        <f>garage!G218</f>
        <v>N</v>
      </c>
      <c r="H218" s="10" t="str">
        <f>garage!H218</f>
        <v>N</v>
      </c>
      <c r="I218" s="10" t="str">
        <f>garage!I218</f>
        <v>N</v>
      </c>
      <c r="J218" s="10" t="str">
        <f>garage!J218</f>
        <v>N</v>
      </c>
      <c r="K218" s="10" t="str">
        <f>garage!K218</f>
        <v>S</v>
      </c>
      <c r="L218" s="11" t="str">
        <f>garage!L218</f>
        <v>Bugatti</v>
      </c>
      <c r="M218" s="11" t="str">
        <f>garage!M218</f>
        <v>La Voiture Noire</v>
      </c>
      <c r="O218" s="19" t="s">
        <v>446</v>
      </c>
      <c r="P218" s="16" t="s">
        <v>446</v>
      </c>
      <c r="Q218" s="16" t="s">
        <v>446</v>
      </c>
      <c r="R218" s="17" t="s">
        <v>446</v>
      </c>
      <c r="S218" s="16" t="s">
        <v>446</v>
      </c>
      <c r="T218" s="16" t="s">
        <v>446</v>
      </c>
      <c r="U218" s="16" t="s">
        <v>446</v>
      </c>
      <c r="V218" s="17" t="s">
        <v>446</v>
      </c>
      <c r="W218" s="16" t="s">
        <v>446</v>
      </c>
      <c r="X218" s="16" t="s">
        <v>446</v>
      </c>
      <c r="Y218" s="16" t="s">
        <v>446</v>
      </c>
      <c r="Z218" s="17" t="s">
        <v>446</v>
      </c>
      <c r="AA218" s="16" t="s">
        <v>446</v>
      </c>
      <c r="AB218" s="16" t="s">
        <v>446</v>
      </c>
      <c r="AC218" s="16" t="s">
        <v>446</v>
      </c>
      <c r="AD218" s="17" t="s">
        <v>446</v>
      </c>
      <c r="AE218" s="16" t="s">
        <v>446</v>
      </c>
      <c r="AF218" s="16" t="s">
        <v>446</v>
      </c>
      <c r="AG218" s="16" t="s">
        <v>446</v>
      </c>
      <c r="AH218" s="17" t="s">
        <v>446</v>
      </c>
      <c r="AI218" s="16" t="s">
        <v>446</v>
      </c>
      <c r="AJ218" s="16" t="s">
        <v>446</v>
      </c>
      <c r="AK218" s="16" t="s">
        <v>446</v>
      </c>
      <c r="AL218" s="17" t="s">
        <v>446</v>
      </c>
      <c r="AM218" s="16" t="s">
        <v>446</v>
      </c>
      <c r="AN218" s="16" t="s">
        <v>446</v>
      </c>
      <c r="AO218" s="16" t="s">
        <v>446</v>
      </c>
      <c r="AP218" s="17" t="s">
        <v>446</v>
      </c>
      <c r="AQ218" s="16" t="s">
        <v>446</v>
      </c>
      <c r="AR218" s="16" t="s">
        <v>446</v>
      </c>
      <c r="AS218" s="16" t="s">
        <v>446</v>
      </c>
      <c r="AT218" s="17" t="s">
        <v>446</v>
      </c>
      <c r="AU218" s="16" t="s">
        <v>446</v>
      </c>
      <c r="AV218" s="16" t="s">
        <v>446</v>
      </c>
      <c r="AW218" s="16" t="s">
        <v>446</v>
      </c>
      <c r="AX218" s="17" t="s">
        <v>446</v>
      </c>
      <c r="AY218" s="16" t="s">
        <v>446</v>
      </c>
      <c r="AZ218" s="16" t="s">
        <v>446</v>
      </c>
      <c r="BA218" s="16" t="s">
        <v>446</v>
      </c>
      <c r="BB218" s="17" t="s">
        <v>446</v>
      </c>
      <c r="BC218" s="16" t="s">
        <v>446</v>
      </c>
      <c r="BD218" s="16" t="s">
        <v>446</v>
      </c>
      <c r="BE218" s="16" t="s">
        <v>446</v>
      </c>
      <c r="BF218" s="17" t="s">
        <v>446</v>
      </c>
      <c r="BG218" s="16" t="s">
        <v>446</v>
      </c>
      <c r="BH218" s="16" t="s">
        <v>446</v>
      </c>
      <c r="BI218" s="16" t="s">
        <v>446</v>
      </c>
      <c r="BJ218" s="17" t="s">
        <v>446</v>
      </c>
      <c r="BK218" s="16" t="s">
        <v>446</v>
      </c>
      <c r="BL218" s="16" t="s">
        <v>446</v>
      </c>
      <c r="BM218" s="16" t="s">
        <v>446</v>
      </c>
      <c r="BN218" s="17" t="s">
        <v>446</v>
      </c>
      <c r="BP218" s="19" t="s">
        <v>446</v>
      </c>
      <c r="BQ218" s="16" t="s">
        <v>446</v>
      </c>
      <c r="BR218" s="16" t="s">
        <v>446</v>
      </c>
      <c r="BS218" s="17" t="s">
        <v>446</v>
      </c>
      <c r="BU218" s="19" t="s">
        <v>446</v>
      </c>
      <c r="BV218" s="16" t="s">
        <v>446</v>
      </c>
      <c r="BW218" s="16" t="s">
        <v>446</v>
      </c>
      <c r="BX218" s="17" t="s">
        <v>446</v>
      </c>
      <c r="BZ218" s="19" t="s">
        <v>446</v>
      </c>
      <c r="CA218" s="16" t="s">
        <v>446</v>
      </c>
      <c r="CB218" s="16" t="s">
        <v>446</v>
      </c>
      <c r="CC218" s="17" t="s">
        <v>446</v>
      </c>
    </row>
    <row r="219" spans="2:81" ht="18" customHeight="1" x14ac:dyDescent="0.2">
      <c r="B219" s="8">
        <f>garage!B219</f>
        <v>219</v>
      </c>
      <c r="C219" s="8">
        <f>garage!C219</f>
        <v>5</v>
      </c>
      <c r="D219" s="8">
        <f>garage!D219</f>
        <v>47</v>
      </c>
      <c r="E219" s="8">
        <f>garage!E219</f>
        <v>22</v>
      </c>
      <c r="F219" s="8" t="str">
        <f>garage!F219</f>
        <v>--</v>
      </c>
      <c r="G219" s="8" t="str">
        <f>garage!G219</f>
        <v>N</v>
      </c>
      <c r="H219" s="8" t="str">
        <f>garage!H219</f>
        <v>N</v>
      </c>
      <c r="I219" s="8" t="str">
        <f>garage!I219</f>
        <v>N</v>
      </c>
      <c r="J219" s="8" t="str">
        <f>garage!J219</f>
        <v>N</v>
      </c>
      <c r="K219" s="8" t="str">
        <f>garage!K219</f>
        <v>S</v>
      </c>
      <c r="L219" s="9" t="str">
        <f>garage!L219</f>
        <v>Koenigsegg</v>
      </c>
      <c r="M219" s="9" t="str">
        <f>garage!M219</f>
        <v>Gemera</v>
      </c>
      <c r="O219" s="18" t="s">
        <v>446</v>
      </c>
      <c r="P219" s="14" t="s">
        <v>446</v>
      </c>
      <c r="Q219" s="14" t="s">
        <v>446</v>
      </c>
      <c r="R219" s="15" t="s">
        <v>446</v>
      </c>
      <c r="S219" s="14" t="s">
        <v>446</v>
      </c>
      <c r="T219" s="14" t="s">
        <v>446</v>
      </c>
      <c r="U219" s="14" t="s">
        <v>446</v>
      </c>
      <c r="V219" s="15" t="s">
        <v>446</v>
      </c>
      <c r="W219" s="14" t="s">
        <v>446</v>
      </c>
      <c r="X219" s="14" t="s">
        <v>446</v>
      </c>
      <c r="Y219" s="14" t="s">
        <v>446</v>
      </c>
      <c r="Z219" s="15" t="s">
        <v>446</v>
      </c>
      <c r="AA219" s="14" t="s">
        <v>446</v>
      </c>
      <c r="AB219" s="14" t="s">
        <v>446</v>
      </c>
      <c r="AC219" s="14" t="s">
        <v>446</v>
      </c>
      <c r="AD219" s="15" t="s">
        <v>446</v>
      </c>
      <c r="AE219" s="14" t="s">
        <v>446</v>
      </c>
      <c r="AF219" s="14" t="s">
        <v>446</v>
      </c>
      <c r="AG219" s="14" t="s">
        <v>446</v>
      </c>
      <c r="AH219" s="15" t="s">
        <v>446</v>
      </c>
      <c r="AI219" s="14" t="s">
        <v>446</v>
      </c>
      <c r="AJ219" s="14" t="s">
        <v>446</v>
      </c>
      <c r="AK219" s="14" t="s">
        <v>446</v>
      </c>
      <c r="AL219" s="15" t="s">
        <v>446</v>
      </c>
      <c r="AM219" s="14" t="s">
        <v>446</v>
      </c>
      <c r="AN219" s="14" t="s">
        <v>446</v>
      </c>
      <c r="AO219" s="14" t="s">
        <v>446</v>
      </c>
      <c r="AP219" s="15" t="s">
        <v>446</v>
      </c>
      <c r="AQ219" s="14" t="s">
        <v>446</v>
      </c>
      <c r="AR219" s="14" t="s">
        <v>446</v>
      </c>
      <c r="AS219" s="14" t="s">
        <v>446</v>
      </c>
      <c r="AT219" s="15" t="s">
        <v>446</v>
      </c>
      <c r="AU219" s="14" t="s">
        <v>446</v>
      </c>
      <c r="AV219" s="14" t="s">
        <v>446</v>
      </c>
      <c r="AW219" s="14" t="s">
        <v>446</v>
      </c>
      <c r="AX219" s="15" t="s">
        <v>446</v>
      </c>
      <c r="AY219" s="14" t="s">
        <v>446</v>
      </c>
      <c r="AZ219" s="14" t="s">
        <v>446</v>
      </c>
      <c r="BA219" s="14" t="s">
        <v>446</v>
      </c>
      <c r="BB219" s="15" t="s">
        <v>446</v>
      </c>
      <c r="BC219" s="14" t="s">
        <v>446</v>
      </c>
      <c r="BD219" s="14" t="s">
        <v>446</v>
      </c>
      <c r="BE219" s="14" t="s">
        <v>446</v>
      </c>
      <c r="BF219" s="15" t="s">
        <v>446</v>
      </c>
      <c r="BG219" s="14" t="s">
        <v>446</v>
      </c>
      <c r="BH219" s="14" t="s">
        <v>446</v>
      </c>
      <c r="BI219" s="14" t="s">
        <v>446</v>
      </c>
      <c r="BJ219" s="15" t="s">
        <v>446</v>
      </c>
      <c r="BK219" s="14" t="s">
        <v>446</v>
      </c>
      <c r="BL219" s="14" t="s">
        <v>446</v>
      </c>
      <c r="BM219" s="14" t="s">
        <v>446</v>
      </c>
      <c r="BN219" s="15" t="s">
        <v>446</v>
      </c>
      <c r="BP219" s="18" t="s">
        <v>446</v>
      </c>
      <c r="BQ219" s="14" t="s">
        <v>446</v>
      </c>
      <c r="BR219" s="14" t="s">
        <v>446</v>
      </c>
      <c r="BS219" s="15" t="s">
        <v>446</v>
      </c>
      <c r="BU219" s="18" t="s">
        <v>446</v>
      </c>
      <c r="BV219" s="14" t="s">
        <v>446</v>
      </c>
      <c r="BW219" s="14" t="s">
        <v>446</v>
      </c>
      <c r="BX219" s="15" t="s">
        <v>446</v>
      </c>
      <c r="BZ219" s="18" t="s">
        <v>446</v>
      </c>
      <c r="CA219" s="14" t="s">
        <v>446</v>
      </c>
      <c r="CB219" s="14" t="s">
        <v>446</v>
      </c>
      <c r="CC219" s="15" t="s">
        <v>446</v>
      </c>
    </row>
    <row r="220" spans="2:81" ht="18" customHeight="1" x14ac:dyDescent="0.2">
      <c r="B220" s="10">
        <f>garage!B220</f>
        <v>220</v>
      </c>
      <c r="C220" s="10">
        <f>garage!C220</f>
        <v>5</v>
      </c>
      <c r="D220" s="10">
        <f>garage!D220</f>
        <v>48</v>
      </c>
      <c r="E220" s="10">
        <f>garage!E220</f>
        <v>20</v>
      </c>
      <c r="F220" s="10" t="str">
        <f>garage!F220</f>
        <v>TD</v>
      </c>
      <c r="G220" s="10" t="str">
        <f>garage!G220</f>
        <v>N</v>
      </c>
      <c r="H220" s="10" t="str">
        <f>garage!H220</f>
        <v>N</v>
      </c>
      <c r="I220" s="10" t="str">
        <f>garage!I220</f>
        <v>N</v>
      </c>
      <c r="J220" s="10" t="str">
        <f>garage!J220</f>
        <v>N</v>
      </c>
      <c r="K220" s="10" t="str">
        <f>garage!K220</f>
        <v>S</v>
      </c>
      <c r="L220" s="11" t="str">
        <f>garage!L220</f>
        <v>Hennessey</v>
      </c>
      <c r="M220" s="11" t="str">
        <f>garage!M220</f>
        <v>Venom F5</v>
      </c>
      <c r="O220" s="19" t="s">
        <v>446</v>
      </c>
      <c r="P220" s="16" t="s">
        <v>446</v>
      </c>
      <c r="Q220" s="16" t="s">
        <v>446</v>
      </c>
      <c r="R220" s="17" t="s">
        <v>446</v>
      </c>
      <c r="S220" s="16" t="s">
        <v>446</v>
      </c>
      <c r="T220" s="16" t="s">
        <v>446</v>
      </c>
      <c r="U220" s="16" t="s">
        <v>446</v>
      </c>
      <c r="V220" s="17" t="s">
        <v>446</v>
      </c>
      <c r="W220" s="16" t="s">
        <v>446</v>
      </c>
      <c r="X220" s="16" t="s">
        <v>446</v>
      </c>
      <c r="Y220" s="16" t="s">
        <v>446</v>
      </c>
      <c r="Z220" s="17" t="s">
        <v>446</v>
      </c>
      <c r="AA220" s="16" t="s">
        <v>446</v>
      </c>
      <c r="AB220" s="16" t="s">
        <v>446</v>
      </c>
      <c r="AC220" s="16" t="s">
        <v>446</v>
      </c>
      <c r="AD220" s="17" t="s">
        <v>446</v>
      </c>
      <c r="AE220" s="16" t="s">
        <v>446</v>
      </c>
      <c r="AF220" s="16" t="s">
        <v>446</v>
      </c>
      <c r="AG220" s="16" t="s">
        <v>446</v>
      </c>
      <c r="AH220" s="17" t="s">
        <v>446</v>
      </c>
      <c r="AI220" s="16" t="s">
        <v>446</v>
      </c>
      <c r="AJ220" s="16" t="s">
        <v>446</v>
      </c>
      <c r="AK220" s="16" t="s">
        <v>446</v>
      </c>
      <c r="AL220" s="17" t="s">
        <v>446</v>
      </c>
      <c r="AM220" s="16" t="s">
        <v>446</v>
      </c>
      <c r="AN220" s="16" t="s">
        <v>446</v>
      </c>
      <c r="AO220" s="16" t="s">
        <v>446</v>
      </c>
      <c r="AP220" s="17" t="s">
        <v>446</v>
      </c>
      <c r="AQ220" s="16" t="s">
        <v>446</v>
      </c>
      <c r="AR220" s="16" t="s">
        <v>446</v>
      </c>
      <c r="AS220" s="16" t="s">
        <v>446</v>
      </c>
      <c r="AT220" s="17" t="s">
        <v>446</v>
      </c>
      <c r="AU220" s="16" t="s">
        <v>446</v>
      </c>
      <c r="AV220" s="16" t="s">
        <v>446</v>
      </c>
      <c r="AW220" s="16" t="s">
        <v>446</v>
      </c>
      <c r="AX220" s="17" t="s">
        <v>446</v>
      </c>
      <c r="AY220" s="16" t="s">
        <v>446</v>
      </c>
      <c r="AZ220" s="16" t="s">
        <v>446</v>
      </c>
      <c r="BA220" s="16" t="s">
        <v>446</v>
      </c>
      <c r="BB220" s="17" t="s">
        <v>446</v>
      </c>
      <c r="BC220" s="16" t="s">
        <v>446</v>
      </c>
      <c r="BD220" s="16" t="s">
        <v>446</v>
      </c>
      <c r="BE220" s="16" t="s">
        <v>446</v>
      </c>
      <c r="BF220" s="17" t="s">
        <v>446</v>
      </c>
      <c r="BG220" s="16" t="s">
        <v>446</v>
      </c>
      <c r="BH220" s="16" t="s">
        <v>446</v>
      </c>
      <c r="BI220" s="16" t="s">
        <v>446</v>
      </c>
      <c r="BJ220" s="17" t="s">
        <v>446</v>
      </c>
      <c r="BK220" s="16" t="s">
        <v>446</v>
      </c>
      <c r="BL220" s="16" t="s">
        <v>446</v>
      </c>
      <c r="BM220" s="16" t="s">
        <v>446</v>
      </c>
      <c r="BN220" s="17" t="s">
        <v>446</v>
      </c>
      <c r="BP220" s="19" t="s">
        <v>446</v>
      </c>
      <c r="BQ220" s="16" t="s">
        <v>446</v>
      </c>
      <c r="BR220" s="16" t="s">
        <v>446</v>
      </c>
      <c r="BS220" s="17" t="s">
        <v>446</v>
      </c>
      <c r="BU220" s="19" t="s">
        <v>446</v>
      </c>
      <c r="BV220" s="16" t="s">
        <v>446</v>
      </c>
      <c r="BW220" s="16" t="s">
        <v>446</v>
      </c>
      <c r="BX220" s="17" t="s">
        <v>446</v>
      </c>
      <c r="BZ220" s="19" t="s">
        <v>446</v>
      </c>
      <c r="CA220" s="16" t="s">
        <v>446</v>
      </c>
      <c r="CB220" s="16" t="s">
        <v>446</v>
      </c>
      <c r="CC220" s="17" t="s">
        <v>446</v>
      </c>
    </row>
    <row r="221" spans="2:81" ht="18" customHeight="1" x14ac:dyDescent="0.2">
      <c r="B221" s="10">
        <f>garage!B221</f>
        <v>221</v>
      </c>
      <c r="C221" s="10">
        <f>garage!C221</f>
        <v>5</v>
      </c>
      <c r="D221" s="10">
        <f>garage!D221</f>
        <v>49</v>
      </c>
      <c r="E221" s="10">
        <f>garage!E221</f>
        <v>32</v>
      </c>
      <c r="F221" s="10" t="str">
        <f>garage!F221</f>
        <v>--</v>
      </c>
      <c r="G221" s="10" t="str">
        <f>garage!G221</f>
        <v>N</v>
      </c>
      <c r="H221" s="10" t="str">
        <f>garage!H221</f>
        <v>N</v>
      </c>
      <c r="I221" s="10" t="str">
        <f>garage!I221</f>
        <v>N</v>
      </c>
      <c r="J221" s="10" t="str">
        <f>garage!J221</f>
        <v>N</v>
      </c>
      <c r="K221" s="10" t="str">
        <f>garage!K221</f>
        <v>S</v>
      </c>
      <c r="L221" s="11" t="str">
        <f>garage!L221</f>
        <v>Koenigsegg</v>
      </c>
      <c r="M221" s="11" t="str">
        <f>garage!M221</f>
        <v>CC850</v>
      </c>
      <c r="O221" s="19" t="s">
        <v>446</v>
      </c>
      <c r="P221" s="16" t="s">
        <v>446</v>
      </c>
      <c r="Q221" s="16" t="s">
        <v>446</v>
      </c>
      <c r="R221" s="17" t="s">
        <v>446</v>
      </c>
      <c r="S221" s="16" t="s">
        <v>446</v>
      </c>
      <c r="T221" s="16" t="s">
        <v>446</v>
      </c>
      <c r="U221" s="16" t="s">
        <v>446</v>
      </c>
      <c r="V221" s="17" t="s">
        <v>446</v>
      </c>
      <c r="W221" s="16" t="s">
        <v>446</v>
      </c>
      <c r="X221" s="16" t="s">
        <v>446</v>
      </c>
      <c r="Y221" s="16" t="s">
        <v>446</v>
      </c>
      <c r="Z221" s="17" t="s">
        <v>446</v>
      </c>
      <c r="AA221" s="16" t="s">
        <v>446</v>
      </c>
      <c r="AB221" s="16" t="s">
        <v>446</v>
      </c>
      <c r="AC221" s="16" t="s">
        <v>446</v>
      </c>
      <c r="AD221" s="17" t="s">
        <v>446</v>
      </c>
      <c r="AE221" s="16" t="s">
        <v>446</v>
      </c>
      <c r="AF221" s="16" t="s">
        <v>446</v>
      </c>
      <c r="AG221" s="16" t="s">
        <v>446</v>
      </c>
      <c r="AH221" s="17" t="s">
        <v>446</v>
      </c>
      <c r="AI221" s="16" t="s">
        <v>446</v>
      </c>
      <c r="AJ221" s="16" t="s">
        <v>446</v>
      </c>
      <c r="AK221" s="16" t="s">
        <v>446</v>
      </c>
      <c r="AL221" s="17" t="s">
        <v>446</v>
      </c>
      <c r="AM221" s="16" t="s">
        <v>446</v>
      </c>
      <c r="AN221" s="16" t="s">
        <v>446</v>
      </c>
      <c r="AO221" s="16" t="s">
        <v>446</v>
      </c>
      <c r="AP221" s="17" t="s">
        <v>446</v>
      </c>
      <c r="AQ221" s="16" t="s">
        <v>446</v>
      </c>
      <c r="AR221" s="16" t="s">
        <v>446</v>
      </c>
      <c r="AS221" s="16" t="s">
        <v>446</v>
      </c>
      <c r="AT221" s="17" t="s">
        <v>446</v>
      </c>
      <c r="AU221" s="16" t="s">
        <v>446</v>
      </c>
      <c r="AV221" s="16" t="s">
        <v>446</v>
      </c>
      <c r="AW221" s="16" t="s">
        <v>446</v>
      </c>
      <c r="AX221" s="17" t="s">
        <v>446</v>
      </c>
      <c r="AY221" s="16" t="s">
        <v>446</v>
      </c>
      <c r="AZ221" s="16" t="s">
        <v>446</v>
      </c>
      <c r="BA221" s="16" t="s">
        <v>446</v>
      </c>
      <c r="BB221" s="17" t="s">
        <v>446</v>
      </c>
      <c r="BC221" s="16" t="s">
        <v>446</v>
      </c>
      <c r="BD221" s="16" t="s">
        <v>446</v>
      </c>
      <c r="BE221" s="16" t="s">
        <v>446</v>
      </c>
      <c r="BF221" s="17" t="s">
        <v>446</v>
      </c>
      <c r="BG221" s="16" t="s">
        <v>446</v>
      </c>
      <c r="BH221" s="16" t="s">
        <v>446</v>
      </c>
      <c r="BI221" s="16" t="s">
        <v>446</v>
      </c>
      <c r="BJ221" s="17" t="s">
        <v>446</v>
      </c>
      <c r="BK221" s="16" t="s">
        <v>446</v>
      </c>
      <c r="BL221" s="16" t="s">
        <v>446</v>
      </c>
      <c r="BM221" s="16" t="s">
        <v>446</v>
      </c>
      <c r="BN221" s="17" t="s">
        <v>446</v>
      </c>
      <c r="BP221" s="19" t="s">
        <v>446</v>
      </c>
      <c r="BQ221" s="16" t="s">
        <v>446</v>
      </c>
      <c r="BR221" s="16" t="s">
        <v>446</v>
      </c>
      <c r="BS221" s="17" t="s">
        <v>446</v>
      </c>
      <c r="BU221" s="19" t="s">
        <v>446</v>
      </c>
      <c r="BV221" s="16" t="s">
        <v>446</v>
      </c>
      <c r="BW221" s="16" t="s">
        <v>446</v>
      </c>
      <c r="BX221" s="17" t="s">
        <v>446</v>
      </c>
      <c r="BZ221" s="19" t="s">
        <v>446</v>
      </c>
      <c r="CA221" s="16" t="s">
        <v>446</v>
      </c>
      <c r="CB221" s="16" t="s">
        <v>446</v>
      </c>
      <c r="CC221" s="17" t="s">
        <v>446</v>
      </c>
    </row>
    <row r="222" spans="2:81" ht="18" customHeight="1" x14ac:dyDescent="0.2">
      <c r="B222" s="8">
        <f>garage!B222</f>
        <v>222</v>
      </c>
      <c r="C222" s="8">
        <f>garage!C222</f>
        <v>5</v>
      </c>
      <c r="D222" s="8">
        <f>garage!D222</f>
        <v>50</v>
      </c>
      <c r="E222" s="8">
        <f>garage!E222</f>
        <v>28</v>
      </c>
      <c r="F222" s="8" t="str">
        <f>garage!F222</f>
        <v>B</v>
      </c>
      <c r="G222" s="8" t="str">
        <f>garage!G222</f>
        <v>N</v>
      </c>
      <c r="H222" s="8" t="str">
        <f>garage!H222</f>
        <v>N</v>
      </c>
      <c r="I222" s="8" t="str">
        <f>garage!I222</f>
        <v>N</v>
      </c>
      <c r="J222" s="8" t="str">
        <f>garage!J222</f>
        <v>N</v>
      </c>
      <c r="K222" s="8" t="str">
        <f>garage!K222</f>
        <v>S</v>
      </c>
      <c r="L222" s="9" t="str">
        <f>garage!L222</f>
        <v>Bugatti</v>
      </c>
      <c r="M222" s="9" t="str">
        <f>garage!M222</f>
        <v>Bolide</v>
      </c>
      <c r="O222" s="18">
        <v>1</v>
      </c>
      <c r="P222" s="14">
        <v>1</v>
      </c>
      <c r="Q222" s="14">
        <v>1</v>
      </c>
      <c r="R222" s="15">
        <v>1</v>
      </c>
      <c r="S222" s="14">
        <v>1</v>
      </c>
      <c r="T222" s="14">
        <v>1</v>
      </c>
      <c r="U222" s="14">
        <v>1</v>
      </c>
      <c r="V222" s="15">
        <v>1</v>
      </c>
      <c r="W222" s="14" t="s">
        <v>446</v>
      </c>
      <c r="X222" s="14" t="s">
        <v>446</v>
      </c>
      <c r="Y222" s="14" t="s">
        <v>446</v>
      </c>
      <c r="Z222" s="15" t="s">
        <v>446</v>
      </c>
      <c r="AA222" s="14" t="s">
        <v>446</v>
      </c>
      <c r="AB222" s="14" t="s">
        <v>446</v>
      </c>
      <c r="AC222" s="14" t="s">
        <v>446</v>
      </c>
      <c r="AD222" s="15" t="s">
        <v>446</v>
      </c>
      <c r="AE222" s="14" t="s">
        <v>446</v>
      </c>
      <c r="AF222" s="14" t="s">
        <v>446</v>
      </c>
      <c r="AG222" s="14" t="s">
        <v>446</v>
      </c>
      <c r="AH222" s="15" t="s">
        <v>446</v>
      </c>
      <c r="AI222" s="14" t="s">
        <v>446</v>
      </c>
      <c r="AJ222" s="14" t="s">
        <v>446</v>
      </c>
      <c r="AK222" s="14" t="s">
        <v>446</v>
      </c>
      <c r="AL222" s="15" t="s">
        <v>446</v>
      </c>
      <c r="AM222" s="14" t="s">
        <v>446</v>
      </c>
      <c r="AN222" s="14" t="s">
        <v>446</v>
      </c>
      <c r="AO222" s="14" t="s">
        <v>446</v>
      </c>
      <c r="AP222" s="15" t="s">
        <v>446</v>
      </c>
      <c r="AQ222" s="14" t="s">
        <v>446</v>
      </c>
      <c r="AR222" s="14" t="s">
        <v>446</v>
      </c>
      <c r="AS222" s="14" t="s">
        <v>446</v>
      </c>
      <c r="AT222" s="15" t="s">
        <v>446</v>
      </c>
      <c r="AU222" s="14" t="s">
        <v>446</v>
      </c>
      <c r="AV222" s="14" t="s">
        <v>446</v>
      </c>
      <c r="AW222" s="14" t="s">
        <v>446</v>
      </c>
      <c r="AX222" s="15" t="s">
        <v>446</v>
      </c>
      <c r="AY222" s="14" t="s">
        <v>446</v>
      </c>
      <c r="AZ222" s="14" t="s">
        <v>446</v>
      </c>
      <c r="BA222" s="14" t="s">
        <v>446</v>
      </c>
      <c r="BB222" s="15" t="s">
        <v>446</v>
      </c>
      <c r="BC222" s="14" t="s">
        <v>446</v>
      </c>
      <c r="BD222" s="14" t="s">
        <v>446</v>
      </c>
      <c r="BE222" s="14" t="s">
        <v>446</v>
      </c>
      <c r="BF222" s="15" t="s">
        <v>446</v>
      </c>
      <c r="BG222" s="14" t="s">
        <v>446</v>
      </c>
      <c r="BH222" s="14" t="s">
        <v>446</v>
      </c>
      <c r="BI222" s="14" t="s">
        <v>446</v>
      </c>
      <c r="BJ222" s="15" t="s">
        <v>446</v>
      </c>
      <c r="BK222" s="14" t="s">
        <v>446</v>
      </c>
      <c r="BL222" s="14" t="s">
        <v>446</v>
      </c>
      <c r="BM222" s="14" t="s">
        <v>446</v>
      </c>
      <c r="BN222" s="15" t="s">
        <v>446</v>
      </c>
      <c r="BP222" s="18" t="s">
        <v>446</v>
      </c>
      <c r="BQ222" s="14" t="s">
        <v>446</v>
      </c>
      <c r="BR222" s="14" t="s">
        <v>446</v>
      </c>
      <c r="BS222" s="15" t="s">
        <v>446</v>
      </c>
      <c r="BU222" s="18" t="s">
        <v>446</v>
      </c>
      <c r="BV222" s="14" t="s">
        <v>446</v>
      </c>
      <c r="BW222" s="14" t="s">
        <v>446</v>
      </c>
      <c r="BX222" s="15" t="s">
        <v>446</v>
      </c>
      <c r="BZ222" s="18" t="s">
        <v>446</v>
      </c>
      <c r="CA222" s="14" t="s">
        <v>446</v>
      </c>
      <c r="CB222" s="14" t="s">
        <v>446</v>
      </c>
      <c r="CC222" s="15" t="s">
        <v>446</v>
      </c>
    </row>
    <row r="223" spans="2:81" ht="18" customHeight="1" x14ac:dyDescent="0.2">
      <c r="B223" s="10">
        <f>garage!B223</f>
        <v>223</v>
      </c>
      <c r="C223" s="10">
        <f>garage!C223</f>
        <v>5</v>
      </c>
      <c r="D223" s="10">
        <f>garage!D223</f>
        <v>99</v>
      </c>
      <c r="E223" s="10">
        <f>garage!E223</f>
        <v>0</v>
      </c>
      <c r="F223" s="10" t="str">
        <f>garage!F223</f>
        <v>--</v>
      </c>
      <c r="G223" s="10" t="str">
        <f>garage!G223</f>
        <v>N</v>
      </c>
      <c r="H223" s="10" t="str">
        <f>garage!H223</f>
        <v>N</v>
      </c>
      <c r="I223" s="10" t="str">
        <f>garage!I223</f>
        <v>N</v>
      </c>
      <c r="J223" s="10" t="str">
        <f>garage!J223</f>
        <v>N</v>
      </c>
      <c r="K223" s="10" t="str">
        <f>garage!K223</f>
        <v>S</v>
      </c>
      <c r="L223" s="11" t="str">
        <f>garage!L223</f>
        <v>Rimac</v>
      </c>
      <c r="M223" s="11" t="str">
        <f>garage!M223</f>
        <v>C TWO</v>
      </c>
      <c r="O223" s="19" t="s">
        <v>446</v>
      </c>
      <c r="P223" s="16" t="s">
        <v>446</v>
      </c>
      <c r="Q223" s="16" t="s">
        <v>446</v>
      </c>
      <c r="R223" s="17" t="s">
        <v>446</v>
      </c>
      <c r="S223" s="16" t="s">
        <v>446</v>
      </c>
      <c r="T223" s="16" t="s">
        <v>446</v>
      </c>
      <c r="U223" s="16" t="s">
        <v>446</v>
      </c>
      <c r="V223" s="17" t="s">
        <v>446</v>
      </c>
      <c r="W223" s="16" t="s">
        <v>446</v>
      </c>
      <c r="X223" s="16" t="s">
        <v>446</v>
      </c>
      <c r="Y223" s="16" t="s">
        <v>446</v>
      </c>
      <c r="Z223" s="17" t="s">
        <v>446</v>
      </c>
      <c r="AA223" s="16" t="s">
        <v>446</v>
      </c>
      <c r="AB223" s="16" t="s">
        <v>446</v>
      </c>
      <c r="AC223" s="16" t="s">
        <v>446</v>
      </c>
      <c r="AD223" s="17" t="s">
        <v>446</v>
      </c>
      <c r="AE223" s="16" t="s">
        <v>446</v>
      </c>
      <c r="AF223" s="16" t="s">
        <v>446</v>
      </c>
      <c r="AG223" s="16" t="s">
        <v>446</v>
      </c>
      <c r="AH223" s="17" t="s">
        <v>446</v>
      </c>
      <c r="AI223" s="16" t="s">
        <v>446</v>
      </c>
      <c r="AJ223" s="16" t="s">
        <v>446</v>
      </c>
      <c r="AK223" s="16" t="s">
        <v>446</v>
      </c>
      <c r="AL223" s="17" t="s">
        <v>446</v>
      </c>
      <c r="AM223" s="16" t="s">
        <v>446</v>
      </c>
      <c r="AN223" s="16" t="s">
        <v>446</v>
      </c>
      <c r="AO223" s="16" t="s">
        <v>446</v>
      </c>
      <c r="AP223" s="17" t="s">
        <v>446</v>
      </c>
      <c r="AQ223" s="16" t="s">
        <v>446</v>
      </c>
      <c r="AR223" s="16" t="s">
        <v>446</v>
      </c>
      <c r="AS223" s="16" t="s">
        <v>446</v>
      </c>
      <c r="AT223" s="17" t="s">
        <v>446</v>
      </c>
      <c r="AU223" s="16" t="s">
        <v>446</v>
      </c>
      <c r="AV223" s="16" t="s">
        <v>446</v>
      </c>
      <c r="AW223" s="16" t="s">
        <v>446</v>
      </c>
      <c r="AX223" s="17" t="s">
        <v>446</v>
      </c>
      <c r="AY223" s="16" t="s">
        <v>446</v>
      </c>
      <c r="AZ223" s="16" t="s">
        <v>446</v>
      </c>
      <c r="BA223" s="16" t="s">
        <v>446</v>
      </c>
      <c r="BB223" s="17" t="s">
        <v>446</v>
      </c>
      <c r="BC223" s="16" t="s">
        <v>446</v>
      </c>
      <c r="BD223" s="16" t="s">
        <v>446</v>
      </c>
      <c r="BE223" s="16" t="s">
        <v>446</v>
      </c>
      <c r="BF223" s="17" t="s">
        <v>446</v>
      </c>
      <c r="BG223" s="16" t="s">
        <v>446</v>
      </c>
      <c r="BH223" s="16" t="s">
        <v>446</v>
      </c>
      <c r="BI223" s="16" t="s">
        <v>446</v>
      </c>
      <c r="BJ223" s="17" t="s">
        <v>446</v>
      </c>
      <c r="BK223" s="16" t="s">
        <v>446</v>
      </c>
      <c r="BL223" s="16" t="s">
        <v>446</v>
      </c>
      <c r="BM223" s="16" t="s">
        <v>446</v>
      </c>
      <c r="BN223" s="17" t="s">
        <v>446</v>
      </c>
      <c r="BP223" s="19" t="s">
        <v>446</v>
      </c>
      <c r="BQ223" s="16" t="s">
        <v>446</v>
      </c>
      <c r="BR223" s="16" t="s">
        <v>446</v>
      </c>
      <c r="BS223" s="17" t="s">
        <v>446</v>
      </c>
      <c r="BU223" s="19" t="s">
        <v>446</v>
      </c>
      <c r="BV223" s="16" t="s">
        <v>446</v>
      </c>
      <c r="BW223" s="16" t="s">
        <v>446</v>
      </c>
      <c r="BX223" s="17" t="s">
        <v>446</v>
      </c>
      <c r="BZ223" s="19" t="s">
        <v>446</v>
      </c>
      <c r="CA223" s="16" t="s">
        <v>446</v>
      </c>
      <c r="CB223" s="16" t="s">
        <v>446</v>
      </c>
      <c r="CC223" s="17" t="s">
        <v>446</v>
      </c>
    </row>
  </sheetData>
  <autoFilter ref="E1:L223"/>
  <sortState ref="B2:CC218">
    <sortCondition ref="C2:C218"/>
    <sortCondition ref="D2:D218"/>
  </sortState>
  <mergeCells count="13">
    <mergeCell ref="BK1:BN1"/>
    <mergeCell ref="AM1:AP1"/>
    <mergeCell ref="AQ1:AT1"/>
    <mergeCell ref="AU1:AX1"/>
    <mergeCell ref="AY1:BB1"/>
    <mergeCell ref="BC1:BF1"/>
    <mergeCell ref="BG1:BJ1"/>
    <mergeCell ref="AI1:AL1"/>
    <mergeCell ref="O1:R1"/>
    <mergeCell ref="S1:V1"/>
    <mergeCell ref="W1:Z1"/>
    <mergeCell ref="AA1:AD1"/>
    <mergeCell ref="AE1:AH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U223"/>
  <sheetViews>
    <sheetView showGridLines="0" workbookViewId="0">
      <pane ySplit="1" topLeftCell="A2" activePane="bottomLeft" state="frozen"/>
      <selection activeCell="A221" sqref="A221:XFD221"/>
      <selection pane="bottomLeft" activeCell="A2" sqref="A2"/>
    </sheetView>
  </sheetViews>
  <sheetFormatPr baseColWidth="10" defaultColWidth="3.7109375" defaultRowHeight="18" customHeight="1" x14ac:dyDescent="0.2"/>
  <cols>
    <col min="2" max="8" width="3.7109375" style="2" customWidth="1"/>
    <col min="9" max="10" width="3.7109375" customWidth="1"/>
    <col min="11" max="11" width="3.7109375" style="4" customWidth="1"/>
    <col min="12" max="12" width="25.7109375" style="4" customWidth="1"/>
    <col min="13" max="13" width="30.7109375" customWidth="1"/>
    <col min="15" max="21" width="10.7109375" style="2" customWidth="1"/>
  </cols>
  <sheetData>
    <row r="1" spans="2:21" ht="50.1" customHeight="1" x14ac:dyDescent="0.2">
      <c r="B1" s="7" t="s">
        <v>94</v>
      </c>
      <c r="C1" s="7" t="s">
        <v>95</v>
      </c>
      <c r="D1" s="7" t="s">
        <v>96</v>
      </c>
      <c r="E1" s="7" t="s">
        <v>97</v>
      </c>
      <c r="F1" s="7" t="s">
        <v>98</v>
      </c>
      <c r="G1" s="7" t="s">
        <v>65</v>
      </c>
      <c r="H1" s="7" t="s">
        <v>66</v>
      </c>
      <c r="I1" s="7" t="s">
        <v>67</v>
      </c>
      <c r="J1" s="7" t="s">
        <v>99</v>
      </c>
      <c r="K1" s="6" t="s">
        <v>100</v>
      </c>
      <c r="L1" s="6" t="s">
        <v>101</v>
      </c>
      <c r="M1" s="6" t="s">
        <v>102</v>
      </c>
      <c r="O1" s="7" t="s">
        <v>447</v>
      </c>
      <c r="P1" s="6" t="s">
        <v>434</v>
      </c>
      <c r="Q1" s="6" t="s">
        <v>435</v>
      </c>
      <c r="R1" s="6" t="s">
        <v>436</v>
      </c>
      <c r="S1" s="6" t="s">
        <v>437</v>
      </c>
      <c r="T1" s="6" t="s">
        <v>438</v>
      </c>
      <c r="U1" s="6" t="s">
        <v>439</v>
      </c>
    </row>
    <row r="2" spans="2:21" ht="18" customHeight="1" x14ac:dyDescent="0.2">
      <c r="B2" s="8">
        <f>garage!B2</f>
        <v>2</v>
      </c>
      <c r="C2" s="8">
        <f>garage!C2</f>
        <v>1</v>
      </c>
      <c r="D2" s="8">
        <f>garage!D2</f>
        <v>1</v>
      </c>
      <c r="E2" s="8">
        <f>garage!E2</f>
        <v>0</v>
      </c>
      <c r="F2" s="8" t="str">
        <f>garage!F2</f>
        <v>--</v>
      </c>
      <c r="G2" s="8" t="str">
        <f>garage!G2</f>
        <v>O</v>
      </c>
      <c r="H2" s="8" t="str">
        <f>garage!H2</f>
        <v>O</v>
      </c>
      <c r="I2" s="8" t="str">
        <f>garage!I2</f>
        <v>O</v>
      </c>
      <c r="J2" s="8" t="str">
        <f>garage!J2</f>
        <v>N</v>
      </c>
      <c r="K2" s="8" t="str">
        <f>garage!K2</f>
        <v>D</v>
      </c>
      <c r="L2" s="9" t="str">
        <f>garage!L2</f>
        <v>Mitsubishi</v>
      </c>
      <c r="M2" s="9" t="str">
        <f>garage!M2</f>
        <v>Lancer Evolution</v>
      </c>
      <c r="O2" s="44">
        <v>467</v>
      </c>
      <c r="P2" s="44">
        <v>789</v>
      </c>
      <c r="Q2" s="44">
        <v>1066</v>
      </c>
      <c r="R2" s="44">
        <v>1381</v>
      </c>
      <c r="S2" s="44"/>
      <c r="T2" s="44"/>
      <c r="U2" s="44"/>
    </row>
    <row r="3" spans="2:21" ht="18" customHeight="1" x14ac:dyDescent="0.2">
      <c r="B3" s="10">
        <f>garage!B3</f>
        <v>3</v>
      </c>
      <c r="C3" s="10">
        <f>garage!C3</f>
        <v>1</v>
      </c>
      <c r="D3" s="10">
        <f>garage!D3</f>
        <v>2</v>
      </c>
      <c r="E3" s="10">
        <f>garage!E3</f>
        <v>0</v>
      </c>
      <c r="F3" s="10" t="str">
        <f>garage!F3</f>
        <v>--</v>
      </c>
      <c r="G3" s="10" t="str">
        <f>garage!G3</f>
        <v>O</v>
      </c>
      <c r="H3" s="10" t="str">
        <f>garage!H3</f>
        <v>O</v>
      </c>
      <c r="I3" s="10" t="str">
        <f>garage!I3</f>
        <v>O</v>
      </c>
      <c r="J3" s="10" t="str">
        <f>garage!J3</f>
        <v>N</v>
      </c>
      <c r="K3" s="10" t="str">
        <f>garage!K3</f>
        <v>D</v>
      </c>
      <c r="L3" s="11" t="str">
        <f>garage!L3</f>
        <v>BMW</v>
      </c>
      <c r="M3" s="11" t="str">
        <f>garage!M3</f>
        <v>Z4 LCI E89</v>
      </c>
      <c r="O3" s="10">
        <v>518</v>
      </c>
      <c r="P3" s="10">
        <v>855</v>
      </c>
      <c r="Q3" s="10">
        <v>1111</v>
      </c>
      <c r="R3" s="10">
        <v>1476</v>
      </c>
      <c r="S3" s="10"/>
      <c r="T3" s="10"/>
      <c r="U3" s="10"/>
    </row>
    <row r="4" spans="2:21" ht="18" customHeight="1" x14ac:dyDescent="0.2">
      <c r="B4" s="8">
        <f>garage!B4</f>
        <v>4</v>
      </c>
      <c r="C4" s="8">
        <f>garage!C4</f>
        <v>1</v>
      </c>
      <c r="D4" s="8">
        <f>garage!D4</f>
        <v>3</v>
      </c>
      <c r="E4" s="8">
        <f>garage!E4</f>
        <v>0</v>
      </c>
      <c r="F4" s="8" t="str">
        <f>garage!F4</f>
        <v>C</v>
      </c>
      <c r="G4" s="8" t="str">
        <f>garage!G4</f>
        <v>O</v>
      </c>
      <c r="H4" s="8" t="str">
        <f>garage!H4</f>
        <v>O</v>
      </c>
      <c r="I4" s="8" t="str">
        <f>garage!I4</f>
        <v>O</v>
      </c>
      <c r="J4" s="8" t="str">
        <f>garage!J4</f>
        <v>N</v>
      </c>
      <c r="K4" s="8" t="str">
        <f>garage!K4</f>
        <v>D</v>
      </c>
      <c r="L4" s="9" t="str">
        <f>garage!L4</f>
        <v>Chevrolet</v>
      </c>
      <c r="M4" s="9" t="str">
        <f>garage!M4</f>
        <v>Camaro LT</v>
      </c>
      <c r="O4" s="44">
        <v>556</v>
      </c>
      <c r="P4" s="44">
        <v>904</v>
      </c>
      <c r="Q4" s="44">
        <v>1232</v>
      </c>
      <c r="R4" s="44">
        <v>1546</v>
      </c>
      <c r="S4" s="44"/>
      <c r="T4" s="44"/>
      <c r="U4" s="44"/>
    </row>
    <row r="5" spans="2:21" ht="18" customHeight="1" x14ac:dyDescent="0.2">
      <c r="B5" s="10">
        <f>garage!B5</f>
        <v>5</v>
      </c>
      <c r="C5" s="10">
        <f>garage!C5</f>
        <v>1</v>
      </c>
      <c r="D5" s="10">
        <f>garage!D5</f>
        <v>4</v>
      </c>
      <c r="E5" s="10">
        <f>garage!E5</f>
        <v>0</v>
      </c>
      <c r="F5" s="10" t="str">
        <f>garage!F5</f>
        <v>--</v>
      </c>
      <c r="G5" s="10" t="str">
        <f>garage!G5</f>
        <v>O</v>
      </c>
      <c r="H5" s="10" t="str">
        <f>garage!H5</f>
        <v>O</v>
      </c>
      <c r="I5" s="10" t="str">
        <f>garage!I5</f>
        <v>O</v>
      </c>
      <c r="J5" s="10" t="str">
        <f>garage!J5</f>
        <v>N</v>
      </c>
      <c r="K5" s="10" t="str">
        <f>garage!K5</f>
        <v>D</v>
      </c>
      <c r="L5" s="11" t="str">
        <f>garage!L5</f>
        <v>Nissan</v>
      </c>
      <c r="M5" s="11" t="str">
        <f>garage!M5</f>
        <v>Leaf Nismo RC</v>
      </c>
      <c r="O5" s="10">
        <v>311</v>
      </c>
      <c r="P5" s="10">
        <v>761</v>
      </c>
      <c r="Q5" s="10">
        <v>1179</v>
      </c>
      <c r="R5" s="10">
        <v>1569</v>
      </c>
      <c r="S5" s="10"/>
      <c r="T5" s="10"/>
      <c r="U5" s="10"/>
    </row>
    <row r="6" spans="2:21" ht="18" customHeight="1" x14ac:dyDescent="0.2">
      <c r="B6" s="8">
        <f>garage!B6</f>
        <v>6</v>
      </c>
      <c r="C6" s="8">
        <f>garage!C6</f>
        <v>1</v>
      </c>
      <c r="D6" s="8">
        <f>garage!D6</f>
        <v>5</v>
      </c>
      <c r="E6" s="8">
        <f>garage!E6</f>
        <v>0</v>
      </c>
      <c r="F6" s="8" t="str">
        <f>garage!F6</f>
        <v>--</v>
      </c>
      <c r="G6" s="8" t="str">
        <f>garage!G6</f>
        <v>O</v>
      </c>
      <c r="H6" s="8" t="str">
        <f>garage!H6</f>
        <v>O</v>
      </c>
      <c r="I6" s="8" t="str">
        <f>garage!I6</f>
        <v>O</v>
      </c>
      <c r="J6" s="8" t="str">
        <f>garage!J6</f>
        <v>N</v>
      </c>
      <c r="K6" s="8" t="str">
        <f>garage!K6</f>
        <v>D</v>
      </c>
      <c r="L6" s="9" t="str">
        <f>garage!L6</f>
        <v>Nissan</v>
      </c>
      <c r="M6" s="9" t="str">
        <f>garage!M6</f>
        <v>37OZ Nismo</v>
      </c>
      <c r="O6" s="44">
        <v>620</v>
      </c>
      <c r="P6" s="44">
        <v>991</v>
      </c>
      <c r="Q6" s="44">
        <v>1337</v>
      </c>
      <c r="R6" s="44">
        <v>1662</v>
      </c>
      <c r="S6" s="44"/>
      <c r="T6" s="44"/>
      <c r="U6" s="44"/>
    </row>
    <row r="7" spans="2:21" ht="18" customHeight="1" x14ac:dyDescent="0.2">
      <c r="B7" s="10">
        <f>garage!B7</f>
        <v>7</v>
      </c>
      <c r="C7" s="10">
        <f>garage!C7</f>
        <v>1</v>
      </c>
      <c r="D7" s="10">
        <f>garage!D7</f>
        <v>6</v>
      </c>
      <c r="E7" s="10">
        <f>garage!E7</f>
        <v>30</v>
      </c>
      <c r="F7" s="10" t="str">
        <f>garage!F7</f>
        <v>--</v>
      </c>
      <c r="G7" s="10" t="str">
        <f>garage!G7</f>
        <v>O</v>
      </c>
      <c r="H7" s="10" t="str">
        <f>garage!H7</f>
        <v>O</v>
      </c>
      <c r="I7" s="10" t="str">
        <f>garage!I7</f>
        <v>N</v>
      </c>
      <c r="J7" s="10" t="str">
        <f>garage!J7</f>
        <v>N</v>
      </c>
      <c r="K7" s="10" t="str">
        <f>garage!K7</f>
        <v>D</v>
      </c>
      <c r="L7" s="11" t="str">
        <f>garage!L7</f>
        <v>KTM</v>
      </c>
      <c r="M7" s="11" t="str">
        <f>garage!M7</f>
        <v>X-Bow GTX</v>
      </c>
      <c r="O7" s="10">
        <v>662</v>
      </c>
      <c r="P7" s="10">
        <v>1042</v>
      </c>
      <c r="Q7" s="10" t="s">
        <v>112</v>
      </c>
      <c r="R7" s="10" t="s">
        <v>112</v>
      </c>
      <c r="S7" s="10"/>
      <c r="T7" s="10"/>
      <c r="U7" s="10"/>
    </row>
    <row r="8" spans="2:21" ht="18" customHeight="1" x14ac:dyDescent="0.2">
      <c r="B8" s="8">
        <f>garage!B8</f>
        <v>8</v>
      </c>
      <c r="C8" s="8">
        <f>garage!C8</f>
        <v>1</v>
      </c>
      <c r="D8" s="8">
        <f>garage!D8</f>
        <v>7</v>
      </c>
      <c r="E8" s="8">
        <f>garage!E8</f>
        <v>0</v>
      </c>
      <c r="F8" s="8" t="str">
        <f>garage!F8</f>
        <v>--</v>
      </c>
      <c r="G8" s="8" t="str">
        <f>garage!G8</f>
        <v>O</v>
      </c>
      <c r="H8" s="8" t="str">
        <f>garage!H8</f>
        <v>O</v>
      </c>
      <c r="I8" s="8" t="str">
        <f>garage!I8</f>
        <v>O</v>
      </c>
      <c r="J8" s="8" t="str">
        <f>garage!J8</f>
        <v>N</v>
      </c>
      <c r="K8" s="8" t="str">
        <f>garage!K8</f>
        <v>D</v>
      </c>
      <c r="L8" s="9" t="str">
        <f>garage!L8</f>
        <v>Volkswagen</v>
      </c>
      <c r="M8" s="9" t="str">
        <f>garage!M8</f>
        <v>XL Sport Concept</v>
      </c>
      <c r="O8" s="44">
        <v>706</v>
      </c>
      <c r="P8" s="44">
        <v>1101</v>
      </c>
      <c r="Q8" s="44">
        <v>1466</v>
      </c>
      <c r="R8" s="44">
        <v>1814</v>
      </c>
      <c r="S8" s="44"/>
      <c r="T8" s="44"/>
      <c r="U8" s="44"/>
    </row>
    <row r="9" spans="2:21" ht="18" customHeight="1" x14ac:dyDescent="0.2">
      <c r="B9" s="10">
        <f>garage!B9</f>
        <v>9</v>
      </c>
      <c r="C9" s="10">
        <f>garage!C9</f>
        <v>1</v>
      </c>
      <c r="D9" s="10">
        <f>garage!D9</f>
        <v>8</v>
      </c>
      <c r="E9" s="10">
        <f>garage!E9</f>
        <v>0</v>
      </c>
      <c r="F9" s="10" t="str">
        <f>garage!F9</f>
        <v>--</v>
      </c>
      <c r="G9" s="10" t="str">
        <f>garage!G9</f>
        <v>O</v>
      </c>
      <c r="H9" s="10" t="str">
        <f>garage!H9</f>
        <v>O</v>
      </c>
      <c r="I9" s="10" t="str">
        <f>garage!I9</f>
        <v>O</v>
      </c>
      <c r="J9" s="10" t="str">
        <f>garage!J9</f>
        <v>N</v>
      </c>
      <c r="K9" s="10" t="str">
        <f>garage!K9</f>
        <v>D</v>
      </c>
      <c r="L9" s="11" t="str">
        <f>garage!L9</f>
        <v>DS Automobiles</v>
      </c>
      <c r="M9" s="11" t="str">
        <f>garage!M9</f>
        <v>DS E-Tense</v>
      </c>
      <c r="O9" s="10">
        <v>799</v>
      </c>
      <c r="P9" s="10">
        <v>1216</v>
      </c>
      <c r="Q9" s="10">
        <v>1607</v>
      </c>
      <c r="R9" s="10">
        <v>1976</v>
      </c>
      <c r="S9" s="10"/>
      <c r="T9" s="10"/>
      <c r="U9" s="10"/>
    </row>
    <row r="10" spans="2:21" ht="18" customHeight="1" x14ac:dyDescent="0.2">
      <c r="B10" s="8">
        <f>garage!B10</f>
        <v>10</v>
      </c>
      <c r="C10" s="8">
        <f>garage!C10</f>
        <v>1</v>
      </c>
      <c r="D10" s="8">
        <f>garage!D10</f>
        <v>9</v>
      </c>
      <c r="E10" s="8">
        <f>garage!E10</f>
        <v>0</v>
      </c>
      <c r="F10" s="8" t="str">
        <f>garage!F10</f>
        <v>--</v>
      </c>
      <c r="G10" s="8" t="str">
        <f>garage!G10</f>
        <v>O</v>
      </c>
      <c r="H10" s="8" t="str">
        <f>garage!H10</f>
        <v>O</v>
      </c>
      <c r="I10" s="8" t="str">
        <f>garage!I10</f>
        <v>O</v>
      </c>
      <c r="J10" s="8" t="str">
        <f>garage!J10</f>
        <v>N</v>
      </c>
      <c r="K10" s="8" t="str">
        <f>garage!K10</f>
        <v>D</v>
      </c>
      <c r="L10" s="9" t="str">
        <f>garage!L10</f>
        <v>Dodge</v>
      </c>
      <c r="M10" s="9" t="str">
        <f>garage!M10</f>
        <v>Pack Challenger 392 Hemi Scat</v>
      </c>
      <c r="O10" s="44">
        <v>899</v>
      </c>
      <c r="P10" s="44">
        <v>1337</v>
      </c>
      <c r="Q10" s="44">
        <v>1757</v>
      </c>
      <c r="R10" s="44">
        <v>2144</v>
      </c>
      <c r="S10" s="44"/>
      <c r="T10" s="44"/>
      <c r="U10" s="44"/>
    </row>
    <row r="11" spans="2:21" ht="18" customHeight="1" x14ac:dyDescent="0.2">
      <c r="B11" s="10">
        <f>garage!B11</f>
        <v>11</v>
      </c>
      <c r="C11" s="10">
        <f>garage!C11</f>
        <v>1</v>
      </c>
      <c r="D11" s="10">
        <f>garage!D11</f>
        <v>10</v>
      </c>
      <c r="E11" s="10">
        <f>garage!E11</f>
        <v>26</v>
      </c>
      <c r="F11" s="10" t="str">
        <f>garage!F11</f>
        <v>--</v>
      </c>
      <c r="G11" s="10" t="str">
        <f>garage!G11</f>
        <v>O</v>
      </c>
      <c r="H11" s="10" t="str">
        <f>garage!H11</f>
        <v>N</v>
      </c>
      <c r="I11" s="10" t="str">
        <f>garage!I11</f>
        <v>N</v>
      </c>
      <c r="J11" s="10" t="str">
        <f>garage!J11</f>
        <v>O</v>
      </c>
      <c r="K11" s="10" t="str">
        <f>garage!K11</f>
        <v>D</v>
      </c>
      <c r="L11" s="11" t="str">
        <f>garage!L11</f>
        <v>Renault</v>
      </c>
      <c r="M11" s="11" t="str">
        <f>garage!M11</f>
        <v>Dezir</v>
      </c>
      <c r="O11" s="10">
        <v>899</v>
      </c>
      <c r="P11" s="10">
        <v>1192</v>
      </c>
      <c r="Q11" s="10">
        <v>1531</v>
      </c>
      <c r="R11" s="10">
        <v>1879</v>
      </c>
      <c r="S11" s="10">
        <v>2213</v>
      </c>
      <c r="T11" s="10"/>
      <c r="U11" s="10"/>
    </row>
    <row r="12" spans="2:21" ht="18" customHeight="1" x14ac:dyDescent="0.2">
      <c r="B12" s="8">
        <f>garage!B12</f>
        <v>12</v>
      </c>
      <c r="C12" s="8">
        <f>garage!C12</f>
        <v>1</v>
      </c>
      <c r="D12" s="8">
        <f>garage!D12</f>
        <v>11</v>
      </c>
      <c r="E12" s="8">
        <f>garage!E12</f>
        <v>18</v>
      </c>
      <c r="F12" s="8" t="str">
        <f>garage!F12</f>
        <v>--</v>
      </c>
      <c r="G12" s="8" t="str">
        <f>garage!G12</f>
        <v>N</v>
      </c>
      <c r="H12" s="8" t="str">
        <f>garage!H12</f>
        <v>N</v>
      </c>
      <c r="I12" s="8" t="str">
        <f>garage!I12</f>
        <v>N</v>
      </c>
      <c r="J12" s="8" t="str">
        <f>garage!J12</f>
        <v>N</v>
      </c>
      <c r="K12" s="8" t="str">
        <f>garage!K12</f>
        <v>D</v>
      </c>
      <c r="L12" s="9" t="str">
        <f>garage!L12</f>
        <v>Italdesign</v>
      </c>
      <c r="M12" s="9" t="str">
        <f>garage!M12</f>
        <v>DaVinci</v>
      </c>
      <c r="O12" s="44">
        <v>848</v>
      </c>
      <c r="P12" s="44">
        <v>1163</v>
      </c>
      <c r="Q12" s="44">
        <v>1515</v>
      </c>
      <c r="R12" s="44">
        <v>1875</v>
      </c>
      <c r="S12" s="44">
        <v>2217</v>
      </c>
      <c r="T12" s="44"/>
      <c r="U12" s="44"/>
    </row>
    <row r="13" spans="2:21" ht="18" customHeight="1" x14ac:dyDescent="0.2">
      <c r="B13" s="10">
        <f>garage!B13</f>
        <v>13</v>
      </c>
      <c r="C13" s="10">
        <f>garage!C13</f>
        <v>1</v>
      </c>
      <c r="D13" s="10">
        <f>garage!D13</f>
        <v>12</v>
      </c>
      <c r="E13" s="10">
        <f>garage!E13</f>
        <v>16</v>
      </c>
      <c r="F13" s="10" t="str">
        <f>garage!F13</f>
        <v>--</v>
      </c>
      <c r="G13" s="10" t="str">
        <f>garage!G13</f>
        <v>O</v>
      </c>
      <c r="H13" s="10" t="str">
        <f>garage!H13</f>
        <v>N</v>
      </c>
      <c r="I13" s="10" t="str">
        <f>garage!I13</f>
        <v>N</v>
      </c>
      <c r="J13" s="10" t="str">
        <f>garage!J13</f>
        <v>O</v>
      </c>
      <c r="K13" s="10" t="str">
        <f>garage!K13</f>
        <v>D</v>
      </c>
      <c r="L13" s="11" t="str">
        <f>garage!L13</f>
        <v>BMW</v>
      </c>
      <c r="M13" s="11" t="str">
        <f>garage!M13</f>
        <v>I8 Roadster</v>
      </c>
      <c r="O13" s="10">
        <v>715</v>
      </c>
      <c r="P13" s="10">
        <v>1069</v>
      </c>
      <c r="Q13" s="10">
        <v>1462</v>
      </c>
      <c r="R13" s="10">
        <v>1864</v>
      </c>
      <c r="S13" s="10">
        <v>2247</v>
      </c>
      <c r="T13" s="10"/>
      <c r="U13" s="10"/>
    </row>
    <row r="14" spans="2:21" ht="18" customHeight="1" x14ac:dyDescent="0.2">
      <c r="B14" s="8">
        <f>garage!B14</f>
        <v>14</v>
      </c>
      <c r="C14" s="8">
        <f>garage!C14</f>
        <v>1</v>
      </c>
      <c r="D14" s="8">
        <f>garage!D14</f>
        <v>13</v>
      </c>
      <c r="E14" s="8">
        <f>garage!E14</f>
        <v>27</v>
      </c>
      <c r="F14" s="8" t="str">
        <f>garage!F14</f>
        <v>--</v>
      </c>
      <c r="G14" s="8" t="str">
        <f>garage!G14</f>
        <v>O</v>
      </c>
      <c r="H14" s="8" t="str">
        <f>garage!H14</f>
        <v>N</v>
      </c>
      <c r="I14" s="8" t="str">
        <f>garage!I14</f>
        <v>N</v>
      </c>
      <c r="J14" s="8" t="str">
        <f>garage!J14</f>
        <v>N</v>
      </c>
      <c r="K14" s="8" t="str">
        <f>garage!K14</f>
        <v>D</v>
      </c>
      <c r="L14" s="9" t="str">
        <f>garage!L14</f>
        <v>Peugeot</v>
      </c>
      <c r="M14" s="9" t="str">
        <f>garage!M14</f>
        <v>SR1</v>
      </c>
      <c r="O14" s="44" t="s">
        <v>112</v>
      </c>
      <c r="P14" s="44">
        <v>1076</v>
      </c>
      <c r="Q14" s="44" t="s">
        <v>112</v>
      </c>
      <c r="R14" s="44" t="s">
        <v>112</v>
      </c>
      <c r="S14" s="44" t="s">
        <v>112</v>
      </c>
      <c r="T14" s="44"/>
      <c r="U14" s="44"/>
    </row>
    <row r="15" spans="2:21" ht="18" customHeight="1" x14ac:dyDescent="0.2">
      <c r="B15" s="10">
        <f>garage!B15</f>
        <v>15</v>
      </c>
      <c r="C15" s="10">
        <f>garage!C15</f>
        <v>1</v>
      </c>
      <c r="D15" s="10">
        <f>garage!D15</f>
        <v>14</v>
      </c>
      <c r="E15" s="10">
        <f>garage!E15</f>
        <v>0</v>
      </c>
      <c r="F15" s="10" t="str">
        <f>garage!F15</f>
        <v>P</v>
      </c>
      <c r="G15" s="10" t="str">
        <f>garage!G15</f>
        <v>O</v>
      </c>
      <c r="H15" s="10" t="str">
        <f>garage!H15</f>
        <v>O</v>
      </c>
      <c r="I15" s="10" t="str">
        <f>garage!I15</f>
        <v>O</v>
      </c>
      <c r="J15" s="10" t="str">
        <f>garage!J15</f>
        <v>N</v>
      </c>
      <c r="K15" s="10" t="str">
        <f>garage!K15</f>
        <v>D</v>
      </c>
      <c r="L15" s="11" t="str">
        <f>garage!L15</f>
        <v>Porsche</v>
      </c>
      <c r="M15" s="11" t="str">
        <f>garage!M15</f>
        <v>718 Cayman</v>
      </c>
      <c r="O15" s="10">
        <v>1006</v>
      </c>
      <c r="P15" s="10">
        <v>1310</v>
      </c>
      <c r="Q15" s="10">
        <v>1658</v>
      </c>
      <c r="R15" s="10">
        <v>2016</v>
      </c>
      <c r="S15" s="10">
        <v>2360</v>
      </c>
      <c r="T15" s="10"/>
      <c r="U15" s="10"/>
    </row>
    <row r="16" spans="2:21" ht="18" customHeight="1" x14ac:dyDescent="0.2">
      <c r="B16" s="8">
        <f>garage!B16</f>
        <v>16</v>
      </c>
      <c r="C16" s="8">
        <f>garage!C16</f>
        <v>1</v>
      </c>
      <c r="D16" s="8">
        <f>garage!D16</f>
        <v>15</v>
      </c>
      <c r="E16" s="8">
        <f>garage!E16</f>
        <v>17</v>
      </c>
      <c r="F16" s="8" t="str">
        <f>garage!F16</f>
        <v>--</v>
      </c>
      <c r="G16" s="8" t="str">
        <f>garage!G16</f>
        <v>O</v>
      </c>
      <c r="H16" s="8" t="str">
        <f>garage!H16</f>
        <v>O</v>
      </c>
      <c r="I16" s="8" t="str">
        <f>garage!I16</f>
        <v>N</v>
      </c>
      <c r="J16" s="8" t="str">
        <f>garage!J16</f>
        <v>N</v>
      </c>
      <c r="K16" s="8" t="str">
        <f>garage!K16</f>
        <v>D</v>
      </c>
      <c r="L16" s="9" t="str">
        <f>garage!L16</f>
        <v>Infiniti</v>
      </c>
      <c r="M16" s="9" t="str">
        <f>garage!M16</f>
        <v>Projet Black S</v>
      </c>
      <c r="O16" s="44">
        <v>729</v>
      </c>
      <c r="P16" s="44">
        <v>1119</v>
      </c>
      <c r="Q16" s="44">
        <v>1540</v>
      </c>
      <c r="R16" s="44">
        <v>1970</v>
      </c>
      <c r="S16" s="44">
        <v>2368</v>
      </c>
      <c r="T16" s="44"/>
      <c r="U16" s="44"/>
    </row>
    <row r="17" spans="2:21" ht="18" customHeight="1" x14ac:dyDescent="0.2">
      <c r="B17" s="10">
        <f>garage!B17</f>
        <v>17</v>
      </c>
      <c r="C17" s="10">
        <f>garage!C17</f>
        <v>1</v>
      </c>
      <c r="D17" s="10">
        <f>garage!D17</f>
        <v>16</v>
      </c>
      <c r="E17" s="10">
        <f>garage!E17</f>
        <v>0</v>
      </c>
      <c r="F17" s="10" t="str">
        <f>garage!F17</f>
        <v>--</v>
      </c>
      <c r="G17" s="10" t="str">
        <f>garage!G17</f>
        <v>O</v>
      </c>
      <c r="H17" s="10" t="str">
        <f>garage!H17</f>
        <v>O</v>
      </c>
      <c r="I17" s="10" t="str">
        <f>garage!I17</f>
        <v>O</v>
      </c>
      <c r="J17" s="10" t="str">
        <f>garage!J17</f>
        <v>N</v>
      </c>
      <c r="K17" s="10" t="str">
        <f>garage!K17</f>
        <v>D</v>
      </c>
      <c r="L17" s="11" t="str">
        <f>garage!L17</f>
        <v>Lotus</v>
      </c>
      <c r="M17" s="11" t="str">
        <f>garage!M17</f>
        <v>Elise Sprint 220</v>
      </c>
      <c r="O17" s="10">
        <v>587</v>
      </c>
      <c r="P17" s="10">
        <v>1004</v>
      </c>
      <c r="Q17" s="10">
        <v>1468</v>
      </c>
      <c r="R17" s="10">
        <v>1942</v>
      </c>
      <c r="S17" s="10">
        <v>2390</v>
      </c>
      <c r="T17" s="10"/>
      <c r="U17" s="10"/>
    </row>
    <row r="18" spans="2:21" ht="18" customHeight="1" x14ac:dyDescent="0.2">
      <c r="B18" s="8">
        <f>garage!B18</f>
        <v>18</v>
      </c>
      <c r="C18" s="8">
        <f>garage!C18</f>
        <v>1</v>
      </c>
      <c r="D18" s="8">
        <f>garage!D18</f>
        <v>17</v>
      </c>
      <c r="E18" s="8">
        <f>garage!E18</f>
        <v>25</v>
      </c>
      <c r="F18" s="8" t="str">
        <f>garage!F18</f>
        <v>L</v>
      </c>
      <c r="G18" s="8" t="str">
        <f>garage!G18</f>
        <v>O</v>
      </c>
      <c r="H18" s="8" t="str">
        <f>garage!H18</f>
        <v>N</v>
      </c>
      <c r="I18" s="8" t="str">
        <f>garage!I18</f>
        <v>N</v>
      </c>
      <c r="J18" s="8" t="str">
        <f>garage!J18</f>
        <v>O</v>
      </c>
      <c r="K18" s="8" t="str">
        <f>garage!K18</f>
        <v>D</v>
      </c>
      <c r="L18" s="9" t="str">
        <f>garage!L18</f>
        <v>Lamborghini</v>
      </c>
      <c r="M18" s="9" t="str">
        <f>garage!M18</f>
        <v>Countach 25th Anniversary</v>
      </c>
      <c r="O18" s="44">
        <v>1063</v>
      </c>
      <c r="P18" s="44">
        <v>1389</v>
      </c>
      <c r="Q18" s="44">
        <v>1757</v>
      </c>
      <c r="R18" s="44">
        <v>2135</v>
      </c>
      <c r="S18" s="44">
        <v>2498</v>
      </c>
      <c r="T18" s="44"/>
      <c r="U18" s="44"/>
    </row>
    <row r="19" spans="2:21" ht="18" customHeight="1" x14ac:dyDescent="0.2">
      <c r="B19" s="10">
        <f>garage!B19</f>
        <v>19</v>
      </c>
      <c r="C19" s="10">
        <f>garage!C19</f>
        <v>1</v>
      </c>
      <c r="D19" s="10">
        <f>garage!D19</f>
        <v>18</v>
      </c>
      <c r="E19" s="10">
        <f>garage!E19</f>
        <v>0</v>
      </c>
      <c r="F19" s="10" t="str">
        <f>garage!F19</f>
        <v>--</v>
      </c>
      <c r="G19" s="10" t="str">
        <f>garage!G19</f>
        <v>O</v>
      </c>
      <c r="H19" s="10" t="str">
        <f>garage!H19</f>
        <v>O</v>
      </c>
      <c r="I19" s="10" t="str">
        <f>garage!I19</f>
        <v>O</v>
      </c>
      <c r="J19" s="10" t="str">
        <f>garage!J19</f>
        <v>N</v>
      </c>
      <c r="K19" s="10" t="str">
        <f>garage!K19</f>
        <v>D</v>
      </c>
      <c r="L19" s="11" t="str">
        <f>garage!L19</f>
        <v>Ford</v>
      </c>
      <c r="M19" s="11" t="str">
        <f>garage!M19</f>
        <v>Shelby GT350R</v>
      </c>
      <c r="O19" s="10">
        <v>1121</v>
      </c>
      <c r="P19" s="10">
        <v>1437</v>
      </c>
      <c r="Q19" s="10">
        <v>1810</v>
      </c>
      <c r="R19" s="10">
        <v>2179</v>
      </c>
      <c r="S19" s="10">
        <v>2548</v>
      </c>
      <c r="T19" s="10"/>
      <c r="U19" s="10"/>
    </row>
    <row r="20" spans="2:21" ht="18" customHeight="1" x14ac:dyDescent="0.2">
      <c r="B20" s="8">
        <f>garage!B20</f>
        <v>20</v>
      </c>
      <c r="C20" s="8">
        <f>garage!C20</f>
        <v>1</v>
      </c>
      <c r="D20" s="8">
        <f>garage!D20</f>
        <v>19</v>
      </c>
      <c r="E20" s="8">
        <f>garage!E20</f>
        <v>6</v>
      </c>
      <c r="F20" s="8" t="str">
        <f>garage!F20</f>
        <v>P</v>
      </c>
      <c r="G20" s="8" t="str">
        <f>garage!G20</f>
        <v>O</v>
      </c>
      <c r="H20" s="8" t="str">
        <f>garage!H20</f>
        <v>O</v>
      </c>
      <c r="I20" s="8" t="str">
        <f>garage!I20</f>
        <v>O</v>
      </c>
      <c r="J20" s="8" t="str">
        <f>garage!J20</f>
        <v>N</v>
      </c>
      <c r="K20" s="8" t="str">
        <f>garage!K20</f>
        <v>D</v>
      </c>
      <c r="L20" s="9" t="str">
        <f>garage!L20</f>
        <v>Porsche</v>
      </c>
      <c r="M20" s="9" t="str">
        <f>garage!M20</f>
        <v>911 Targa 4S</v>
      </c>
      <c r="O20" s="44">
        <v>1063</v>
      </c>
      <c r="P20" s="44">
        <v>1397</v>
      </c>
      <c r="Q20" s="44">
        <v>1790</v>
      </c>
      <c r="R20" s="44">
        <v>2192</v>
      </c>
      <c r="S20" s="44">
        <v>2589</v>
      </c>
      <c r="T20" s="44"/>
      <c r="U20" s="44"/>
    </row>
    <row r="21" spans="2:21" ht="18" customHeight="1" x14ac:dyDescent="0.2">
      <c r="B21" s="10">
        <f>garage!B21</f>
        <v>21</v>
      </c>
      <c r="C21" s="10">
        <f>garage!C21</f>
        <v>1</v>
      </c>
      <c r="D21" s="10">
        <f>garage!D21</f>
        <v>20</v>
      </c>
      <c r="E21" s="10">
        <f>garage!E21</f>
        <v>23</v>
      </c>
      <c r="F21" s="10" t="str">
        <f>garage!F21</f>
        <v>--</v>
      </c>
      <c r="G21" s="10" t="str">
        <f>garage!G21</f>
        <v>O</v>
      </c>
      <c r="H21" s="10" t="str">
        <f>garage!H21</f>
        <v>O</v>
      </c>
      <c r="I21" s="10" t="str">
        <f>garage!I21</f>
        <v>N</v>
      </c>
      <c r="J21" s="10" t="str">
        <f>garage!J21</f>
        <v>N</v>
      </c>
      <c r="K21" s="10" t="str">
        <f>garage!K21</f>
        <v>D</v>
      </c>
      <c r="L21" s="11" t="str">
        <f>garage!L21</f>
        <v>Lotus</v>
      </c>
      <c r="M21" s="11" t="str">
        <f>garage!M21</f>
        <v>Emira</v>
      </c>
      <c r="O21" s="10">
        <v>1109</v>
      </c>
      <c r="P21" s="10">
        <v>1448</v>
      </c>
      <c r="Q21" s="10">
        <v>1834</v>
      </c>
      <c r="R21" s="10">
        <v>2228</v>
      </c>
      <c r="S21" s="10">
        <v>2611</v>
      </c>
      <c r="T21" s="10"/>
      <c r="U21" s="10"/>
    </row>
    <row r="22" spans="2:21" ht="18" customHeight="1" x14ac:dyDescent="0.2">
      <c r="B22" s="8">
        <f>garage!B22</f>
        <v>22</v>
      </c>
      <c r="C22" s="8">
        <f>garage!C22</f>
        <v>1</v>
      </c>
      <c r="D22" s="8">
        <f>garage!D22</f>
        <v>21</v>
      </c>
      <c r="E22" s="8">
        <f>garage!E22</f>
        <v>28</v>
      </c>
      <c r="F22" s="8" t="str">
        <f>garage!F22</f>
        <v>--</v>
      </c>
      <c r="G22" s="8" t="str">
        <f>garage!G22</f>
        <v>O</v>
      </c>
      <c r="H22" s="8" t="str">
        <f>garage!H22</f>
        <v>N</v>
      </c>
      <c r="I22" s="8" t="str">
        <f>garage!I22</f>
        <v>N</v>
      </c>
      <c r="J22" s="8" t="str">
        <f>garage!J22</f>
        <v>N</v>
      </c>
      <c r="K22" s="8" t="str">
        <f>garage!K22</f>
        <v>D</v>
      </c>
      <c r="L22" s="9" t="str">
        <f>garage!L22</f>
        <v>Prague</v>
      </c>
      <c r="M22" s="9" t="str">
        <f>garage!M22</f>
        <v>R1</v>
      </c>
      <c r="O22" s="44">
        <v>1151</v>
      </c>
      <c r="P22" s="44">
        <v>1488</v>
      </c>
      <c r="Q22" s="44">
        <v>1864</v>
      </c>
      <c r="R22" s="44" t="s">
        <v>112</v>
      </c>
      <c r="S22" s="44">
        <v>2624</v>
      </c>
      <c r="T22" s="44"/>
      <c r="U22" s="44"/>
    </row>
    <row r="23" spans="2:21" ht="18" customHeight="1" x14ac:dyDescent="0.2">
      <c r="B23" s="10">
        <f>garage!B23</f>
        <v>23</v>
      </c>
      <c r="C23" s="10">
        <f>garage!C23</f>
        <v>1</v>
      </c>
      <c r="D23" s="10">
        <f>garage!D23</f>
        <v>22</v>
      </c>
      <c r="E23" s="10">
        <f>garage!E23</f>
        <v>6</v>
      </c>
      <c r="F23" s="10" t="str">
        <f>garage!F23</f>
        <v>--</v>
      </c>
      <c r="G23" s="10" t="str">
        <f>garage!G23</f>
        <v>O</v>
      </c>
      <c r="H23" s="10" t="str">
        <f>garage!H23</f>
        <v>O</v>
      </c>
      <c r="I23" s="10" t="str">
        <f>garage!I23</f>
        <v>O</v>
      </c>
      <c r="J23" s="10" t="str">
        <f>garage!J23</f>
        <v>N</v>
      </c>
      <c r="K23" s="10" t="str">
        <f>garage!K23</f>
        <v>D</v>
      </c>
      <c r="L23" s="11" t="str">
        <f>garage!L23</f>
        <v>Ginetta</v>
      </c>
      <c r="M23" s="11" t="str">
        <f>garage!M23</f>
        <v>G60</v>
      </c>
      <c r="O23" s="10">
        <v>1181</v>
      </c>
      <c r="P23" s="10">
        <v>1517</v>
      </c>
      <c r="Q23" s="10">
        <v>1891</v>
      </c>
      <c r="R23" s="10">
        <v>2277</v>
      </c>
      <c r="S23" s="10">
        <v>2646</v>
      </c>
      <c r="T23" s="10"/>
      <c r="U23" s="10"/>
    </row>
    <row r="24" spans="2:21" ht="18" customHeight="1" x14ac:dyDescent="0.2">
      <c r="B24" s="8">
        <f>garage!B24</f>
        <v>24</v>
      </c>
      <c r="C24" s="8">
        <f>garage!C24</f>
        <v>1</v>
      </c>
      <c r="D24" s="8">
        <f>garage!D24</f>
        <v>23</v>
      </c>
      <c r="E24" s="8">
        <f>garage!E24</f>
        <v>21</v>
      </c>
      <c r="F24" s="8" t="str">
        <f>garage!F24</f>
        <v>--</v>
      </c>
      <c r="G24" s="8" t="str">
        <f>garage!G24</f>
        <v>O</v>
      </c>
      <c r="H24" s="8" t="str">
        <f>garage!H24</f>
        <v>N</v>
      </c>
      <c r="I24" s="8" t="str">
        <f>garage!I24</f>
        <v>N</v>
      </c>
      <c r="J24" s="8" t="str">
        <f>garage!J24</f>
        <v>N</v>
      </c>
      <c r="K24" s="8" t="str">
        <f>garage!K24</f>
        <v>D</v>
      </c>
      <c r="L24" s="9" t="str">
        <f>garage!L24</f>
        <v>Renault</v>
      </c>
      <c r="M24" s="9" t="str">
        <f>garage!M24</f>
        <v>TreZor</v>
      </c>
      <c r="O24" s="44">
        <v>1212</v>
      </c>
      <c r="P24" s="44">
        <v>1541</v>
      </c>
      <c r="Q24" s="44">
        <v>1914</v>
      </c>
      <c r="R24" s="44">
        <v>2296</v>
      </c>
      <c r="S24" s="44">
        <v>2667</v>
      </c>
      <c r="T24" s="44"/>
      <c r="U24" s="44"/>
    </row>
    <row r="25" spans="2:21" ht="18" customHeight="1" x14ac:dyDescent="0.2">
      <c r="B25" s="8">
        <f>garage!B25</f>
        <v>25</v>
      </c>
      <c r="C25" s="8">
        <f>garage!C25</f>
        <v>1</v>
      </c>
      <c r="D25" s="8">
        <f>garage!D25</f>
        <v>24</v>
      </c>
      <c r="E25" s="8">
        <f>garage!E25</f>
        <v>32</v>
      </c>
      <c r="F25" s="8" t="str">
        <f>garage!F25</f>
        <v>--</v>
      </c>
      <c r="G25" s="8" t="str">
        <f>garage!G25</f>
        <v>N</v>
      </c>
      <c r="H25" s="8" t="str">
        <f>garage!H25</f>
        <v>N</v>
      </c>
      <c r="I25" s="8" t="str">
        <f>garage!I25</f>
        <v>N</v>
      </c>
      <c r="J25" s="8" t="str">
        <f>garage!J25</f>
        <v>N</v>
      </c>
      <c r="K25" s="8" t="str">
        <f>garage!K25</f>
        <v>D</v>
      </c>
      <c r="L25" s="9" t="str">
        <f>garage!L25</f>
        <v>Nissan</v>
      </c>
      <c r="M25" s="9" t="str">
        <f>garage!M25</f>
        <v>370Z Édition Néon</v>
      </c>
      <c r="O25" s="44">
        <v>540</v>
      </c>
      <c r="P25" s="44" t="s">
        <v>112</v>
      </c>
      <c r="Q25" s="44" t="s">
        <v>112</v>
      </c>
      <c r="R25" s="44" t="s">
        <v>112</v>
      </c>
      <c r="S25" s="44" t="s">
        <v>112</v>
      </c>
      <c r="T25" s="44" t="s">
        <v>112</v>
      </c>
      <c r="U25" s="44" t="s">
        <v>112</v>
      </c>
    </row>
    <row r="26" spans="2:21" ht="18" customHeight="1" x14ac:dyDescent="0.2">
      <c r="B26" s="10">
        <f>garage!B26</f>
        <v>26</v>
      </c>
      <c r="C26" s="10">
        <f>garage!C26</f>
        <v>1</v>
      </c>
      <c r="D26" s="10">
        <f>garage!D26</f>
        <v>25</v>
      </c>
      <c r="E26" s="10">
        <f>garage!E26</f>
        <v>10</v>
      </c>
      <c r="F26" s="10" t="str">
        <f>garage!F26</f>
        <v>--</v>
      </c>
      <c r="G26" s="10" t="str">
        <f>garage!G26</f>
        <v>O</v>
      </c>
      <c r="H26" s="10" t="str">
        <f>garage!H26</f>
        <v>O</v>
      </c>
      <c r="I26" s="10" t="str">
        <f>garage!I26</f>
        <v>N</v>
      </c>
      <c r="J26" s="10" t="str">
        <f>garage!J26</f>
        <v>N</v>
      </c>
      <c r="K26" s="10" t="str">
        <f>garage!K26</f>
        <v>D</v>
      </c>
      <c r="L26" s="11" t="str">
        <f>garage!L26</f>
        <v>Honda</v>
      </c>
      <c r="M26" s="11" t="str">
        <f>garage!M26</f>
        <v>Civic Type-R</v>
      </c>
      <c r="O26" s="10">
        <v>1243</v>
      </c>
      <c r="P26" s="10">
        <v>1578</v>
      </c>
      <c r="Q26" s="10">
        <v>1951</v>
      </c>
      <c r="R26" s="10">
        <v>2334</v>
      </c>
      <c r="S26" s="10">
        <v>2698</v>
      </c>
      <c r="T26" s="10"/>
      <c r="U26" s="10"/>
    </row>
    <row r="27" spans="2:21" ht="18" customHeight="1" x14ac:dyDescent="0.2">
      <c r="B27" s="8">
        <f>garage!B27</f>
        <v>27</v>
      </c>
      <c r="C27" s="8">
        <f>garage!C27</f>
        <v>1</v>
      </c>
      <c r="D27" s="8">
        <f>garage!D27</f>
        <v>26</v>
      </c>
      <c r="E27" s="8">
        <f>garage!E27</f>
        <v>11</v>
      </c>
      <c r="F27" s="8" t="str">
        <f>garage!F27</f>
        <v>P</v>
      </c>
      <c r="G27" s="8" t="str">
        <f>garage!G27</f>
        <v>O</v>
      </c>
      <c r="H27" s="8" t="str">
        <f>garage!H27</f>
        <v>O</v>
      </c>
      <c r="I27" s="8" t="str">
        <f>garage!I27</f>
        <v>O</v>
      </c>
      <c r="J27" s="8" t="str">
        <f>garage!J27</f>
        <v>N</v>
      </c>
      <c r="K27" s="8" t="str">
        <f>garage!K27</f>
        <v>D</v>
      </c>
      <c r="L27" s="9" t="str">
        <f>garage!L27</f>
        <v>Porsche</v>
      </c>
      <c r="M27" s="9" t="str">
        <f>garage!M27</f>
        <v>Taycan Turbo S</v>
      </c>
      <c r="O27" s="44">
        <v>1274</v>
      </c>
      <c r="P27" s="44">
        <v>1616</v>
      </c>
      <c r="Q27" s="44">
        <v>1988</v>
      </c>
      <c r="R27" s="44">
        <v>2369</v>
      </c>
      <c r="S27" s="44">
        <v>2724</v>
      </c>
      <c r="T27" s="44"/>
      <c r="U27" s="44"/>
    </row>
    <row r="28" spans="2:21" ht="18" customHeight="1" x14ac:dyDescent="0.2">
      <c r="B28" s="10">
        <f>garage!B28</f>
        <v>28</v>
      </c>
      <c r="C28" s="10">
        <f>garage!C28</f>
        <v>1</v>
      </c>
      <c r="D28" s="10">
        <f>garage!D28</f>
        <v>27</v>
      </c>
      <c r="E28" s="10">
        <f>garage!E28</f>
        <v>7</v>
      </c>
      <c r="F28" s="10" t="str">
        <f>garage!F28</f>
        <v>--</v>
      </c>
      <c r="G28" s="10" t="str">
        <f>garage!G28</f>
        <v>O</v>
      </c>
      <c r="H28" s="10" t="str">
        <f>garage!H28</f>
        <v>O</v>
      </c>
      <c r="I28" s="10" t="str">
        <f>garage!I28</f>
        <v>O</v>
      </c>
      <c r="J28" s="10" t="str">
        <f>garage!J28</f>
        <v>N</v>
      </c>
      <c r="K28" s="10" t="str">
        <f>garage!K28</f>
        <v>D</v>
      </c>
      <c r="L28" s="11" t="str">
        <f>garage!L28</f>
        <v>TVR</v>
      </c>
      <c r="M28" s="11" t="str">
        <f>garage!M28</f>
        <v>Griffith</v>
      </c>
      <c r="O28" s="10">
        <v>1307</v>
      </c>
      <c r="P28" s="10">
        <v>1630</v>
      </c>
      <c r="Q28" s="10">
        <v>2001</v>
      </c>
      <c r="R28" s="10">
        <v>2381</v>
      </c>
      <c r="S28" s="10">
        <v>2751</v>
      </c>
      <c r="T28" s="10"/>
      <c r="U28" s="10"/>
    </row>
    <row r="29" spans="2:21" ht="18" customHeight="1" x14ac:dyDescent="0.2">
      <c r="B29" s="8">
        <f>garage!B29</f>
        <v>29</v>
      </c>
      <c r="C29" s="8">
        <f>garage!C29</f>
        <v>1</v>
      </c>
      <c r="D29" s="8">
        <f>garage!D29</f>
        <v>28</v>
      </c>
      <c r="E29" s="8">
        <f>garage!E29</f>
        <v>14</v>
      </c>
      <c r="F29" s="8" t="str">
        <f>garage!F29</f>
        <v>--</v>
      </c>
      <c r="G29" s="8" t="str">
        <f>garage!G29</f>
        <v>O</v>
      </c>
      <c r="H29" s="8" t="str">
        <f>garage!H29</f>
        <v>O</v>
      </c>
      <c r="I29" s="8" t="str">
        <f>garage!I29</f>
        <v>N</v>
      </c>
      <c r="J29" s="8" t="str">
        <f>garage!J29</f>
        <v>N</v>
      </c>
      <c r="K29" s="8" t="str">
        <f>garage!K29</f>
        <v>D</v>
      </c>
      <c r="L29" s="9" t="str">
        <f>garage!L29</f>
        <v>Bentley</v>
      </c>
      <c r="M29" s="9" t="str">
        <f>garage!M29</f>
        <v>Continental GT3</v>
      </c>
      <c r="O29" s="44">
        <v>1139</v>
      </c>
      <c r="P29" s="44">
        <v>1500</v>
      </c>
      <c r="Q29" s="44">
        <v>1920</v>
      </c>
      <c r="R29" s="44">
        <v>2353</v>
      </c>
      <c r="S29" s="44">
        <v>2783</v>
      </c>
      <c r="T29" s="44"/>
      <c r="U29" s="44"/>
    </row>
    <row r="30" spans="2:21" ht="18" customHeight="1" x14ac:dyDescent="0.2">
      <c r="B30" s="10">
        <f>garage!B30</f>
        <v>30</v>
      </c>
      <c r="C30" s="10">
        <f>garage!C30</f>
        <v>1</v>
      </c>
      <c r="D30" s="10">
        <f>garage!D30</f>
        <v>29</v>
      </c>
      <c r="E30" s="10">
        <f>garage!E30</f>
        <v>0</v>
      </c>
      <c r="F30" s="10" t="str">
        <f>garage!F30</f>
        <v>--</v>
      </c>
      <c r="G30" s="10" t="str">
        <f>garage!G30</f>
        <v>O</v>
      </c>
      <c r="H30" s="10" t="str">
        <f>garage!H30</f>
        <v>O</v>
      </c>
      <c r="I30" s="10" t="str">
        <f>garage!I30</f>
        <v>O</v>
      </c>
      <c r="J30" s="10" t="str">
        <f>garage!J30</f>
        <v>N</v>
      </c>
      <c r="K30" s="10" t="str">
        <f>garage!K30</f>
        <v>D</v>
      </c>
      <c r="L30" s="11" t="str">
        <f>garage!L30</f>
        <v>Mazda</v>
      </c>
      <c r="M30" s="11" t="str">
        <f>garage!M30</f>
        <v>Furai</v>
      </c>
      <c r="O30" s="10">
        <v>1372</v>
      </c>
      <c r="P30" s="10">
        <v>1712</v>
      </c>
      <c r="Q30" s="10">
        <v>2095</v>
      </c>
      <c r="R30" s="10">
        <v>2486</v>
      </c>
      <c r="S30" s="10">
        <v>2853</v>
      </c>
      <c r="T30" s="10"/>
      <c r="U30" s="10"/>
    </row>
    <row r="31" spans="2:21" ht="18" customHeight="1" x14ac:dyDescent="0.2">
      <c r="B31" s="8">
        <f>garage!B31</f>
        <v>31</v>
      </c>
      <c r="C31" s="8">
        <f>garage!C31</f>
        <v>1</v>
      </c>
      <c r="D31" s="8">
        <f>garage!D31</f>
        <v>30</v>
      </c>
      <c r="E31" s="8">
        <f>garage!E31</f>
        <v>13</v>
      </c>
      <c r="F31" s="8" t="str">
        <f>garage!F31</f>
        <v>C</v>
      </c>
      <c r="G31" s="8" t="str">
        <f>garage!G31</f>
        <v>O</v>
      </c>
      <c r="H31" s="8" t="str">
        <f>garage!H31</f>
        <v>O</v>
      </c>
      <c r="I31" s="8" t="str">
        <f>garage!I31</f>
        <v>N</v>
      </c>
      <c r="J31" s="8" t="str">
        <f>garage!J31</f>
        <v>N</v>
      </c>
      <c r="K31" s="8" t="str">
        <f>garage!K31</f>
        <v>D</v>
      </c>
      <c r="L31" s="9" t="str">
        <f>garage!L31</f>
        <v>Chevrolet</v>
      </c>
      <c r="M31" s="9" t="str">
        <f>garage!M31</f>
        <v>Corvette C7.R</v>
      </c>
      <c r="O31" s="44">
        <v>1440</v>
      </c>
      <c r="P31" s="44">
        <v>1637</v>
      </c>
      <c r="Q31" s="44">
        <v>1868</v>
      </c>
      <c r="R31" s="44">
        <v>2122</v>
      </c>
      <c r="S31" s="44">
        <v>2433</v>
      </c>
      <c r="T31" s="44">
        <v>2948</v>
      </c>
      <c r="U31" s="44"/>
    </row>
    <row r="32" spans="2:21" ht="18" customHeight="1" x14ac:dyDescent="0.2">
      <c r="B32" s="10">
        <f>garage!B32</f>
        <v>32</v>
      </c>
      <c r="C32" s="10">
        <f>garage!C32</f>
        <v>1</v>
      </c>
      <c r="D32" s="10">
        <f>garage!D32</f>
        <v>31</v>
      </c>
      <c r="E32" s="10">
        <f>garage!E32</f>
        <v>16</v>
      </c>
      <c r="F32" s="10" t="str">
        <f>garage!F32</f>
        <v>L</v>
      </c>
      <c r="G32" s="10" t="str">
        <f>garage!G32</f>
        <v>N</v>
      </c>
      <c r="H32" s="10" t="str">
        <f>garage!H32</f>
        <v>N</v>
      </c>
      <c r="I32" s="10" t="str">
        <f>garage!I32</f>
        <v>N</v>
      </c>
      <c r="J32" s="10" t="str">
        <f>garage!J32</f>
        <v>N</v>
      </c>
      <c r="K32" s="10" t="str">
        <f>garage!K32</f>
        <v>D</v>
      </c>
      <c r="L32" s="11" t="str">
        <f>garage!L32</f>
        <v>Lamborghini</v>
      </c>
      <c r="M32" s="11" t="str">
        <f>garage!M32</f>
        <v>Huracan Super Trofeo Evo</v>
      </c>
      <c r="O32" s="10">
        <v>1475</v>
      </c>
      <c r="P32" s="10">
        <v>1673</v>
      </c>
      <c r="Q32" s="10">
        <v>1905</v>
      </c>
      <c r="R32" s="10">
        <v>2160</v>
      </c>
      <c r="S32" s="10">
        <v>2479</v>
      </c>
      <c r="T32" s="10">
        <v>3000</v>
      </c>
      <c r="U32" s="10"/>
    </row>
    <row r="33" spans="2:21" ht="18" customHeight="1" x14ac:dyDescent="0.2">
      <c r="B33" s="8">
        <f>garage!B33</f>
        <v>33</v>
      </c>
      <c r="C33" s="8">
        <f>garage!C33</f>
        <v>1</v>
      </c>
      <c r="D33" s="8">
        <f>garage!D33</f>
        <v>32</v>
      </c>
      <c r="E33" s="8">
        <f>garage!E33</f>
        <v>21</v>
      </c>
      <c r="F33" s="8" t="str">
        <f>garage!F33</f>
        <v>--</v>
      </c>
      <c r="G33" s="8" t="str">
        <f>garage!G33</f>
        <v>N</v>
      </c>
      <c r="H33" s="8" t="str">
        <f>garage!H33</f>
        <v>N</v>
      </c>
      <c r="I33" s="8" t="str">
        <f>garage!I33</f>
        <v>N</v>
      </c>
      <c r="J33" s="8" t="str">
        <f>garage!J33</f>
        <v>N</v>
      </c>
      <c r="K33" s="8" t="str">
        <f>garage!K33</f>
        <v>D</v>
      </c>
      <c r="L33" s="9" t="str">
        <f>garage!L33</f>
        <v>Volkswagen</v>
      </c>
      <c r="M33" s="9" t="str">
        <f>garage!M33</f>
        <v>Electric R</v>
      </c>
      <c r="O33" s="44">
        <v>1510</v>
      </c>
      <c r="P33" s="44">
        <v>1711</v>
      </c>
      <c r="Q33" s="44">
        <v>1947</v>
      </c>
      <c r="R33" s="44">
        <v>2214</v>
      </c>
      <c r="S33" s="44">
        <v>2519</v>
      </c>
      <c r="T33" s="44">
        <v>3054</v>
      </c>
      <c r="U33" s="44"/>
    </row>
    <row r="34" spans="2:21" ht="18" customHeight="1" x14ac:dyDescent="0.2">
      <c r="B34" s="10">
        <f>garage!B34</f>
        <v>34</v>
      </c>
      <c r="C34" s="10">
        <f>garage!C34</f>
        <v>1</v>
      </c>
      <c r="D34" s="10">
        <f>garage!D34</f>
        <v>33</v>
      </c>
      <c r="E34" s="10">
        <f>garage!E34</f>
        <v>27</v>
      </c>
      <c r="F34" s="10" t="str">
        <f>garage!F34</f>
        <v>--</v>
      </c>
      <c r="G34" s="10" t="str">
        <f>garage!G34</f>
        <v>N</v>
      </c>
      <c r="H34" s="10" t="str">
        <f>garage!H34</f>
        <v>N</v>
      </c>
      <c r="I34" s="10" t="str">
        <f>garage!I34</f>
        <v>N</v>
      </c>
      <c r="J34" s="10" t="str">
        <f>garage!J34</f>
        <v>N</v>
      </c>
      <c r="K34" s="10" t="str">
        <f>garage!K34</f>
        <v>D</v>
      </c>
      <c r="L34" s="11" t="str">
        <f>garage!L34</f>
        <v>Glickhaus</v>
      </c>
      <c r="M34" s="11" t="str">
        <f>garage!M34</f>
        <v>004C</v>
      </c>
      <c r="O34" s="10" t="s">
        <v>112</v>
      </c>
      <c r="P34" s="10" t="s">
        <v>112</v>
      </c>
      <c r="Q34" s="10">
        <v>1964</v>
      </c>
      <c r="R34" s="10" t="s">
        <v>112</v>
      </c>
      <c r="S34" s="10" t="s">
        <v>112</v>
      </c>
      <c r="T34" s="10" t="s">
        <v>112</v>
      </c>
      <c r="U34" s="10"/>
    </row>
    <row r="35" spans="2:21" ht="18" customHeight="1" x14ac:dyDescent="0.2">
      <c r="B35" s="8">
        <f>garage!B35</f>
        <v>35</v>
      </c>
      <c r="C35" s="8">
        <f>garage!C35</f>
        <v>2</v>
      </c>
      <c r="D35" s="8">
        <f>garage!D35</f>
        <v>1</v>
      </c>
      <c r="E35" s="8">
        <f>garage!E35</f>
        <v>0</v>
      </c>
      <c r="F35" s="8" t="str">
        <f>garage!F35</f>
        <v>--</v>
      </c>
      <c r="G35" s="8" t="str">
        <f>garage!G35</f>
        <v>O</v>
      </c>
      <c r="H35" s="8" t="str">
        <f>garage!H35</f>
        <v>O</v>
      </c>
      <c r="I35" s="8" t="str">
        <f>garage!I35</f>
        <v>O</v>
      </c>
      <c r="J35" s="8" t="str">
        <f>garage!J35</f>
        <v>N</v>
      </c>
      <c r="K35" s="8" t="str">
        <f>garage!K35</f>
        <v>C</v>
      </c>
      <c r="L35" s="9" t="str">
        <f>garage!L35</f>
        <v>Dodge</v>
      </c>
      <c r="M35" s="9" t="str">
        <f>garage!M35</f>
        <v>Challenger SRT8</v>
      </c>
      <c r="O35" s="44">
        <v>799</v>
      </c>
      <c r="P35" s="44">
        <v>1075</v>
      </c>
      <c r="Q35" s="44">
        <v>1425</v>
      </c>
      <c r="R35" s="44">
        <v>1687</v>
      </c>
      <c r="S35" s="44"/>
      <c r="T35" s="44"/>
      <c r="U35" s="44"/>
    </row>
    <row r="36" spans="2:21" ht="18" customHeight="1" x14ac:dyDescent="0.2">
      <c r="B36" s="10">
        <f>garage!B36</f>
        <v>36</v>
      </c>
      <c r="C36" s="10">
        <f>garage!C36</f>
        <v>2</v>
      </c>
      <c r="D36" s="10">
        <f>garage!D36</f>
        <v>2</v>
      </c>
      <c r="E36" s="10">
        <f>garage!E36</f>
        <v>0</v>
      </c>
      <c r="F36" s="10" t="str">
        <f>garage!F36</f>
        <v>--</v>
      </c>
      <c r="G36" s="10" t="str">
        <f>garage!G36</f>
        <v>O</v>
      </c>
      <c r="H36" s="10" t="str">
        <f>garage!H36</f>
        <v>O</v>
      </c>
      <c r="I36" s="10" t="str">
        <f>garage!I36</f>
        <v>O</v>
      </c>
      <c r="J36" s="10" t="str">
        <f>garage!J36</f>
        <v>N</v>
      </c>
      <c r="K36" s="10" t="str">
        <f>garage!K36</f>
        <v>C</v>
      </c>
      <c r="L36" s="11" t="str">
        <f>garage!L36</f>
        <v>BMW</v>
      </c>
      <c r="M36" s="11" t="str">
        <f>garage!M36</f>
        <v>3.0 CSL Hommage</v>
      </c>
      <c r="O36" s="10">
        <v>899</v>
      </c>
      <c r="P36" s="10">
        <v>1180</v>
      </c>
      <c r="Q36" s="10">
        <v>1550</v>
      </c>
      <c r="R36" s="10">
        <v>1826</v>
      </c>
      <c r="S36" s="10"/>
      <c r="T36" s="10"/>
      <c r="U36" s="10"/>
    </row>
    <row r="37" spans="2:21" ht="18" customHeight="1" x14ac:dyDescent="0.2">
      <c r="B37" s="8">
        <f>garage!B37</f>
        <v>37</v>
      </c>
      <c r="C37" s="8">
        <f>garage!C37</f>
        <v>2</v>
      </c>
      <c r="D37" s="8">
        <f>garage!D37</f>
        <v>3</v>
      </c>
      <c r="E37" s="8">
        <f>garage!E37</f>
        <v>28</v>
      </c>
      <c r="F37" s="8" t="str">
        <f>garage!F37</f>
        <v>P</v>
      </c>
      <c r="G37" s="8" t="str">
        <f>garage!G37</f>
        <v>O</v>
      </c>
      <c r="H37" s="8" t="str">
        <f>garage!H37</f>
        <v>O</v>
      </c>
      <c r="I37" s="8" t="str">
        <f>garage!I37</f>
        <v>N</v>
      </c>
      <c r="J37" s="8" t="str">
        <f>garage!J37</f>
        <v>N</v>
      </c>
      <c r="K37" s="8" t="str">
        <f>garage!K37</f>
        <v>C</v>
      </c>
      <c r="L37" s="9" t="str">
        <f>garage!L37</f>
        <v>Porsche</v>
      </c>
      <c r="M37" s="9" t="str">
        <f>garage!M37</f>
        <v>Boxster 25th</v>
      </c>
      <c r="O37" s="44">
        <v>920</v>
      </c>
      <c r="P37" s="44">
        <v>1210</v>
      </c>
      <c r="Q37" s="44" t="s">
        <v>112</v>
      </c>
      <c r="R37" s="44">
        <v>1844</v>
      </c>
      <c r="S37" s="44"/>
      <c r="T37" s="44"/>
      <c r="U37" s="44"/>
    </row>
    <row r="38" spans="2:21" ht="18" customHeight="1" x14ac:dyDescent="0.2">
      <c r="B38" s="10">
        <f>garage!B38</f>
        <v>38</v>
      </c>
      <c r="C38" s="10">
        <f>garage!C38</f>
        <v>2</v>
      </c>
      <c r="D38" s="10">
        <f>garage!D38</f>
        <v>4</v>
      </c>
      <c r="E38" s="10">
        <f>garage!E38</f>
        <v>0</v>
      </c>
      <c r="F38" s="10" t="str">
        <f>garage!F38</f>
        <v>C</v>
      </c>
      <c r="G38" s="10" t="str">
        <f>garage!G38</f>
        <v>O</v>
      </c>
      <c r="H38" s="10" t="str">
        <f>garage!H38</f>
        <v>O</v>
      </c>
      <c r="I38" s="10" t="str">
        <f>garage!I38</f>
        <v>O</v>
      </c>
      <c r="J38" s="10" t="str">
        <f>garage!J38</f>
        <v>N</v>
      </c>
      <c r="K38" s="10" t="str">
        <f>garage!K38</f>
        <v>C</v>
      </c>
      <c r="L38" s="11" t="str">
        <f>garage!L38</f>
        <v>Chevrolet</v>
      </c>
      <c r="M38" s="11" t="str">
        <f>garage!M38</f>
        <v>Camaro ZL1 50th Edition</v>
      </c>
      <c r="O38" s="10">
        <v>984</v>
      </c>
      <c r="P38" s="10">
        <v>1297</v>
      </c>
      <c r="Q38" s="10">
        <v>1682</v>
      </c>
      <c r="R38" s="10">
        <v>1971</v>
      </c>
      <c r="S38" s="10"/>
      <c r="T38" s="10"/>
      <c r="U38" s="10"/>
    </row>
    <row r="39" spans="2:21" ht="18" customHeight="1" x14ac:dyDescent="0.2">
      <c r="B39" s="8">
        <f>garage!B39</f>
        <v>39</v>
      </c>
      <c r="C39" s="8">
        <f>garage!C39</f>
        <v>2</v>
      </c>
      <c r="D39" s="8">
        <f>garage!D39</f>
        <v>5</v>
      </c>
      <c r="E39" s="8">
        <f>garage!E39</f>
        <v>0</v>
      </c>
      <c r="F39" s="8" t="str">
        <f>garage!F39</f>
        <v>--</v>
      </c>
      <c r="G39" s="8" t="str">
        <f>garage!G39</f>
        <v>O</v>
      </c>
      <c r="H39" s="8" t="str">
        <f>garage!H39</f>
        <v>O</v>
      </c>
      <c r="I39" s="8" t="str">
        <f>garage!I39</f>
        <v>O</v>
      </c>
      <c r="J39" s="8" t="str">
        <f>garage!J39</f>
        <v>N</v>
      </c>
      <c r="K39" s="8" t="str">
        <f>garage!K39</f>
        <v>C</v>
      </c>
      <c r="L39" s="9" t="str">
        <f>garage!L39</f>
        <v>Lotus</v>
      </c>
      <c r="M39" s="9" t="str">
        <f>garage!M39</f>
        <v>Evora Sport 410</v>
      </c>
      <c r="O39" s="44">
        <v>1086</v>
      </c>
      <c r="P39" s="44">
        <v>1409</v>
      </c>
      <c r="Q39" s="44">
        <v>1814</v>
      </c>
      <c r="R39" s="44">
        <v>2123</v>
      </c>
      <c r="S39" s="44"/>
      <c r="T39" s="44"/>
      <c r="U39" s="44"/>
    </row>
    <row r="40" spans="2:21" ht="18" customHeight="1" x14ac:dyDescent="0.2">
      <c r="B40" s="10">
        <f>garage!B40</f>
        <v>40</v>
      </c>
      <c r="C40" s="10">
        <f>garage!C40</f>
        <v>2</v>
      </c>
      <c r="D40" s="10">
        <f>garage!D40</f>
        <v>6</v>
      </c>
      <c r="E40" s="10">
        <f>garage!E40</f>
        <v>0</v>
      </c>
      <c r="F40" s="10" t="str">
        <f>garage!F40</f>
        <v>--</v>
      </c>
      <c r="G40" s="10" t="str">
        <f>garage!G40</f>
        <v>O</v>
      </c>
      <c r="H40" s="10" t="str">
        <f>garage!H40</f>
        <v>O</v>
      </c>
      <c r="I40" s="10" t="str">
        <f>garage!I40</f>
        <v>O</v>
      </c>
      <c r="J40" s="10" t="str">
        <f>garage!J40</f>
        <v>N</v>
      </c>
      <c r="K40" s="10" t="str">
        <f>garage!K40</f>
        <v>C</v>
      </c>
      <c r="L40" s="11" t="str">
        <f>garage!L40</f>
        <v>Mercedes-Benz</v>
      </c>
      <c r="M40" s="11" t="str">
        <f>garage!M40</f>
        <v>AMG GT S</v>
      </c>
      <c r="O40" s="10">
        <v>1193</v>
      </c>
      <c r="P40" s="10">
        <v>1536</v>
      </c>
      <c r="Q40" s="10">
        <v>1959</v>
      </c>
      <c r="R40" s="10">
        <v>2281</v>
      </c>
      <c r="S40" s="10"/>
      <c r="T40" s="10"/>
      <c r="U40" s="10"/>
    </row>
    <row r="41" spans="2:21" ht="18" customHeight="1" x14ac:dyDescent="0.2">
      <c r="B41" s="8">
        <f>garage!B41</f>
        <v>41</v>
      </c>
      <c r="C41" s="8">
        <f>garage!C41</f>
        <v>2</v>
      </c>
      <c r="D41" s="8">
        <f>garage!D41</f>
        <v>7</v>
      </c>
      <c r="E41" s="8">
        <f>garage!E41</f>
        <v>0</v>
      </c>
      <c r="F41" s="8" t="str">
        <f>garage!F41</f>
        <v>--</v>
      </c>
      <c r="G41" s="8" t="str">
        <f>garage!G41</f>
        <v>O</v>
      </c>
      <c r="H41" s="8" t="str">
        <f>garage!H41</f>
        <v>O</v>
      </c>
      <c r="I41" s="8" t="str">
        <f>garage!I41</f>
        <v>O</v>
      </c>
      <c r="J41" s="8" t="str">
        <f>garage!J41</f>
        <v>N</v>
      </c>
      <c r="K41" s="8" t="str">
        <f>garage!K41</f>
        <v>C</v>
      </c>
      <c r="L41" s="9" t="str">
        <f>garage!L41</f>
        <v>BMW</v>
      </c>
      <c r="M41" s="9" t="str">
        <f>garage!M41</f>
        <v>M4 GTS</v>
      </c>
      <c r="O41" s="44">
        <v>1309</v>
      </c>
      <c r="P41" s="44">
        <v>1667</v>
      </c>
      <c r="Q41" s="44">
        <v>2112</v>
      </c>
      <c r="R41" s="44">
        <v>2447</v>
      </c>
      <c r="S41" s="44"/>
      <c r="T41" s="44"/>
      <c r="U41" s="44"/>
    </row>
    <row r="42" spans="2:21" ht="18" customHeight="1" x14ac:dyDescent="0.2">
      <c r="B42" s="10">
        <f>garage!B42</f>
        <v>42</v>
      </c>
      <c r="C42" s="10">
        <f>garage!C42</f>
        <v>2</v>
      </c>
      <c r="D42" s="10">
        <f>garage!D42</f>
        <v>8</v>
      </c>
      <c r="E42" s="10">
        <f>garage!E42</f>
        <v>0</v>
      </c>
      <c r="F42" s="10" t="str">
        <f>garage!F42</f>
        <v>--</v>
      </c>
      <c r="G42" s="10" t="str">
        <f>garage!G42</f>
        <v>O</v>
      </c>
      <c r="H42" s="10" t="str">
        <f>garage!H42</f>
        <v>O</v>
      </c>
      <c r="I42" s="10" t="str">
        <f>garage!I42</f>
        <v>O</v>
      </c>
      <c r="J42" s="10" t="str">
        <f>garage!J42</f>
        <v>N</v>
      </c>
      <c r="K42" s="10" t="str">
        <f>garage!K42</f>
        <v>C</v>
      </c>
      <c r="L42" s="11" t="str">
        <f>garage!L42</f>
        <v>Rezvani</v>
      </c>
      <c r="M42" s="11" t="str">
        <f>garage!M42</f>
        <v>Beast X</v>
      </c>
      <c r="O42" s="10">
        <v>1426</v>
      </c>
      <c r="P42" s="10">
        <v>1684</v>
      </c>
      <c r="Q42" s="10">
        <v>2020</v>
      </c>
      <c r="R42" s="10">
        <v>2353</v>
      </c>
      <c r="S42" s="10">
        <v>2635</v>
      </c>
      <c r="T42" s="10"/>
      <c r="U42" s="10"/>
    </row>
    <row r="43" spans="2:21" ht="18" customHeight="1" x14ac:dyDescent="0.2">
      <c r="B43" s="8">
        <f>garage!B43</f>
        <v>43</v>
      </c>
      <c r="C43" s="8">
        <f>garage!C43</f>
        <v>2</v>
      </c>
      <c r="D43" s="8">
        <f>garage!D43</f>
        <v>9</v>
      </c>
      <c r="E43" s="8">
        <f>garage!E43</f>
        <v>20</v>
      </c>
      <c r="F43" s="8" t="str">
        <f>garage!F43</f>
        <v>AM</v>
      </c>
      <c r="G43" s="8" t="str">
        <f>garage!G43</f>
        <v>O</v>
      </c>
      <c r="H43" s="8" t="str">
        <f>garage!H43</f>
        <v>N</v>
      </c>
      <c r="I43" s="8" t="str">
        <f>garage!I43</f>
        <v>N</v>
      </c>
      <c r="J43" s="8" t="str">
        <f>garage!J43</f>
        <v>N</v>
      </c>
      <c r="K43" s="8" t="str">
        <f>garage!K43</f>
        <v>C</v>
      </c>
      <c r="L43" s="9" t="str">
        <f>garage!L43</f>
        <v>Aston Martin</v>
      </c>
      <c r="M43" s="9" t="str">
        <f>garage!M43</f>
        <v>V12 Speedster</v>
      </c>
      <c r="O43" s="44">
        <v>1496</v>
      </c>
      <c r="P43" s="44">
        <v>1759</v>
      </c>
      <c r="Q43" s="44">
        <v>2106</v>
      </c>
      <c r="R43" s="44">
        <v>2450</v>
      </c>
      <c r="S43" s="44">
        <v>2735</v>
      </c>
      <c r="T43" s="44"/>
      <c r="U43" s="44"/>
    </row>
    <row r="44" spans="2:21" ht="18" customHeight="1" x14ac:dyDescent="0.2">
      <c r="B44" s="10">
        <f>garage!B44</f>
        <v>44</v>
      </c>
      <c r="C44" s="10">
        <f>garage!C44</f>
        <v>2</v>
      </c>
      <c r="D44" s="10">
        <f>garage!D44</f>
        <v>10</v>
      </c>
      <c r="E44" s="10">
        <f>garage!E44</f>
        <v>29</v>
      </c>
      <c r="F44" s="10" t="str">
        <f>garage!F44</f>
        <v>--</v>
      </c>
      <c r="G44" s="10" t="str">
        <f>garage!G44</f>
        <v>O</v>
      </c>
      <c r="H44" s="10" t="str">
        <f>garage!H44</f>
        <v>N</v>
      </c>
      <c r="I44" s="10" t="str">
        <f>garage!I44</f>
        <v>N</v>
      </c>
      <c r="J44" s="10" t="str">
        <f>garage!J44</f>
        <v>N</v>
      </c>
      <c r="K44" s="10" t="str">
        <f>garage!K44</f>
        <v>C</v>
      </c>
      <c r="L44" s="11" t="str">
        <f>garage!L44</f>
        <v>Donkervoort</v>
      </c>
      <c r="M44" s="11" t="str">
        <f>garage!M44</f>
        <v>D8 GTO</v>
      </c>
      <c r="O44" s="10">
        <v>1524</v>
      </c>
      <c r="P44" s="10">
        <v>1789</v>
      </c>
      <c r="Q44" s="10" t="s">
        <v>112</v>
      </c>
      <c r="R44" s="10" t="s">
        <v>112</v>
      </c>
      <c r="S44" s="10">
        <v>2774</v>
      </c>
      <c r="T44" s="10"/>
      <c r="U44" s="10"/>
    </row>
    <row r="45" spans="2:21" ht="18" customHeight="1" x14ac:dyDescent="0.2">
      <c r="B45" s="8">
        <f>garage!B45</f>
        <v>45</v>
      </c>
      <c r="C45" s="8">
        <f>garage!C45</f>
        <v>2</v>
      </c>
      <c r="D45" s="8">
        <f>garage!D45</f>
        <v>11</v>
      </c>
      <c r="E45" s="8">
        <f>garage!E45</f>
        <v>0</v>
      </c>
      <c r="F45" s="8" t="str">
        <f>garage!F45</f>
        <v>--</v>
      </c>
      <c r="G45" s="8" t="str">
        <f>garage!G45</f>
        <v>O</v>
      </c>
      <c r="H45" s="8" t="str">
        <f>garage!H45</f>
        <v>O</v>
      </c>
      <c r="I45" s="8" t="str">
        <f>garage!I45</f>
        <v>O</v>
      </c>
      <c r="J45" s="8" t="str">
        <f>garage!J45</f>
        <v>N</v>
      </c>
      <c r="K45" s="8" t="str">
        <f>garage!K45</f>
        <v>C</v>
      </c>
      <c r="L45" s="9" t="str">
        <f>garage!L45</f>
        <v>Dodge</v>
      </c>
      <c r="M45" s="9" t="str">
        <f>garage!M45</f>
        <v>Viper ACR</v>
      </c>
      <c r="O45" s="44">
        <v>1553</v>
      </c>
      <c r="P45" s="44">
        <v>1822</v>
      </c>
      <c r="Q45" s="44">
        <v>2179</v>
      </c>
      <c r="R45" s="44">
        <v>2526</v>
      </c>
      <c r="S45" s="44">
        <v>2816</v>
      </c>
      <c r="T45" s="44"/>
      <c r="U45" s="44"/>
    </row>
    <row r="46" spans="2:21" ht="18" customHeight="1" x14ac:dyDescent="0.2">
      <c r="B46" s="10">
        <f>garage!B46</f>
        <v>46</v>
      </c>
      <c r="C46" s="10">
        <f>garage!C46</f>
        <v>2</v>
      </c>
      <c r="D46" s="10">
        <f>garage!D46</f>
        <v>12</v>
      </c>
      <c r="E46" s="10">
        <f>garage!E46</f>
        <v>24</v>
      </c>
      <c r="F46" s="10" t="str">
        <f>garage!F46</f>
        <v>--</v>
      </c>
      <c r="G46" s="10" t="str">
        <f>garage!G46</f>
        <v>O</v>
      </c>
      <c r="H46" s="10" t="str">
        <f>garage!H46</f>
        <v>N</v>
      </c>
      <c r="I46" s="10" t="str">
        <f>garage!I46</f>
        <v>N</v>
      </c>
      <c r="J46" s="10" t="str">
        <f>garage!J46</f>
        <v>O</v>
      </c>
      <c r="K46" s="10" t="str">
        <f>garage!K46</f>
        <v>C</v>
      </c>
      <c r="L46" s="11" t="str">
        <f>garage!L46</f>
        <v>Bolwell</v>
      </c>
      <c r="M46" s="11" t="str">
        <f>garage!M46</f>
        <v>MK X Nagari 500</v>
      </c>
      <c r="O46" s="10">
        <v>1582</v>
      </c>
      <c r="P46" s="10">
        <v>1853</v>
      </c>
      <c r="Q46" s="10">
        <v>2211</v>
      </c>
      <c r="R46" s="10">
        <v>2564</v>
      </c>
      <c r="S46" s="10">
        <v>2857</v>
      </c>
      <c r="T46" s="10"/>
      <c r="U46" s="10"/>
    </row>
    <row r="47" spans="2:21" ht="18" customHeight="1" x14ac:dyDescent="0.2">
      <c r="B47" s="8">
        <f>garage!B47</f>
        <v>47</v>
      </c>
      <c r="C47" s="8">
        <f>garage!C47</f>
        <v>2</v>
      </c>
      <c r="D47" s="8">
        <f>garage!D47</f>
        <v>13</v>
      </c>
      <c r="E47" s="8">
        <f>garage!E47</f>
        <v>0</v>
      </c>
      <c r="F47" s="8" t="str">
        <f>garage!F47</f>
        <v>--</v>
      </c>
      <c r="G47" s="8" t="str">
        <f>garage!G47</f>
        <v>O</v>
      </c>
      <c r="H47" s="8" t="str">
        <f>garage!H47</f>
        <v>O</v>
      </c>
      <c r="I47" s="8" t="str">
        <f>garage!I47</f>
        <v>O</v>
      </c>
      <c r="J47" s="8" t="str">
        <f>garage!J47</f>
        <v>N</v>
      </c>
      <c r="K47" s="8" t="str">
        <f>garage!K47</f>
        <v>C</v>
      </c>
      <c r="L47" s="9" t="str">
        <f>garage!L47</f>
        <v>Ford</v>
      </c>
      <c r="M47" s="9" t="str">
        <f>garage!M47</f>
        <v>Shelby GR-1</v>
      </c>
      <c r="O47" s="44">
        <v>1618</v>
      </c>
      <c r="P47" s="44">
        <v>1892</v>
      </c>
      <c r="Q47" s="44">
        <v>2255</v>
      </c>
      <c r="R47" s="44">
        <v>2613</v>
      </c>
      <c r="S47" s="44">
        <v>2909</v>
      </c>
      <c r="T47" s="44"/>
      <c r="U47" s="44"/>
    </row>
    <row r="48" spans="2:21" ht="18" customHeight="1" x14ac:dyDescent="0.2">
      <c r="B48" s="10">
        <f>garage!B48</f>
        <v>48</v>
      </c>
      <c r="C48" s="10">
        <f>garage!C48</f>
        <v>2</v>
      </c>
      <c r="D48" s="10">
        <f>garage!D48</f>
        <v>14</v>
      </c>
      <c r="E48" s="10">
        <f>garage!E48</f>
        <v>0</v>
      </c>
      <c r="F48" s="10" t="str">
        <f>garage!F48</f>
        <v>--</v>
      </c>
      <c r="G48" s="10" t="str">
        <f>garage!G48</f>
        <v>O</v>
      </c>
      <c r="H48" s="10" t="str">
        <f>garage!H48</f>
        <v>O</v>
      </c>
      <c r="I48" s="10" t="str">
        <f>garage!I48</f>
        <v>O</v>
      </c>
      <c r="J48" s="10" t="str">
        <f>garage!J48</f>
        <v>N</v>
      </c>
      <c r="K48" s="10" t="str">
        <f>garage!K48</f>
        <v>C</v>
      </c>
      <c r="L48" s="11" t="str">
        <f>garage!L48</f>
        <v>Pininfarina</v>
      </c>
      <c r="M48" s="11" t="str">
        <f>garage!M48</f>
        <v>H2 Speed</v>
      </c>
      <c r="O48" s="10">
        <v>1685</v>
      </c>
      <c r="P48" s="10">
        <v>1969</v>
      </c>
      <c r="Q48" s="10">
        <v>2332</v>
      </c>
      <c r="R48" s="10">
        <v>2695</v>
      </c>
      <c r="S48" s="10">
        <v>3003</v>
      </c>
      <c r="T48" s="10"/>
      <c r="U48" s="10"/>
    </row>
    <row r="49" spans="2:21" ht="18" customHeight="1" x14ac:dyDescent="0.2">
      <c r="B49" s="8">
        <f>garage!B49</f>
        <v>49</v>
      </c>
      <c r="C49" s="8">
        <f>garage!C49</f>
        <v>2</v>
      </c>
      <c r="D49" s="8">
        <f>garage!D49</f>
        <v>15</v>
      </c>
      <c r="E49" s="8">
        <f>garage!E49</f>
        <v>7</v>
      </c>
      <c r="F49" s="8" t="str">
        <f>garage!F49</f>
        <v>--</v>
      </c>
      <c r="G49" s="8" t="str">
        <f>garage!G49</f>
        <v>O</v>
      </c>
      <c r="H49" s="8" t="str">
        <f>garage!H49</f>
        <v>O</v>
      </c>
      <c r="I49" s="8" t="str">
        <f>garage!I49</f>
        <v>O</v>
      </c>
      <c r="J49" s="8" t="str">
        <f>garage!J49</f>
        <v>N</v>
      </c>
      <c r="K49" s="8" t="str">
        <f>garage!K49</f>
        <v>C</v>
      </c>
      <c r="L49" s="9" t="str">
        <f>garage!L49</f>
        <v>Artega</v>
      </c>
      <c r="M49" s="9" t="str">
        <f>garage!M49</f>
        <v>Scalo Superelletra</v>
      </c>
      <c r="O49" s="44">
        <v>1739</v>
      </c>
      <c r="P49" s="44">
        <v>2028</v>
      </c>
      <c r="Q49" s="44">
        <v>2405</v>
      </c>
      <c r="R49" s="44">
        <v>2777</v>
      </c>
      <c r="S49" s="44">
        <v>3088</v>
      </c>
      <c r="T49" s="44"/>
      <c r="U49" s="44"/>
    </row>
    <row r="50" spans="2:21" ht="18" customHeight="1" x14ac:dyDescent="0.2">
      <c r="B50" s="10">
        <f>garage!B50</f>
        <v>50</v>
      </c>
      <c r="C50" s="10">
        <f>garage!C50</f>
        <v>2</v>
      </c>
      <c r="D50" s="10">
        <f>garage!D50</f>
        <v>16</v>
      </c>
      <c r="E50" s="10">
        <f>garage!E50</f>
        <v>22</v>
      </c>
      <c r="F50" s="10" t="str">
        <f>garage!F50</f>
        <v>--</v>
      </c>
      <c r="G50" s="10" t="str">
        <f>garage!G50</f>
        <v>O</v>
      </c>
      <c r="H50" s="10" t="str">
        <f>garage!H50</f>
        <v>N</v>
      </c>
      <c r="I50" s="10" t="str">
        <f>garage!I50</f>
        <v>N</v>
      </c>
      <c r="J50" s="10" t="str">
        <f>garage!J50</f>
        <v>N</v>
      </c>
      <c r="K50" s="10" t="str">
        <f>garage!K50</f>
        <v>C</v>
      </c>
      <c r="L50" s="11" t="str">
        <f>garage!L50</f>
        <v>Saleen</v>
      </c>
      <c r="M50" s="11" t="str">
        <f>garage!M50</f>
        <v>S1</v>
      </c>
      <c r="O50" s="10">
        <v>1785</v>
      </c>
      <c r="P50" s="10">
        <v>2079</v>
      </c>
      <c r="Q50" s="10">
        <v>2464</v>
      </c>
      <c r="R50" s="10">
        <v>2834</v>
      </c>
      <c r="S50" s="10">
        <v>3144</v>
      </c>
      <c r="T50" s="10"/>
      <c r="U50" s="10"/>
    </row>
    <row r="51" spans="2:21" ht="18" customHeight="1" x14ac:dyDescent="0.2">
      <c r="B51" s="8">
        <f>garage!B51</f>
        <v>51</v>
      </c>
      <c r="C51" s="8">
        <f>garage!C51</f>
        <v>2</v>
      </c>
      <c r="D51" s="8">
        <f>garage!D51</f>
        <v>17</v>
      </c>
      <c r="E51" s="8">
        <f>garage!E51</f>
        <v>0</v>
      </c>
      <c r="F51" s="8" t="str">
        <f>garage!F51</f>
        <v>--</v>
      </c>
      <c r="G51" s="8" t="str">
        <f>garage!G51</f>
        <v>O</v>
      </c>
      <c r="H51" s="8" t="str">
        <f>garage!H51</f>
        <v>O</v>
      </c>
      <c r="I51" s="8" t="str">
        <f>garage!I51</f>
        <v>O</v>
      </c>
      <c r="J51" s="8" t="str">
        <f>garage!J51</f>
        <v>N</v>
      </c>
      <c r="K51" s="8" t="str">
        <f>garage!K51</f>
        <v>C</v>
      </c>
      <c r="L51" s="9" t="str">
        <f>garage!L51</f>
        <v>Acura</v>
      </c>
      <c r="M51" s="9" t="str">
        <f>garage!M51</f>
        <v>2017 NSX</v>
      </c>
      <c r="O51" s="44">
        <v>1824</v>
      </c>
      <c r="P51" s="44">
        <v>2117</v>
      </c>
      <c r="Q51" s="44">
        <v>2501</v>
      </c>
      <c r="R51" s="44">
        <v>2884</v>
      </c>
      <c r="S51" s="44">
        <v>3199</v>
      </c>
      <c r="T51" s="44"/>
      <c r="U51" s="44"/>
    </row>
    <row r="52" spans="2:21" ht="18" customHeight="1" x14ac:dyDescent="0.2">
      <c r="B52" s="10">
        <f>garage!B52</f>
        <v>52</v>
      </c>
      <c r="C52" s="10">
        <f>garage!C52</f>
        <v>2</v>
      </c>
      <c r="D52" s="10">
        <f>garage!D52</f>
        <v>18</v>
      </c>
      <c r="E52" s="10">
        <f>garage!E52</f>
        <v>0</v>
      </c>
      <c r="F52" s="10" t="str">
        <f>garage!F52</f>
        <v>--</v>
      </c>
      <c r="G52" s="10" t="str">
        <f>garage!G52</f>
        <v>O</v>
      </c>
      <c r="H52" s="10" t="str">
        <f>garage!H52</f>
        <v>O</v>
      </c>
      <c r="I52" s="10" t="str">
        <f>garage!I52</f>
        <v>O</v>
      </c>
      <c r="J52" s="10" t="str">
        <f>garage!J52</f>
        <v>N</v>
      </c>
      <c r="K52" s="10" t="str">
        <f>garage!K52</f>
        <v>C</v>
      </c>
      <c r="L52" s="11" t="str">
        <f>garage!L52</f>
        <v>Maserati</v>
      </c>
      <c r="M52" s="11" t="str">
        <f>garage!M52</f>
        <v>Alfieri</v>
      </c>
      <c r="O52" s="10">
        <v>1218</v>
      </c>
      <c r="P52" s="10">
        <v>1638</v>
      </c>
      <c r="Q52" s="10">
        <v>2198</v>
      </c>
      <c r="R52" s="10">
        <v>2752</v>
      </c>
      <c r="S52" s="10">
        <v>3206</v>
      </c>
      <c r="T52" s="10"/>
      <c r="U52" s="10"/>
    </row>
    <row r="53" spans="2:21" ht="18" customHeight="1" x14ac:dyDescent="0.2">
      <c r="B53" s="10">
        <f>garage!B53</f>
        <v>53</v>
      </c>
      <c r="C53" s="10">
        <f>garage!C53</f>
        <v>2</v>
      </c>
      <c r="D53" s="10">
        <f>garage!D53</f>
        <v>19</v>
      </c>
      <c r="E53" s="10">
        <f>garage!E53</f>
        <v>32</v>
      </c>
      <c r="F53" s="10" t="str">
        <f>garage!F53</f>
        <v>--</v>
      </c>
      <c r="G53" s="10" t="str">
        <f>garage!G53</f>
        <v>N</v>
      </c>
      <c r="H53" s="10" t="str">
        <f>garage!H53</f>
        <v>N</v>
      </c>
      <c r="I53" s="10" t="str">
        <f>garage!I53</f>
        <v>N</v>
      </c>
      <c r="J53" s="10" t="str">
        <f>garage!J53</f>
        <v>N</v>
      </c>
      <c r="K53" s="10" t="str">
        <f>garage!K53</f>
        <v>C</v>
      </c>
      <c r="L53" s="11" t="str">
        <f>garage!L53</f>
        <v>Jaguar</v>
      </c>
      <c r="M53" s="11" t="str">
        <f>garage!M53</f>
        <v>XJR-15</v>
      </c>
      <c r="O53" s="10">
        <v>1840</v>
      </c>
      <c r="P53" s="10">
        <v>2135</v>
      </c>
      <c r="Q53" s="10">
        <v>2523</v>
      </c>
      <c r="R53" s="10">
        <v>2907</v>
      </c>
      <c r="S53" s="10">
        <v>3221</v>
      </c>
      <c r="T53" s="10" t="s">
        <v>112</v>
      </c>
      <c r="U53" s="10" t="s">
        <v>112</v>
      </c>
    </row>
    <row r="54" spans="2:21" ht="18" customHeight="1" x14ac:dyDescent="0.2">
      <c r="B54" s="8">
        <f>garage!B54</f>
        <v>54</v>
      </c>
      <c r="C54" s="8">
        <f>garage!C54</f>
        <v>2</v>
      </c>
      <c r="D54" s="8">
        <f>garage!D54</f>
        <v>20</v>
      </c>
      <c r="E54" s="8">
        <f>garage!E54</f>
        <v>26</v>
      </c>
      <c r="F54" s="8" t="str">
        <f>garage!F54</f>
        <v>F</v>
      </c>
      <c r="G54" s="8" t="str">
        <f>garage!G54</f>
        <v>O</v>
      </c>
      <c r="H54" s="8" t="str">
        <f>garage!H54</f>
        <v>N</v>
      </c>
      <c r="I54" s="8" t="str">
        <f>garage!I54</f>
        <v>N</v>
      </c>
      <c r="J54" s="8" t="str">
        <f>garage!J54</f>
        <v>O</v>
      </c>
      <c r="K54" s="8" t="str">
        <f>garage!K54</f>
        <v>C</v>
      </c>
      <c r="L54" s="9" t="str">
        <f>garage!L54</f>
        <v>Ferrari</v>
      </c>
      <c r="M54" s="9" t="str">
        <f>garage!M54</f>
        <v>Monza SP1</v>
      </c>
      <c r="O54" s="44">
        <v>1921</v>
      </c>
      <c r="P54" s="44">
        <v>2225</v>
      </c>
      <c r="Q54" s="44">
        <v>2626</v>
      </c>
      <c r="R54" s="44">
        <v>3014</v>
      </c>
      <c r="S54" s="44">
        <v>3334</v>
      </c>
      <c r="T54" s="44"/>
      <c r="U54" s="44"/>
    </row>
    <row r="55" spans="2:21" ht="18" customHeight="1" x14ac:dyDescent="0.2">
      <c r="B55" s="10">
        <f>garage!B55</f>
        <v>55</v>
      </c>
      <c r="C55" s="10">
        <f>garage!C55</f>
        <v>2</v>
      </c>
      <c r="D55" s="10">
        <f>garage!D55</f>
        <v>21</v>
      </c>
      <c r="E55" s="10">
        <f>garage!E55</f>
        <v>18</v>
      </c>
      <c r="F55" s="10" t="str">
        <f>garage!F55</f>
        <v>--</v>
      </c>
      <c r="G55" s="10" t="str">
        <f>garage!G55</f>
        <v>O</v>
      </c>
      <c r="H55" s="10" t="str">
        <f>garage!H55</f>
        <v>O</v>
      </c>
      <c r="I55" s="10" t="str">
        <f>garage!I55</f>
        <v>N</v>
      </c>
      <c r="J55" s="10" t="str">
        <f>garage!J55</f>
        <v>N</v>
      </c>
      <c r="K55" s="10" t="str">
        <f>garage!K55</f>
        <v>C</v>
      </c>
      <c r="L55" s="11" t="str">
        <f>garage!L55</f>
        <v>ATS Automobili</v>
      </c>
      <c r="M55" s="11" t="str">
        <f>garage!M55</f>
        <v>Corsa RRTurbo</v>
      </c>
      <c r="O55" s="10">
        <v>1979</v>
      </c>
      <c r="P55" s="10">
        <v>2279</v>
      </c>
      <c r="Q55" s="10">
        <v>2675</v>
      </c>
      <c r="R55" s="10">
        <v>3060</v>
      </c>
      <c r="S55" s="10">
        <v>3392</v>
      </c>
      <c r="T55" s="10"/>
      <c r="U55" s="10"/>
    </row>
    <row r="56" spans="2:21" ht="18" customHeight="1" x14ac:dyDescent="0.2">
      <c r="B56" s="8">
        <f>garage!B56</f>
        <v>56</v>
      </c>
      <c r="C56" s="8">
        <f>garage!C56</f>
        <v>2</v>
      </c>
      <c r="D56" s="8">
        <f>garage!D56</f>
        <v>22</v>
      </c>
      <c r="E56" s="8">
        <f>garage!E56</f>
        <v>27</v>
      </c>
      <c r="F56" s="8" t="str">
        <f>garage!F56</f>
        <v>--</v>
      </c>
      <c r="G56" s="8" t="str">
        <f>garage!G56</f>
        <v>N</v>
      </c>
      <c r="H56" s="8" t="str">
        <f>garage!H56</f>
        <v>N</v>
      </c>
      <c r="I56" s="8" t="str">
        <f>garage!I56</f>
        <v>N</v>
      </c>
      <c r="J56" s="8" t="str">
        <f>garage!J56</f>
        <v>N</v>
      </c>
      <c r="K56" s="8" t="str">
        <f>garage!K56</f>
        <v>C</v>
      </c>
      <c r="L56" s="9" t="str">
        <f>garage!L56</f>
        <v>Jaguar</v>
      </c>
      <c r="M56" s="9" t="str">
        <f>garage!M56</f>
        <v>XE SV Project 8</v>
      </c>
      <c r="O56" s="44">
        <v>2012</v>
      </c>
      <c r="P56" s="44">
        <v>2199</v>
      </c>
      <c r="Q56" s="44" t="s">
        <v>112</v>
      </c>
      <c r="R56" s="44" t="s">
        <v>112</v>
      </c>
      <c r="S56" s="44" t="s">
        <v>112</v>
      </c>
      <c r="T56" s="44"/>
      <c r="U56" s="44"/>
    </row>
    <row r="57" spans="2:21" ht="18" customHeight="1" x14ac:dyDescent="0.2">
      <c r="B57" s="10">
        <f>garage!B57</f>
        <v>57</v>
      </c>
      <c r="C57" s="10">
        <f>garage!C57</f>
        <v>2</v>
      </c>
      <c r="D57" s="10">
        <f>garage!D57</f>
        <v>23</v>
      </c>
      <c r="E57" s="10">
        <f>garage!E57</f>
        <v>15</v>
      </c>
      <c r="F57" s="10" t="str">
        <f>garage!F57</f>
        <v>F</v>
      </c>
      <c r="G57" s="10" t="str">
        <f>garage!G57</f>
        <v>O</v>
      </c>
      <c r="H57" s="10" t="str">
        <f>garage!H57</f>
        <v>O</v>
      </c>
      <c r="I57" s="10" t="str">
        <f>garage!I57</f>
        <v>N</v>
      </c>
      <c r="J57" s="10" t="str">
        <f>garage!J57</f>
        <v>N</v>
      </c>
      <c r="K57" s="10" t="str">
        <f>garage!K57</f>
        <v>C</v>
      </c>
      <c r="L57" s="11" t="str">
        <f>garage!L57</f>
        <v>Ferrari</v>
      </c>
      <c r="M57" s="11" t="str">
        <f>garage!M57</f>
        <v>F40</v>
      </c>
      <c r="O57" s="10">
        <v>2054</v>
      </c>
      <c r="P57" s="10">
        <v>2242</v>
      </c>
      <c r="Q57" s="10">
        <v>2512</v>
      </c>
      <c r="R57" s="10">
        <v>2751</v>
      </c>
      <c r="S57" s="10">
        <v>3037</v>
      </c>
      <c r="T57" s="10">
        <v>3531</v>
      </c>
      <c r="U57" s="10"/>
    </row>
    <row r="58" spans="2:21" ht="18" customHeight="1" x14ac:dyDescent="0.2">
      <c r="B58" s="8">
        <f>garage!B58</f>
        <v>58</v>
      </c>
      <c r="C58" s="8">
        <f>garage!C58</f>
        <v>2</v>
      </c>
      <c r="D58" s="8">
        <f>garage!D58</f>
        <v>24</v>
      </c>
      <c r="E58" s="8">
        <f>garage!E58</f>
        <v>19</v>
      </c>
      <c r="F58" s="8" t="str">
        <f>garage!F58</f>
        <v>--</v>
      </c>
      <c r="G58" s="8" t="str">
        <f>garage!G58</f>
        <v>N</v>
      </c>
      <c r="H58" s="8" t="str">
        <f>garage!H58</f>
        <v>N</v>
      </c>
      <c r="I58" s="8" t="str">
        <f>garage!I58</f>
        <v>N</v>
      </c>
      <c r="J58" s="8" t="str">
        <f>garage!J58</f>
        <v>N</v>
      </c>
      <c r="K58" s="8" t="str">
        <f>garage!K58</f>
        <v>C</v>
      </c>
      <c r="L58" s="9" t="str">
        <f>garage!L58</f>
        <v>Renault</v>
      </c>
      <c r="M58" s="9" t="str">
        <f>garage!M58</f>
        <v>R.S. 01</v>
      </c>
      <c r="O58" s="44">
        <v>2071</v>
      </c>
      <c r="P58" s="44">
        <v>2262</v>
      </c>
      <c r="Q58" s="44">
        <v>2536</v>
      </c>
      <c r="R58" s="44">
        <v>2775</v>
      </c>
      <c r="S58" s="44">
        <v>3049</v>
      </c>
      <c r="T58" s="44">
        <v>3565</v>
      </c>
      <c r="U58" s="44"/>
    </row>
    <row r="59" spans="2:21" ht="18" customHeight="1" x14ac:dyDescent="0.2">
      <c r="B59" s="10">
        <f>garage!B59</f>
        <v>59</v>
      </c>
      <c r="C59" s="10">
        <f>garage!C59</f>
        <v>2</v>
      </c>
      <c r="D59" s="10">
        <f>garage!D59</f>
        <v>25</v>
      </c>
      <c r="E59" s="10">
        <f>garage!E59</f>
        <v>31</v>
      </c>
      <c r="F59" s="10" t="str">
        <f>garage!F59</f>
        <v>--</v>
      </c>
      <c r="G59" s="10" t="str">
        <f>garage!G59</f>
        <v>N</v>
      </c>
      <c r="H59" s="10" t="str">
        <f>garage!H59</f>
        <v>N</v>
      </c>
      <c r="I59" s="10" t="str">
        <f>garage!I59</f>
        <v>N</v>
      </c>
      <c r="J59" s="10" t="str">
        <f>garage!J59</f>
        <v>N</v>
      </c>
      <c r="K59" s="10" t="str">
        <f>garage!K59</f>
        <v>C</v>
      </c>
      <c r="L59" s="11" t="str">
        <f>garage!L59</f>
        <v>Mercedes-Benz</v>
      </c>
      <c r="M59" s="11" t="str">
        <f>garage!M59</f>
        <v>CLK-GTR</v>
      </c>
      <c r="O59" s="10">
        <v>2080</v>
      </c>
      <c r="P59" s="10">
        <v>2268</v>
      </c>
      <c r="Q59" s="10">
        <v>2536</v>
      </c>
      <c r="R59" s="10">
        <v>2775</v>
      </c>
      <c r="S59" s="10">
        <v>3073</v>
      </c>
      <c r="T59" s="10">
        <v>3575</v>
      </c>
      <c r="U59" s="10" t="s">
        <v>112</v>
      </c>
    </row>
    <row r="60" spans="2:21" ht="18" customHeight="1" x14ac:dyDescent="0.2">
      <c r="B60" s="8">
        <f>garage!B60</f>
        <v>60</v>
      </c>
      <c r="C60" s="8">
        <f>garage!C60</f>
        <v>2</v>
      </c>
      <c r="D60" s="8">
        <f>garage!D60</f>
        <v>26</v>
      </c>
      <c r="E60" s="8">
        <f>garage!E60</f>
        <v>17</v>
      </c>
      <c r="F60" s="8" t="str">
        <f>garage!F60</f>
        <v>--</v>
      </c>
      <c r="G60" s="8" t="str">
        <f>garage!G60</f>
        <v>O</v>
      </c>
      <c r="H60" s="8" t="str">
        <f>garage!H60</f>
        <v>O</v>
      </c>
      <c r="I60" s="8" t="str">
        <f>garage!I60</f>
        <v>N</v>
      </c>
      <c r="J60" s="8" t="str">
        <f>garage!J60</f>
        <v>N</v>
      </c>
      <c r="K60" s="8" t="str">
        <f>garage!K60</f>
        <v>C</v>
      </c>
      <c r="L60" s="9" t="str">
        <f>garage!L60</f>
        <v>Acura</v>
      </c>
      <c r="M60" s="9" t="str">
        <f>garage!M60</f>
        <v>NSX GT3 EVO</v>
      </c>
      <c r="O60" s="44">
        <v>2089</v>
      </c>
      <c r="P60" s="44">
        <v>2278</v>
      </c>
      <c r="Q60" s="44">
        <v>2556</v>
      </c>
      <c r="R60" s="44">
        <v>2797</v>
      </c>
      <c r="S60" s="44">
        <v>3077</v>
      </c>
      <c r="T60" s="44">
        <v>3585</v>
      </c>
      <c r="U60" s="44"/>
    </row>
    <row r="61" spans="2:21" ht="18" customHeight="1" x14ac:dyDescent="0.2">
      <c r="B61" s="10">
        <f>garage!B61</f>
        <v>61</v>
      </c>
      <c r="C61" s="10">
        <f>garage!C61</f>
        <v>2</v>
      </c>
      <c r="D61" s="10">
        <f>garage!D61</f>
        <v>27</v>
      </c>
      <c r="E61" s="10">
        <f>garage!E61</f>
        <v>0</v>
      </c>
      <c r="F61" s="10" t="str">
        <f>garage!F61</f>
        <v>--</v>
      </c>
      <c r="G61" s="10" t="str">
        <f>garage!G61</f>
        <v>O</v>
      </c>
      <c r="H61" s="10" t="str">
        <f>garage!H61</f>
        <v>O</v>
      </c>
      <c r="I61" s="10" t="str">
        <f>garage!I61</f>
        <v>O</v>
      </c>
      <c r="J61" s="10" t="str">
        <f>garage!J61</f>
        <v>N</v>
      </c>
      <c r="K61" s="10" t="str">
        <f>garage!K61</f>
        <v>C</v>
      </c>
      <c r="L61" s="11" t="str">
        <f>garage!L61</f>
        <v>Vencer</v>
      </c>
      <c r="M61" s="11" t="str">
        <f>garage!M61</f>
        <v>Sarthe</v>
      </c>
      <c r="O61" s="10">
        <v>1970</v>
      </c>
      <c r="P61" s="10">
        <v>2154</v>
      </c>
      <c r="Q61" s="10">
        <v>2420</v>
      </c>
      <c r="R61" s="10">
        <v>2653</v>
      </c>
      <c r="S61" s="10">
        <v>2941</v>
      </c>
      <c r="T61" s="10">
        <v>3638</v>
      </c>
      <c r="U61" s="10"/>
    </row>
    <row r="62" spans="2:21" ht="18" customHeight="1" x14ac:dyDescent="0.2">
      <c r="B62" s="8">
        <f>garage!B62</f>
        <v>62</v>
      </c>
      <c r="C62" s="8">
        <f>garage!C62</f>
        <v>2</v>
      </c>
      <c r="D62" s="8">
        <f>garage!D62</f>
        <v>28</v>
      </c>
      <c r="E62" s="8">
        <f>garage!E62</f>
        <v>30</v>
      </c>
      <c r="F62" s="8" t="str">
        <f>garage!F62</f>
        <v>--</v>
      </c>
      <c r="G62" s="8" t="str">
        <f>garage!G62</f>
        <v>N</v>
      </c>
      <c r="H62" s="8" t="str">
        <f>garage!H62</f>
        <v>N</v>
      </c>
      <c r="I62" s="8" t="str">
        <f>garage!I62</f>
        <v>N</v>
      </c>
      <c r="J62" s="8" t="str">
        <f>garage!J62</f>
        <v>N</v>
      </c>
      <c r="K62" s="8" t="str">
        <f>garage!K62</f>
        <v>C</v>
      </c>
      <c r="L62" s="9" t="str">
        <f>garage!L62</f>
        <v>Maserati</v>
      </c>
      <c r="M62" s="9" t="str">
        <f>garage!M62</f>
        <v>MC12</v>
      </c>
      <c r="O62" s="44">
        <v>2141</v>
      </c>
      <c r="P62" s="44">
        <v>2334</v>
      </c>
      <c r="Q62" s="44" t="s">
        <v>112</v>
      </c>
      <c r="R62" s="44" t="s">
        <v>112</v>
      </c>
      <c r="S62" s="44" t="s">
        <v>112</v>
      </c>
      <c r="T62" s="44">
        <v>3660</v>
      </c>
      <c r="U62" s="44"/>
    </row>
    <row r="63" spans="2:21" ht="18" customHeight="1" x14ac:dyDescent="0.2">
      <c r="B63" s="10">
        <f>garage!B63</f>
        <v>63</v>
      </c>
      <c r="C63" s="10">
        <f>garage!C63</f>
        <v>2</v>
      </c>
      <c r="D63" s="10">
        <f>garage!D63</f>
        <v>29</v>
      </c>
      <c r="E63" s="10">
        <f>garage!E63</f>
        <v>14</v>
      </c>
      <c r="F63" s="10" t="str">
        <f>garage!F63</f>
        <v>--</v>
      </c>
      <c r="G63" s="10" t="str">
        <f>garage!G63</f>
        <v>O</v>
      </c>
      <c r="H63" s="10" t="str">
        <f>garage!H63</f>
        <v>N</v>
      </c>
      <c r="I63" s="10" t="str">
        <f>garage!I63</f>
        <v>N</v>
      </c>
      <c r="J63" s="10" t="str">
        <f>garage!J63</f>
        <v>N</v>
      </c>
      <c r="K63" s="10" t="str">
        <f>garage!K63</f>
        <v>C</v>
      </c>
      <c r="L63" s="11" t="str">
        <f>garage!L63</f>
        <v>Bentley</v>
      </c>
      <c r="M63" s="11" t="str">
        <f>garage!M63</f>
        <v>Mulliner Bacalar</v>
      </c>
      <c r="O63" s="10">
        <v>1840</v>
      </c>
      <c r="P63" s="10">
        <v>2072</v>
      </c>
      <c r="Q63" s="10">
        <v>2402</v>
      </c>
      <c r="R63" s="10">
        <v>2694</v>
      </c>
      <c r="S63" s="10">
        <v>3057</v>
      </c>
      <c r="T63" s="10">
        <v>3665</v>
      </c>
      <c r="U63" s="10"/>
    </row>
    <row r="64" spans="2:21" ht="18" customHeight="1" x14ac:dyDescent="0.2">
      <c r="B64" s="8">
        <f>garage!B64</f>
        <v>64</v>
      </c>
      <c r="C64" s="8">
        <f>garage!C64</f>
        <v>2</v>
      </c>
      <c r="D64" s="8">
        <f>garage!D64</f>
        <v>30</v>
      </c>
      <c r="E64" s="8">
        <f>garage!E64</f>
        <v>25</v>
      </c>
      <c r="F64" s="8" t="str">
        <f>garage!F64</f>
        <v>L</v>
      </c>
      <c r="G64" s="8" t="str">
        <f>garage!G64</f>
        <v>N</v>
      </c>
      <c r="H64" s="8" t="str">
        <f>garage!H64</f>
        <v>N</v>
      </c>
      <c r="I64" s="8" t="str">
        <f>garage!I64</f>
        <v>N</v>
      </c>
      <c r="J64" s="8" t="str">
        <f>garage!J64</f>
        <v>N</v>
      </c>
      <c r="K64" s="8" t="str">
        <f>garage!K64</f>
        <v>C</v>
      </c>
      <c r="L64" s="9" t="str">
        <f>garage!L64</f>
        <v>Lamborghini</v>
      </c>
      <c r="M64" s="9" t="str">
        <f>garage!M64</f>
        <v>Miura Concept</v>
      </c>
      <c r="O64" s="44">
        <v>1864</v>
      </c>
      <c r="P64" s="44">
        <v>2095</v>
      </c>
      <c r="Q64" s="44">
        <v>2427</v>
      </c>
      <c r="R64" s="44">
        <v>2721</v>
      </c>
      <c r="S64" s="44">
        <v>3079</v>
      </c>
      <c r="T64" s="44">
        <v>3690</v>
      </c>
      <c r="U64" s="44"/>
    </row>
    <row r="65" spans="2:21" ht="18" customHeight="1" x14ac:dyDescent="0.2">
      <c r="B65" s="10">
        <f>garage!B65</f>
        <v>65</v>
      </c>
      <c r="C65" s="10">
        <f>garage!C65</f>
        <v>2</v>
      </c>
      <c r="D65" s="10">
        <f>garage!D65</f>
        <v>31</v>
      </c>
      <c r="E65" s="10">
        <f>garage!E65</f>
        <v>11</v>
      </c>
      <c r="F65" s="10" t="str">
        <f>garage!F65</f>
        <v>P</v>
      </c>
      <c r="G65" s="10" t="str">
        <f>garage!G65</f>
        <v>O</v>
      </c>
      <c r="H65" s="10" t="str">
        <f>garage!H65</f>
        <v>O</v>
      </c>
      <c r="I65" s="10" t="str">
        <f>garage!I65</f>
        <v>N</v>
      </c>
      <c r="J65" s="10" t="str">
        <f>garage!J65</f>
        <v>N</v>
      </c>
      <c r="K65" s="10" t="str">
        <f>garage!K65</f>
        <v>C</v>
      </c>
      <c r="L65" s="11" t="str">
        <f>garage!L65</f>
        <v>Porsche</v>
      </c>
      <c r="M65" s="11" t="str">
        <f>garage!M65</f>
        <v>718 Cayman GT4 Clubsport</v>
      </c>
      <c r="O65" s="10">
        <v>1889</v>
      </c>
      <c r="P65" s="10">
        <v>2125</v>
      </c>
      <c r="Q65" s="10">
        <v>2461</v>
      </c>
      <c r="R65" s="10">
        <v>2757</v>
      </c>
      <c r="S65" s="10">
        <v>3113</v>
      </c>
      <c r="T65" s="10">
        <v>3727</v>
      </c>
      <c r="U65" s="10"/>
    </row>
    <row r="66" spans="2:21" ht="18" customHeight="1" x14ac:dyDescent="0.2">
      <c r="B66" s="8">
        <f>garage!B66</f>
        <v>66</v>
      </c>
      <c r="C66" s="8">
        <f>garage!C66</f>
        <v>2</v>
      </c>
      <c r="D66" s="8">
        <f>garage!D66</f>
        <v>32</v>
      </c>
      <c r="E66" s="8">
        <f>garage!E66</f>
        <v>13</v>
      </c>
      <c r="F66" s="8" t="str">
        <f>garage!F66</f>
        <v>C</v>
      </c>
      <c r="G66" s="8" t="str">
        <f>garage!G66</f>
        <v>O</v>
      </c>
      <c r="H66" s="8" t="str">
        <f>garage!H66</f>
        <v>N</v>
      </c>
      <c r="I66" s="8" t="str">
        <f>garage!I66</f>
        <v>N</v>
      </c>
      <c r="J66" s="8" t="str">
        <f>garage!J66</f>
        <v>N</v>
      </c>
      <c r="K66" s="8" t="str">
        <f>garage!K66</f>
        <v>C</v>
      </c>
      <c r="L66" s="9" t="str">
        <f>garage!L66</f>
        <v>Chevrolet</v>
      </c>
      <c r="M66" s="9" t="str">
        <f>garage!M66</f>
        <v>Corvette Stingray</v>
      </c>
      <c r="O66" s="44">
        <v>2176</v>
      </c>
      <c r="P66" s="44">
        <v>2381</v>
      </c>
      <c r="Q66" s="44">
        <v>2677</v>
      </c>
      <c r="R66" s="44">
        <v>2937</v>
      </c>
      <c r="S66" s="44">
        <v>3250</v>
      </c>
      <c r="T66" s="44">
        <v>3787</v>
      </c>
      <c r="U66" s="44"/>
    </row>
    <row r="67" spans="2:21" ht="18" customHeight="1" x14ac:dyDescent="0.2">
      <c r="B67" s="10">
        <f>garage!B67</f>
        <v>67</v>
      </c>
      <c r="C67" s="10">
        <f>garage!C67</f>
        <v>2</v>
      </c>
      <c r="D67" s="10">
        <f>garage!D67</f>
        <v>33</v>
      </c>
      <c r="E67" s="10">
        <f>garage!E67</f>
        <v>24</v>
      </c>
      <c r="F67" s="10" t="str">
        <f>garage!F67</f>
        <v>--</v>
      </c>
      <c r="G67" s="10" t="str">
        <f>garage!G67</f>
        <v>N</v>
      </c>
      <c r="H67" s="10" t="str">
        <f>garage!H67</f>
        <v>N</v>
      </c>
      <c r="I67" s="10" t="str">
        <f>garage!I67</f>
        <v>N</v>
      </c>
      <c r="J67" s="10" t="str">
        <f>garage!J67</f>
        <v>O</v>
      </c>
      <c r="K67" s="10" t="str">
        <f>garage!K67</f>
        <v>C</v>
      </c>
      <c r="L67" s="11" t="str">
        <f>garage!L67</f>
        <v>Brabham</v>
      </c>
      <c r="M67" s="11" t="str">
        <f>garage!M67</f>
        <v>BT62</v>
      </c>
      <c r="O67" s="10">
        <v>2188</v>
      </c>
      <c r="P67" s="10">
        <v>2395</v>
      </c>
      <c r="Q67" s="10">
        <v>2693</v>
      </c>
      <c r="R67" s="10">
        <v>2956</v>
      </c>
      <c r="S67" s="10">
        <v>3268</v>
      </c>
      <c r="T67" s="10">
        <v>3817</v>
      </c>
      <c r="U67" s="10"/>
    </row>
    <row r="68" spans="2:21" ht="18" customHeight="1" x14ac:dyDescent="0.2">
      <c r="B68" s="8">
        <f>garage!B68</f>
        <v>68</v>
      </c>
      <c r="C68" s="8">
        <f>garage!C68</f>
        <v>2</v>
      </c>
      <c r="D68" s="8">
        <f>garage!D68</f>
        <v>34</v>
      </c>
      <c r="E68" s="8">
        <f>garage!E68</f>
        <v>15</v>
      </c>
      <c r="F68" s="8" t="str">
        <f>garage!F68</f>
        <v>F</v>
      </c>
      <c r="G68" s="8" t="str">
        <f>garage!G68</f>
        <v>O</v>
      </c>
      <c r="H68" s="8" t="str">
        <f>garage!H68</f>
        <v>O</v>
      </c>
      <c r="I68" s="8" t="str">
        <f>garage!I68</f>
        <v>N</v>
      </c>
      <c r="J68" s="8" t="str">
        <f>garage!J68</f>
        <v>N</v>
      </c>
      <c r="K68" s="8" t="str">
        <f>garage!K68</f>
        <v>C</v>
      </c>
      <c r="L68" s="9" t="str">
        <f>garage!L68</f>
        <v>Ferrari</v>
      </c>
      <c r="M68" s="9" t="str">
        <f>garage!M68</f>
        <v>599XX EVO</v>
      </c>
      <c r="O68" s="44">
        <v>2202</v>
      </c>
      <c r="P68" s="44">
        <v>2412</v>
      </c>
      <c r="Q68" s="44">
        <v>2716</v>
      </c>
      <c r="R68" s="44">
        <v>2982</v>
      </c>
      <c r="S68" s="44">
        <v>3290</v>
      </c>
      <c r="T68" s="44">
        <v>3843</v>
      </c>
      <c r="U68" s="44"/>
    </row>
    <row r="69" spans="2:21" ht="18" customHeight="1" x14ac:dyDescent="0.2">
      <c r="B69" s="10">
        <f>garage!B69</f>
        <v>69</v>
      </c>
      <c r="C69" s="10">
        <f>garage!C69</f>
        <v>2</v>
      </c>
      <c r="D69" s="10">
        <f>garage!D69</f>
        <v>35</v>
      </c>
      <c r="E69" s="10">
        <f>garage!E69</f>
        <v>28</v>
      </c>
      <c r="F69" s="10" t="str">
        <f>garage!F69</f>
        <v>--</v>
      </c>
      <c r="G69" s="10" t="str">
        <f>garage!G69</f>
        <v>O</v>
      </c>
      <c r="H69" s="10" t="str">
        <f>garage!H69</f>
        <v>N</v>
      </c>
      <c r="I69" s="10" t="str">
        <f>garage!I69</f>
        <v>N</v>
      </c>
      <c r="J69" s="10" t="str">
        <f>garage!J69</f>
        <v>N</v>
      </c>
      <c r="K69" s="10" t="str">
        <f>garage!K69</f>
        <v>C</v>
      </c>
      <c r="L69" s="11" t="str">
        <f>garage!L69</f>
        <v>Ares</v>
      </c>
      <c r="M69" s="11" t="str">
        <f>garage!M69</f>
        <v>S1</v>
      </c>
      <c r="O69" s="10">
        <v>2206</v>
      </c>
      <c r="P69" s="10">
        <v>2418</v>
      </c>
      <c r="Q69" s="10">
        <v>2723</v>
      </c>
      <c r="R69" s="10">
        <v>2988</v>
      </c>
      <c r="S69" s="10">
        <v>3303</v>
      </c>
      <c r="T69" s="10">
        <v>3859</v>
      </c>
      <c r="U69" s="10"/>
    </row>
    <row r="70" spans="2:21" ht="18" customHeight="1" x14ac:dyDescent="0.2">
      <c r="B70" s="8">
        <f>garage!B70</f>
        <v>70</v>
      </c>
      <c r="C70" s="8">
        <f>garage!C70</f>
        <v>2</v>
      </c>
      <c r="D70" s="8">
        <f>garage!D70</f>
        <v>36</v>
      </c>
      <c r="E70" s="8">
        <f>garage!E70</f>
        <v>25</v>
      </c>
      <c r="F70" s="8" t="str">
        <f>garage!F70</f>
        <v>L</v>
      </c>
      <c r="G70" s="8" t="str">
        <f>garage!G70</f>
        <v>N</v>
      </c>
      <c r="H70" s="8" t="str">
        <f>garage!H70</f>
        <v>N</v>
      </c>
      <c r="I70" s="8" t="str">
        <f>garage!I70</f>
        <v>N</v>
      </c>
      <c r="J70" s="8" t="str">
        <f>garage!J70</f>
        <v>N</v>
      </c>
      <c r="K70" s="8" t="str">
        <f>garage!K70</f>
        <v>C</v>
      </c>
      <c r="L70" s="9" t="str">
        <f>garage!L70</f>
        <v>Lamborghini</v>
      </c>
      <c r="M70" s="9" t="str">
        <f>garage!M70</f>
        <v>Diablo GT</v>
      </c>
      <c r="O70" s="44">
        <v>2211</v>
      </c>
      <c r="P70" s="44">
        <v>2422</v>
      </c>
      <c r="Q70" s="44">
        <v>2723</v>
      </c>
      <c r="R70" s="44">
        <v>2990</v>
      </c>
      <c r="S70" s="44">
        <v>3316</v>
      </c>
      <c r="T70" s="44">
        <v>3771</v>
      </c>
      <c r="U70" s="44"/>
    </row>
    <row r="71" spans="2:21" ht="18" customHeight="1" x14ac:dyDescent="0.2">
      <c r="B71" s="10">
        <f>garage!B71</f>
        <v>71</v>
      </c>
      <c r="C71" s="10">
        <f>garage!C71</f>
        <v>2</v>
      </c>
      <c r="D71" s="10">
        <f>garage!D71</f>
        <v>37</v>
      </c>
      <c r="E71" s="10">
        <f>garage!E71</f>
        <v>7</v>
      </c>
      <c r="F71" s="10" t="str">
        <f>garage!F71</f>
        <v>--</v>
      </c>
      <c r="G71" s="10" t="str">
        <f>garage!G71</f>
        <v>O</v>
      </c>
      <c r="H71" s="10" t="str">
        <f>garage!H71</f>
        <v>O</v>
      </c>
      <c r="I71" s="10" t="str">
        <f>garage!I71</f>
        <v>O</v>
      </c>
      <c r="J71" s="10" t="str">
        <f>garage!J71</f>
        <v>N</v>
      </c>
      <c r="K71" s="10" t="str">
        <f>garage!K71</f>
        <v>C</v>
      </c>
      <c r="L71" s="11" t="str">
        <f>garage!L71</f>
        <v>Arrinera</v>
      </c>
      <c r="M71" s="11" t="str">
        <f>garage!M71</f>
        <v>Hussarya 33</v>
      </c>
      <c r="O71" s="10">
        <v>2229</v>
      </c>
      <c r="P71" s="10">
        <v>2440</v>
      </c>
      <c r="Q71" s="10">
        <v>2744</v>
      </c>
      <c r="R71" s="10">
        <v>3010</v>
      </c>
      <c r="S71" s="10">
        <v>3343</v>
      </c>
      <c r="T71" s="10">
        <v>3897</v>
      </c>
      <c r="U71" s="10"/>
    </row>
    <row r="72" spans="2:21" ht="18" customHeight="1" x14ac:dyDescent="0.2">
      <c r="B72" s="8">
        <f>garage!B72</f>
        <v>72</v>
      </c>
      <c r="C72" s="8">
        <f>garage!C72</f>
        <v>2</v>
      </c>
      <c r="D72" s="8">
        <f>garage!D72</f>
        <v>38</v>
      </c>
      <c r="E72" s="8">
        <f>garage!E72</f>
        <v>26</v>
      </c>
      <c r="F72" s="8" t="str">
        <f>garage!F72</f>
        <v>B</v>
      </c>
      <c r="G72" s="8" t="str">
        <f>garage!G72</f>
        <v>O</v>
      </c>
      <c r="H72" s="8" t="str">
        <f>garage!H72</f>
        <v>O</v>
      </c>
      <c r="I72" s="8" t="str">
        <f>garage!I72</f>
        <v>N</v>
      </c>
      <c r="J72" s="8" t="str">
        <f>garage!J72</f>
        <v>N</v>
      </c>
      <c r="K72" s="8" t="str">
        <f>garage!K72</f>
        <v>C</v>
      </c>
      <c r="L72" s="9" t="str">
        <f>garage!L72</f>
        <v>Bugatti</v>
      </c>
      <c r="M72" s="9" t="str">
        <f>garage!M72</f>
        <v>EB110</v>
      </c>
      <c r="O72" s="44">
        <v>2265</v>
      </c>
      <c r="P72" s="44">
        <v>2479</v>
      </c>
      <c r="Q72" s="44">
        <v>2783</v>
      </c>
      <c r="R72" s="44">
        <v>3053</v>
      </c>
      <c r="S72" s="44">
        <v>3385</v>
      </c>
      <c r="T72" s="44">
        <v>3946</v>
      </c>
      <c r="U72" s="44"/>
    </row>
    <row r="73" spans="2:21" ht="18" customHeight="1" x14ac:dyDescent="0.2">
      <c r="B73" s="10">
        <f>garage!B73</f>
        <v>73</v>
      </c>
      <c r="C73" s="10">
        <f>garage!C73</f>
        <v>2</v>
      </c>
      <c r="D73" s="10">
        <f>garage!D73</f>
        <v>39</v>
      </c>
      <c r="E73" s="10">
        <f>garage!E73</f>
        <v>31</v>
      </c>
      <c r="F73" s="10" t="str">
        <f>garage!F73</f>
        <v>--</v>
      </c>
      <c r="G73" s="10" t="str">
        <f>garage!G73</f>
        <v>N</v>
      </c>
      <c r="H73" s="10" t="str">
        <f>garage!H73</f>
        <v>N</v>
      </c>
      <c r="I73" s="10" t="str">
        <f>garage!I73</f>
        <v>N</v>
      </c>
      <c r="J73" s="10" t="str">
        <f>garage!J73</f>
        <v>N</v>
      </c>
      <c r="K73" s="10" t="str">
        <f>garage!K73</f>
        <v>C</v>
      </c>
      <c r="L73" s="11" t="str">
        <f>garage!L73</f>
        <v>Porsche</v>
      </c>
      <c r="M73" s="11" t="str">
        <f>garage!M73</f>
        <v>Panamera Turbo S</v>
      </c>
      <c r="O73" s="10">
        <v>2283</v>
      </c>
      <c r="P73" s="10">
        <v>2495</v>
      </c>
      <c r="Q73" s="10">
        <v>2798</v>
      </c>
      <c r="R73" s="10">
        <v>3066</v>
      </c>
      <c r="S73" s="10">
        <v>3405</v>
      </c>
      <c r="T73" s="10">
        <v>3971</v>
      </c>
      <c r="U73" s="10" t="s">
        <v>112</v>
      </c>
    </row>
    <row r="74" spans="2:21" ht="18" customHeight="1" x14ac:dyDescent="0.2">
      <c r="B74" s="8">
        <f>garage!B74</f>
        <v>74</v>
      </c>
      <c r="C74" s="8">
        <f>garage!C74</f>
        <v>2</v>
      </c>
      <c r="D74" s="8">
        <f>garage!D74</f>
        <v>40</v>
      </c>
      <c r="E74" s="8">
        <f>garage!E74</f>
        <v>12</v>
      </c>
      <c r="F74" s="8" t="str">
        <f>garage!F74</f>
        <v>L</v>
      </c>
      <c r="G74" s="8" t="str">
        <f>garage!G74</f>
        <v>O</v>
      </c>
      <c r="H74" s="8" t="str">
        <f>garage!H74</f>
        <v>N</v>
      </c>
      <c r="I74" s="8" t="str">
        <f>garage!I74</f>
        <v>N</v>
      </c>
      <c r="J74" s="8" t="str">
        <f>garage!J74</f>
        <v>N</v>
      </c>
      <c r="K74" s="8" t="str">
        <f>garage!K74</f>
        <v>C</v>
      </c>
      <c r="L74" s="9" t="str">
        <f>garage!L74</f>
        <v>Lamborghini</v>
      </c>
      <c r="M74" s="9" t="str">
        <f>garage!M74</f>
        <v>Gallardo LP560-4</v>
      </c>
      <c r="O74" s="44">
        <v>2301</v>
      </c>
      <c r="P74" s="44">
        <v>2521</v>
      </c>
      <c r="Q74" s="44">
        <v>2830</v>
      </c>
      <c r="R74" s="44">
        <v>3102</v>
      </c>
      <c r="S74" s="44">
        <v>3438</v>
      </c>
      <c r="T74" s="44">
        <v>3997</v>
      </c>
      <c r="U74" s="44" t="s">
        <v>112</v>
      </c>
    </row>
    <row r="75" spans="2:21" ht="18" customHeight="1" x14ac:dyDescent="0.2">
      <c r="B75" s="10">
        <f>garage!B75</f>
        <v>75</v>
      </c>
      <c r="C75" s="10">
        <f>garage!C75</f>
        <v>2</v>
      </c>
      <c r="D75" s="10">
        <f>garage!D75</f>
        <v>41</v>
      </c>
      <c r="E75" s="10">
        <f>garage!E75</f>
        <v>23</v>
      </c>
      <c r="F75" s="10" t="str">
        <f>garage!F75</f>
        <v>M</v>
      </c>
      <c r="G75" s="10" t="str">
        <f>garage!G75</f>
        <v>O</v>
      </c>
      <c r="H75" s="10" t="str">
        <f>garage!H75</f>
        <v>N</v>
      </c>
      <c r="I75" s="10" t="str">
        <f>garage!I75</f>
        <v>N</v>
      </c>
      <c r="J75" s="10" t="str">
        <f>garage!J75</f>
        <v>N</v>
      </c>
      <c r="K75" s="10" t="str">
        <f>garage!K75</f>
        <v>C</v>
      </c>
      <c r="L75" s="11" t="str">
        <f>garage!L75</f>
        <v>McLaren</v>
      </c>
      <c r="M75" s="11" t="str">
        <f>garage!M75</f>
        <v>GT</v>
      </c>
      <c r="O75" s="10">
        <v>2319</v>
      </c>
      <c r="P75" s="10">
        <v>2536</v>
      </c>
      <c r="Q75" s="10">
        <v>2847</v>
      </c>
      <c r="R75" s="10">
        <v>3123</v>
      </c>
      <c r="S75" s="10">
        <v>3452</v>
      </c>
      <c r="T75" s="10">
        <v>4022</v>
      </c>
      <c r="U75" s="10" t="s">
        <v>112</v>
      </c>
    </row>
    <row r="76" spans="2:21" ht="18" customHeight="1" x14ac:dyDescent="0.2">
      <c r="B76" s="8">
        <f>garage!B76</f>
        <v>76</v>
      </c>
      <c r="C76" s="8">
        <f>garage!C76</f>
        <v>2</v>
      </c>
      <c r="D76" s="8">
        <f>garage!D76</f>
        <v>42</v>
      </c>
      <c r="E76" s="8">
        <f>garage!E76</f>
        <v>29</v>
      </c>
      <c r="F76" s="8" t="str">
        <f>garage!F76</f>
        <v>--</v>
      </c>
      <c r="G76" s="8" t="str">
        <f>garage!G76</f>
        <v>O</v>
      </c>
      <c r="H76" s="8" t="str">
        <f>garage!H76</f>
        <v>N</v>
      </c>
      <c r="I76" s="8" t="str">
        <f>garage!I76</f>
        <v>N</v>
      </c>
      <c r="J76" s="8" t="str">
        <f>garage!J76</f>
        <v>N</v>
      </c>
      <c r="K76" s="8" t="str">
        <f>garage!K76</f>
        <v>C</v>
      </c>
      <c r="L76" s="9" t="str">
        <f>garage!L76</f>
        <v>Mercedes-Benz</v>
      </c>
      <c r="M76" s="9" t="str">
        <f>garage!M76</f>
        <v>AMG GT Black Series</v>
      </c>
      <c r="O76" s="44">
        <v>2347</v>
      </c>
      <c r="P76" s="44">
        <v>2565</v>
      </c>
      <c r="Q76" s="44" t="s">
        <v>112</v>
      </c>
      <c r="R76" s="44" t="s">
        <v>112</v>
      </c>
      <c r="S76" s="44" t="s">
        <v>112</v>
      </c>
      <c r="T76" s="44"/>
      <c r="U76" s="44" t="s">
        <v>112</v>
      </c>
    </row>
    <row r="77" spans="2:21" ht="18" customHeight="1" x14ac:dyDescent="0.2">
      <c r="B77" s="10">
        <f>garage!B77</f>
        <v>77</v>
      </c>
      <c r="C77" s="10">
        <f>garage!C77</f>
        <v>3</v>
      </c>
      <c r="D77" s="10">
        <f>garage!D77</f>
        <v>1</v>
      </c>
      <c r="E77" s="10">
        <f>garage!E77</f>
        <v>0</v>
      </c>
      <c r="F77" s="10" t="str">
        <f>garage!F77</f>
        <v>P</v>
      </c>
      <c r="G77" s="10" t="str">
        <f>garage!G77</f>
        <v>O</v>
      </c>
      <c r="H77" s="10" t="str">
        <f>garage!H77</f>
        <v>O</v>
      </c>
      <c r="I77" s="10" t="str">
        <f>garage!I77</f>
        <v>O</v>
      </c>
      <c r="J77" s="10" t="str">
        <f>garage!J77</f>
        <v>N</v>
      </c>
      <c r="K77" s="10" t="str">
        <f>garage!K77</f>
        <v>B</v>
      </c>
      <c r="L77" s="11" t="str">
        <f>garage!L77</f>
        <v>Porsche</v>
      </c>
      <c r="M77" s="11" t="str">
        <f>garage!M77</f>
        <v>911 GTS Coupé</v>
      </c>
      <c r="O77" s="10">
        <v>1243</v>
      </c>
      <c r="P77" s="10">
        <v>1560</v>
      </c>
      <c r="Q77" s="10">
        <v>1898</v>
      </c>
      <c r="R77" s="10">
        <v>2186</v>
      </c>
      <c r="S77" s="10"/>
      <c r="T77" s="10"/>
      <c r="U77" s="10" t="s">
        <v>112</v>
      </c>
    </row>
    <row r="78" spans="2:21" ht="18" customHeight="1" x14ac:dyDescent="0.2">
      <c r="B78" s="8">
        <f>garage!B78</f>
        <v>78</v>
      </c>
      <c r="C78" s="8">
        <f>garage!C78</f>
        <v>3</v>
      </c>
      <c r="D78" s="8">
        <f>garage!D78</f>
        <v>2</v>
      </c>
      <c r="E78" s="8">
        <f>garage!E78</f>
        <v>0</v>
      </c>
      <c r="F78" s="8" t="str">
        <f>garage!F78</f>
        <v>AM</v>
      </c>
      <c r="G78" s="8" t="str">
        <f>garage!G78</f>
        <v>O</v>
      </c>
      <c r="H78" s="8" t="str">
        <f>garage!H78</f>
        <v>O</v>
      </c>
      <c r="I78" s="8" t="str">
        <f>garage!I78</f>
        <v>O</v>
      </c>
      <c r="J78" s="8" t="str">
        <f>garage!J78</f>
        <v>N</v>
      </c>
      <c r="K78" s="8" t="str">
        <f>garage!K78</f>
        <v>B</v>
      </c>
      <c r="L78" s="9" t="str">
        <f>garage!L78</f>
        <v>Aston Martin</v>
      </c>
      <c r="M78" s="9" t="str">
        <f>garage!M78</f>
        <v>DB11</v>
      </c>
      <c r="O78" s="44">
        <v>1302</v>
      </c>
      <c r="P78" s="44">
        <v>1671</v>
      </c>
      <c r="Q78" s="44">
        <v>2029</v>
      </c>
      <c r="R78" s="44">
        <v>2330</v>
      </c>
      <c r="S78" s="44"/>
      <c r="T78" s="44"/>
      <c r="U78" s="44" t="s">
        <v>112</v>
      </c>
    </row>
    <row r="79" spans="2:21" ht="18" customHeight="1" x14ac:dyDescent="0.2">
      <c r="B79" s="10">
        <f>garage!B79</f>
        <v>79</v>
      </c>
      <c r="C79" s="10">
        <f>garage!C79</f>
        <v>3</v>
      </c>
      <c r="D79" s="10">
        <f>garage!D79</f>
        <v>3</v>
      </c>
      <c r="E79" s="10">
        <f>garage!E79</f>
        <v>0</v>
      </c>
      <c r="F79" s="10" t="str">
        <f>garage!F79</f>
        <v>--</v>
      </c>
      <c r="G79" s="10" t="str">
        <f>garage!G79</f>
        <v>O</v>
      </c>
      <c r="H79" s="10" t="str">
        <f>garage!H79</f>
        <v>O</v>
      </c>
      <c r="I79" s="10" t="str">
        <f>garage!I79</f>
        <v>O</v>
      </c>
      <c r="J79" s="10" t="str">
        <f>garage!J79</f>
        <v>N</v>
      </c>
      <c r="K79" s="10" t="str">
        <f>garage!K79</f>
        <v>B</v>
      </c>
      <c r="L79" s="11" t="str">
        <f>garage!L79</f>
        <v>Jaguar</v>
      </c>
      <c r="M79" s="11" t="str">
        <f>garage!M79</f>
        <v>F-Type SVR</v>
      </c>
      <c r="O79" s="10">
        <v>1454</v>
      </c>
      <c r="P79" s="10">
        <v>1645</v>
      </c>
      <c r="Q79" s="10">
        <v>1943</v>
      </c>
      <c r="R79" s="10">
        <v>2237</v>
      </c>
      <c r="S79" s="10">
        <v>2500</v>
      </c>
      <c r="T79" s="10"/>
      <c r="U79" s="10" t="s">
        <v>112</v>
      </c>
    </row>
    <row r="80" spans="2:21" ht="18" customHeight="1" x14ac:dyDescent="0.2">
      <c r="B80" s="8">
        <f>garage!B80</f>
        <v>80</v>
      </c>
      <c r="C80" s="8">
        <f>garage!C80</f>
        <v>3</v>
      </c>
      <c r="D80" s="8">
        <f>garage!D80</f>
        <v>4</v>
      </c>
      <c r="E80" s="8">
        <f>garage!E80</f>
        <v>29</v>
      </c>
      <c r="F80" s="8" t="str">
        <f>garage!F80</f>
        <v>F</v>
      </c>
      <c r="G80" s="8" t="str">
        <f>garage!G80</f>
        <v>O</v>
      </c>
      <c r="H80" s="8" t="str">
        <f>garage!H80</f>
        <v>N</v>
      </c>
      <c r="I80" s="8" t="str">
        <f>garage!I80</f>
        <v>N</v>
      </c>
      <c r="J80" s="8" t="str">
        <f>garage!J80</f>
        <v>N</v>
      </c>
      <c r="K80" s="8" t="str">
        <f>garage!K80</f>
        <v>B</v>
      </c>
      <c r="L80" s="9" t="str">
        <f>garage!L80</f>
        <v>Ferrari</v>
      </c>
      <c r="M80" s="9" t="str">
        <f>garage!M80</f>
        <v>F50</v>
      </c>
      <c r="O80" s="44">
        <v>1510</v>
      </c>
      <c r="P80" s="44" t="s">
        <v>112</v>
      </c>
      <c r="Q80" s="44">
        <v>2011</v>
      </c>
      <c r="R80" s="44" t="s">
        <v>112</v>
      </c>
      <c r="S80" s="44" t="s">
        <v>112</v>
      </c>
      <c r="T80" s="44"/>
      <c r="U80" s="44" t="s">
        <v>112</v>
      </c>
    </row>
    <row r="81" spans="2:21" ht="18" customHeight="1" x14ac:dyDescent="0.2">
      <c r="B81" s="10">
        <f>garage!B81</f>
        <v>81</v>
      </c>
      <c r="C81" s="10">
        <f>garage!C81</f>
        <v>3</v>
      </c>
      <c r="D81" s="10">
        <f>garage!D81</f>
        <v>5</v>
      </c>
      <c r="E81" s="10">
        <f>garage!E81</f>
        <v>0</v>
      </c>
      <c r="F81" s="10" t="str">
        <f>garage!F81</f>
        <v>--</v>
      </c>
      <c r="G81" s="10" t="str">
        <f>garage!G81</f>
        <v>O</v>
      </c>
      <c r="H81" s="10" t="str">
        <f>garage!H81</f>
        <v>O</v>
      </c>
      <c r="I81" s="10" t="str">
        <f>garage!I81</f>
        <v>O</v>
      </c>
      <c r="J81" s="10" t="str">
        <f>garage!J81</f>
        <v>N</v>
      </c>
      <c r="K81" s="10" t="str">
        <f>garage!K81</f>
        <v>B</v>
      </c>
      <c r="L81" s="11" t="str">
        <f>garage!L81</f>
        <v>Exotic Rides</v>
      </c>
      <c r="M81" s="11" t="str">
        <f>garage!M81</f>
        <v>W70</v>
      </c>
      <c r="O81" s="10">
        <v>1567</v>
      </c>
      <c r="P81" s="10">
        <v>1920</v>
      </c>
      <c r="Q81" s="10">
        <v>2308</v>
      </c>
      <c r="R81" s="10">
        <v>2633</v>
      </c>
      <c r="S81" s="10"/>
      <c r="T81" s="10"/>
      <c r="U81" s="10" t="s">
        <v>112</v>
      </c>
    </row>
    <row r="82" spans="2:21" ht="18" customHeight="1" x14ac:dyDescent="0.2">
      <c r="B82" s="8">
        <f>garage!B82</f>
        <v>82</v>
      </c>
      <c r="C82" s="8">
        <f>garage!C82</f>
        <v>3</v>
      </c>
      <c r="D82" s="8">
        <f>garage!D82</f>
        <v>6</v>
      </c>
      <c r="E82" s="8">
        <f>garage!E82</f>
        <v>11</v>
      </c>
      <c r="F82" s="8" t="str">
        <f>garage!F82</f>
        <v>P</v>
      </c>
      <c r="G82" s="8" t="str">
        <f>garage!G82</f>
        <v>O</v>
      </c>
      <c r="H82" s="8" t="str">
        <f>garage!H82</f>
        <v>O</v>
      </c>
      <c r="I82" s="8" t="str">
        <f>garage!I82</f>
        <v>N</v>
      </c>
      <c r="J82" s="8" t="str">
        <f>garage!J82</f>
        <v>N</v>
      </c>
      <c r="K82" s="8" t="str">
        <f>garage!K82</f>
        <v>B</v>
      </c>
      <c r="L82" s="9" t="str">
        <f>garage!L82</f>
        <v>Porsche</v>
      </c>
      <c r="M82" s="9" t="str">
        <f>garage!M82</f>
        <v>911 GT1 Evolution</v>
      </c>
      <c r="O82" s="44">
        <v>1625</v>
      </c>
      <c r="P82" s="44">
        <v>1835</v>
      </c>
      <c r="Q82" s="44">
        <v>2149</v>
      </c>
      <c r="R82" s="44">
        <v>2460</v>
      </c>
      <c r="S82" s="44">
        <v>2735</v>
      </c>
      <c r="T82" s="44"/>
      <c r="U82" s="44" t="s">
        <v>112</v>
      </c>
    </row>
    <row r="83" spans="2:21" ht="18" customHeight="1" x14ac:dyDescent="0.2">
      <c r="B83" s="10">
        <f>garage!B83</f>
        <v>83</v>
      </c>
      <c r="C83" s="10">
        <f>garage!C83</f>
        <v>3</v>
      </c>
      <c r="D83" s="10">
        <f>garage!D83</f>
        <v>7</v>
      </c>
      <c r="E83" s="10">
        <f>garage!E83</f>
        <v>0</v>
      </c>
      <c r="F83" s="10" t="str">
        <f>garage!F83</f>
        <v>--</v>
      </c>
      <c r="G83" s="10" t="str">
        <f>garage!G83</f>
        <v>O</v>
      </c>
      <c r="H83" s="10" t="str">
        <f>garage!H83</f>
        <v>O</v>
      </c>
      <c r="I83" s="10" t="str">
        <f>garage!I83</f>
        <v>O</v>
      </c>
      <c r="J83" s="10" t="str">
        <f>garage!J83</f>
        <v>N</v>
      </c>
      <c r="K83" s="10" t="str">
        <f>garage!K83</f>
        <v>B</v>
      </c>
      <c r="L83" s="11" t="str">
        <f>garage!L83</f>
        <v>Ford</v>
      </c>
      <c r="M83" s="11" t="str">
        <f>garage!M83</f>
        <v>GT</v>
      </c>
      <c r="O83" s="10">
        <v>1685</v>
      </c>
      <c r="P83" s="10">
        <v>1895</v>
      </c>
      <c r="Q83" s="10">
        <v>2216</v>
      </c>
      <c r="R83" s="10">
        <v>2535</v>
      </c>
      <c r="S83" s="10">
        <v>2816</v>
      </c>
      <c r="T83" s="10"/>
      <c r="U83" s="10" t="s">
        <v>112</v>
      </c>
    </row>
    <row r="84" spans="2:21" ht="18" customHeight="1" x14ac:dyDescent="0.2">
      <c r="B84" s="8">
        <f>garage!B84</f>
        <v>84</v>
      </c>
      <c r="C84" s="8">
        <f>garage!C84</f>
        <v>3</v>
      </c>
      <c r="D84" s="8">
        <f>garage!D84</f>
        <v>8</v>
      </c>
      <c r="E84" s="8">
        <f>garage!E84</f>
        <v>0</v>
      </c>
      <c r="F84" s="8" t="str">
        <f>garage!F84</f>
        <v>L</v>
      </c>
      <c r="G84" s="8" t="str">
        <f>garage!G84</f>
        <v>O</v>
      </c>
      <c r="H84" s="8" t="str">
        <f>garage!H84</f>
        <v>O</v>
      </c>
      <c r="I84" s="8" t="str">
        <f>garage!I84</f>
        <v>N</v>
      </c>
      <c r="J84" s="8" t="str">
        <f>garage!J84</f>
        <v>N</v>
      </c>
      <c r="K84" s="8" t="str">
        <f>garage!K84</f>
        <v>B</v>
      </c>
      <c r="L84" s="9" t="str">
        <f>garage!L84</f>
        <v>Lamborghini</v>
      </c>
      <c r="M84" s="9" t="str">
        <f>garage!M84</f>
        <v>Asterion</v>
      </c>
      <c r="O84" s="44">
        <v>1809</v>
      </c>
      <c r="P84" s="44">
        <v>2023</v>
      </c>
      <c r="Q84" s="44">
        <v>2363</v>
      </c>
      <c r="R84" s="44">
        <v>2695</v>
      </c>
      <c r="S84" s="44">
        <v>2983</v>
      </c>
      <c r="T84" s="44"/>
      <c r="U84" s="44" t="s">
        <v>112</v>
      </c>
    </row>
    <row r="85" spans="2:21" ht="18" customHeight="1" x14ac:dyDescent="0.2">
      <c r="B85" s="10">
        <f>garage!B85</f>
        <v>85</v>
      </c>
      <c r="C85" s="10">
        <f>garage!C85</f>
        <v>3</v>
      </c>
      <c r="D85" s="10">
        <f>garage!D85</f>
        <v>9</v>
      </c>
      <c r="E85" s="10">
        <f>garage!E85</f>
        <v>18</v>
      </c>
      <c r="F85" s="10" t="str">
        <f>garage!F85</f>
        <v>F</v>
      </c>
      <c r="G85" s="10" t="str">
        <f>garage!G85</f>
        <v>O</v>
      </c>
      <c r="H85" s="10" t="str">
        <f>garage!H85</f>
        <v>O</v>
      </c>
      <c r="I85" s="10" t="str">
        <f>garage!I85</f>
        <v>N</v>
      </c>
      <c r="J85" s="10" t="str">
        <f>garage!J85</f>
        <v>N</v>
      </c>
      <c r="K85" s="10" t="str">
        <f>garage!K85</f>
        <v>B</v>
      </c>
      <c r="L85" s="11" t="str">
        <f>garage!L85</f>
        <v>Ferrari</v>
      </c>
      <c r="M85" s="11" t="str">
        <f>garage!M85</f>
        <v>Roma</v>
      </c>
      <c r="O85" s="10">
        <v>1872</v>
      </c>
      <c r="P85" s="10">
        <v>2091</v>
      </c>
      <c r="Q85" s="10">
        <v>2431</v>
      </c>
      <c r="R85" s="10">
        <v>2766</v>
      </c>
      <c r="S85" s="10">
        <v>3069</v>
      </c>
      <c r="T85" s="10"/>
      <c r="U85" s="10" t="s">
        <v>112</v>
      </c>
    </row>
    <row r="86" spans="2:21" ht="18" customHeight="1" x14ac:dyDescent="0.2">
      <c r="B86" s="8">
        <f>garage!B86</f>
        <v>86</v>
      </c>
      <c r="C86" s="8">
        <f>garage!C86</f>
        <v>3</v>
      </c>
      <c r="D86" s="8">
        <f>garage!D86</f>
        <v>10</v>
      </c>
      <c r="E86" s="8">
        <f>garage!E86</f>
        <v>22</v>
      </c>
      <c r="F86" s="8" t="str">
        <f>garage!F86</f>
        <v>--</v>
      </c>
      <c r="G86" s="8" t="str">
        <f>garage!G86</f>
        <v>O</v>
      </c>
      <c r="H86" s="8" t="str">
        <f>garage!H86</f>
        <v>O</v>
      </c>
      <c r="I86" s="8" t="str">
        <f>garage!I86</f>
        <v>N</v>
      </c>
      <c r="J86" s="8" t="str">
        <f>garage!J86</f>
        <v>N</v>
      </c>
      <c r="K86" s="8" t="str">
        <f>garage!K86</f>
        <v>B</v>
      </c>
      <c r="L86" s="9" t="str">
        <f>garage!L86</f>
        <v>Arash</v>
      </c>
      <c r="M86" s="9" t="str">
        <f>garage!M86</f>
        <v>AF10</v>
      </c>
      <c r="O86" s="44">
        <v>1905</v>
      </c>
      <c r="P86" s="44">
        <v>2128</v>
      </c>
      <c r="Q86" s="44">
        <v>2473</v>
      </c>
      <c r="R86" s="44">
        <v>2814</v>
      </c>
      <c r="S86" s="44">
        <v>3112</v>
      </c>
      <c r="T86" s="44"/>
      <c r="U86" s="44" t="s">
        <v>112</v>
      </c>
    </row>
    <row r="87" spans="2:21" ht="18" customHeight="1" x14ac:dyDescent="0.2">
      <c r="B87" s="10">
        <f>garage!B87</f>
        <v>87</v>
      </c>
      <c r="C87" s="10">
        <f>garage!C87</f>
        <v>3</v>
      </c>
      <c r="D87" s="10">
        <f>garage!D87</f>
        <v>11</v>
      </c>
      <c r="E87" s="10">
        <f>garage!E87</f>
        <v>31</v>
      </c>
      <c r="F87" s="10" t="str">
        <f>garage!F87</f>
        <v>--</v>
      </c>
      <c r="G87" s="10" t="str">
        <f>garage!G87</f>
        <v>N</v>
      </c>
      <c r="H87" s="10" t="str">
        <f>garage!H87</f>
        <v>N</v>
      </c>
      <c r="I87" s="10" t="str">
        <f>garage!I87</f>
        <v>N</v>
      </c>
      <c r="J87" s="10" t="str">
        <f>garage!J87</f>
        <v>N</v>
      </c>
      <c r="K87" s="10" t="str">
        <f>garage!K87</f>
        <v>B</v>
      </c>
      <c r="L87" s="11" t="str">
        <f>garage!L87</f>
        <v>BMW</v>
      </c>
      <c r="M87" s="11" t="str">
        <f>garage!M87</f>
        <v>M4 GT3</v>
      </c>
      <c r="O87" s="10">
        <v>1921</v>
      </c>
      <c r="P87" s="10">
        <v>2146</v>
      </c>
      <c r="Q87" s="10">
        <v>2497</v>
      </c>
      <c r="R87" s="10">
        <v>2837</v>
      </c>
      <c r="S87" s="10">
        <v>3134</v>
      </c>
      <c r="T87" s="10" t="s">
        <v>112</v>
      </c>
      <c r="U87" s="10" t="s">
        <v>112</v>
      </c>
    </row>
    <row r="88" spans="2:21" ht="18" customHeight="1" x14ac:dyDescent="0.2">
      <c r="B88" s="8">
        <f>garage!B88</f>
        <v>88</v>
      </c>
      <c r="C88" s="8">
        <f>garage!C88</f>
        <v>3</v>
      </c>
      <c r="D88" s="8">
        <f>garage!D88</f>
        <v>12</v>
      </c>
      <c r="E88" s="8">
        <f>garage!E88</f>
        <v>0</v>
      </c>
      <c r="F88" s="8" t="str">
        <f>garage!F88</f>
        <v>--</v>
      </c>
      <c r="G88" s="8" t="str">
        <f>garage!G88</f>
        <v>O</v>
      </c>
      <c r="H88" s="8" t="str">
        <f>garage!H88</f>
        <v>O</v>
      </c>
      <c r="I88" s="8" t="str">
        <f>garage!I88</f>
        <v>O</v>
      </c>
      <c r="J88" s="8" t="str">
        <f>garage!J88</f>
        <v>N</v>
      </c>
      <c r="K88" s="8" t="str">
        <f>garage!K88</f>
        <v>B</v>
      </c>
      <c r="L88" s="9" t="str">
        <f>garage!L88</f>
        <v>Cadillac</v>
      </c>
      <c r="M88" s="9" t="str">
        <f>garage!M88</f>
        <v>Cien Concept</v>
      </c>
      <c r="O88" s="44">
        <v>1937</v>
      </c>
      <c r="P88" s="44">
        <v>2163</v>
      </c>
      <c r="Q88" s="44">
        <v>2504</v>
      </c>
      <c r="R88" s="44">
        <v>2856</v>
      </c>
      <c r="S88" s="44">
        <v>3155</v>
      </c>
      <c r="T88" s="44"/>
      <c r="U88" s="44"/>
    </row>
    <row r="89" spans="2:21" ht="18" customHeight="1" x14ac:dyDescent="0.2">
      <c r="B89" s="10">
        <f>garage!B89</f>
        <v>89</v>
      </c>
      <c r="C89" s="10">
        <f>garage!C89</f>
        <v>3</v>
      </c>
      <c r="D89" s="10">
        <f>garage!D89</f>
        <v>13</v>
      </c>
      <c r="E89" s="10">
        <f>garage!E89</f>
        <v>13</v>
      </c>
      <c r="F89" s="10" t="str">
        <f>garage!F89</f>
        <v>--</v>
      </c>
      <c r="G89" s="10" t="str">
        <f>garage!G89</f>
        <v>O</v>
      </c>
      <c r="H89" s="10" t="str">
        <f>garage!H89</f>
        <v>O</v>
      </c>
      <c r="I89" s="10" t="str">
        <f>garage!I89</f>
        <v>N</v>
      </c>
      <c r="J89" s="10" t="str">
        <f>garage!J89</f>
        <v>N</v>
      </c>
      <c r="K89" s="10" t="str">
        <f>garage!K89</f>
        <v>B</v>
      </c>
      <c r="L89" s="11" t="str">
        <f>garage!L89</f>
        <v>Ford</v>
      </c>
      <c r="M89" s="11" t="str">
        <f>garage!M89</f>
        <v>GT MK II</v>
      </c>
      <c r="O89" s="10">
        <v>1970</v>
      </c>
      <c r="P89" s="10">
        <v>2199</v>
      </c>
      <c r="Q89" s="10">
        <v>2552</v>
      </c>
      <c r="R89" s="10">
        <v>2898</v>
      </c>
      <c r="S89" s="10">
        <v>3200</v>
      </c>
      <c r="T89" s="10"/>
      <c r="U89" s="10"/>
    </row>
    <row r="90" spans="2:21" ht="18" customHeight="1" x14ac:dyDescent="0.2">
      <c r="B90" s="8">
        <f>garage!B90</f>
        <v>90</v>
      </c>
      <c r="C90" s="8">
        <f>garage!C90</f>
        <v>3</v>
      </c>
      <c r="D90" s="8">
        <f>garage!D90</f>
        <v>14</v>
      </c>
      <c r="E90" s="8">
        <f>garage!E90</f>
        <v>0</v>
      </c>
      <c r="F90" s="8" t="str">
        <f>garage!F90</f>
        <v>--</v>
      </c>
      <c r="G90" s="8" t="str">
        <f>garage!G90</f>
        <v>O</v>
      </c>
      <c r="H90" s="8" t="str">
        <f>garage!H90</f>
        <v>O</v>
      </c>
      <c r="I90" s="8" t="str">
        <f>garage!I90</f>
        <v>O</v>
      </c>
      <c r="J90" s="8" t="str">
        <f>garage!J90</f>
        <v>N</v>
      </c>
      <c r="K90" s="8" t="str">
        <f>garage!K90</f>
        <v>B</v>
      </c>
      <c r="L90" s="9" t="str">
        <f>garage!L90</f>
        <v>Italdesign</v>
      </c>
      <c r="M90" s="9" t="str">
        <f>garage!M90</f>
        <v>Zerouno</v>
      </c>
      <c r="O90" s="44">
        <v>2004</v>
      </c>
      <c r="P90" s="44">
        <v>2234</v>
      </c>
      <c r="Q90" s="44">
        <v>2588</v>
      </c>
      <c r="R90" s="44">
        <v>2937</v>
      </c>
      <c r="S90" s="44">
        <v>3245</v>
      </c>
      <c r="T90" s="44"/>
      <c r="U90" s="44"/>
    </row>
    <row r="91" spans="2:21" ht="18" customHeight="1" x14ac:dyDescent="0.2">
      <c r="B91" s="10">
        <f>garage!B91</f>
        <v>91</v>
      </c>
      <c r="C91" s="10">
        <f>garage!C91</f>
        <v>3</v>
      </c>
      <c r="D91" s="10">
        <f>garage!D91</f>
        <v>15</v>
      </c>
      <c r="E91" s="10">
        <f>garage!E91</f>
        <v>24</v>
      </c>
      <c r="F91" s="10" t="str">
        <f>garage!F91</f>
        <v>--</v>
      </c>
      <c r="G91" s="10" t="str">
        <f>garage!G91</f>
        <v>N</v>
      </c>
      <c r="H91" s="10" t="str">
        <f>garage!H91</f>
        <v>N</v>
      </c>
      <c r="I91" s="10" t="str">
        <f>garage!I91</f>
        <v>N</v>
      </c>
      <c r="J91" s="10" t="str">
        <f>garage!J91</f>
        <v>O</v>
      </c>
      <c r="K91" s="10" t="str">
        <f>garage!K91</f>
        <v>B</v>
      </c>
      <c r="L91" s="11" t="str">
        <f>garage!L91</f>
        <v>Arash</v>
      </c>
      <c r="M91" s="11" t="str">
        <f>garage!M91</f>
        <v>AF8 Falcon Edition</v>
      </c>
      <c r="O91" s="10">
        <v>2037</v>
      </c>
      <c r="P91" s="10">
        <v>2265</v>
      </c>
      <c r="Q91" s="10">
        <v>2620</v>
      </c>
      <c r="R91" s="10">
        <v>2970</v>
      </c>
      <c r="S91" s="10">
        <v>3289</v>
      </c>
      <c r="T91" s="10"/>
      <c r="U91" s="10"/>
    </row>
    <row r="92" spans="2:21" ht="18" customHeight="1" x14ac:dyDescent="0.2">
      <c r="B92" s="8">
        <f>garage!B92</f>
        <v>92</v>
      </c>
      <c r="C92" s="8">
        <f>garage!C92</f>
        <v>3</v>
      </c>
      <c r="D92" s="8">
        <f>garage!D92</f>
        <v>16</v>
      </c>
      <c r="E92" s="8">
        <f>garage!E92</f>
        <v>0</v>
      </c>
      <c r="F92" s="8" t="str">
        <f>garage!F92</f>
        <v>F</v>
      </c>
      <c r="G92" s="8" t="str">
        <f>garage!G92</f>
        <v>O</v>
      </c>
      <c r="H92" s="8" t="str">
        <f>garage!H92</f>
        <v>O</v>
      </c>
      <c r="I92" s="8" t="str">
        <f>garage!I92</f>
        <v>O</v>
      </c>
      <c r="J92" s="8" t="str">
        <f>garage!J92</f>
        <v>N</v>
      </c>
      <c r="K92" s="8" t="str">
        <f>garage!K92</f>
        <v>B</v>
      </c>
      <c r="L92" s="9" t="str">
        <f>garage!L92</f>
        <v>Ferrari</v>
      </c>
      <c r="M92" s="9" t="str">
        <f>garage!M92</f>
        <v>488 GTB</v>
      </c>
      <c r="O92" s="44">
        <v>2071</v>
      </c>
      <c r="P92" s="44">
        <v>2303</v>
      </c>
      <c r="Q92" s="44">
        <v>2664</v>
      </c>
      <c r="R92" s="44">
        <v>3011</v>
      </c>
      <c r="S92" s="44">
        <v>3334</v>
      </c>
      <c r="T92" s="44"/>
      <c r="U92" s="44"/>
    </row>
    <row r="93" spans="2:21" ht="18" customHeight="1" x14ac:dyDescent="0.2">
      <c r="B93" s="10">
        <f>garage!B93</f>
        <v>93</v>
      </c>
      <c r="C93" s="10">
        <f>garage!C93</f>
        <v>3</v>
      </c>
      <c r="D93" s="10">
        <f>garage!D93</f>
        <v>17</v>
      </c>
      <c r="E93" s="10">
        <f>garage!E93</f>
        <v>30</v>
      </c>
      <c r="F93" s="10" t="str">
        <f>garage!F93</f>
        <v>--</v>
      </c>
      <c r="G93" s="10" t="str">
        <f>garage!G93</f>
        <v>N</v>
      </c>
      <c r="H93" s="10" t="str">
        <f>garage!H93</f>
        <v>O</v>
      </c>
      <c r="I93" s="10" t="str">
        <f>garage!I93</f>
        <v>N</v>
      </c>
      <c r="J93" s="10" t="str">
        <f>garage!J93</f>
        <v>N</v>
      </c>
      <c r="K93" s="10" t="str">
        <f>garage!K93</f>
        <v>B</v>
      </c>
      <c r="L93" s="11" t="str">
        <f>garage!L93</f>
        <v>Kepler</v>
      </c>
      <c r="M93" s="11" t="str">
        <f>garage!M93</f>
        <v>Motion</v>
      </c>
      <c r="O93" s="10">
        <v>2106</v>
      </c>
      <c r="P93" s="10">
        <v>2342</v>
      </c>
      <c r="Q93" s="10" t="s">
        <v>112</v>
      </c>
      <c r="R93" s="10" t="s">
        <v>112</v>
      </c>
      <c r="S93" s="10" t="s">
        <v>112</v>
      </c>
      <c r="T93" s="10"/>
      <c r="U93" s="10"/>
    </row>
    <row r="94" spans="2:21" ht="18" customHeight="1" x14ac:dyDescent="0.2">
      <c r="B94" s="8">
        <f>garage!B94</f>
        <v>94</v>
      </c>
      <c r="C94" s="8">
        <f>garage!C94</f>
        <v>3</v>
      </c>
      <c r="D94" s="8">
        <f>garage!D94</f>
        <v>18</v>
      </c>
      <c r="E94" s="8">
        <f>garage!E94</f>
        <v>21</v>
      </c>
      <c r="F94" s="8" t="str">
        <f>garage!F94</f>
        <v>--</v>
      </c>
      <c r="G94" s="8" t="str">
        <f>garage!G94</f>
        <v>O</v>
      </c>
      <c r="H94" s="8" t="str">
        <f>garage!H94</f>
        <v>N</v>
      </c>
      <c r="I94" s="8" t="str">
        <f>garage!I94</f>
        <v>N</v>
      </c>
      <c r="J94" s="8" t="str">
        <f>garage!J94</f>
        <v>N</v>
      </c>
      <c r="K94" s="8" t="str">
        <f>garage!K94</f>
        <v>B</v>
      </c>
      <c r="L94" s="9" t="str">
        <f>garage!L94</f>
        <v>Drako</v>
      </c>
      <c r="M94" s="9" t="str">
        <f>garage!M94</f>
        <v>GTE</v>
      </c>
      <c r="O94" s="44">
        <v>2141</v>
      </c>
      <c r="P94" s="44">
        <v>2376</v>
      </c>
      <c r="Q94" s="44">
        <v>2741</v>
      </c>
      <c r="R94" s="44">
        <v>3102</v>
      </c>
      <c r="S94" s="44">
        <v>3425</v>
      </c>
      <c r="T94" s="44"/>
      <c r="U94" s="44"/>
    </row>
    <row r="95" spans="2:21" ht="18" customHeight="1" x14ac:dyDescent="0.2">
      <c r="B95" s="10">
        <f>garage!B95</f>
        <v>95</v>
      </c>
      <c r="C95" s="10">
        <f>garage!C95</f>
        <v>3</v>
      </c>
      <c r="D95" s="10">
        <f>garage!D95</f>
        <v>19</v>
      </c>
      <c r="E95" s="10">
        <f>garage!E95</f>
        <v>0</v>
      </c>
      <c r="F95" s="10" t="str">
        <f>garage!F95</f>
        <v>--</v>
      </c>
      <c r="G95" s="10" t="str">
        <f>garage!G95</f>
        <v>O</v>
      </c>
      <c r="H95" s="10" t="str">
        <f>garage!H95</f>
        <v>O</v>
      </c>
      <c r="I95" s="10" t="str">
        <f>garage!I95</f>
        <v>O</v>
      </c>
      <c r="J95" s="10" t="str">
        <f>garage!J95</f>
        <v>N</v>
      </c>
      <c r="K95" s="10" t="str">
        <f>garage!K95</f>
        <v>B</v>
      </c>
      <c r="L95" s="11" t="str">
        <f>garage!L95</f>
        <v>Glickhaus</v>
      </c>
      <c r="M95" s="11" t="str">
        <f>garage!M95</f>
        <v>003S</v>
      </c>
      <c r="O95" s="10">
        <v>2211</v>
      </c>
      <c r="P95" s="10">
        <v>2451</v>
      </c>
      <c r="Q95" s="10">
        <v>2824</v>
      </c>
      <c r="R95" s="10">
        <v>3193</v>
      </c>
      <c r="S95" s="10">
        <v>3519</v>
      </c>
      <c r="T95" s="10"/>
      <c r="U95" s="10"/>
    </row>
    <row r="96" spans="2:21" ht="18" customHeight="1" x14ac:dyDescent="0.2">
      <c r="B96" s="8">
        <f>garage!B96</f>
        <v>96</v>
      </c>
      <c r="C96" s="8">
        <f>garage!C96</f>
        <v>3</v>
      </c>
      <c r="D96" s="8">
        <f>garage!D96</f>
        <v>20</v>
      </c>
      <c r="E96" s="8">
        <f>garage!E96</f>
        <v>20</v>
      </c>
      <c r="F96" s="8" t="str">
        <f>garage!F96</f>
        <v>M</v>
      </c>
      <c r="G96" s="8" t="str">
        <f>garage!G96</f>
        <v>O</v>
      </c>
      <c r="H96" s="8" t="str">
        <f>garage!H96</f>
        <v>N</v>
      </c>
      <c r="I96" s="8" t="str">
        <f>garage!I96</f>
        <v>N</v>
      </c>
      <c r="J96" s="8" t="str">
        <f>garage!J96</f>
        <v>N</v>
      </c>
      <c r="K96" s="8" t="str">
        <f>garage!K96</f>
        <v>B</v>
      </c>
      <c r="L96" s="9" t="str">
        <f>garage!L96</f>
        <v>McLaren</v>
      </c>
      <c r="M96" s="9" t="str">
        <f>garage!M96</f>
        <v>Elva</v>
      </c>
      <c r="O96" s="44">
        <v>2211</v>
      </c>
      <c r="P96" s="44">
        <v>2387</v>
      </c>
      <c r="Q96" s="44">
        <v>2645</v>
      </c>
      <c r="R96" s="44">
        <v>2878</v>
      </c>
      <c r="S96" s="44">
        <v>3213</v>
      </c>
      <c r="T96" s="44">
        <v>3533</v>
      </c>
      <c r="U96" s="44"/>
    </row>
    <row r="97" spans="2:21" ht="18" customHeight="1" x14ac:dyDescent="0.2">
      <c r="B97" s="10">
        <f>garage!B97</f>
        <v>97</v>
      </c>
      <c r="C97" s="10">
        <f>garage!C97</f>
        <v>3</v>
      </c>
      <c r="D97" s="10">
        <f>garage!D97</f>
        <v>21</v>
      </c>
      <c r="E97" s="10">
        <f>garage!E97</f>
        <v>27</v>
      </c>
      <c r="F97" s="10" t="str">
        <f>garage!F97</f>
        <v>--</v>
      </c>
      <c r="G97" s="10" t="str">
        <f>garage!G97</f>
        <v>O</v>
      </c>
      <c r="H97" s="10" t="str">
        <f>garage!H97</f>
        <v>N</v>
      </c>
      <c r="I97" s="10" t="str">
        <f>garage!I97</f>
        <v>N</v>
      </c>
      <c r="J97" s="10" t="str">
        <f>garage!J97</f>
        <v>N</v>
      </c>
      <c r="K97" s="10" t="str">
        <f>garage!K97</f>
        <v>B</v>
      </c>
      <c r="L97" s="11" t="str">
        <f>garage!L97</f>
        <v>Nissan</v>
      </c>
      <c r="M97" s="11" t="str">
        <f>garage!M97</f>
        <v>R390 GT1</v>
      </c>
      <c r="O97" s="10" t="s">
        <v>112</v>
      </c>
      <c r="P97" s="10" t="s">
        <v>112</v>
      </c>
      <c r="Q97" s="10">
        <v>2730</v>
      </c>
      <c r="R97" s="10" t="s">
        <v>112</v>
      </c>
      <c r="S97" s="10" t="s">
        <v>112</v>
      </c>
      <c r="T97" s="10" t="s">
        <v>112</v>
      </c>
      <c r="U97" s="10"/>
    </row>
    <row r="98" spans="2:21" ht="18" customHeight="1" x14ac:dyDescent="0.2">
      <c r="B98" s="8">
        <f>garage!B98</f>
        <v>98</v>
      </c>
      <c r="C98" s="8">
        <f>garage!C98</f>
        <v>3</v>
      </c>
      <c r="D98" s="8">
        <f>garage!D98</f>
        <v>22</v>
      </c>
      <c r="E98" s="8">
        <f>garage!E98</f>
        <v>0</v>
      </c>
      <c r="F98" s="8" t="str">
        <f>garage!F98</f>
        <v>F</v>
      </c>
      <c r="G98" s="8" t="str">
        <f>garage!G98</f>
        <v>O</v>
      </c>
      <c r="H98" s="8" t="str">
        <f>garage!H98</f>
        <v>O</v>
      </c>
      <c r="I98" s="8" t="str">
        <f>garage!I98</f>
        <v>O</v>
      </c>
      <c r="J98" s="8" t="str">
        <f>garage!J98</f>
        <v>N</v>
      </c>
      <c r="K98" s="8" t="str">
        <f>garage!K98</f>
        <v>B</v>
      </c>
      <c r="L98" s="9" t="str">
        <f>garage!L98</f>
        <v>Ferrari</v>
      </c>
      <c r="M98" s="9" t="str">
        <f>garage!M98</f>
        <v>F12TDF</v>
      </c>
      <c r="O98" s="44">
        <v>2356</v>
      </c>
      <c r="P98" s="44">
        <v>2543</v>
      </c>
      <c r="Q98" s="44">
        <v>2810</v>
      </c>
      <c r="R98" s="44">
        <v>3050</v>
      </c>
      <c r="S98" s="44">
        <v>3397</v>
      </c>
      <c r="T98" s="44">
        <v>3724</v>
      </c>
      <c r="U98" s="44"/>
    </row>
    <row r="99" spans="2:21" ht="18" customHeight="1" x14ac:dyDescent="0.2">
      <c r="B99" s="10">
        <f>garage!B99</f>
        <v>99</v>
      </c>
      <c r="C99" s="10">
        <f>garage!C99</f>
        <v>3</v>
      </c>
      <c r="D99" s="10">
        <f>garage!D99</f>
        <v>23</v>
      </c>
      <c r="E99" s="10">
        <f>garage!E99</f>
        <v>18</v>
      </c>
      <c r="F99" s="10" t="str">
        <f>garage!F99</f>
        <v>L</v>
      </c>
      <c r="G99" s="10" t="str">
        <f>garage!G99</f>
        <v>O</v>
      </c>
      <c r="H99" s="10" t="str">
        <f>garage!H99</f>
        <v>N</v>
      </c>
      <c r="I99" s="10" t="str">
        <f>garage!I99</f>
        <v>N</v>
      </c>
      <c r="J99" s="10" t="str">
        <f>garage!J99</f>
        <v>N</v>
      </c>
      <c r="K99" s="10" t="str">
        <f>garage!K99</f>
        <v>B</v>
      </c>
      <c r="L99" s="11" t="str">
        <f>garage!L99</f>
        <v>Lamborghini</v>
      </c>
      <c r="M99" s="11" t="str">
        <f>garage!M99</f>
        <v>Murcielago LP 640 Roadster</v>
      </c>
      <c r="O99" s="10">
        <v>2516</v>
      </c>
      <c r="P99" s="10">
        <v>2687</v>
      </c>
      <c r="Q99" s="10">
        <v>2937</v>
      </c>
      <c r="R99" s="10">
        <v>3161</v>
      </c>
      <c r="S99" s="10">
        <v>3474</v>
      </c>
      <c r="T99" s="10">
        <v>3792</v>
      </c>
      <c r="U99" s="10"/>
    </row>
    <row r="100" spans="2:21" ht="18" customHeight="1" x14ac:dyDescent="0.2">
      <c r="B100" s="8">
        <f>garage!B100</f>
        <v>100</v>
      </c>
      <c r="C100" s="8">
        <f>garage!C100</f>
        <v>3</v>
      </c>
      <c r="D100" s="8">
        <f>garage!D100</f>
        <v>24</v>
      </c>
      <c r="E100" s="8">
        <f>garage!E100</f>
        <v>26</v>
      </c>
      <c r="F100" s="8" t="str">
        <f>garage!F100</f>
        <v>M</v>
      </c>
      <c r="G100" s="8" t="str">
        <f>garage!G100</f>
        <v>O</v>
      </c>
      <c r="H100" s="8" t="str">
        <f>garage!H100</f>
        <v>N</v>
      </c>
      <c r="I100" s="8" t="str">
        <f>garage!I100</f>
        <v>N</v>
      </c>
      <c r="J100" s="8" t="str">
        <f>garage!J100</f>
        <v>N</v>
      </c>
      <c r="K100" s="8" t="str">
        <f>garage!K100</f>
        <v>B</v>
      </c>
      <c r="L100" s="9" t="str">
        <f>garage!L100</f>
        <v>McLaren</v>
      </c>
      <c r="M100" s="9" t="str">
        <f>garage!M100</f>
        <v>765LT</v>
      </c>
      <c r="O100" s="44">
        <v>2430</v>
      </c>
      <c r="P100" s="44">
        <v>2621</v>
      </c>
      <c r="Q100" s="44">
        <v>2893</v>
      </c>
      <c r="R100" s="44">
        <v>3135</v>
      </c>
      <c r="S100" s="44">
        <v>3487</v>
      </c>
      <c r="T100" s="44">
        <v>3821</v>
      </c>
      <c r="U100" s="44"/>
    </row>
    <row r="101" spans="2:21" ht="18" customHeight="1" x14ac:dyDescent="0.2">
      <c r="B101" s="10">
        <f>garage!B101</f>
        <v>101</v>
      </c>
      <c r="C101" s="10">
        <f>garage!C101</f>
        <v>3</v>
      </c>
      <c r="D101" s="10">
        <f>garage!D101</f>
        <v>25</v>
      </c>
      <c r="E101" s="10">
        <f>garage!E101</f>
        <v>0</v>
      </c>
      <c r="F101" s="10" t="str">
        <f>garage!F101</f>
        <v>C</v>
      </c>
      <c r="G101" s="10" t="str">
        <f>garage!G101</f>
        <v>O</v>
      </c>
      <c r="H101" s="10" t="str">
        <f>garage!H101</f>
        <v>O</v>
      </c>
      <c r="I101" s="10" t="str">
        <f>garage!I101</f>
        <v>O</v>
      </c>
      <c r="J101" s="10" t="str">
        <f>garage!J101</f>
        <v>N</v>
      </c>
      <c r="K101" s="10" t="str">
        <f>garage!K101</f>
        <v>B</v>
      </c>
      <c r="L101" s="11" t="str">
        <f>garage!L101</f>
        <v>Chevrolet</v>
      </c>
      <c r="M101" s="11" t="str">
        <f>garage!M101</f>
        <v>Corvette Grand Sport</v>
      </c>
      <c r="O101" s="10">
        <v>2506</v>
      </c>
      <c r="P101" s="10">
        <v>2702</v>
      </c>
      <c r="Q101" s="10">
        <v>2977</v>
      </c>
      <c r="R101" s="10">
        <v>3227</v>
      </c>
      <c r="S101" s="10">
        <v>3581</v>
      </c>
      <c r="T101" s="10">
        <v>3921</v>
      </c>
      <c r="U101" s="10"/>
    </row>
    <row r="102" spans="2:21" ht="18" customHeight="1" x14ac:dyDescent="0.2">
      <c r="B102" s="8">
        <f>garage!B102</f>
        <v>102</v>
      </c>
      <c r="C102" s="8">
        <f>garage!C102</f>
        <v>3</v>
      </c>
      <c r="D102" s="8">
        <f>garage!D102</f>
        <v>26</v>
      </c>
      <c r="E102" s="8">
        <f>garage!E102</f>
        <v>7</v>
      </c>
      <c r="F102" s="8" t="str">
        <f>garage!F102</f>
        <v>AM</v>
      </c>
      <c r="G102" s="8" t="str">
        <f>garage!G102</f>
        <v>O</v>
      </c>
      <c r="H102" s="8" t="str">
        <f>garage!H102</f>
        <v>O</v>
      </c>
      <c r="I102" s="8" t="str">
        <f>garage!I102</f>
        <v>O</v>
      </c>
      <c r="J102" s="8" t="str">
        <f>garage!J102</f>
        <v>N</v>
      </c>
      <c r="K102" s="8" t="str">
        <f>garage!K102</f>
        <v>B</v>
      </c>
      <c r="L102" s="9" t="str">
        <f>garage!L102</f>
        <v>Aston Martin</v>
      </c>
      <c r="M102" s="9" t="str">
        <f>garage!M102</f>
        <v>Vantage GT12</v>
      </c>
      <c r="O102" s="44">
        <v>2526</v>
      </c>
      <c r="P102" s="44">
        <v>2724</v>
      </c>
      <c r="Q102" s="44">
        <v>3001</v>
      </c>
      <c r="R102" s="44">
        <v>3246</v>
      </c>
      <c r="S102" s="44">
        <v>3575</v>
      </c>
      <c r="T102" s="44">
        <v>3946</v>
      </c>
      <c r="U102" s="44"/>
    </row>
    <row r="103" spans="2:21" ht="18" customHeight="1" x14ac:dyDescent="0.2">
      <c r="B103" s="10">
        <f>garage!B103</f>
        <v>103</v>
      </c>
      <c r="C103" s="10">
        <f>garage!C103</f>
        <v>3</v>
      </c>
      <c r="D103" s="10">
        <f>garage!D103</f>
        <v>27</v>
      </c>
      <c r="E103" s="10">
        <f>garage!E103</f>
        <v>14</v>
      </c>
      <c r="F103" s="10" t="str">
        <f>garage!F103</f>
        <v>--</v>
      </c>
      <c r="G103" s="10" t="str">
        <f>garage!G103</f>
        <v>O</v>
      </c>
      <c r="H103" s="10" t="str">
        <f>garage!H103</f>
        <v>O</v>
      </c>
      <c r="I103" s="10" t="str">
        <f>garage!I103</f>
        <v>N</v>
      </c>
      <c r="J103" s="10" t="str">
        <f>garage!J103</f>
        <v>N</v>
      </c>
      <c r="K103" s="10" t="str">
        <f>garage!K103</f>
        <v>B</v>
      </c>
      <c r="L103" s="11" t="str">
        <f>garage!L103</f>
        <v>Apex</v>
      </c>
      <c r="M103" s="11" t="str">
        <f>garage!M103</f>
        <v>AP-0</v>
      </c>
      <c r="O103" s="10">
        <v>2412</v>
      </c>
      <c r="P103" s="10">
        <v>2626</v>
      </c>
      <c r="Q103" s="10">
        <v>2926</v>
      </c>
      <c r="R103" s="10">
        <v>3189</v>
      </c>
      <c r="S103" s="10">
        <v>3575</v>
      </c>
      <c r="T103" s="10">
        <v>3946</v>
      </c>
      <c r="U103" s="10"/>
    </row>
    <row r="104" spans="2:21" ht="18" customHeight="1" x14ac:dyDescent="0.2">
      <c r="B104" s="8">
        <f>garage!B104</f>
        <v>104</v>
      </c>
      <c r="C104" s="8">
        <f>garage!C104</f>
        <v>3</v>
      </c>
      <c r="D104" s="8">
        <f>garage!D104</f>
        <v>28</v>
      </c>
      <c r="E104" s="8">
        <f>garage!E104</f>
        <v>16</v>
      </c>
      <c r="F104" s="8" t="str">
        <f>garage!F104</f>
        <v>--</v>
      </c>
      <c r="G104" s="8" t="str">
        <f>garage!G104</f>
        <v>O</v>
      </c>
      <c r="H104" s="8" t="str">
        <f>garage!H104</f>
        <v>N</v>
      </c>
      <c r="I104" s="8" t="str">
        <f>garage!I104</f>
        <v>N</v>
      </c>
      <c r="J104" s="8" t="str">
        <f>garage!J104</f>
        <v>N</v>
      </c>
      <c r="K104" s="8" t="str">
        <f>garage!K104</f>
        <v>B</v>
      </c>
      <c r="L104" s="9" t="str">
        <f>garage!L104</f>
        <v>Apollo</v>
      </c>
      <c r="M104" s="9" t="str">
        <f>garage!M104</f>
        <v>IE</v>
      </c>
      <c r="O104" s="44">
        <v>2430</v>
      </c>
      <c r="P104" s="44">
        <v>2638</v>
      </c>
      <c r="Q104" s="44">
        <v>2939</v>
      </c>
      <c r="R104" s="44">
        <v>3205</v>
      </c>
      <c r="S104" s="44">
        <v>3586</v>
      </c>
      <c r="T104" s="44">
        <v>3953</v>
      </c>
      <c r="U104" s="44"/>
    </row>
    <row r="105" spans="2:21" ht="18" customHeight="1" x14ac:dyDescent="0.2">
      <c r="B105" s="10">
        <f>garage!B105</f>
        <v>105</v>
      </c>
      <c r="C105" s="10">
        <f>garage!C105</f>
        <v>3</v>
      </c>
      <c r="D105" s="10">
        <f>garage!D105</f>
        <v>29</v>
      </c>
      <c r="E105" s="10">
        <f>garage!E105</f>
        <v>0</v>
      </c>
      <c r="F105" s="10" t="str">
        <f>garage!F105</f>
        <v>--</v>
      </c>
      <c r="G105" s="10" t="str">
        <f>garage!G105</f>
        <v>O</v>
      </c>
      <c r="H105" s="10" t="str">
        <f>garage!H105</f>
        <v>O</v>
      </c>
      <c r="I105" s="10" t="str">
        <f>garage!I105</f>
        <v>O</v>
      </c>
      <c r="J105" s="10" t="str">
        <f>garage!J105</f>
        <v>N</v>
      </c>
      <c r="K105" s="10" t="str">
        <f>garage!K105</f>
        <v>B</v>
      </c>
      <c r="L105" s="11" t="str">
        <f>garage!L105</f>
        <v>Sin</v>
      </c>
      <c r="M105" s="11" t="str">
        <f>garage!M105</f>
        <v>R1 550</v>
      </c>
      <c r="O105" s="10">
        <v>2545</v>
      </c>
      <c r="P105" s="10">
        <v>2743</v>
      </c>
      <c r="Q105" s="10">
        <v>3025</v>
      </c>
      <c r="R105" s="10">
        <v>3272</v>
      </c>
      <c r="S105" s="10">
        <v>3628</v>
      </c>
      <c r="T105" s="10">
        <v>3971</v>
      </c>
      <c r="U105" s="10"/>
    </row>
    <row r="106" spans="2:21" ht="18" customHeight="1" x14ac:dyDescent="0.2">
      <c r="B106" s="8">
        <f>garage!B106</f>
        <v>106</v>
      </c>
      <c r="C106" s="8">
        <f>garage!C106</f>
        <v>3</v>
      </c>
      <c r="D106" s="8">
        <f>garage!D106</f>
        <v>30</v>
      </c>
      <c r="E106" s="8">
        <f>garage!E106</f>
        <v>25</v>
      </c>
      <c r="F106" s="8" t="str">
        <f>garage!F106</f>
        <v>L</v>
      </c>
      <c r="G106" s="8" t="str">
        <f>garage!G106</f>
        <v>O</v>
      </c>
      <c r="H106" s="8" t="str">
        <f>garage!H106</f>
        <v>N</v>
      </c>
      <c r="I106" s="8" t="str">
        <f>garage!I106</f>
        <v>N</v>
      </c>
      <c r="J106" s="8" t="str">
        <f>garage!J106</f>
        <v>N</v>
      </c>
      <c r="K106" s="8" t="str">
        <f>garage!K106</f>
        <v>B</v>
      </c>
      <c r="L106" s="9" t="str">
        <f>garage!L106</f>
        <v>Lamborghini</v>
      </c>
      <c r="M106" s="9" t="str">
        <f>garage!M106</f>
        <v>Reventón Roadster</v>
      </c>
      <c r="O106" s="44">
        <v>2555</v>
      </c>
      <c r="P106" s="44">
        <v>2747</v>
      </c>
      <c r="Q106" s="44">
        <v>3021</v>
      </c>
      <c r="R106" s="44">
        <v>3266</v>
      </c>
      <c r="S106" s="44">
        <v>3622</v>
      </c>
      <c r="T106" s="44">
        <v>3984</v>
      </c>
      <c r="U106" s="44"/>
    </row>
    <row r="107" spans="2:21" ht="18" customHeight="1" x14ac:dyDescent="0.2">
      <c r="B107" s="10">
        <f>garage!B107</f>
        <v>107</v>
      </c>
      <c r="C107" s="10">
        <f>garage!C107</f>
        <v>3</v>
      </c>
      <c r="D107" s="10">
        <f>garage!D107</f>
        <v>31</v>
      </c>
      <c r="E107" s="10">
        <f>garage!E107</f>
        <v>15</v>
      </c>
      <c r="F107" s="10" t="str">
        <f>garage!F107</f>
        <v>F</v>
      </c>
      <c r="G107" s="10" t="str">
        <f>garage!G107</f>
        <v>O</v>
      </c>
      <c r="H107" s="10" t="str">
        <f>garage!H107</f>
        <v>O</v>
      </c>
      <c r="I107" s="10" t="str">
        <f>garage!I107</f>
        <v>N</v>
      </c>
      <c r="J107" s="10" t="str">
        <f>garage!J107</f>
        <v>N</v>
      </c>
      <c r="K107" s="10" t="str">
        <f>garage!K107</f>
        <v>B</v>
      </c>
      <c r="L107" s="11" t="str">
        <f>garage!L107</f>
        <v>Ferrari</v>
      </c>
      <c r="M107" s="11" t="str">
        <f>garage!M107</f>
        <v>Enzo Ferrari</v>
      </c>
      <c r="O107" s="10">
        <v>2574</v>
      </c>
      <c r="P107" s="10">
        <v>2769</v>
      </c>
      <c r="Q107" s="10">
        <v>3050</v>
      </c>
      <c r="R107" s="10">
        <v>3304</v>
      </c>
      <c r="S107" s="10">
        <v>3665</v>
      </c>
      <c r="T107" s="10">
        <v>4009</v>
      </c>
      <c r="U107" s="10"/>
    </row>
    <row r="108" spans="2:21" ht="18" customHeight="1" x14ac:dyDescent="0.2">
      <c r="B108" s="8">
        <f>garage!B108</f>
        <v>108</v>
      </c>
      <c r="C108" s="8">
        <f>garage!C108</f>
        <v>3</v>
      </c>
      <c r="D108" s="8">
        <f>garage!D108</f>
        <v>32</v>
      </c>
      <c r="E108" s="8">
        <f>garage!E108</f>
        <v>23</v>
      </c>
      <c r="F108" s="8" t="str">
        <f>garage!F108</f>
        <v>AM</v>
      </c>
      <c r="G108" s="8" t="str">
        <f>garage!G108</f>
        <v>O</v>
      </c>
      <c r="H108" s="8" t="str">
        <f>garage!H108</f>
        <v>N</v>
      </c>
      <c r="I108" s="8" t="str">
        <f>garage!I108</f>
        <v>N</v>
      </c>
      <c r="J108" s="8" t="str">
        <f>garage!J108</f>
        <v>N</v>
      </c>
      <c r="K108" s="8" t="str">
        <f>garage!K108</f>
        <v>B</v>
      </c>
      <c r="L108" s="9" t="str">
        <f>garage!L108</f>
        <v>Aston Martin</v>
      </c>
      <c r="M108" s="9" t="str">
        <f>garage!M108</f>
        <v>One77</v>
      </c>
      <c r="O108" s="44">
        <v>2584</v>
      </c>
      <c r="P108" s="44">
        <v>2777</v>
      </c>
      <c r="Q108" s="44">
        <v>3059</v>
      </c>
      <c r="R108" s="44">
        <v>3312</v>
      </c>
      <c r="S108" s="44">
        <v>3671</v>
      </c>
      <c r="T108" s="44">
        <v>4022</v>
      </c>
      <c r="U108" s="44"/>
    </row>
    <row r="109" spans="2:21" ht="18" customHeight="1" x14ac:dyDescent="0.2">
      <c r="B109" s="10">
        <f>garage!B109</f>
        <v>109</v>
      </c>
      <c r="C109" s="10">
        <f>garage!C109</f>
        <v>3</v>
      </c>
      <c r="D109" s="10">
        <f>garage!D109</f>
        <v>33</v>
      </c>
      <c r="E109" s="10">
        <f>garage!E109</f>
        <v>0</v>
      </c>
      <c r="F109" s="10" t="str">
        <f>garage!F109</f>
        <v>--</v>
      </c>
      <c r="G109" s="10" t="str">
        <f>garage!G109</f>
        <v>O</v>
      </c>
      <c r="H109" s="10" t="str">
        <f>garage!H109</f>
        <v>O</v>
      </c>
      <c r="I109" s="10" t="str">
        <f>garage!I109</f>
        <v>O</v>
      </c>
      <c r="J109" s="10" t="str">
        <f>garage!J109</f>
        <v>N</v>
      </c>
      <c r="K109" s="10" t="str">
        <f>garage!K109</f>
        <v>B</v>
      </c>
      <c r="L109" s="11" t="str">
        <f>garage!L109</f>
        <v>Apollo</v>
      </c>
      <c r="M109" s="11" t="str">
        <f>garage!M109</f>
        <v>N</v>
      </c>
      <c r="O109" s="10">
        <v>2603</v>
      </c>
      <c r="P109" s="10">
        <v>2798</v>
      </c>
      <c r="Q109" s="10">
        <v>3078</v>
      </c>
      <c r="R109" s="10">
        <v>3328</v>
      </c>
      <c r="S109" s="10">
        <v>3690</v>
      </c>
      <c r="T109" s="10">
        <v>4047</v>
      </c>
      <c r="U109" s="10"/>
    </row>
    <row r="110" spans="2:21" ht="18" customHeight="1" x14ac:dyDescent="0.2">
      <c r="B110" s="8">
        <f>garage!B110</f>
        <v>110</v>
      </c>
      <c r="C110" s="8">
        <f>garage!C110</f>
        <v>3</v>
      </c>
      <c r="D110" s="8">
        <f>garage!D110</f>
        <v>34</v>
      </c>
      <c r="E110" s="8">
        <f>garage!E110</f>
        <v>0</v>
      </c>
      <c r="F110" s="8" t="str">
        <f>garage!F110</f>
        <v>--</v>
      </c>
      <c r="G110" s="8" t="str">
        <f>garage!G110</f>
        <v>O</v>
      </c>
      <c r="H110" s="8" t="str">
        <f>garage!H110</f>
        <v>O</v>
      </c>
      <c r="I110" s="8" t="str">
        <f>garage!I110</f>
        <v>N</v>
      </c>
      <c r="J110" s="8" t="str">
        <f>garage!J110</f>
        <v>N</v>
      </c>
      <c r="K110" s="8" t="str">
        <f>garage!K110</f>
        <v>B</v>
      </c>
      <c r="L110" s="9" t="str">
        <f>garage!L110</f>
        <v>Mercedes-Benz</v>
      </c>
      <c r="M110" s="9" t="str">
        <f>garage!M110</f>
        <v>SLR McLaren</v>
      </c>
      <c r="O110" s="44">
        <v>2097</v>
      </c>
      <c r="P110" s="44">
        <v>2364</v>
      </c>
      <c r="Q110" s="44">
        <v>2747</v>
      </c>
      <c r="R110" s="44">
        <v>3089</v>
      </c>
      <c r="S110" s="44">
        <v>3585</v>
      </c>
      <c r="T110" s="44">
        <v>4058</v>
      </c>
      <c r="U110" s="44"/>
    </row>
    <row r="111" spans="2:21" ht="18" customHeight="1" x14ac:dyDescent="0.2">
      <c r="B111" s="10">
        <f>garage!B111</f>
        <v>111</v>
      </c>
      <c r="C111" s="10">
        <f>garage!C111</f>
        <v>3</v>
      </c>
      <c r="D111" s="10">
        <f>garage!D111</f>
        <v>35</v>
      </c>
      <c r="E111" s="10">
        <f>garage!E111</f>
        <v>8</v>
      </c>
      <c r="F111" s="10" t="str">
        <f>garage!F111</f>
        <v>AM</v>
      </c>
      <c r="G111" s="10" t="str">
        <f>garage!G111</f>
        <v>O</v>
      </c>
      <c r="H111" s="10" t="str">
        <f>garage!H111</f>
        <v>O</v>
      </c>
      <c r="I111" s="10" t="str">
        <f>garage!I111</f>
        <v>O</v>
      </c>
      <c r="J111" s="10" t="str">
        <f>garage!J111</f>
        <v>N</v>
      </c>
      <c r="K111" s="10" t="str">
        <f>garage!K111</f>
        <v>B</v>
      </c>
      <c r="L111" s="11" t="str">
        <f>garage!L111</f>
        <v>Aston Martin</v>
      </c>
      <c r="M111" s="11" t="str">
        <f>garage!M111</f>
        <v>DBS Superleggera</v>
      </c>
      <c r="O111" s="10">
        <v>2412</v>
      </c>
      <c r="P111" s="10">
        <v>2638</v>
      </c>
      <c r="Q111" s="10">
        <v>2963</v>
      </c>
      <c r="R111" s="10">
        <v>3251</v>
      </c>
      <c r="S111" s="10">
        <v>3666</v>
      </c>
      <c r="T111" s="10">
        <v>4059</v>
      </c>
      <c r="U111" s="10"/>
    </row>
    <row r="112" spans="2:21" ht="18" customHeight="1" x14ac:dyDescent="0.2">
      <c r="B112" s="8">
        <f>garage!B112</f>
        <v>112</v>
      </c>
      <c r="C112" s="8">
        <f>garage!C112</f>
        <v>3</v>
      </c>
      <c r="D112" s="8">
        <f>garage!D112</f>
        <v>36</v>
      </c>
      <c r="E112" s="8">
        <f>garage!E112</f>
        <v>18</v>
      </c>
      <c r="F112" s="8" t="str">
        <f>garage!F112</f>
        <v>L</v>
      </c>
      <c r="G112" s="8" t="str">
        <f>garage!G112</f>
        <v>O</v>
      </c>
      <c r="H112" s="8" t="str">
        <f>garage!H112</f>
        <v>N</v>
      </c>
      <c r="I112" s="8" t="str">
        <f>garage!I112</f>
        <v>N</v>
      </c>
      <c r="J112" s="8" t="str">
        <f>garage!J112</f>
        <v>N</v>
      </c>
      <c r="K112" s="8" t="str">
        <f>garage!K112</f>
        <v>B</v>
      </c>
      <c r="L112" s="9" t="str">
        <f>garage!L112</f>
        <v>Lamborghini</v>
      </c>
      <c r="M112" s="9" t="str">
        <f>garage!M112</f>
        <v>Essenza SCV12</v>
      </c>
      <c r="O112" s="44">
        <v>2506</v>
      </c>
      <c r="P112" s="44">
        <v>2719</v>
      </c>
      <c r="Q112" s="44">
        <v>3025</v>
      </c>
      <c r="R112" s="44">
        <v>3294</v>
      </c>
      <c r="S112" s="44">
        <v>3687</v>
      </c>
      <c r="T112" s="44">
        <v>4061</v>
      </c>
      <c r="U112" s="44"/>
    </row>
    <row r="113" spans="2:21" ht="18" customHeight="1" x14ac:dyDescent="0.2">
      <c r="B113" s="10">
        <f>garage!B113</f>
        <v>113</v>
      </c>
      <c r="C113" s="10">
        <f>garage!C113</f>
        <v>3</v>
      </c>
      <c r="D113" s="10">
        <f>garage!D113</f>
        <v>37</v>
      </c>
      <c r="E113" s="10">
        <f>garage!E113</f>
        <v>29</v>
      </c>
      <c r="F113" s="10" t="str">
        <f>garage!F113</f>
        <v>M</v>
      </c>
      <c r="G113" s="10" t="str">
        <f>garage!G113</f>
        <v>N</v>
      </c>
      <c r="H113" s="10" t="str">
        <f>garage!H113</f>
        <v>N</v>
      </c>
      <c r="I113" s="10" t="str">
        <f>garage!I113</f>
        <v>N</v>
      </c>
      <c r="J113" s="10" t="str">
        <f>garage!J113</f>
        <v>N</v>
      </c>
      <c r="K113" s="10" t="str">
        <f>garage!K113</f>
        <v>B</v>
      </c>
      <c r="L113" s="11" t="str">
        <f>garage!L113</f>
        <v>McLaren</v>
      </c>
      <c r="M113" s="11" t="str">
        <f>garage!M113</f>
        <v>600LT Spider</v>
      </c>
      <c r="O113" s="10">
        <v>2393</v>
      </c>
      <c r="P113" s="10">
        <v>2624</v>
      </c>
      <c r="Q113" s="10"/>
      <c r="R113" s="10"/>
      <c r="S113" s="10"/>
      <c r="T113" s="10"/>
      <c r="U113" s="10"/>
    </row>
    <row r="114" spans="2:21" ht="18" customHeight="1" x14ac:dyDescent="0.2">
      <c r="B114" s="10">
        <f>garage!B114</f>
        <v>114</v>
      </c>
      <c r="C114" s="10">
        <f>garage!C114</f>
        <v>3</v>
      </c>
      <c r="D114" s="10">
        <f>garage!D114</f>
        <v>38</v>
      </c>
      <c r="E114" s="10">
        <f>garage!E114</f>
        <v>32</v>
      </c>
      <c r="F114" s="10" t="str">
        <f>garage!F114</f>
        <v>--</v>
      </c>
      <c r="G114" s="10" t="str">
        <f>garage!G114</f>
        <v>N</v>
      </c>
      <c r="H114" s="10" t="str">
        <f>garage!H114</f>
        <v>N</v>
      </c>
      <c r="I114" s="10" t="str">
        <f>garage!I114</f>
        <v>N</v>
      </c>
      <c r="J114" s="10" t="str">
        <f>garage!J114</f>
        <v>N</v>
      </c>
      <c r="K114" s="10" t="str">
        <f>garage!K114</f>
        <v>B</v>
      </c>
      <c r="L114" s="11" t="str">
        <f>garage!L114</f>
        <v>McLaren</v>
      </c>
      <c r="M114" s="11" t="str">
        <f>garage!M114</f>
        <v>Solus GT</v>
      </c>
      <c r="O114" s="10">
        <v>2506</v>
      </c>
      <c r="P114" s="10">
        <v>2719</v>
      </c>
      <c r="Q114" s="10">
        <v>3025</v>
      </c>
      <c r="R114" s="10">
        <v>3296</v>
      </c>
      <c r="S114" s="10">
        <v>3692</v>
      </c>
      <c r="T114" s="10">
        <v>3936</v>
      </c>
      <c r="U114" s="10">
        <v>4076</v>
      </c>
    </row>
    <row r="115" spans="2:21" ht="18" customHeight="1" x14ac:dyDescent="0.2">
      <c r="B115" s="8">
        <f>garage!B115</f>
        <v>115</v>
      </c>
      <c r="C115" s="8">
        <f>garage!C115</f>
        <v>3</v>
      </c>
      <c r="D115" s="8">
        <f>garage!D115</f>
        <v>39</v>
      </c>
      <c r="E115" s="8">
        <f>garage!E115</f>
        <v>24</v>
      </c>
      <c r="F115" s="8" t="str">
        <f>garage!F115</f>
        <v>--</v>
      </c>
      <c r="G115" s="8" t="str">
        <f>garage!G115</f>
        <v>O</v>
      </c>
      <c r="H115" s="8" t="str">
        <f>garage!H115</f>
        <v>N</v>
      </c>
      <c r="I115" s="8" t="str">
        <f>garage!I115</f>
        <v>N</v>
      </c>
      <c r="J115" s="8" t="str">
        <f>garage!J115</f>
        <v>N</v>
      </c>
      <c r="K115" s="8" t="str">
        <f>garage!K115</f>
        <v>B</v>
      </c>
      <c r="L115" s="9" t="str">
        <f>garage!L115</f>
        <v>Puritalia</v>
      </c>
      <c r="M115" s="9" t="str">
        <f>garage!M115</f>
        <v>Berlinetta</v>
      </c>
      <c r="O115" s="44">
        <v>2603</v>
      </c>
      <c r="P115" s="44">
        <v>2803</v>
      </c>
      <c r="Q115" s="44">
        <v>3090</v>
      </c>
      <c r="R115" s="44">
        <v>3347</v>
      </c>
      <c r="S115" s="44">
        <v>3721</v>
      </c>
      <c r="T115" s="44">
        <v>4076</v>
      </c>
      <c r="U115" s="44"/>
    </row>
    <row r="116" spans="2:21" ht="18" customHeight="1" x14ac:dyDescent="0.2">
      <c r="B116" s="10">
        <f>garage!B116</f>
        <v>116</v>
      </c>
      <c r="C116" s="10">
        <f>garage!C116</f>
        <v>3</v>
      </c>
      <c r="D116" s="10">
        <f>garage!D116</f>
        <v>40</v>
      </c>
      <c r="E116" s="10">
        <f>garage!E116</f>
        <v>0</v>
      </c>
      <c r="F116" s="10" t="str">
        <f>garage!F116</f>
        <v>L</v>
      </c>
      <c r="G116" s="10" t="str">
        <f>garage!G116</f>
        <v>O</v>
      </c>
      <c r="H116" s="10" t="str">
        <f>garage!H116</f>
        <v>O</v>
      </c>
      <c r="I116" s="10" t="str">
        <f>garage!I116</f>
        <v>O</v>
      </c>
      <c r="J116" s="10" t="str">
        <f>garage!J116</f>
        <v>N</v>
      </c>
      <c r="K116" s="10" t="str">
        <f>garage!K116</f>
        <v>B</v>
      </c>
      <c r="L116" s="11" t="str">
        <f>garage!L116</f>
        <v>Lamborghini</v>
      </c>
      <c r="M116" s="11" t="str">
        <f>garage!M116</f>
        <v>Huracán Evo Spyder</v>
      </c>
      <c r="O116" s="10">
        <v>2004</v>
      </c>
      <c r="P116" s="10">
        <v>2291</v>
      </c>
      <c r="Q116" s="10">
        <v>2706</v>
      </c>
      <c r="R116" s="10">
        <v>3075</v>
      </c>
      <c r="S116" s="10">
        <v>3604</v>
      </c>
      <c r="T116" s="10">
        <v>4109</v>
      </c>
      <c r="U116" s="10"/>
    </row>
    <row r="117" spans="2:21" ht="18" customHeight="1" x14ac:dyDescent="0.2">
      <c r="B117" s="8">
        <f>garage!B117</f>
        <v>117</v>
      </c>
      <c r="C117" s="8">
        <f>garage!C117</f>
        <v>3</v>
      </c>
      <c r="D117" s="8">
        <f>garage!D117</f>
        <v>41</v>
      </c>
      <c r="E117" s="8">
        <f>garage!E117</f>
        <v>11</v>
      </c>
      <c r="F117" s="8" t="str">
        <f>garage!F117</f>
        <v>P</v>
      </c>
      <c r="G117" s="8" t="str">
        <f>garage!G117</f>
        <v>O</v>
      </c>
      <c r="H117" s="8" t="str">
        <f>garage!H117</f>
        <v>N</v>
      </c>
      <c r="I117" s="8" t="str">
        <f>garage!I117</f>
        <v>N</v>
      </c>
      <c r="J117" s="8" t="str">
        <f>garage!J117</f>
        <v>N</v>
      </c>
      <c r="K117" s="8" t="str">
        <f>garage!K117</f>
        <v>B</v>
      </c>
      <c r="L117" s="9" t="str">
        <f>garage!L117</f>
        <v>Porsche</v>
      </c>
      <c r="M117" s="9" t="str">
        <f>garage!M117</f>
        <v>Carrera GT</v>
      </c>
      <c r="O117" s="44">
        <v>2506</v>
      </c>
      <c r="P117" s="44">
        <v>2728</v>
      </c>
      <c r="Q117" s="44">
        <v>3045</v>
      </c>
      <c r="R117" s="44">
        <v>3327</v>
      </c>
      <c r="S117" s="44">
        <v>3735</v>
      </c>
      <c r="T117" s="44">
        <v>4126</v>
      </c>
      <c r="U117" s="44"/>
    </row>
    <row r="118" spans="2:21" ht="18" customHeight="1" x14ac:dyDescent="0.2">
      <c r="B118" s="10">
        <f>garage!B118</f>
        <v>118</v>
      </c>
      <c r="C118" s="10">
        <f>garage!C118</f>
        <v>3</v>
      </c>
      <c r="D118" s="10">
        <f>garage!D118</f>
        <v>42</v>
      </c>
      <c r="E118" s="10">
        <f>garage!E118</f>
        <v>22</v>
      </c>
      <c r="F118" s="10" t="str">
        <f>garage!F118</f>
        <v>--</v>
      </c>
      <c r="G118" s="10" t="str">
        <f>garage!G118</f>
        <v>O</v>
      </c>
      <c r="H118" s="10" t="str">
        <f>garage!H118</f>
        <v>N</v>
      </c>
      <c r="I118" s="10" t="str">
        <f>garage!I118</f>
        <v>N</v>
      </c>
      <c r="J118" s="10" t="str">
        <f>garage!J118</f>
        <v>N</v>
      </c>
      <c r="K118" s="10" t="str">
        <f>garage!K118</f>
        <v>B</v>
      </c>
      <c r="L118" s="11" t="str">
        <f>garage!L118</f>
        <v>Nissan</v>
      </c>
      <c r="M118" s="11" t="str">
        <f>garage!M118</f>
        <v>GTR-50 Italdesign</v>
      </c>
      <c r="O118" s="10">
        <v>2089</v>
      </c>
      <c r="P118" s="10">
        <v>2372</v>
      </c>
      <c r="Q118" s="10">
        <v>2775</v>
      </c>
      <c r="R118" s="10">
        <v>3136</v>
      </c>
      <c r="S118" s="10">
        <v>3652</v>
      </c>
      <c r="T118" s="10">
        <v>4153</v>
      </c>
      <c r="U118" s="10"/>
    </row>
    <row r="119" spans="2:21" ht="18" customHeight="1" x14ac:dyDescent="0.2">
      <c r="B119" s="8">
        <f>garage!B119</f>
        <v>119</v>
      </c>
      <c r="C119" s="8">
        <f>garage!C119</f>
        <v>3</v>
      </c>
      <c r="D119" s="8">
        <f>garage!D119</f>
        <v>43</v>
      </c>
      <c r="E119" s="8">
        <f>garage!E119</f>
        <v>19</v>
      </c>
      <c r="F119" s="8" t="str">
        <f>garage!F119</f>
        <v>--</v>
      </c>
      <c r="G119" s="8" t="str">
        <f>garage!G119</f>
        <v>N</v>
      </c>
      <c r="H119" s="8" t="str">
        <f>garage!H119</f>
        <v>N</v>
      </c>
      <c r="I119" s="8" t="str">
        <f>garage!I119</f>
        <v>N</v>
      </c>
      <c r="J119" s="8" t="str">
        <f>garage!J119</f>
        <v>O</v>
      </c>
      <c r="K119" s="8" t="str">
        <f>garage!K119</f>
        <v>B</v>
      </c>
      <c r="L119" s="9" t="str">
        <f>garage!L119</f>
        <v>Zenvo</v>
      </c>
      <c r="M119" s="9" t="str">
        <f>garage!M119</f>
        <v>TSR-S</v>
      </c>
      <c r="O119" s="44">
        <v>2021</v>
      </c>
      <c r="P119" s="44">
        <v>2316</v>
      </c>
      <c r="Q119" s="44">
        <v>2734</v>
      </c>
      <c r="R119" s="44">
        <v>3105</v>
      </c>
      <c r="S119" s="44">
        <v>3648</v>
      </c>
      <c r="T119" s="44">
        <v>4171</v>
      </c>
      <c r="U119" s="44"/>
    </row>
    <row r="120" spans="2:21" ht="18" customHeight="1" x14ac:dyDescent="0.2">
      <c r="B120" s="10">
        <f>garage!B120</f>
        <v>120</v>
      </c>
      <c r="C120" s="10">
        <f>garage!C120</f>
        <v>3</v>
      </c>
      <c r="D120" s="10">
        <f>garage!D120</f>
        <v>44</v>
      </c>
      <c r="E120" s="10">
        <f>garage!E120</f>
        <v>25</v>
      </c>
      <c r="F120" s="10" t="str">
        <f>garage!F120</f>
        <v>L</v>
      </c>
      <c r="G120" s="10" t="str">
        <f>garage!G120</f>
        <v>N</v>
      </c>
      <c r="H120" s="10" t="str">
        <f>garage!H120</f>
        <v>N</v>
      </c>
      <c r="I120" s="10" t="str">
        <f>garage!I120</f>
        <v>N</v>
      </c>
      <c r="J120" s="10" t="str">
        <f>garage!J120</f>
        <v>N</v>
      </c>
      <c r="K120" s="10" t="str">
        <f>garage!K120</f>
        <v>B</v>
      </c>
      <c r="L120" s="11" t="str">
        <f>garage!L120</f>
        <v>Lamborghini</v>
      </c>
      <c r="M120" s="11" t="str">
        <f>garage!M120</f>
        <v>Sesto Elemento</v>
      </c>
      <c r="O120" s="10">
        <v>2029</v>
      </c>
      <c r="P120" s="10">
        <v>2295</v>
      </c>
      <c r="Q120" s="10">
        <v>2605</v>
      </c>
      <c r="R120" s="10">
        <v>2917</v>
      </c>
      <c r="S120" s="10">
        <v>3343</v>
      </c>
      <c r="T120" s="10">
        <v>3833</v>
      </c>
      <c r="U120" s="10">
        <v>4183</v>
      </c>
    </row>
    <row r="121" spans="2:21" ht="18" customHeight="1" x14ac:dyDescent="0.2">
      <c r="B121" s="8">
        <f>garage!B121</f>
        <v>121</v>
      </c>
      <c r="C121" s="8">
        <f>garage!C121</f>
        <v>3</v>
      </c>
      <c r="D121" s="8">
        <f>garage!D121</f>
        <v>45</v>
      </c>
      <c r="E121" s="8">
        <f>garage!E121</f>
        <v>7</v>
      </c>
      <c r="F121" s="8" t="str">
        <f>garage!F121</f>
        <v>P</v>
      </c>
      <c r="G121" s="8" t="str">
        <f>garage!G121</f>
        <v>O</v>
      </c>
      <c r="H121" s="8" t="str">
        <f>garage!H121</f>
        <v>N</v>
      </c>
      <c r="I121" s="8" t="str">
        <f>garage!I121</f>
        <v>N</v>
      </c>
      <c r="J121" s="8" t="str">
        <f>garage!J121</f>
        <v>N</v>
      </c>
      <c r="K121" s="8" t="str">
        <f>garage!K121</f>
        <v>B</v>
      </c>
      <c r="L121" s="9" t="str">
        <f>garage!L121</f>
        <v>Porsche</v>
      </c>
      <c r="M121" s="9" t="str">
        <f>garage!M121</f>
        <v>911 GT3 RS</v>
      </c>
      <c r="O121" s="44">
        <v>1809</v>
      </c>
      <c r="P121" s="44">
        <v>2109</v>
      </c>
      <c r="Q121" s="44">
        <v>2458</v>
      </c>
      <c r="R121" s="44">
        <v>2806</v>
      </c>
      <c r="S121" s="44">
        <v>3285</v>
      </c>
      <c r="T121" s="44">
        <v>3824</v>
      </c>
      <c r="U121" s="44">
        <v>4211</v>
      </c>
    </row>
    <row r="122" spans="2:21" ht="18" customHeight="1" x14ac:dyDescent="0.2">
      <c r="B122" s="10">
        <f>garage!B122</f>
        <v>122</v>
      </c>
      <c r="C122" s="10">
        <f>garage!C122</f>
        <v>3</v>
      </c>
      <c r="D122" s="10">
        <f>garage!D122</f>
        <v>46</v>
      </c>
      <c r="E122" s="10">
        <f>garage!E122</f>
        <v>15</v>
      </c>
      <c r="F122" s="10" t="str">
        <f>garage!F122</f>
        <v>F</v>
      </c>
      <c r="G122" s="10" t="str">
        <f>garage!G122</f>
        <v>N</v>
      </c>
      <c r="H122" s="10" t="str">
        <f>garage!H122</f>
        <v>N</v>
      </c>
      <c r="I122" s="10" t="str">
        <f>garage!I122</f>
        <v>N</v>
      </c>
      <c r="J122" s="10" t="str">
        <f>garage!J122</f>
        <v>O</v>
      </c>
      <c r="K122" s="10" t="str">
        <f>garage!K122</f>
        <v>B</v>
      </c>
      <c r="L122" s="11" t="str">
        <f>garage!L122</f>
        <v>Ferrari</v>
      </c>
      <c r="M122" s="11" t="str">
        <f>garage!M122</f>
        <v>488 GTB Challenge EVO</v>
      </c>
      <c r="O122" s="10">
        <v>2141</v>
      </c>
      <c r="P122" s="10">
        <v>2403</v>
      </c>
      <c r="Q122" s="10">
        <v>2703</v>
      </c>
      <c r="R122" s="10">
        <v>3009</v>
      </c>
      <c r="S122" s="10">
        <v>3427</v>
      </c>
      <c r="T122" s="10">
        <v>3908</v>
      </c>
      <c r="U122" s="10">
        <v>4255</v>
      </c>
    </row>
    <row r="123" spans="2:21" ht="18" customHeight="1" x14ac:dyDescent="0.2">
      <c r="B123" s="8">
        <f>garage!B123</f>
        <v>123</v>
      </c>
      <c r="C123" s="8">
        <f>garage!C123</f>
        <v>3</v>
      </c>
      <c r="D123" s="8">
        <f>garage!D123</f>
        <v>47</v>
      </c>
      <c r="E123" s="8">
        <f>garage!E123</f>
        <v>31</v>
      </c>
      <c r="F123" s="8" t="str">
        <f>garage!F123</f>
        <v>--</v>
      </c>
      <c r="G123" s="8" t="str">
        <f>garage!G123</f>
        <v>N</v>
      </c>
      <c r="H123" s="8" t="str">
        <f>garage!H123</f>
        <v>N</v>
      </c>
      <c r="I123" s="8" t="str">
        <f>garage!I123</f>
        <v>N</v>
      </c>
      <c r="J123" s="8" t="str">
        <f>garage!J123</f>
        <v>N</v>
      </c>
      <c r="K123" s="8" t="str">
        <f>garage!K123</f>
        <v>B</v>
      </c>
      <c r="L123" s="9" t="str">
        <f>garage!L123</f>
        <v>Apollo</v>
      </c>
      <c r="M123" s="9" t="str">
        <f>garage!M123</f>
        <v>EVO</v>
      </c>
      <c r="O123" s="44">
        <v>2319</v>
      </c>
      <c r="P123" s="44">
        <v>2557</v>
      </c>
      <c r="Q123" s="44">
        <v>2831</v>
      </c>
      <c r="R123" s="44">
        <v>3111</v>
      </c>
      <c r="S123" s="44">
        <v>3493</v>
      </c>
      <c r="T123" s="44">
        <v>3941</v>
      </c>
      <c r="U123" s="44">
        <v>4265</v>
      </c>
    </row>
    <row r="124" spans="2:21" ht="18" customHeight="1" x14ac:dyDescent="0.2">
      <c r="B124" s="10">
        <f>garage!B124</f>
        <v>124</v>
      </c>
      <c r="C124" s="10">
        <f>garage!C124</f>
        <v>3</v>
      </c>
      <c r="D124" s="10">
        <f>garage!D124</f>
        <v>48</v>
      </c>
      <c r="E124" s="10">
        <f>garage!E124</f>
        <v>10</v>
      </c>
      <c r="F124" s="10" t="str">
        <f>garage!F124</f>
        <v>--</v>
      </c>
      <c r="G124" s="10" t="str">
        <f>garage!G124</f>
        <v>O</v>
      </c>
      <c r="H124" s="10" t="str">
        <f>garage!H124</f>
        <v>N</v>
      </c>
      <c r="I124" s="10" t="str">
        <f>garage!I124</f>
        <v>N</v>
      </c>
      <c r="J124" s="10" t="str">
        <f>garage!J124</f>
        <v>N</v>
      </c>
      <c r="K124" s="10" t="str">
        <f>garage!K124</f>
        <v>B</v>
      </c>
      <c r="L124" s="11" t="str">
        <f>garage!L124</f>
        <v>Lotus</v>
      </c>
      <c r="M124" s="11" t="str">
        <f>garage!M124</f>
        <v>Evija</v>
      </c>
      <c r="O124" s="10">
        <v>2229</v>
      </c>
      <c r="P124" s="10">
        <v>2484</v>
      </c>
      <c r="Q124" s="10">
        <v>2778</v>
      </c>
      <c r="R124" s="10">
        <v>3075</v>
      </c>
      <c r="S124" s="10">
        <v>3482</v>
      </c>
      <c r="T124" s="10">
        <v>3944</v>
      </c>
      <c r="U124" s="10">
        <v>4276</v>
      </c>
    </row>
    <row r="125" spans="2:21" ht="18" customHeight="1" x14ac:dyDescent="0.2">
      <c r="B125" s="8">
        <f>garage!B125</f>
        <v>125</v>
      </c>
      <c r="C125" s="8">
        <f>garage!C125</f>
        <v>3</v>
      </c>
      <c r="D125" s="8">
        <f>garage!D125</f>
        <v>49</v>
      </c>
      <c r="E125" s="8">
        <f>garage!E125</f>
        <v>0</v>
      </c>
      <c r="F125" s="8" t="str">
        <f>garage!F125</f>
        <v>M</v>
      </c>
      <c r="G125" s="8" t="str">
        <f>garage!G125</f>
        <v>O</v>
      </c>
      <c r="H125" s="8" t="str">
        <f>garage!H125</f>
        <v>O</v>
      </c>
      <c r="I125" s="8" t="str">
        <f>garage!I125</f>
        <v>N</v>
      </c>
      <c r="J125" s="8" t="str">
        <f>garage!J125</f>
        <v>N</v>
      </c>
      <c r="K125" s="8" t="str">
        <f>garage!K125</f>
        <v>B</v>
      </c>
      <c r="L125" s="9" t="str">
        <f>garage!L125</f>
        <v>McLaren</v>
      </c>
      <c r="M125" s="9" t="str">
        <f>garage!M125</f>
        <v>F1 LM</v>
      </c>
      <c r="O125" s="44">
        <v>2319</v>
      </c>
      <c r="P125" s="44">
        <v>2563</v>
      </c>
      <c r="Q125" s="44">
        <v>2846</v>
      </c>
      <c r="R125" s="44">
        <v>3133</v>
      </c>
      <c r="S125" s="44">
        <v>3526</v>
      </c>
      <c r="T125" s="44">
        <v>3982</v>
      </c>
      <c r="U125" s="44">
        <v>4309</v>
      </c>
    </row>
    <row r="126" spans="2:21" ht="18" customHeight="1" x14ac:dyDescent="0.2">
      <c r="B126" s="10">
        <f>garage!B126</f>
        <v>126</v>
      </c>
      <c r="C126" s="10">
        <f>garage!C126</f>
        <v>3</v>
      </c>
      <c r="D126" s="10">
        <f>garage!D126</f>
        <v>50</v>
      </c>
      <c r="E126" s="10">
        <f>garage!E126</f>
        <v>19</v>
      </c>
      <c r="F126" s="10" t="str">
        <f>garage!F126</f>
        <v>--</v>
      </c>
      <c r="G126" s="10" t="str">
        <f>garage!G126</f>
        <v>O</v>
      </c>
      <c r="H126" s="10" t="str">
        <f>garage!H126</f>
        <v>O</v>
      </c>
      <c r="I126" s="10" t="str">
        <f>garage!I126</f>
        <v>O</v>
      </c>
      <c r="J126" s="10" t="str">
        <f>garage!J126</f>
        <v>N</v>
      </c>
      <c r="K126" s="10" t="str">
        <f>garage!K126</f>
        <v>B</v>
      </c>
      <c r="L126" s="11" t="str">
        <f>garage!L126</f>
        <v>Volkswagen</v>
      </c>
      <c r="M126" s="11" t="str">
        <f>garage!M126</f>
        <v>W12 Coupe</v>
      </c>
      <c r="O126" s="10">
        <v>2337</v>
      </c>
      <c r="P126" s="10">
        <v>2576</v>
      </c>
      <c r="Q126" s="10">
        <v>2853</v>
      </c>
      <c r="R126" s="10">
        <v>3145</v>
      </c>
      <c r="S126" s="10">
        <v>3532</v>
      </c>
      <c r="T126" s="10">
        <v>4005</v>
      </c>
      <c r="U126" s="10">
        <v>4348</v>
      </c>
    </row>
    <row r="127" spans="2:21" ht="18" customHeight="1" x14ac:dyDescent="0.2">
      <c r="B127" s="8">
        <f>garage!B127</f>
        <v>127</v>
      </c>
      <c r="C127" s="8">
        <f>garage!C127</f>
        <v>3</v>
      </c>
      <c r="D127" s="8">
        <f>garage!D127</f>
        <v>51</v>
      </c>
      <c r="E127" s="8">
        <f>garage!E127</f>
        <v>26</v>
      </c>
      <c r="F127" s="8" t="str">
        <f>garage!F127</f>
        <v>--</v>
      </c>
      <c r="G127" s="8" t="str">
        <f>garage!G127</f>
        <v>N</v>
      </c>
      <c r="H127" s="8" t="str">
        <f>garage!H127</f>
        <v>N</v>
      </c>
      <c r="I127" s="8" t="str">
        <f>garage!I127</f>
        <v>N</v>
      </c>
      <c r="J127" s="8" t="str">
        <f>garage!J127</f>
        <v>N</v>
      </c>
      <c r="K127" s="8" t="str">
        <f>garage!K127</f>
        <v>B</v>
      </c>
      <c r="L127" s="9" t="str">
        <f>garage!L127</f>
        <v>Pagani</v>
      </c>
      <c r="M127" s="9" t="str">
        <f>garage!M127</f>
        <v>Huayra R</v>
      </c>
      <c r="O127" s="44">
        <v>2356</v>
      </c>
      <c r="P127" s="44">
        <v>2600</v>
      </c>
      <c r="Q127" s="44">
        <v>2883</v>
      </c>
      <c r="R127" s="44">
        <v>3173</v>
      </c>
      <c r="S127" s="44">
        <v>3566</v>
      </c>
      <c r="T127" s="44">
        <v>4030</v>
      </c>
      <c r="U127" s="44">
        <v>4363</v>
      </c>
    </row>
    <row r="128" spans="2:21" ht="18" customHeight="1" x14ac:dyDescent="0.2">
      <c r="B128" s="10">
        <f>garage!B128</f>
        <v>128</v>
      </c>
      <c r="C128" s="10">
        <f>garage!C128</f>
        <v>3</v>
      </c>
      <c r="D128" s="10">
        <f>garage!D128</f>
        <v>52</v>
      </c>
      <c r="E128" s="10">
        <f>garage!E128</f>
        <v>30</v>
      </c>
      <c r="F128" s="10" t="str">
        <f>garage!F128</f>
        <v>L</v>
      </c>
      <c r="G128" s="10" t="str">
        <f>garage!G128</f>
        <v>O</v>
      </c>
      <c r="H128" s="10" t="str">
        <f>garage!H128</f>
        <v>N</v>
      </c>
      <c r="I128" s="10" t="str">
        <f>garage!I128</f>
        <v>N</v>
      </c>
      <c r="J128" s="10" t="str">
        <f>garage!J128</f>
        <v>N</v>
      </c>
      <c r="K128" s="10" t="str">
        <f>garage!K128</f>
        <v>B</v>
      </c>
      <c r="L128" s="11" t="str">
        <f>garage!L128</f>
        <v>Lamborghini</v>
      </c>
      <c r="M128" s="11" t="str">
        <f>garage!M128</f>
        <v>Revuelto</v>
      </c>
      <c r="O128" s="10">
        <v>2453</v>
      </c>
      <c r="P128" s="10">
        <v>2609</v>
      </c>
      <c r="Q128" s="10">
        <v>2888</v>
      </c>
      <c r="R128" s="10"/>
      <c r="S128" s="10"/>
      <c r="T128" s="10"/>
      <c r="U128" s="10"/>
    </row>
    <row r="129" spans="2:21" ht="18" customHeight="1" x14ac:dyDescent="0.2">
      <c r="B129" s="8">
        <f>garage!B129</f>
        <v>129</v>
      </c>
      <c r="C129" s="8">
        <f>garage!C129</f>
        <v>4</v>
      </c>
      <c r="D129" s="8">
        <f>garage!D129</f>
        <v>1</v>
      </c>
      <c r="E129" s="8">
        <f>garage!E129</f>
        <v>0</v>
      </c>
      <c r="F129" s="8" t="str">
        <f>garage!F129</f>
        <v>AM</v>
      </c>
      <c r="G129" s="8" t="str">
        <f>garage!G129</f>
        <v>O</v>
      </c>
      <c r="H129" s="8" t="str">
        <f>garage!H129</f>
        <v>O</v>
      </c>
      <c r="I129" s="8" t="str">
        <f>garage!I129</f>
        <v>O</v>
      </c>
      <c r="J129" s="8" t="str">
        <f>garage!J129</f>
        <v>N</v>
      </c>
      <c r="K129" s="8" t="str">
        <f>garage!K129</f>
        <v>A</v>
      </c>
      <c r="L129" s="9" t="str">
        <f>garage!L129</f>
        <v>Aston Martin</v>
      </c>
      <c r="M129" s="9" t="str">
        <f>garage!M129</f>
        <v>Vulcan</v>
      </c>
      <c r="O129" s="44">
        <v>1970</v>
      </c>
      <c r="P129" s="44">
        <v>2202</v>
      </c>
      <c r="Q129" s="44">
        <v>2452</v>
      </c>
      <c r="R129" s="44">
        <v>2736</v>
      </c>
      <c r="S129" s="44">
        <v>3012</v>
      </c>
      <c r="T129" s="44"/>
      <c r="U129" s="44"/>
    </row>
    <row r="130" spans="2:21" ht="18" customHeight="1" x14ac:dyDescent="0.2">
      <c r="B130" s="10">
        <f>garage!B130</f>
        <v>130</v>
      </c>
      <c r="C130" s="10">
        <f>garage!C130</f>
        <v>4</v>
      </c>
      <c r="D130" s="10">
        <f>garage!D130</f>
        <v>2</v>
      </c>
      <c r="E130" s="10">
        <f>garage!E130</f>
        <v>0</v>
      </c>
      <c r="F130" s="10" t="str">
        <f>garage!F130</f>
        <v>--</v>
      </c>
      <c r="G130" s="10" t="str">
        <f>garage!G130</f>
        <v>O</v>
      </c>
      <c r="H130" s="10" t="str">
        <f>garage!H130</f>
        <v>O</v>
      </c>
      <c r="I130" s="10" t="str">
        <f>garage!I130</f>
        <v>O</v>
      </c>
      <c r="J130" s="10" t="str">
        <f>garage!J130</f>
        <v>N</v>
      </c>
      <c r="K130" s="10" t="str">
        <f>garage!K130</f>
        <v>A</v>
      </c>
      <c r="L130" s="11" t="str">
        <f>garage!L130</f>
        <v>Nissan</v>
      </c>
      <c r="M130" s="11" t="str">
        <f>garage!M130</f>
        <v>GT-R Nismo</v>
      </c>
      <c r="O130" s="10">
        <v>2083</v>
      </c>
      <c r="P130" s="10">
        <v>2328</v>
      </c>
      <c r="Q130" s="10">
        <v>2580</v>
      </c>
      <c r="R130" s="10">
        <v>2868</v>
      </c>
      <c r="S130" s="10">
        <v>3157</v>
      </c>
      <c r="T130" s="10"/>
      <c r="U130" s="10"/>
    </row>
    <row r="131" spans="2:21" ht="18" customHeight="1" x14ac:dyDescent="0.2">
      <c r="B131" s="8">
        <f>garage!B131</f>
        <v>131</v>
      </c>
      <c r="C131" s="8">
        <f>garage!C131</f>
        <v>4</v>
      </c>
      <c r="D131" s="8">
        <f>garage!D131</f>
        <v>3</v>
      </c>
      <c r="E131" s="8">
        <f>garage!E131</f>
        <v>17</v>
      </c>
      <c r="F131" s="8" t="str">
        <f>garage!F131</f>
        <v>--</v>
      </c>
      <c r="G131" s="8" t="str">
        <f>garage!G131</f>
        <v>O</v>
      </c>
      <c r="H131" s="8" t="str">
        <f>garage!H131</f>
        <v>N</v>
      </c>
      <c r="I131" s="8" t="str">
        <f>garage!I131</f>
        <v>N</v>
      </c>
      <c r="J131" s="8" t="str">
        <f>garage!J131</f>
        <v>N</v>
      </c>
      <c r="K131" s="8" t="str">
        <f>garage!K131</f>
        <v>A</v>
      </c>
      <c r="L131" s="9" t="str">
        <f>garage!L131</f>
        <v>Nio</v>
      </c>
      <c r="M131" s="9" t="str">
        <f>garage!M131</f>
        <v>EP9</v>
      </c>
      <c r="O131" s="44">
        <v>2113</v>
      </c>
      <c r="P131" s="44">
        <v>2359</v>
      </c>
      <c r="Q131" s="44">
        <v>2619</v>
      </c>
      <c r="R131" s="44">
        <v>2910</v>
      </c>
      <c r="S131" s="44">
        <v>3194</v>
      </c>
      <c r="T131" s="44"/>
      <c r="U131" s="44"/>
    </row>
    <row r="132" spans="2:21" ht="18" customHeight="1" x14ac:dyDescent="0.2">
      <c r="B132" s="10">
        <f>garage!B132</f>
        <v>132</v>
      </c>
      <c r="C132" s="10">
        <f>garage!C132</f>
        <v>4</v>
      </c>
      <c r="D132" s="10">
        <f>garage!D132</f>
        <v>4</v>
      </c>
      <c r="E132" s="10">
        <f>garage!E132</f>
        <v>0</v>
      </c>
      <c r="F132" s="10" t="str">
        <f>garage!F132</f>
        <v>F</v>
      </c>
      <c r="G132" s="10" t="str">
        <f>garage!G132</f>
        <v>O</v>
      </c>
      <c r="H132" s="10" t="str">
        <f>garage!H132</f>
        <v>O</v>
      </c>
      <c r="I132" s="10" t="str">
        <f>garage!I132</f>
        <v>O</v>
      </c>
      <c r="J132" s="10" t="str">
        <f>garage!J132</f>
        <v>N</v>
      </c>
      <c r="K132" s="10" t="str">
        <f>garage!K132</f>
        <v>A</v>
      </c>
      <c r="L132" s="11" t="str">
        <f>garage!L132</f>
        <v>Ferrari</v>
      </c>
      <c r="M132" s="11" t="str">
        <f>garage!M132</f>
        <v>J50</v>
      </c>
      <c r="O132" s="10">
        <v>2200</v>
      </c>
      <c r="P132" s="10">
        <v>2453</v>
      </c>
      <c r="Q132" s="10">
        <v>2709</v>
      </c>
      <c r="R132" s="10">
        <v>3008</v>
      </c>
      <c r="S132" s="10">
        <v>3306</v>
      </c>
      <c r="T132" s="10"/>
      <c r="U132" s="10"/>
    </row>
    <row r="133" spans="2:21" ht="18" customHeight="1" x14ac:dyDescent="0.2">
      <c r="B133" s="8">
        <f>garage!B133</f>
        <v>133</v>
      </c>
      <c r="C133" s="8">
        <f>garage!C133</f>
        <v>4</v>
      </c>
      <c r="D133" s="8">
        <f>garage!D133</f>
        <v>5</v>
      </c>
      <c r="E133" s="8">
        <f>garage!E133</f>
        <v>0</v>
      </c>
      <c r="F133" s="8" t="str">
        <f>garage!F133</f>
        <v>--</v>
      </c>
      <c r="G133" s="8" t="str">
        <f>garage!G133</f>
        <v>O</v>
      </c>
      <c r="H133" s="8" t="str">
        <f>garage!H133</f>
        <v>O</v>
      </c>
      <c r="I133" s="8" t="str">
        <f>garage!I133</f>
        <v>O</v>
      </c>
      <c r="J133" s="8" t="str">
        <f>garage!J133</f>
        <v>N</v>
      </c>
      <c r="K133" s="8" t="str">
        <f>garage!K133</f>
        <v>A</v>
      </c>
      <c r="L133" s="9" t="str">
        <f>garage!L133</f>
        <v>Dodge</v>
      </c>
      <c r="M133" s="9" t="str">
        <f>garage!M133</f>
        <v>Viper GTS</v>
      </c>
      <c r="O133" s="44">
        <v>2200</v>
      </c>
      <c r="P133" s="44">
        <v>2453</v>
      </c>
      <c r="Q133" s="44">
        <v>2709</v>
      </c>
      <c r="R133" s="44">
        <v>3008</v>
      </c>
      <c r="S133" s="44">
        <v>3306</v>
      </c>
      <c r="T133" s="44"/>
      <c r="U133" s="44"/>
    </row>
    <row r="134" spans="2:21" ht="18" customHeight="1" x14ac:dyDescent="0.2">
      <c r="B134" s="10">
        <f>garage!B134</f>
        <v>134</v>
      </c>
      <c r="C134" s="10">
        <f>garage!C134</f>
        <v>4</v>
      </c>
      <c r="D134" s="10">
        <f>garage!D134</f>
        <v>6</v>
      </c>
      <c r="E134" s="10">
        <f>garage!E134</f>
        <v>26</v>
      </c>
      <c r="F134" s="10" t="str">
        <f>garage!F134</f>
        <v>--</v>
      </c>
      <c r="G134" s="10" t="str">
        <f>garage!G134</f>
        <v>N</v>
      </c>
      <c r="H134" s="10" t="str">
        <f>garage!H134</f>
        <v>N</v>
      </c>
      <c r="I134" s="10" t="str">
        <f>garage!I134</f>
        <v>N</v>
      </c>
      <c r="J134" s="10" t="str">
        <f>garage!J134</f>
        <v>N</v>
      </c>
      <c r="K134" s="10" t="str">
        <f>garage!K134</f>
        <v>A</v>
      </c>
      <c r="L134" s="11" t="str">
        <f>garage!L134</f>
        <v>Bentley</v>
      </c>
      <c r="M134" s="11" t="str">
        <f>garage!M134</f>
        <v>Continental GT Speed</v>
      </c>
      <c r="O134" s="10">
        <v>2229</v>
      </c>
      <c r="P134" s="10">
        <v>2483</v>
      </c>
      <c r="Q134" s="10">
        <v>2749</v>
      </c>
      <c r="R134" s="10">
        <v>3052</v>
      </c>
      <c r="S134" s="10">
        <v>3342</v>
      </c>
      <c r="T134" s="10"/>
      <c r="U134" s="10"/>
    </row>
    <row r="135" spans="2:21" ht="18" customHeight="1" x14ac:dyDescent="0.2">
      <c r="B135" s="8">
        <f>garage!B135</f>
        <v>135</v>
      </c>
      <c r="C135" s="8">
        <f>garage!C135</f>
        <v>4</v>
      </c>
      <c r="D135" s="8">
        <f>garage!D135</f>
        <v>7</v>
      </c>
      <c r="E135" s="8">
        <f>garage!E135</f>
        <v>0</v>
      </c>
      <c r="F135" s="8" t="str">
        <f>garage!F135</f>
        <v>F</v>
      </c>
      <c r="G135" s="8" t="str">
        <f>garage!G135</f>
        <v>O</v>
      </c>
      <c r="H135" s="8" t="str">
        <f>garage!H135</f>
        <v>O</v>
      </c>
      <c r="I135" s="8" t="str">
        <f>garage!I135</f>
        <v>O</v>
      </c>
      <c r="J135" s="8" t="str">
        <f>garage!J135</f>
        <v>N</v>
      </c>
      <c r="K135" s="8" t="str">
        <f>garage!K135</f>
        <v>A</v>
      </c>
      <c r="L135" s="9" t="str">
        <f>garage!L135</f>
        <v>Ferrari</v>
      </c>
      <c r="M135" s="9" t="str">
        <f>garage!M135</f>
        <v>LaFerrari</v>
      </c>
      <c r="O135" s="44">
        <v>2321</v>
      </c>
      <c r="P135" s="44">
        <v>2445</v>
      </c>
      <c r="Q135" s="44">
        <v>2621</v>
      </c>
      <c r="R135" s="44">
        <v>2831</v>
      </c>
      <c r="S135" s="44">
        <v>3117</v>
      </c>
      <c r="T135" s="44">
        <v>3445</v>
      </c>
      <c r="U135" s="44"/>
    </row>
    <row r="136" spans="2:21" ht="18" customHeight="1" x14ac:dyDescent="0.2">
      <c r="B136" s="10">
        <f>garage!B136</f>
        <v>136</v>
      </c>
      <c r="C136" s="10">
        <f>garage!C136</f>
        <v>4</v>
      </c>
      <c r="D136" s="10">
        <f>garage!D136</f>
        <v>8</v>
      </c>
      <c r="E136" s="10">
        <f>garage!E136</f>
        <v>0</v>
      </c>
      <c r="F136" s="10" t="str">
        <f>garage!F136</f>
        <v>M</v>
      </c>
      <c r="G136" s="10" t="str">
        <f>garage!G136</f>
        <v>O</v>
      </c>
      <c r="H136" s="10" t="str">
        <f>garage!H136</f>
        <v>O</v>
      </c>
      <c r="I136" s="10" t="str">
        <f>garage!I136</f>
        <v>O</v>
      </c>
      <c r="J136" s="10" t="str">
        <f>garage!J136</f>
        <v>N</v>
      </c>
      <c r="K136" s="10" t="str">
        <f>garage!K136</f>
        <v>A</v>
      </c>
      <c r="L136" s="11" t="str">
        <f>garage!L136</f>
        <v>McLaren</v>
      </c>
      <c r="M136" s="11" t="str">
        <f>garage!M136</f>
        <v>P1</v>
      </c>
      <c r="O136" s="10">
        <v>2446</v>
      </c>
      <c r="P136" s="10">
        <v>2579</v>
      </c>
      <c r="Q136" s="10">
        <v>2759</v>
      </c>
      <c r="R136" s="10">
        <v>2980</v>
      </c>
      <c r="S136" s="10">
        <v>3279</v>
      </c>
      <c r="T136" s="10">
        <v>3602</v>
      </c>
      <c r="U136" s="10"/>
    </row>
    <row r="137" spans="2:21" ht="18" customHeight="1" x14ac:dyDescent="0.2">
      <c r="B137" s="8">
        <f>garage!B137</f>
        <v>137</v>
      </c>
      <c r="C137" s="8">
        <f>garage!C137</f>
        <v>4</v>
      </c>
      <c r="D137" s="8">
        <f>garage!D137</f>
        <v>9</v>
      </c>
      <c r="E137" s="8">
        <f>garage!E137</f>
        <v>20</v>
      </c>
      <c r="F137" s="8" t="str">
        <f>garage!F137</f>
        <v>--</v>
      </c>
      <c r="G137" s="8" t="str">
        <f>garage!G137</f>
        <v>N</v>
      </c>
      <c r="H137" s="8" t="str">
        <f>garage!H137</f>
        <v>N</v>
      </c>
      <c r="I137" s="8" t="str">
        <f>garage!I137</f>
        <v>N</v>
      </c>
      <c r="J137" s="8" t="str">
        <f>garage!J137</f>
        <v>O</v>
      </c>
      <c r="K137" s="8" t="str">
        <f>garage!K137</f>
        <v>A</v>
      </c>
      <c r="L137" s="9" t="str">
        <f>garage!L137</f>
        <v>Pagani</v>
      </c>
      <c r="M137" s="9" t="str">
        <f>garage!M137</f>
        <v>Zonda HP Barchetta</v>
      </c>
      <c r="O137" s="44">
        <v>2506</v>
      </c>
      <c r="P137" s="44">
        <v>2638</v>
      </c>
      <c r="Q137" s="44">
        <v>2820</v>
      </c>
      <c r="R137" s="44">
        <v>3051</v>
      </c>
      <c r="S137" s="44">
        <v>3349</v>
      </c>
      <c r="T137" s="44">
        <v>3678</v>
      </c>
      <c r="U137" s="44"/>
    </row>
    <row r="138" spans="2:21" ht="18" customHeight="1" x14ac:dyDescent="0.2">
      <c r="B138" s="10">
        <f>garage!B138</f>
        <v>138</v>
      </c>
      <c r="C138" s="10">
        <f>garage!C138</f>
        <v>4</v>
      </c>
      <c r="D138" s="10">
        <f>garage!D138</f>
        <v>10</v>
      </c>
      <c r="E138" s="10">
        <f>garage!E138</f>
        <v>0</v>
      </c>
      <c r="F138" s="10" t="str">
        <f>garage!F138</f>
        <v>L</v>
      </c>
      <c r="G138" s="10" t="str">
        <f>garage!G138</f>
        <v>O</v>
      </c>
      <c r="H138" s="10" t="str">
        <f>garage!H138</f>
        <v>O</v>
      </c>
      <c r="I138" s="10" t="str">
        <f>garage!I138</f>
        <v>O</v>
      </c>
      <c r="J138" s="10" t="str">
        <f>garage!J138</f>
        <v>N</v>
      </c>
      <c r="K138" s="10" t="str">
        <f>garage!K138</f>
        <v>A</v>
      </c>
      <c r="L138" s="11" t="str">
        <f>garage!L138</f>
        <v>Lamborghini</v>
      </c>
      <c r="M138" s="11" t="str">
        <f>garage!M138</f>
        <v>Aventador SV Coupé</v>
      </c>
      <c r="O138" s="10">
        <v>2574</v>
      </c>
      <c r="P138" s="10">
        <v>2709</v>
      </c>
      <c r="Q138" s="10">
        <v>2893</v>
      </c>
      <c r="R138" s="10">
        <v>3128</v>
      </c>
      <c r="S138" s="10">
        <v>3424</v>
      </c>
      <c r="T138" s="10">
        <v>3763</v>
      </c>
      <c r="U138" s="10"/>
    </row>
    <row r="139" spans="2:21" ht="18" customHeight="1" x14ac:dyDescent="0.2">
      <c r="B139" s="8">
        <f>garage!B139</f>
        <v>139</v>
      </c>
      <c r="C139" s="8">
        <f>garage!C139</f>
        <v>4</v>
      </c>
      <c r="D139" s="8">
        <f>garage!D139</f>
        <v>11</v>
      </c>
      <c r="E139" s="8">
        <f>garage!E139</f>
        <v>6</v>
      </c>
      <c r="F139" s="8" t="str">
        <f>garage!F139</f>
        <v>F</v>
      </c>
      <c r="G139" s="8" t="str">
        <f>garage!G139</f>
        <v>O</v>
      </c>
      <c r="H139" s="8" t="str">
        <f>garage!H139</f>
        <v>O</v>
      </c>
      <c r="I139" s="8" t="str">
        <f>garage!I139</f>
        <v>O</v>
      </c>
      <c r="J139" s="8" t="str">
        <f>garage!J139</f>
        <v>N</v>
      </c>
      <c r="K139" s="8" t="str">
        <f>garage!K139</f>
        <v>A</v>
      </c>
      <c r="L139" s="9" t="str">
        <f>garage!L139</f>
        <v>Ferrari</v>
      </c>
      <c r="M139" s="9" t="str">
        <f>garage!M139</f>
        <v>812 Superfast</v>
      </c>
      <c r="O139" s="44">
        <v>2643</v>
      </c>
      <c r="P139" s="44">
        <v>2778</v>
      </c>
      <c r="Q139" s="44">
        <v>2963</v>
      </c>
      <c r="R139" s="44">
        <v>3189</v>
      </c>
      <c r="S139" s="44">
        <v>3493</v>
      </c>
      <c r="T139" s="44">
        <v>3827</v>
      </c>
      <c r="U139" s="44"/>
    </row>
    <row r="140" spans="2:21" ht="18" customHeight="1" x14ac:dyDescent="0.2">
      <c r="B140" s="10">
        <f>garage!B140</f>
        <v>140</v>
      </c>
      <c r="C140" s="10">
        <f>garage!C140</f>
        <v>4</v>
      </c>
      <c r="D140" s="10">
        <f>garage!D140</f>
        <v>12</v>
      </c>
      <c r="E140" s="10">
        <f>garage!E140</f>
        <v>0</v>
      </c>
      <c r="F140" s="10" t="str">
        <f>garage!F140</f>
        <v>C</v>
      </c>
      <c r="G140" s="10" t="str">
        <f>garage!G140</f>
        <v>O</v>
      </c>
      <c r="H140" s="10" t="str">
        <f>garage!H140</f>
        <v>O</v>
      </c>
      <c r="I140" s="10" t="str">
        <f>garage!I140</f>
        <v>N</v>
      </c>
      <c r="J140" s="10" t="str">
        <f>garage!J140</f>
        <v>N</v>
      </c>
      <c r="K140" s="10" t="str">
        <f>garage!K140</f>
        <v>A</v>
      </c>
      <c r="L140" s="11" t="str">
        <f>garage!L140</f>
        <v>Chevrolet</v>
      </c>
      <c r="M140" s="11" t="str">
        <f>garage!M140</f>
        <v>Corvette ZR1</v>
      </c>
      <c r="O140" s="10">
        <v>2672</v>
      </c>
      <c r="P140" s="10">
        <v>2811</v>
      </c>
      <c r="Q140" s="10">
        <v>3000</v>
      </c>
      <c r="R140" s="10">
        <v>3232</v>
      </c>
      <c r="S140" s="10">
        <v>3540</v>
      </c>
      <c r="T140" s="10">
        <v>3876</v>
      </c>
      <c r="U140" s="10"/>
    </row>
    <row r="141" spans="2:21" ht="18" customHeight="1" x14ac:dyDescent="0.2">
      <c r="B141" s="8">
        <f>garage!B141</f>
        <v>141</v>
      </c>
      <c r="C141" s="8">
        <f>garage!C141</f>
        <v>4</v>
      </c>
      <c r="D141" s="8">
        <f>garage!D141</f>
        <v>13</v>
      </c>
      <c r="E141" s="8">
        <f>garage!E141</f>
        <v>14</v>
      </c>
      <c r="F141" s="8" t="str">
        <f>garage!F141</f>
        <v>--</v>
      </c>
      <c r="G141" s="8" t="str">
        <f>garage!G141</f>
        <v>O</v>
      </c>
      <c r="H141" s="8" t="str">
        <f>garage!H141</f>
        <v>N</v>
      </c>
      <c r="I141" s="8" t="str">
        <f>garage!I141</f>
        <v>N</v>
      </c>
      <c r="J141" s="8" t="str">
        <f>garage!J141</f>
        <v>N</v>
      </c>
      <c r="K141" s="8" t="str">
        <f>garage!K141</f>
        <v>A</v>
      </c>
      <c r="L141" s="9" t="str">
        <f>garage!L141</f>
        <v>Jaguar</v>
      </c>
      <c r="M141" s="9" t="str">
        <f>garage!M141</f>
        <v>C-X75</v>
      </c>
      <c r="O141" s="44">
        <v>2688</v>
      </c>
      <c r="P141" s="44">
        <v>2828</v>
      </c>
      <c r="Q141" s="44">
        <v>3020</v>
      </c>
      <c r="R141" s="44">
        <v>3248</v>
      </c>
      <c r="S141" s="44">
        <v>3560</v>
      </c>
      <c r="T141" s="44">
        <v>3898</v>
      </c>
      <c r="U141" s="44"/>
    </row>
    <row r="142" spans="2:21" ht="18" customHeight="1" x14ac:dyDescent="0.2">
      <c r="B142" s="10">
        <f>garage!B142</f>
        <v>142</v>
      </c>
      <c r="C142" s="10">
        <f>garage!C142</f>
        <v>4</v>
      </c>
      <c r="D142" s="10">
        <f>garage!D142</f>
        <v>14</v>
      </c>
      <c r="E142" s="10">
        <f>garage!E142</f>
        <v>0</v>
      </c>
      <c r="F142" s="10" t="str">
        <f>garage!F142</f>
        <v>--</v>
      </c>
      <c r="G142" s="10" t="str">
        <f>garage!G142</f>
        <v>O</v>
      </c>
      <c r="H142" s="10" t="str">
        <f>garage!H142</f>
        <v>O</v>
      </c>
      <c r="I142" s="10" t="str">
        <f>garage!I142</f>
        <v>O</v>
      </c>
      <c r="J142" s="10" t="str">
        <f>garage!J142</f>
        <v>N</v>
      </c>
      <c r="K142" s="10" t="str">
        <f>garage!K142</f>
        <v>A</v>
      </c>
      <c r="L142" s="11" t="str">
        <f>garage!L142</f>
        <v>VLF</v>
      </c>
      <c r="M142" s="11" t="str">
        <f>garage!M142</f>
        <v>Force 1 V10</v>
      </c>
      <c r="O142" s="10">
        <v>2706</v>
      </c>
      <c r="P142" s="10">
        <v>2846</v>
      </c>
      <c r="Q142" s="10">
        <v>3038</v>
      </c>
      <c r="R142" s="10">
        <v>3272</v>
      </c>
      <c r="S142" s="10">
        <v>3587</v>
      </c>
      <c r="T142" s="10">
        <v>3929</v>
      </c>
      <c r="U142" s="10"/>
    </row>
    <row r="143" spans="2:21" ht="18" customHeight="1" x14ac:dyDescent="0.2">
      <c r="B143" s="8">
        <f>garage!B143</f>
        <v>143</v>
      </c>
      <c r="C143" s="8">
        <f>garage!C143</f>
        <v>4</v>
      </c>
      <c r="D143" s="8">
        <f>garage!D143</f>
        <v>15</v>
      </c>
      <c r="E143" s="8">
        <f>garage!E143</f>
        <v>23</v>
      </c>
      <c r="F143" s="8" t="str">
        <f>garage!F143</f>
        <v>M</v>
      </c>
      <c r="G143" s="8" t="str">
        <f>garage!G143</f>
        <v>O</v>
      </c>
      <c r="H143" s="8" t="str">
        <f>garage!H143</f>
        <v>N</v>
      </c>
      <c r="I143" s="8" t="str">
        <f>garage!I143</f>
        <v>N</v>
      </c>
      <c r="J143" s="8" t="str">
        <f>garage!J143</f>
        <v>N</v>
      </c>
      <c r="K143" s="8" t="str">
        <f>garage!K143</f>
        <v>A</v>
      </c>
      <c r="L143" s="9" t="str">
        <f>garage!L143</f>
        <v>McLaren</v>
      </c>
      <c r="M143" s="9" t="str">
        <f>garage!M143</f>
        <v>Senna GTR</v>
      </c>
      <c r="O143" s="44">
        <v>2783</v>
      </c>
      <c r="P143" s="44">
        <v>2925</v>
      </c>
      <c r="Q143" s="44">
        <v>3122</v>
      </c>
      <c r="R143" s="44">
        <v>3353</v>
      </c>
      <c r="S143" s="44">
        <v>3674</v>
      </c>
      <c r="T143" s="44">
        <v>4025</v>
      </c>
      <c r="U143" s="44"/>
    </row>
    <row r="144" spans="2:21" ht="18" customHeight="1" x14ac:dyDescent="0.2">
      <c r="B144" s="10">
        <f>garage!B144</f>
        <v>144</v>
      </c>
      <c r="C144" s="10">
        <f>garage!C144</f>
        <v>4</v>
      </c>
      <c r="D144" s="10">
        <f>garage!D144</f>
        <v>16</v>
      </c>
      <c r="E144" s="10">
        <f>garage!E144</f>
        <v>20</v>
      </c>
      <c r="F144" s="10" t="str">
        <f>garage!F144</f>
        <v>L</v>
      </c>
      <c r="G144" s="10" t="str">
        <f>garage!G144</f>
        <v>N</v>
      </c>
      <c r="H144" s="10" t="str">
        <f>garage!H144</f>
        <v>N</v>
      </c>
      <c r="I144" s="10" t="str">
        <f>garage!I144</f>
        <v>N</v>
      </c>
      <c r="J144" s="10" t="str">
        <f>garage!J144</f>
        <v>N</v>
      </c>
      <c r="K144" s="10" t="str">
        <f>garage!K144</f>
        <v>A</v>
      </c>
      <c r="L144" s="11" t="str">
        <f>garage!L144</f>
        <v>Lamborghini</v>
      </c>
      <c r="M144" s="11" t="str">
        <f>garage!M144</f>
        <v>Aventador SVJ Roadster</v>
      </c>
      <c r="O144" s="10">
        <v>2274</v>
      </c>
      <c r="P144" s="10">
        <v>2515</v>
      </c>
      <c r="Q144" s="10">
        <v>2800</v>
      </c>
      <c r="R144" s="10">
        <v>3062</v>
      </c>
      <c r="S144" s="10">
        <v>3405</v>
      </c>
      <c r="T144" s="10">
        <v>3748</v>
      </c>
      <c r="U144" s="10">
        <v>4081</v>
      </c>
    </row>
    <row r="145" spans="2:21" ht="18" customHeight="1" x14ac:dyDescent="0.2">
      <c r="B145" s="8">
        <f>garage!B145</f>
        <v>145</v>
      </c>
      <c r="C145" s="8">
        <f>garage!C145</f>
        <v>4</v>
      </c>
      <c r="D145" s="8">
        <f>garage!D145</f>
        <v>17</v>
      </c>
      <c r="E145" s="8">
        <f>garage!E145</f>
        <v>8</v>
      </c>
      <c r="F145" s="8" t="str">
        <f>garage!F145</f>
        <v>--</v>
      </c>
      <c r="G145" s="8" t="str">
        <f>garage!G145</f>
        <v>O</v>
      </c>
      <c r="H145" s="8" t="str">
        <f>garage!H145</f>
        <v>O</v>
      </c>
      <c r="I145" s="8" t="str">
        <f>garage!I145</f>
        <v>O</v>
      </c>
      <c r="J145" s="8" t="str">
        <f>garage!J145</f>
        <v>N</v>
      </c>
      <c r="K145" s="8" t="str">
        <f>garage!K145</f>
        <v>A</v>
      </c>
      <c r="L145" s="9" t="str">
        <f>garage!L145</f>
        <v>Vanda Electrics</v>
      </c>
      <c r="M145" s="9" t="str">
        <f>garage!M145</f>
        <v>Dendrobium</v>
      </c>
      <c r="O145" s="44">
        <v>2229</v>
      </c>
      <c r="P145" s="44">
        <v>2483</v>
      </c>
      <c r="Q145" s="44">
        <v>2776</v>
      </c>
      <c r="R145" s="44">
        <v>3044</v>
      </c>
      <c r="S145" s="44">
        <v>3387</v>
      </c>
      <c r="T145" s="44">
        <v>3743</v>
      </c>
      <c r="U145" s="44">
        <v>4099</v>
      </c>
    </row>
    <row r="146" spans="2:21" ht="18" customHeight="1" x14ac:dyDescent="0.2">
      <c r="B146" s="10">
        <f>garage!B146</f>
        <v>146</v>
      </c>
      <c r="C146" s="10">
        <f>garage!C146</f>
        <v>4</v>
      </c>
      <c r="D146" s="10">
        <f>garage!D146</f>
        <v>18</v>
      </c>
      <c r="E146" s="10">
        <f>garage!E146</f>
        <v>0</v>
      </c>
      <c r="F146" s="10" t="str">
        <f>garage!F146</f>
        <v>P</v>
      </c>
      <c r="G146" s="10" t="str">
        <f>garage!G146</f>
        <v>O</v>
      </c>
      <c r="H146" s="10" t="str">
        <f>garage!H146</f>
        <v>O</v>
      </c>
      <c r="I146" s="10" t="str">
        <f>garage!I146</f>
        <v>O</v>
      </c>
      <c r="J146" s="10" t="str">
        <f>garage!J146</f>
        <v>N</v>
      </c>
      <c r="K146" s="10" t="str">
        <f>garage!K146</f>
        <v>A</v>
      </c>
      <c r="L146" s="11" t="str">
        <f>garage!L146</f>
        <v>Porsche</v>
      </c>
      <c r="M146" s="11" t="str">
        <f>garage!M146</f>
        <v>918 Spyder</v>
      </c>
      <c r="O146" s="10">
        <v>2843</v>
      </c>
      <c r="P146" s="10">
        <v>2989</v>
      </c>
      <c r="Q146" s="10">
        <v>3180</v>
      </c>
      <c r="R146" s="10">
        <v>3420</v>
      </c>
      <c r="S146" s="10">
        <v>3746</v>
      </c>
      <c r="T146" s="10">
        <v>4099</v>
      </c>
      <c r="U146" s="10"/>
    </row>
    <row r="147" spans="2:21" ht="18" customHeight="1" x14ac:dyDescent="0.2">
      <c r="B147" s="8">
        <f>garage!B147</f>
        <v>147</v>
      </c>
      <c r="C147" s="8">
        <f>garage!C147</f>
        <v>4</v>
      </c>
      <c r="D147" s="8">
        <f>garage!D147</f>
        <v>19</v>
      </c>
      <c r="E147" s="8">
        <f>garage!E147</f>
        <v>28</v>
      </c>
      <c r="F147" s="8" t="str">
        <f>garage!F147</f>
        <v>--</v>
      </c>
      <c r="G147" s="8" t="str">
        <f>garage!G147</f>
        <v>N</v>
      </c>
      <c r="H147" s="8" t="str">
        <f>garage!H147</f>
        <v>N</v>
      </c>
      <c r="I147" s="8" t="str">
        <f>garage!I147</f>
        <v>N</v>
      </c>
      <c r="J147" s="8" t="str">
        <f>garage!J147</f>
        <v>N</v>
      </c>
      <c r="K147" s="8" t="str">
        <f>garage!K147</f>
        <v>A</v>
      </c>
      <c r="L147" s="9" t="str">
        <f>garage!L147</f>
        <v>Peugeot</v>
      </c>
      <c r="M147" s="9" t="str">
        <f>garage!M147</f>
        <v>9X8</v>
      </c>
      <c r="O147" s="44">
        <v>2794</v>
      </c>
      <c r="P147" s="44">
        <v>2968</v>
      </c>
      <c r="Q147" s="44">
        <v>3175</v>
      </c>
      <c r="R147" s="44">
        <v>3366</v>
      </c>
      <c r="S147" s="44">
        <v>3615</v>
      </c>
      <c r="T147" s="44" t="s">
        <v>112</v>
      </c>
      <c r="U147" s="44">
        <v>4108</v>
      </c>
    </row>
    <row r="148" spans="2:21" ht="18" customHeight="1" x14ac:dyDescent="0.2">
      <c r="B148" s="10">
        <f>garage!B148</f>
        <v>148</v>
      </c>
      <c r="C148" s="10">
        <f>garage!C148</f>
        <v>4</v>
      </c>
      <c r="D148" s="10">
        <f>garage!D148</f>
        <v>20</v>
      </c>
      <c r="E148" s="10">
        <f>garage!E148</f>
        <v>0</v>
      </c>
      <c r="F148" s="10" t="str">
        <f>garage!F148</f>
        <v>M</v>
      </c>
      <c r="G148" s="10" t="str">
        <f>garage!G148</f>
        <v>O</v>
      </c>
      <c r="H148" s="10" t="str">
        <f>garage!H148</f>
        <v>O</v>
      </c>
      <c r="I148" s="10" t="str">
        <f>garage!I148</f>
        <v>O</v>
      </c>
      <c r="J148" s="10" t="str">
        <f>garage!J148</f>
        <v>N</v>
      </c>
      <c r="K148" s="10" t="str">
        <f>garage!K148</f>
        <v>A</v>
      </c>
      <c r="L148" s="11" t="str">
        <f>garage!L148</f>
        <v>McLaren</v>
      </c>
      <c r="M148" s="11" t="str">
        <f>garage!M148</f>
        <v>570S Spider</v>
      </c>
      <c r="O148" s="10">
        <v>2319</v>
      </c>
      <c r="P148" s="10">
        <v>2560</v>
      </c>
      <c r="Q148" s="10">
        <v>2841</v>
      </c>
      <c r="R148" s="10">
        <v>3100</v>
      </c>
      <c r="S148" s="10">
        <v>3437</v>
      </c>
      <c r="T148" s="10">
        <v>3779</v>
      </c>
      <c r="U148" s="10">
        <v>4116</v>
      </c>
    </row>
    <row r="149" spans="2:21" ht="18" customHeight="1" x14ac:dyDescent="0.2">
      <c r="B149" s="8">
        <f>garage!B149</f>
        <v>149</v>
      </c>
      <c r="C149" s="8">
        <f>garage!C149</f>
        <v>4</v>
      </c>
      <c r="D149" s="8">
        <f>garage!D149</f>
        <v>21</v>
      </c>
      <c r="E149" s="8">
        <f>garage!E149</f>
        <v>0</v>
      </c>
      <c r="F149" s="8" t="str">
        <f>garage!F149</f>
        <v>L</v>
      </c>
      <c r="G149" s="8" t="str">
        <f>garage!G149</f>
        <v>O</v>
      </c>
      <c r="H149" s="8" t="str">
        <f>garage!H149</f>
        <v>O</v>
      </c>
      <c r="I149" s="8" t="str">
        <f>garage!I149</f>
        <v>O</v>
      </c>
      <c r="J149" s="8" t="str">
        <f>garage!J149</f>
        <v>N</v>
      </c>
      <c r="K149" s="8" t="str">
        <f>garage!K149</f>
        <v>A</v>
      </c>
      <c r="L149" s="9" t="str">
        <f>garage!L149</f>
        <v>Lamborghini</v>
      </c>
      <c r="M149" s="9" t="str">
        <f>garage!M149</f>
        <v>Aventador J</v>
      </c>
      <c r="O149" s="44">
        <v>2804</v>
      </c>
      <c r="P149" s="44">
        <v>2957</v>
      </c>
      <c r="Q149" s="44">
        <v>3166</v>
      </c>
      <c r="R149" s="44">
        <v>3417</v>
      </c>
      <c r="S149" s="44">
        <v>3760</v>
      </c>
      <c r="T149" s="44">
        <v>4133</v>
      </c>
      <c r="U149" s="44"/>
    </row>
    <row r="150" spans="2:21" ht="18" customHeight="1" x14ac:dyDescent="0.2">
      <c r="B150" s="10">
        <f>garage!B150</f>
        <v>150</v>
      </c>
      <c r="C150" s="10">
        <f>garage!C150</f>
        <v>4</v>
      </c>
      <c r="D150" s="10">
        <f>garage!D150</f>
        <v>22</v>
      </c>
      <c r="E150" s="10">
        <f>garage!E150</f>
        <v>16</v>
      </c>
      <c r="F150" s="10" t="str">
        <f>garage!F150</f>
        <v>--</v>
      </c>
      <c r="G150" s="10" t="str">
        <f>garage!G150</f>
        <v>O</v>
      </c>
      <c r="H150" s="10" t="str">
        <f>garage!H150</f>
        <v>N</v>
      </c>
      <c r="I150" s="10" t="str">
        <f>garage!I150</f>
        <v>N</v>
      </c>
      <c r="J150" s="10" t="str">
        <f>garage!J150</f>
        <v>N</v>
      </c>
      <c r="K150" s="10" t="str">
        <f>garage!K150</f>
        <v>A</v>
      </c>
      <c r="L150" s="11" t="str">
        <f>garage!L150</f>
        <v>Peugeot</v>
      </c>
      <c r="M150" s="11" t="str">
        <f>garage!M150</f>
        <v>Onyx</v>
      </c>
      <c r="O150" s="10">
        <v>2855</v>
      </c>
      <c r="P150" s="10">
        <v>3026</v>
      </c>
      <c r="Q150" s="10">
        <v>3226</v>
      </c>
      <c r="R150" s="10">
        <v>3413</v>
      </c>
      <c r="S150" s="10">
        <v>3739</v>
      </c>
      <c r="T150" s="10">
        <v>3917</v>
      </c>
      <c r="U150" s="10">
        <v>4145</v>
      </c>
    </row>
    <row r="151" spans="2:21" ht="18" customHeight="1" x14ac:dyDescent="0.2">
      <c r="B151" s="8">
        <f>garage!B151</f>
        <v>151</v>
      </c>
      <c r="C151" s="8">
        <f>garage!C151</f>
        <v>4</v>
      </c>
      <c r="D151" s="8">
        <f>garage!D151</f>
        <v>23</v>
      </c>
      <c r="E151" s="8">
        <f>garage!E151</f>
        <v>22</v>
      </c>
      <c r="F151" s="8" t="str">
        <f>garage!F151</f>
        <v>--</v>
      </c>
      <c r="G151" s="8" t="str">
        <f>garage!G151</f>
        <v>N</v>
      </c>
      <c r="H151" s="8" t="str">
        <f>garage!H151</f>
        <v>N</v>
      </c>
      <c r="I151" s="8" t="str">
        <f>garage!I151</f>
        <v>N</v>
      </c>
      <c r="J151" s="8" t="str">
        <f>garage!J151</f>
        <v>N</v>
      </c>
      <c r="K151" s="8" t="str">
        <f>garage!K151</f>
        <v>A</v>
      </c>
      <c r="L151" s="9" t="str">
        <f>garage!L151</f>
        <v>Pagani</v>
      </c>
      <c r="M151" s="9" t="str">
        <f>garage!M151</f>
        <v>Zonda R</v>
      </c>
      <c r="O151" s="44">
        <v>2603</v>
      </c>
      <c r="P151" s="44">
        <v>2811</v>
      </c>
      <c r="Q151" s="44">
        <v>3056</v>
      </c>
      <c r="R151" s="44">
        <v>3282</v>
      </c>
      <c r="S151" s="44">
        <v>3580</v>
      </c>
      <c r="T151" s="44">
        <v>3874</v>
      </c>
      <c r="U151" s="44">
        <v>4158</v>
      </c>
    </row>
    <row r="152" spans="2:21" ht="18" customHeight="1" x14ac:dyDescent="0.2">
      <c r="B152" s="10">
        <f>garage!B152</f>
        <v>152</v>
      </c>
      <c r="C152" s="10">
        <f>garage!C152</f>
        <v>4</v>
      </c>
      <c r="D152" s="10">
        <f>garage!D152</f>
        <v>24</v>
      </c>
      <c r="E152" s="10">
        <f>garage!E152</f>
        <v>22</v>
      </c>
      <c r="F152" s="10" t="str">
        <f>garage!F152</f>
        <v>--</v>
      </c>
      <c r="G152" s="10" t="str">
        <f>garage!G152</f>
        <v>N</v>
      </c>
      <c r="H152" s="10" t="str">
        <f>garage!H152</f>
        <v>N</v>
      </c>
      <c r="I152" s="10" t="str">
        <f>garage!I152</f>
        <v>N</v>
      </c>
      <c r="J152" s="10" t="str">
        <f>garage!J152</f>
        <v>N</v>
      </c>
      <c r="K152" s="10" t="str">
        <f>garage!K152</f>
        <v>A</v>
      </c>
      <c r="L152" s="11" t="str">
        <f>garage!L152</f>
        <v>Glickhaus</v>
      </c>
      <c r="M152" s="11" t="str">
        <f>garage!M152</f>
        <v>007S</v>
      </c>
      <c r="O152" s="10">
        <v>2653</v>
      </c>
      <c r="P152" s="10">
        <v>2859</v>
      </c>
      <c r="Q152" s="10">
        <v>3101</v>
      </c>
      <c r="R152" s="10">
        <v>3325</v>
      </c>
      <c r="S152" s="10">
        <v>3613</v>
      </c>
      <c r="T152" s="10">
        <v>3902</v>
      </c>
      <c r="U152" s="10">
        <v>4187</v>
      </c>
    </row>
    <row r="153" spans="2:21" ht="18" customHeight="1" x14ac:dyDescent="0.2">
      <c r="B153" s="8">
        <f>garage!B153</f>
        <v>153</v>
      </c>
      <c r="C153" s="8">
        <f>garage!C153</f>
        <v>4</v>
      </c>
      <c r="D153" s="8">
        <f>garage!D153</f>
        <v>25</v>
      </c>
      <c r="E153" s="8">
        <f>garage!E153</f>
        <v>16</v>
      </c>
      <c r="F153" s="8" t="str">
        <f>garage!F153</f>
        <v>--</v>
      </c>
      <c r="G153" s="8" t="str">
        <f>garage!G153</f>
        <v>O</v>
      </c>
      <c r="H153" s="8" t="str">
        <f>garage!H153</f>
        <v>N</v>
      </c>
      <c r="I153" s="8" t="str">
        <f>garage!I153</f>
        <v>N</v>
      </c>
      <c r="J153" s="8" t="str">
        <f>garage!J153</f>
        <v>N</v>
      </c>
      <c r="K153" s="8" t="str">
        <f>garage!K153</f>
        <v>A</v>
      </c>
      <c r="L153" s="9" t="str">
        <f>garage!L153</f>
        <v>Citroen</v>
      </c>
      <c r="M153" s="9" t="str">
        <f>garage!M153</f>
        <v>GT by Citroen</v>
      </c>
      <c r="O153" s="44">
        <v>2907</v>
      </c>
      <c r="P153" s="44">
        <v>3085</v>
      </c>
      <c r="Q153" s="44">
        <v>3292</v>
      </c>
      <c r="R153" s="44">
        <v>3483</v>
      </c>
      <c r="S153" s="44">
        <v>3739</v>
      </c>
      <c r="T153" s="44">
        <v>3989</v>
      </c>
      <c r="U153" s="44">
        <v>4222</v>
      </c>
    </row>
    <row r="154" spans="2:21" ht="18" customHeight="1" x14ac:dyDescent="0.2">
      <c r="B154" s="10">
        <f>garage!B154</f>
        <v>154</v>
      </c>
      <c r="C154" s="10">
        <f>garage!C154</f>
        <v>4</v>
      </c>
      <c r="D154" s="10">
        <f>garage!D154</f>
        <v>26</v>
      </c>
      <c r="E154" s="10">
        <f>garage!E154</f>
        <v>31</v>
      </c>
      <c r="F154" s="10" t="str">
        <f>garage!F154</f>
        <v>--</v>
      </c>
      <c r="G154" s="10" t="str">
        <f>garage!G154</f>
        <v>N</v>
      </c>
      <c r="H154" s="10" t="str">
        <f>garage!H154</f>
        <v>N</v>
      </c>
      <c r="I154" s="10" t="str">
        <f>garage!I154</f>
        <v>N</v>
      </c>
      <c r="J154" s="10" t="str">
        <f>garage!J154</f>
        <v>N</v>
      </c>
      <c r="K154" s="10" t="str">
        <f>garage!K154</f>
        <v>A</v>
      </c>
      <c r="L154" s="11" t="str">
        <f>garage!L154</f>
        <v>Porsche</v>
      </c>
      <c r="M154" s="11" t="str">
        <f>garage!M154</f>
        <v>935 (2019)</v>
      </c>
      <c r="O154" s="10">
        <v>2928</v>
      </c>
      <c r="P154" s="10">
        <v>3100</v>
      </c>
      <c r="Q154" s="10">
        <v>3302</v>
      </c>
      <c r="R154" s="10">
        <v>3491</v>
      </c>
      <c r="S154" s="10">
        <v>3740</v>
      </c>
      <c r="T154" s="10">
        <v>3988</v>
      </c>
      <c r="U154" s="10">
        <v>4229</v>
      </c>
    </row>
    <row r="155" spans="2:21" ht="18" customHeight="1" x14ac:dyDescent="0.2">
      <c r="B155" s="8">
        <f>garage!B155</f>
        <v>155</v>
      </c>
      <c r="C155" s="8">
        <f>garage!C155</f>
        <v>4</v>
      </c>
      <c r="D155" s="8">
        <f>garage!D155</f>
        <v>27</v>
      </c>
      <c r="E155" s="8">
        <f>garage!E155</f>
        <v>19</v>
      </c>
      <c r="F155" s="8" t="str">
        <f>garage!F155</f>
        <v>AM</v>
      </c>
      <c r="G155" s="8" t="str">
        <f>garage!G155</f>
        <v>O</v>
      </c>
      <c r="H155" s="8" t="str">
        <f>garage!H155</f>
        <v>N</v>
      </c>
      <c r="I155" s="8" t="str">
        <f>garage!I155</f>
        <v>N</v>
      </c>
      <c r="J155" s="8" t="str">
        <f>garage!J155</f>
        <v>N</v>
      </c>
      <c r="K155" s="8" t="str">
        <f>garage!K155</f>
        <v>A</v>
      </c>
      <c r="L155" s="9" t="str">
        <f>garage!L155</f>
        <v>Aston Martin</v>
      </c>
      <c r="M155" s="9" t="str">
        <f>garage!M155</f>
        <v>Victor</v>
      </c>
      <c r="O155" s="44">
        <v>2950</v>
      </c>
      <c r="P155" s="44">
        <v>3118</v>
      </c>
      <c r="Q155" s="44">
        <v>3323</v>
      </c>
      <c r="R155" s="44">
        <v>3512</v>
      </c>
      <c r="S155" s="44">
        <v>3761</v>
      </c>
      <c r="T155" s="44">
        <v>4010</v>
      </c>
      <c r="U155" s="44">
        <v>4255</v>
      </c>
    </row>
    <row r="156" spans="2:21" ht="18" customHeight="1" x14ac:dyDescent="0.2">
      <c r="B156" s="10">
        <f>garage!B156</f>
        <v>156</v>
      </c>
      <c r="C156" s="10">
        <f>garage!C156</f>
        <v>4</v>
      </c>
      <c r="D156" s="10">
        <f>garage!D156</f>
        <v>28</v>
      </c>
      <c r="E156" s="10">
        <f>garage!E156</f>
        <v>11</v>
      </c>
      <c r="F156" s="10" t="str">
        <f>garage!F156</f>
        <v>P</v>
      </c>
      <c r="G156" s="10" t="str">
        <f>garage!G156</f>
        <v>O</v>
      </c>
      <c r="H156" s="10" t="str">
        <f>garage!H156</f>
        <v>O</v>
      </c>
      <c r="I156" s="10" t="str">
        <f>garage!I156</f>
        <v>N</v>
      </c>
      <c r="J156" s="10" t="str">
        <f>garage!J156</f>
        <v>N</v>
      </c>
      <c r="K156" s="10" t="str">
        <f>garage!K156</f>
        <v>A</v>
      </c>
      <c r="L156" s="11" t="str">
        <f>garage!L156</f>
        <v>Porsche</v>
      </c>
      <c r="M156" s="11" t="str">
        <f>garage!M156</f>
        <v>911 GT2 RS Clubsport</v>
      </c>
      <c r="O156" s="10">
        <v>2702</v>
      </c>
      <c r="P156" s="10">
        <v>2914</v>
      </c>
      <c r="Q156" s="10">
        <v>3160</v>
      </c>
      <c r="R156" s="10">
        <v>3387</v>
      </c>
      <c r="S156" s="10">
        <v>3680</v>
      </c>
      <c r="T156" s="10">
        <v>3977</v>
      </c>
      <c r="U156" s="10">
        <v>4270</v>
      </c>
    </row>
    <row r="157" spans="2:21" ht="18" customHeight="1" x14ac:dyDescent="0.2">
      <c r="B157" s="8">
        <f>garage!B157</f>
        <v>157</v>
      </c>
      <c r="C157" s="8">
        <f>garage!C157</f>
        <v>4</v>
      </c>
      <c r="D157" s="8">
        <f>garage!D157</f>
        <v>29</v>
      </c>
      <c r="E157" s="8">
        <f>garage!E157</f>
        <v>0</v>
      </c>
      <c r="F157" s="8" t="str">
        <f>garage!F157</f>
        <v>--</v>
      </c>
      <c r="G157" s="8" t="str">
        <f>garage!G157</f>
        <v>O</v>
      </c>
      <c r="H157" s="8" t="str">
        <f>garage!H157</f>
        <v>O</v>
      </c>
      <c r="I157" s="8" t="str">
        <f>garage!I157</f>
        <v>O</v>
      </c>
      <c r="J157" s="8" t="str">
        <f>garage!J157</f>
        <v>N</v>
      </c>
      <c r="K157" s="8" t="str">
        <f>garage!K157</f>
        <v>A</v>
      </c>
      <c r="L157" s="9" t="str">
        <f>garage!L157</f>
        <v>Pagani</v>
      </c>
      <c r="M157" s="9" t="str">
        <f>garage!M157</f>
        <v>Huayra BC</v>
      </c>
      <c r="O157" s="44">
        <v>2983</v>
      </c>
      <c r="P157" s="44">
        <v>3158</v>
      </c>
      <c r="Q157" s="44">
        <v>3362</v>
      </c>
      <c r="R157" s="44">
        <v>3548</v>
      </c>
      <c r="S157" s="44">
        <v>3795</v>
      </c>
      <c r="T157" s="44">
        <v>4041</v>
      </c>
      <c r="U157" s="44">
        <v>4274</v>
      </c>
    </row>
    <row r="158" spans="2:21" ht="18" customHeight="1" x14ac:dyDescent="0.2">
      <c r="B158" s="10">
        <f>garage!B158</f>
        <v>158</v>
      </c>
      <c r="C158" s="10">
        <f>garage!C158</f>
        <v>4</v>
      </c>
      <c r="D158" s="10">
        <f>garage!D158</f>
        <v>30</v>
      </c>
      <c r="E158" s="10">
        <f>garage!E158</f>
        <v>28</v>
      </c>
      <c r="F158" s="10" t="str">
        <f>garage!F158</f>
        <v>M</v>
      </c>
      <c r="G158" s="10" t="str">
        <f>garage!G158</f>
        <v>N</v>
      </c>
      <c r="H158" s="10" t="str">
        <f>garage!H158</f>
        <v>N</v>
      </c>
      <c r="I158" s="10" t="str">
        <f>garage!I158</f>
        <v>N</v>
      </c>
      <c r="J158" s="10" t="str">
        <f>garage!J158</f>
        <v>N</v>
      </c>
      <c r="K158" s="10" t="str">
        <f>garage!K158</f>
        <v>A</v>
      </c>
      <c r="L158" s="11" t="str">
        <f>garage!L158</f>
        <v>McLaren</v>
      </c>
      <c r="M158" s="11" t="str">
        <f>garage!M158</f>
        <v>650S GT3</v>
      </c>
      <c r="O158" s="10">
        <v>2988</v>
      </c>
      <c r="P158" s="10">
        <v>3156</v>
      </c>
      <c r="Q158" s="10" t="s">
        <v>112</v>
      </c>
      <c r="R158" s="10" t="s">
        <v>112</v>
      </c>
      <c r="S158" s="10" t="s">
        <v>112</v>
      </c>
      <c r="T158" s="10"/>
      <c r="U158" s="10"/>
    </row>
    <row r="159" spans="2:21" ht="18" customHeight="1" x14ac:dyDescent="0.2">
      <c r="B159" s="8">
        <f>garage!B159</f>
        <v>159</v>
      </c>
      <c r="C159" s="8">
        <f>garage!C159</f>
        <v>4</v>
      </c>
      <c r="D159" s="8">
        <f>garage!D159</f>
        <v>31</v>
      </c>
      <c r="E159" s="8">
        <f>garage!E159</f>
        <v>12</v>
      </c>
      <c r="F159" s="8" t="str">
        <f>garage!F159</f>
        <v>L</v>
      </c>
      <c r="G159" s="8" t="str">
        <f>garage!G159</f>
        <v>O</v>
      </c>
      <c r="H159" s="8" t="str">
        <f>garage!H159</f>
        <v>N</v>
      </c>
      <c r="I159" s="8" t="str">
        <f>garage!I159</f>
        <v>N</v>
      </c>
      <c r="J159" s="8" t="str">
        <f>garage!J159</f>
        <v>N</v>
      </c>
      <c r="K159" s="8" t="str">
        <f>garage!K159</f>
        <v>A</v>
      </c>
      <c r="L159" s="9" t="str">
        <f>garage!L159</f>
        <v>Lamborghini</v>
      </c>
      <c r="M159" s="9" t="str">
        <f>garage!M159</f>
        <v>SC18</v>
      </c>
      <c r="O159" s="44">
        <v>2992</v>
      </c>
      <c r="P159" s="44">
        <v>3166</v>
      </c>
      <c r="Q159" s="44" t="s">
        <v>112</v>
      </c>
      <c r="R159" s="44" t="s">
        <v>112</v>
      </c>
      <c r="S159" s="44" t="s">
        <v>112</v>
      </c>
      <c r="T159" s="44" t="s">
        <v>112</v>
      </c>
      <c r="U159" s="44">
        <v>4284</v>
      </c>
    </row>
    <row r="160" spans="2:21" ht="18" customHeight="1" x14ac:dyDescent="0.2">
      <c r="B160" s="10">
        <f>garage!B160</f>
        <v>160</v>
      </c>
      <c r="C160" s="10">
        <f>garage!C160</f>
        <v>4</v>
      </c>
      <c r="D160" s="10">
        <f>garage!D160</f>
        <v>32</v>
      </c>
      <c r="E160" s="10">
        <f>garage!E160</f>
        <v>6</v>
      </c>
      <c r="F160" s="10" t="str">
        <f>garage!F160</f>
        <v>F</v>
      </c>
      <c r="G160" s="10" t="str">
        <f>garage!G160</f>
        <v>O</v>
      </c>
      <c r="H160" s="10" t="str">
        <f>garage!H160</f>
        <v>O</v>
      </c>
      <c r="I160" s="10" t="str">
        <f>garage!I160</f>
        <v>O</v>
      </c>
      <c r="J160" s="10" t="str">
        <f>garage!J160</f>
        <v>N</v>
      </c>
      <c r="K160" s="10" t="str">
        <f>garage!K160</f>
        <v>A</v>
      </c>
      <c r="L160" s="11" t="str">
        <f>garage!L160</f>
        <v>Ferrari</v>
      </c>
      <c r="M160" s="11" t="str">
        <f>garage!M160</f>
        <v>LaFerrari Aperta</v>
      </c>
      <c r="O160" s="10">
        <v>2998</v>
      </c>
      <c r="P160" s="10">
        <v>3172</v>
      </c>
      <c r="Q160" s="10" t="s">
        <v>112</v>
      </c>
      <c r="R160" s="10" t="s">
        <v>112</v>
      </c>
      <c r="S160" s="10" t="s">
        <v>112</v>
      </c>
      <c r="T160" s="10" t="s">
        <v>112</v>
      </c>
      <c r="U160" s="10">
        <v>4291</v>
      </c>
    </row>
    <row r="161" spans="2:21" ht="18" customHeight="1" x14ac:dyDescent="0.2">
      <c r="B161" s="8">
        <f>garage!B161</f>
        <v>161</v>
      </c>
      <c r="C161" s="8">
        <f>garage!C161</f>
        <v>4</v>
      </c>
      <c r="D161" s="8">
        <f>garage!D161</f>
        <v>33</v>
      </c>
      <c r="E161" s="8">
        <f>garage!E161</f>
        <v>15</v>
      </c>
      <c r="F161" s="8" t="str">
        <f>garage!F161</f>
        <v>F</v>
      </c>
      <c r="G161" s="8" t="str">
        <f>garage!G161</f>
        <v>N</v>
      </c>
      <c r="H161" s="8" t="str">
        <f>garage!H161</f>
        <v>N</v>
      </c>
      <c r="I161" s="8" t="str">
        <f>garage!I161</f>
        <v>N</v>
      </c>
      <c r="J161" s="8" t="str">
        <f>garage!J161</f>
        <v>N</v>
      </c>
      <c r="K161" s="8" t="str">
        <f>garage!K161</f>
        <v>A</v>
      </c>
      <c r="L161" s="9" t="str">
        <f>garage!L161</f>
        <v>Ferrari</v>
      </c>
      <c r="M161" s="9" t="str">
        <f>garage!M161</f>
        <v>F8 Tributo</v>
      </c>
      <c r="O161" s="44">
        <v>3007</v>
      </c>
      <c r="P161" s="44">
        <v>3183</v>
      </c>
      <c r="Q161" s="44" t="s">
        <v>112</v>
      </c>
      <c r="R161" s="44" t="s">
        <v>112</v>
      </c>
      <c r="S161" s="44" t="s">
        <v>112</v>
      </c>
      <c r="T161" s="44" t="s">
        <v>112</v>
      </c>
      <c r="U161" s="44">
        <v>4305</v>
      </c>
    </row>
    <row r="162" spans="2:21" ht="18" customHeight="1" x14ac:dyDescent="0.2">
      <c r="B162" s="10">
        <f>garage!B162</f>
        <v>162</v>
      </c>
      <c r="C162" s="10">
        <f>garage!C162</f>
        <v>4</v>
      </c>
      <c r="D162" s="10">
        <f>garage!D162</f>
        <v>34</v>
      </c>
      <c r="E162" s="10">
        <f>garage!E162</f>
        <v>20</v>
      </c>
      <c r="F162" s="10" t="str">
        <f>garage!F162</f>
        <v>L</v>
      </c>
      <c r="G162" s="10" t="str">
        <f>garage!G162</f>
        <v>N</v>
      </c>
      <c r="H162" s="10" t="str">
        <f>garage!H162</f>
        <v>N</v>
      </c>
      <c r="I162" s="10" t="str">
        <f>garage!I162</f>
        <v>N</v>
      </c>
      <c r="J162" s="10" t="str">
        <f>garage!J162</f>
        <v>N</v>
      </c>
      <c r="K162" s="10" t="str">
        <f>garage!K162</f>
        <v>A</v>
      </c>
      <c r="L162" s="11" t="str">
        <f>garage!L162</f>
        <v>Lamborghini</v>
      </c>
      <c r="M162" s="11" t="str">
        <f>garage!M162</f>
        <v>SC20</v>
      </c>
      <c r="O162" s="10">
        <v>2907</v>
      </c>
      <c r="P162" s="10">
        <v>3095</v>
      </c>
      <c r="Q162" s="10" t="s">
        <v>112</v>
      </c>
      <c r="R162" s="10" t="s">
        <v>112</v>
      </c>
      <c r="S162" s="10" t="s">
        <v>112</v>
      </c>
      <c r="T162" s="10" t="s">
        <v>112</v>
      </c>
      <c r="U162" s="10">
        <v>4307</v>
      </c>
    </row>
    <row r="163" spans="2:21" ht="18" customHeight="1" x14ac:dyDescent="0.2">
      <c r="B163" s="8">
        <f>garage!B163</f>
        <v>163</v>
      </c>
      <c r="C163" s="8">
        <f>garage!C163</f>
        <v>4</v>
      </c>
      <c r="D163" s="8">
        <f>garage!D163</f>
        <v>35</v>
      </c>
      <c r="E163" s="8">
        <f>garage!E163</f>
        <v>0</v>
      </c>
      <c r="F163" s="8" t="str">
        <f>garage!F163</f>
        <v>--</v>
      </c>
      <c r="G163" s="8" t="str">
        <f>garage!G163</f>
        <v>O</v>
      </c>
      <c r="H163" s="8" t="str">
        <f>garage!H163</f>
        <v>O</v>
      </c>
      <c r="I163" s="8" t="str">
        <f>garage!I163</f>
        <v>O</v>
      </c>
      <c r="J163" s="8" t="str">
        <f>garage!J163</f>
        <v>N</v>
      </c>
      <c r="K163" s="8" t="str">
        <f>garage!K163</f>
        <v>A</v>
      </c>
      <c r="L163" s="9" t="str">
        <f>garage!L163</f>
        <v>Genty</v>
      </c>
      <c r="M163" s="9" t="str">
        <f>garage!M163</f>
        <v>Akylone</v>
      </c>
      <c r="O163" s="44">
        <v>3013</v>
      </c>
      <c r="P163" s="44">
        <v>3187</v>
      </c>
      <c r="Q163" s="44" t="s">
        <v>112</v>
      </c>
      <c r="R163" s="44" t="s">
        <v>112</v>
      </c>
      <c r="S163" s="44" t="s">
        <v>112</v>
      </c>
      <c r="T163" s="44" t="s">
        <v>112</v>
      </c>
      <c r="U163" s="44">
        <v>4310</v>
      </c>
    </row>
    <row r="164" spans="2:21" ht="18" customHeight="1" x14ac:dyDescent="0.2">
      <c r="B164" s="10">
        <f>garage!B164</f>
        <v>164</v>
      </c>
      <c r="C164" s="10">
        <f>garage!C164</f>
        <v>4</v>
      </c>
      <c r="D164" s="10">
        <f>garage!D164</f>
        <v>36</v>
      </c>
      <c r="E164" s="10">
        <f>garage!E164</f>
        <v>0</v>
      </c>
      <c r="F164" s="10" t="str">
        <f>garage!F164</f>
        <v>--</v>
      </c>
      <c r="G164" s="10" t="str">
        <f>garage!G164</f>
        <v>O</v>
      </c>
      <c r="H164" s="10" t="str">
        <f>garage!H164</f>
        <v>N</v>
      </c>
      <c r="I164" s="10" t="str">
        <f>garage!I164</f>
        <v>N</v>
      </c>
      <c r="J164" s="10" t="str">
        <f>garage!J164</f>
        <v>N</v>
      </c>
      <c r="K164" s="10" t="str">
        <f>garage!K164</f>
        <v>A</v>
      </c>
      <c r="L164" s="11" t="str">
        <f>garage!L164</f>
        <v>Techrules</v>
      </c>
      <c r="M164" s="11" t="str">
        <f>garage!M164</f>
        <v>AT96 track version</v>
      </c>
      <c r="O164" s="10">
        <v>3122</v>
      </c>
      <c r="P164" s="10">
        <v>3298</v>
      </c>
      <c r="Q164" s="10" t="s">
        <v>112</v>
      </c>
      <c r="R164" s="10" t="s">
        <v>112</v>
      </c>
      <c r="S164" s="10" t="s">
        <v>112</v>
      </c>
      <c r="T164" s="10" t="s">
        <v>112</v>
      </c>
      <c r="U164" s="10">
        <v>4444</v>
      </c>
    </row>
    <row r="165" spans="2:21" ht="18" customHeight="1" x14ac:dyDescent="0.2">
      <c r="B165" s="10">
        <f>garage!B165</f>
        <v>165</v>
      </c>
      <c r="C165" s="10">
        <f>garage!C165</f>
        <v>4</v>
      </c>
      <c r="D165" s="10">
        <f>garage!D165</f>
        <v>37</v>
      </c>
      <c r="E165" s="10">
        <f>garage!E165</f>
        <v>32</v>
      </c>
      <c r="F165" s="10" t="str">
        <f>garage!F165</f>
        <v>--</v>
      </c>
      <c r="G165" s="10" t="str">
        <f>garage!G165</f>
        <v>N</v>
      </c>
      <c r="H165" s="10" t="str">
        <f>garage!H165</f>
        <v>N</v>
      </c>
      <c r="I165" s="10" t="str">
        <f>garage!I165</f>
        <v>N</v>
      </c>
      <c r="J165" s="10" t="str">
        <f>garage!J165</f>
        <v>N</v>
      </c>
      <c r="K165" s="10" t="str">
        <f>garage!K165</f>
        <v>A</v>
      </c>
      <c r="L165" s="11" t="str">
        <f>garage!L165</f>
        <v>Noble</v>
      </c>
      <c r="M165" s="11" t="str">
        <f>garage!M165</f>
        <v>M600 Speedster</v>
      </c>
      <c r="O165" s="10">
        <v>3154</v>
      </c>
      <c r="P165" s="10">
        <v>3328</v>
      </c>
      <c r="Q165" s="10">
        <v>3535</v>
      </c>
      <c r="R165" s="10">
        <v>3723</v>
      </c>
      <c r="S165" s="10">
        <v>3975</v>
      </c>
      <c r="T165" s="10">
        <v>4224</v>
      </c>
      <c r="U165" s="10">
        <v>4464</v>
      </c>
    </row>
    <row r="166" spans="2:21" ht="18" customHeight="1" x14ac:dyDescent="0.2">
      <c r="B166" s="8">
        <f>garage!B166</f>
        <v>166</v>
      </c>
      <c r="C166" s="8">
        <f>garage!C166</f>
        <v>4</v>
      </c>
      <c r="D166" s="8">
        <f>garage!D166</f>
        <v>38</v>
      </c>
      <c r="E166" s="8">
        <f>garage!E166</f>
        <v>21</v>
      </c>
      <c r="F166" s="8" t="str">
        <f>garage!F166</f>
        <v>--</v>
      </c>
      <c r="G166" s="8" t="str">
        <f>garage!G166</f>
        <v>O</v>
      </c>
      <c r="H166" s="8" t="str">
        <f>garage!H166</f>
        <v>N</v>
      </c>
      <c r="I166" s="8" t="str">
        <f>garage!I166</f>
        <v>N</v>
      </c>
      <c r="J166" s="8" t="str">
        <f>garage!J166</f>
        <v>N</v>
      </c>
      <c r="K166" s="8" t="str">
        <f>garage!K166</f>
        <v>A</v>
      </c>
      <c r="L166" s="9" t="str">
        <f>garage!L166</f>
        <v>Rimac</v>
      </c>
      <c r="M166" s="9" t="str">
        <f>garage!M166</f>
        <v>Concept_One</v>
      </c>
      <c r="O166" s="44">
        <v>3176</v>
      </c>
      <c r="P166" s="44">
        <v>3348</v>
      </c>
      <c r="Q166" s="44" t="s">
        <v>112</v>
      </c>
      <c r="R166" s="44" t="s">
        <v>112</v>
      </c>
      <c r="S166" s="44" t="s">
        <v>112</v>
      </c>
      <c r="T166" s="44" t="s">
        <v>112</v>
      </c>
      <c r="U166" s="44">
        <v>4480</v>
      </c>
    </row>
    <row r="167" spans="2:21" ht="18" customHeight="1" x14ac:dyDescent="0.2">
      <c r="B167" s="10">
        <f>garage!B167</f>
        <v>167</v>
      </c>
      <c r="C167" s="10">
        <f>garage!C167</f>
        <v>4</v>
      </c>
      <c r="D167" s="10">
        <f>garage!D167</f>
        <v>39</v>
      </c>
      <c r="E167" s="10">
        <f>garage!E167</f>
        <v>14</v>
      </c>
      <c r="F167" s="10" t="str">
        <f>garage!F167</f>
        <v>AM</v>
      </c>
      <c r="G167" s="10" t="str">
        <f>garage!G167</f>
        <v>O</v>
      </c>
      <c r="H167" s="10" t="str">
        <f>garage!H167</f>
        <v>O</v>
      </c>
      <c r="I167" s="10" t="str">
        <f>garage!I167</f>
        <v>N</v>
      </c>
      <c r="J167" s="10" t="str">
        <f>garage!J167</f>
        <v>N</v>
      </c>
      <c r="K167" s="10" t="str">
        <f>garage!K167</f>
        <v>A</v>
      </c>
      <c r="L167" s="11" t="str">
        <f>garage!L167</f>
        <v>Aston Martin</v>
      </c>
      <c r="M167" s="11" t="str">
        <f>garage!M167</f>
        <v>Valhalla Concept Car</v>
      </c>
      <c r="O167" s="10">
        <v>3232</v>
      </c>
      <c r="P167" s="10">
        <v>3403</v>
      </c>
      <c r="Q167" s="10" t="s">
        <v>112</v>
      </c>
      <c r="R167" s="10" t="s">
        <v>112</v>
      </c>
      <c r="S167" s="10" t="s">
        <v>112</v>
      </c>
      <c r="T167" s="10" t="s">
        <v>112</v>
      </c>
      <c r="U167" s="10">
        <v>4517</v>
      </c>
    </row>
    <row r="168" spans="2:21" ht="18" customHeight="1" x14ac:dyDescent="0.2">
      <c r="B168" s="8">
        <f>garage!B168</f>
        <v>168</v>
      </c>
      <c r="C168" s="8">
        <f>garage!C168</f>
        <v>4</v>
      </c>
      <c r="D168" s="8">
        <f>garage!D168</f>
        <v>40</v>
      </c>
      <c r="E168" s="8">
        <f>garage!E168</f>
        <v>18</v>
      </c>
      <c r="F168" s="8" t="str">
        <f>garage!F168</f>
        <v>--</v>
      </c>
      <c r="G168" s="8" t="str">
        <f>garage!G168</f>
        <v>O</v>
      </c>
      <c r="H168" s="8" t="str">
        <f>garage!H168</f>
        <v>N</v>
      </c>
      <c r="I168" s="8" t="str">
        <f>garage!I168</f>
        <v>N</v>
      </c>
      <c r="J168" s="8" t="str">
        <f>garage!J168</f>
        <v>N</v>
      </c>
      <c r="K168" s="8" t="str">
        <f>garage!K168</f>
        <v>A</v>
      </c>
      <c r="L168" s="9" t="str">
        <f>garage!L168</f>
        <v>Pagani</v>
      </c>
      <c r="M168" s="9" t="str">
        <f>garage!M168</f>
        <v>Imola</v>
      </c>
      <c r="O168" s="44">
        <v>3254</v>
      </c>
      <c r="P168" s="44">
        <v>3430</v>
      </c>
      <c r="Q168" s="44" t="s">
        <v>112</v>
      </c>
      <c r="R168" s="44" t="s">
        <v>112</v>
      </c>
      <c r="S168" s="44" t="s">
        <v>112</v>
      </c>
      <c r="T168" s="44" t="s">
        <v>112</v>
      </c>
      <c r="U168" s="44">
        <v>4545</v>
      </c>
    </row>
    <row r="169" spans="2:21" ht="18" customHeight="1" x14ac:dyDescent="0.2">
      <c r="B169" s="10">
        <f>garage!B169</f>
        <v>169</v>
      </c>
      <c r="C169" s="10">
        <f>garage!C169</f>
        <v>4</v>
      </c>
      <c r="D169" s="10">
        <f>garage!D169</f>
        <v>41</v>
      </c>
      <c r="E169" s="10">
        <f>garage!E169</f>
        <v>30</v>
      </c>
      <c r="F169" s="10" t="str">
        <f>garage!F169</f>
        <v>--</v>
      </c>
      <c r="G169" s="10" t="str">
        <f>garage!G169</f>
        <v>N</v>
      </c>
      <c r="H169" s="10" t="str">
        <f>garage!H169</f>
        <v>N</v>
      </c>
      <c r="I169" s="10" t="str">
        <f>garage!I169</f>
        <v>N</v>
      </c>
      <c r="J169" s="10" t="str">
        <f>garage!J169</f>
        <v>N</v>
      </c>
      <c r="K169" s="10" t="str">
        <f>garage!K169</f>
        <v>A</v>
      </c>
      <c r="L169" s="11" t="str">
        <f>garage!L169</f>
        <v>Jaguar</v>
      </c>
      <c r="M169" s="11" t="str">
        <f>garage!M169</f>
        <v>XJR-9</v>
      </c>
      <c r="O169" s="10">
        <v>3261</v>
      </c>
      <c r="P169" s="10">
        <v>3433</v>
      </c>
      <c r="Q169" s="10"/>
      <c r="R169" s="10"/>
      <c r="S169" s="10"/>
      <c r="T169" s="10"/>
      <c r="U169" s="10"/>
    </row>
    <row r="170" spans="2:21" ht="18" customHeight="1" x14ac:dyDescent="0.2">
      <c r="B170" s="8">
        <f>garage!B170</f>
        <v>170</v>
      </c>
      <c r="C170" s="8">
        <f>garage!C170</f>
        <v>4</v>
      </c>
      <c r="D170" s="8">
        <f>garage!D170</f>
        <v>42</v>
      </c>
      <c r="E170" s="8">
        <f>garage!E170</f>
        <v>25</v>
      </c>
      <c r="F170" s="8" t="str">
        <f>garage!F170</f>
        <v>L</v>
      </c>
      <c r="G170" s="8" t="str">
        <f>garage!G170</f>
        <v>N</v>
      </c>
      <c r="H170" s="8" t="str">
        <f>garage!H170</f>
        <v>N</v>
      </c>
      <c r="I170" s="8" t="str">
        <f>garage!I170</f>
        <v>N</v>
      </c>
      <c r="J170" s="8" t="str">
        <f>garage!J170</f>
        <v>N</v>
      </c>
      <c r="K170" s="8" t="str">
        <f>garage!K170</f>
        <v>A</v>
      </c>
      <c r="L170" s="9" t="str">
        <f>garage!L170</f>
        <v>Lamborghini</v>
      </c>
      <c r="M170" s="9" t="str">
        <f>garage!M170</f>
        <v>Countach LPI 800-4</v>
      </c>
      <c r="O170" s="44">
        <v>3266</v>
      </c>
      <c r="P170" s="44">
        <v>3439</v>
      </c>
      <c r="Q170" s="44" t="s">
        <v>112</v>
      </c>
      <c r="R170" s="44" t="s">
        <v>112</v>
      </c>
      <c r="S170" s="44" t="s">
        <v>112</v>
      </c>
      <c r="T170" s="44" t="s">
        <v>112</v>
      </c>
      <c r="U170" s="44">
        <v>4559</v>
      </c>
    </row>
    <row r="171" spans="2:21" ht="18" customHeight="1" x14ac:dyDescent="0.2">
      <c r="B171" s="10">
        <f>garage!B171</f>
        <v>171</v>
      </c>
      <c r="C171" s="10">
        <f>garage!C171</f>
        <v>4</v>
      </c>
      <c r="D171" s="10">
        <f>garage!D171</f>
        <v>43</v>
      </c>
      <c r="E171" s="10">
        <f>garage!E171</f>
        <v>31</v>
      </c>
      <c r="F171" s="10" t="str">
        <f>garage!F171</f>
        <v>--</v>
      </c>
      <c r="G171" s="10" t="str">
        <f>garage!G171</f>
        <v>N</v>
      </c>
      <c r="H171" s="10" t="str">
        <f>garage!H171</f>
        <v>N</v>
      </c>
      <c r="I171" s="10" t="str">
        <f>garage!I171</f>
        <v>N</v>
      </c>
      <c r="J171" s="10" t="str">
        <f>garage!J171</f>
        <v>N</v>
      </c>
      <c r="K171" s="10" t="str">
        <f>garage!K171</f>
        <v>A</v>
      </c>
      <c r="L171" s="11" t="str">
        <f>garage!L171</f>
        <v>De Tomaso</v>
      </c>
      <c r="M171" s="11" t="str">
        <f>garage!M171</f>
        <v>P72</v>
      </c>
      <c r="O171" s="10">
        <v>3288</v>
      </c>
      <c r="P171" s="10">
        <v>3463</v>
      </c>
      <c r="Q171" s="10">
        <v>3666</v>
      </c>
      <c r="R171" s="10">
        <v>3854</v>
      </c>
      <c r="S171" s="10">
        <v>4100</v>
      </c>
      <c r="T171" s="10">
        <v>4348</v>
      </c>
      <c r="U171" s="10">
        <v>4586</v>
      </c>
    </row>
    <row r="172" spans="2:21" ht="18" customHeight="1" x14ac:dyDescent="0.2">
      <c r="B172" s="8">
        <f>garage!B172</f>
        <v>172</v>
      </c>
      <c r="C172" s="8">
        <f>garage!C172</f>
        <v>4</v>
      </c>
      <c r="D172" s="8">
        <f>garage!D172</f>
        <v>99</v>
      </c>
      <c r="E172" s="8">
        <f>garage!E172</f>
        <v>20</v>
      </c>
      <c r="F172" s="8" t="str">
        <f>garage!F172</f>
        <v>--</v>
      </c>
      <c r="G172" s="8" t="str">
        <f>garage!G172</f>
        <v>N</v>
      </c>
      <c r="H172" s="8" t="str">
        <f>garage!H172</f>
        <v>N</v>
      </c>
      <c r="I172" s="8" t="str">
        <f>garage!I172</f>
        <v>N</v>
      </c>
      <c r="J172" s="8" t="str">
        <f>garage!J172</f>
        <v>N</v>
      </c>
      <c r="K172" s="8" t="str">
        <f>garage!K172</f>
        <v>A</v>
      </c>
      <c r="L172" s="9" t="str">
        <f>garage!L172</f>
        <v>Lego Technic McLaren</v>
      </c>
      <c r="M172" s="9" t="str">
        <f>garage!M172</f>
        <v>Senna GTR</v>
      </c>
      <c r="O172" s="44">
        <v>2594</v>
      </c>
      <c r="P172" s="44">
        <v>2736</v>
      </c>
      <c r="Q172" s="44" t="s">
        <v>112</v>
      </c>
      <c r="R172" s="44" t="s">
        <v>112</v>
      </c>
      <c r="S172" s="44" t="s">
        <v>112</v>
      </c>
      <c r="T172" s="44" t="s">
        <v>112</v>
      </c>
      <c r="U172" s="44"/>
    </row>
    <row r="173" spans="2:21" ht="18" customHeight="1" x14ac:dyDescent="0.2">
      <c r="B173" s="10">
        <f>garage!B173</f>
        <v>173</v>
      </c>
      <c r="C173" s="10">
        <f>garage!C173</f>
        <v>5</v>
      </c>
      <c r="D173" s="10">
        <f>garage!D173</f>
        <v>1</v>
      </c>
      <c r="E173" s="10">
        <f>garage!E173</f>
        <v>0</v>
      </c>
      <c r="F173" s="10" t="str">
        <f>garage!F173</f>
        <v>L</v>
      </c>
      <c r="G173" s="10" t="str">
        <f>garage!G173</f>
        <v>O</v>
      </c>
      <c r="H173" s="10" t="str">
        <f>garage!H173</f>
        <v>O</v>
      </c>
      <c r="I173" s="10" t="str">
        <f>garage!I173</f>
        <v>O</v>
      </c>
      <c r="J173" s="10" t="str">
        <f>garage!J173</f>
        <v>N</v>
      </c>
      <c r="K173" s="10" t="str">
        <f>garage!K173</f>
        <v>S</v>
      </c>
      <c r="L173" s="11" t="str">
        <f>garage!L173</f>
        <v>Lamborghini</v>
      </c>
      <c r="M173" s="11" t="str">
        <f>garage!M173</f>
        <v>Centenario</v>
      </c>
      <c r="O173" s="10">
        <v>2702</v>
      </c>
      <c r="P173" s="10">
        <v>2847</v>
      </c>
      <c r="Q173" s="10">
        <v>3017</v>
      </c>
      <c r="R173" s="10">
        <v>3177</v>
      </c>
      <c r="S173" s="10">
        <v>3436</v>
      </c>
      <c r="T173" s="10">
        <v>3709</v>
      </c>
      <c r="U173" s="10" t="s">
        <v>112</v>
      </c>
    </row>
    <row r="174" spans="2:21" ht="18" customHeight="1" x14ac:dyDescent="0.2">
      <c r="B174" s="8">
        <f>garage!B174</f>
        <v>174</v>
      </c>
      <c r="C174" s="8">
        <f>garage!C174</f>
        <v>5</v>
      </c>
      <c r="D174" s="8">
        <f>garage!D174</f>
        <v>2</v>
      </c>
      <c r="E174" s="8">
        <f>garage!E174</f>
        <v>0</v>
      </c>
      <c r="F174" s="8" t="str">
        <f>garage!F174</f>
        <v>F</v>
      </c>
      <c r="G174" s="8" t="str">
        <f>garage!G174</f>
        <v>O</v>
      </c>
      <c r="H174" s="8" t="str">
        <f>garage!H174</f>
        <v>O</v>
      </c>
      <c r="I174" s="8" t="str">
        <f>garage!I174</f>
        <v>O</v>
      </c>
      <c r="J174" s="8" t="str">
        <f>garage!J174</f>
        <v>N</v>
      </c>
      <c r="K174" s="8" t="str">
        <f>garage!K174</f>
        <v>S</v>
      </c>
      <c r="L174" s="9" t="str">
        <f>garage!L174</f>
        <v>Ferrari</v>
      </c>
      <c r="M174" s="9" t="str">
        <f>garage!M174</f>
        <v>FXX K</v>
      </c>
      <c r="O174" s="44">
        <v>2804</v>
      </c>
      <c r="P174" s="44">
        <v>2949</v>
      </c>
      <c r="Q174" s="44">
        <v>3120</v>
      </c>
      <c r="R174" s="44">
        <v>3298</v>
      </c>
      <c r="S174" s="44">
        <v>3563</v>
      </c>
      <c r="T174" s="44">
        <v>3832</v>
      </c>
      <c r="U174" s="44" t="s">
        <v>112</v>
      </c>
    </row>
    <row r="175" spans="2:21" ht="18" customHeight="1" x14ac:dyDescent="0.2">
      <c r="B175" s="10">
        <f>garage!B175</f>
        <v>175</v>
      </c>
      <c r="C175" s="10">
        <f>garage!C175</f>
        <v>5</v>
      </c>
      <c r="D175" s="10">
        <f>garage!D175</f>
        <v>3</v>
      </c>
      <c r="E175" s="10">
        <f>garage!E175</f>
        <v>0</v>
      </c>
      <c r="F175" s="10" t="str">
        <f>garage!F175</f>
        <v>--</v>
      </c>
      <c r="G175" s="10" t="str">
        <f>garage!G175</f>
        <v>O</v>
      </c>
      <c r="H175" s="10" t="str">
        <f>garage!H175</f>
        <v>O</v>
      </c>
      <c r="I175" s="10" t="str">
        <f>garage!I175</f>
        <v>O</v>
      </c>
      <c r="J175" s="10" t="str">
        <f>garage!J175</f>
        <v>N</v>
      </c>
      <c r="K175" s="10" t="str">
        <f>garage!K175</f>
        <v>S</v>
      </c>
      <c r="L175" s="11" t="str">
        <f>garage!L175</f>
        <v>Icona</v>
      </c>
      <c r="M175" s="11" t="str">
        <f>garage!M175</f>
        <v>Vulcano Titanium</v>
      </c>
      <c r="O175" s="10">
        <v>2907</v>
      </c>
      <c r="P175" s="10">
        <v>3058</v>
      </c>
      <c r="Q175" s="10">
        <v>3238</v>
      </c>
      <c r="R175" s="10">
        <v>3412</v>
      </c>
      <c r="S175" s="10">
        <v>3682</v>
      </c>
      <c r="T175" s="10">
        <v>3957</v>
      </c>
      <c r="U175" s="10" t="s">
        <v>112</v>
      </c>
    </row>
    <row r="176" spans="2:21" ht="18" customHeight="1" x14ac:dyDescent="0.2">
      <c r="B176" s="8">
        <f>garage!B176</f>
        <v>176</v>
      </c>
      <c r="C176" s="8">
        <f>garage!C176</f>
        <v>5</v>
      </c>
      <c r="D176" s="8">
        <f>garage!D176</f>
        <v>4</v>
      </c>
      <c r="E176" s="8">
        <f>garage!E176</f>
        <v>0</v>
      </c>
      <c r="F176" s="8" t="str">
        <f>garage!F176</f>
        <v>--</v>
      </c>
      <c r="G176" s="8" t="str">
        <f>garage!G176</f>
        <v>O</v>
      </c>
      <c r="H176" s="8" t="str">
        <f>garage!H176</f>
        <v>O</v>
      </c>
      <c r="I176" s="8" t="str">
        <f>garage!I176</f>
        <v>O</v>
      </c>
      <c r="J176" s="8" t="str">
        <f>garage!J176</f>
        <v>N</v>
      </c>
      <c r="K176" s="8" t="str">
        <f>garage!K176</f>
        <v>S</v>
      </c>
      <c r="L176" s="9" t="str">
        <f>garage!L176</f>
        <v>W Motors</v>
      </c>
      <c r="M176" s="9" t="str">
        <f>garage!M176</f>
        <v>Lykan Hypersport</v>
      </c>
      <c r="O176" s="44">
        <v>3013</v>
      </c>
      <c r="P176" s="44">
        <v>3168</v>
      </c>
      <c r="Q176" s="44">
        <v>3346</v>
      </c>
      <c r="R176" s="44">
        <v>3524</v>
      </c>
      <c r="S176" s="44">
        <v>3800</v>
      </c>
      <c r="T176" s="44">
        <v>4083</v>
      </c>
      <c r="U176" s="44" t="s">
        <v>112</v>
      </c>
    </row>
    <row r="177" spans="2:21" ht="18" customHeight="1" x14ac:dyDescent="0.2">
      <c r="B177" s="10">
        <f>garage!B177</f>
        <v>177</v>
      </c>
      <c r="C177" s="10">
        <f>garage!C177</f>
        <v>5</v>
      </c>
      <c r="D177" s="10">
        <f>garage!D177</f>
        <v>5</v>
      </c>
      <c r="E177" s="10">
        <f>garage!E177</f>
        <v>21</v>
      </c>
      <c r="F177" s="10" t="str">
        <f>garage!F177</f>
        <v>--</v>
      </c>
      <c r="G177" s="10" t="str">
        <f>garage!G177</f>
        <v>N</v>
      </c>
      <c r="H177" s="10" t="str">
        <f>garage!H177</f>
        <v>N</v>
      </c>
      <c r="I177" s="10" t="str">
        <f>garage!I177</f>
        <v>N</v>
      </c>
      <c r="J177" s="10" t="str">
        <f>garage!J177</f>
        <v>N</v>
      </c>
      <c r="K177" s="10" t="str">
        <f>garage!K177</f>
        <v>S</v>
      </c>
      <c r="L177" s="11" t="str">
        <f>garage!L177</f>
        <v>Raesr</v>
      </c>
      <c r="M177" s="11" t="str">
        <f>garage!M177</f>
        <v>Tachyon Speed</v>
      </c>
      <c r="O177" s="10">
        <v>3035</v>
      </c>
      <c r="P177" s="10">
        <v>3174</v>
      </c>
      <c r="Q177" s="10">
        <v>3340</v>
      </c>
      <c r="R177" s="10">
        <v>3516</v>
      </c>
      <c r="S177" s="10">
        <v>3697</v>
      </c>
      <c r="T177" s="10">
        <v>3905</v>
      </c>
      <c r="U177" s="10">
        <v>4109</v>
      </c>
    </row>
    <row r="178" spans="2:21" ht="18" customHeight="1" x14ac:dyDescent="0.2">
      <c r="B178" s="8">
        <f>garage!B178</f>
        <v>178</v>
      </c>
      <c r="C178" s="8">
        <f>garage!C178</f>
        <v>5</v>
      </c>
      <c r="D178" s="8">
        <f>garage!D178</f>
        <v>6</v>
      </c>
      <c r="E178" s="8">
        <f>garage!E178</f>
        <v>12</v>
      </c>
      <c r="F178" s="8" t="str">
        <f>garage!F178</f>
        <v>L</v>
      </c>
      <c r="G178" s="8" t="str">
        <f>garage!G178</f>
        <v>O</v>
      </c>
      <c r="H178" s="8" t="str">
        <f>garage!H178</f>
        <v>O</v>
      </c>
      <c r="I178" s="8" t="str">
        <f>garage!I178</f>
        <v>O</v>
      </c>
      <c r="J178" s="8" t="str">
        <f>garage!J178</f>
        <v>N</v>
      </c>
      <c r="K178" s="8" t="str">
        <f>garage!K178</f>
        <v>S</v>
      </c>
      <c r="L178" s="9" t="str">
        <f>garage!L178</f>
        <v>Lamborghini</v>
      </c>
      <c r="M178" s="9" t="str">
        <f>garage!M178</f>
        <v>Veneno</v>
      </c>
      <c r="O178" s="44">
        <v>3067</v>
      </c>
      <c r="P178" s="44">
        <v>3208</v>
      </c>
      <c r="Q178" s="44">
        <v>3374</v>
      </c>
      <c r="R178" s="44">
        <v>3548</v>
      </c>
      <c r="S178" s="44">
        <v>3731</v>
      </c>
      <c r="T178" s="44">
        <v>3941</v>
      </c>
      <c r="U178" s="44">
        <v>4148</v>
      </c>
    </row>
    <row r="179" spans="2:21" ht="18" customHeight="1" x14ac:dyDescent="0.2">
      <c r="B179" s="10">
        <f>garage!B179</f>
        <v>179</v>
      </c>
      <c r="C179" s="10">
        <f>garage!C179</f>
        <v>5</v>
      </c>
      <c r="D179" s="10">
        <f>garage!D179</f>
        <v>7</v>
      </c>
      <c r="E179" s="10">
        <f>garage!E179</f>
        <v>23</v>
      </c>
      <c r="F179" s="10" t="str">
        <f>garage!F179</f>
        <v>--</v>
      </c>
      <c r="G179" s="10" t="str">
        <f>garage!G179</f>
        <v>N</v>
      </c>
      <c r="H179" s="10" t="str">
        <f>garage!H179</f>
        <v>N</v>
      </c>
      <c r="I179" s="10" t="str">
        <f>garage!I179</f>
        <v>N</v>
      </c>
      <c r="J179" s="10" t="str">
        <f>garage!J179</f>
        <v>N</v>
      </c>
      <c r="K179" s="10" t="str">
        <f>garage!K179</f>
        <v>S</v>
      </c>
      <c r="L179" s="11" t="str">
        <f>garage!L179</f>
        <v>Jaguar</v>
      </c>
      <c r="M179" s="11" t="str">
        <f>garage!M179</f>
        <v>XJ220S TWR</v>
      </c>
      <c r="O179" s="10">
        <v>3089</v>
      </c>
      <c r="P179" s="10">
        <v>3229</v>
      </c>
      <c r="Q179" s="10">
        <v>3396</v>
      </c>
      <c r="R179" s="10">
        <v>3573</v>
      </c>
      <c r="S179" s="10">
        <v>3758</v>
      </c>
      <c r="T179" s="10">
        <v>3973</v>
      </c>
      <c r="U179" s="10">
        <v>4173</v>
      </c>
    </row>
    <row r="180" spans="2:21" ht="18" customHeight="1" x14ac:dyDescent="0.2">
      <c r="B180" s="8">
        <f>garage!B180</f>
        <v>180</v>
      </c>
      <c r="C180" s="8">
        <f>garage!C180</f>
        <v>5</v>
      </c>
      <c r="D180" s="8">
        <f>garage!D180</f>
        <v>8</v>
      </c>
      <c r="E180" s="8">
        <f>garage!E180</f>
        <v>0</v>
      </c>
      <c r="F180" s="8" t="str">
        <f>garage!F180</f>
        <v>L</v>
      </c>
      <c r="G180" s="8" t="str">
        <f>garage!G180</f>
        <v>O</v>
      </c>
      <c r="H180" s="8" t="str">
        <f>garage!H180</f>
        <v>O</v>
      </c>
      <c r="I180" s="8" t="str">
        <f>garage!I180</f>
        <v>O</v>
      </c>
      <c r="J180" s="8" t="str">
        <f>garage!J180</f>
        <v>N</v>
      </c>
      <c r="K180" s="8" t="str">
        <f>garage!K180</f>
        <v>S</v>
      </c>
      <c r="L180" s="9" t="str">
        <f>garage!L180</f>
        <v>Lamborghini</v>
      </c>
      <c r="M180" s="9" t="str">
        <f>garage!M180</f>
        <v>Egoista</v>
      </c>
      <c r="O180" s="44">
        <v>3122</v>
      </c>
      <c r="P180" s="44">
        <v>3267</v>
      </c>
      <c r="Q180" s="44">
        <v>3428</v>
      </c>
      <c r="R180" s="44">
        <v>3605</v>
      </c>
      <c r="S180" s="44">
        <v>3789</v>
      </c>
      <c r="T180" s="44">
        <v>4010</v>
      </c>
      <c r="U180" s="44">
        <v>4213</v>
      </c>
    </row>
    <row r="181" spans="2:21" ht="18" customHeight="1" x14ac:dyDescent="0.2">
      <c r="B181" s="10">
        <f>garage!B181</f>
        <v>181</v>
      </c>
      <c r="C181" s="10">
        <f>garage!C181</f>
        <v>5</v>
      </c>
      <c r="D181" s="10">
        <f>garage!D181</f>
        <v>9</v>
      </c>
      <c r="E181" s="10">
        <f>garage!E181</f>
        <v>28</v>
      </c>
      <c r="F181" s="10" t="str">
        <f>garage!F181</f>
        <v>--</v>
      </c>
      <c r="G181" s="10" t="str">
        <f>garage!G181</f>
        <v>N</v>
      </c>
      <c r="H181" s="10" t="str">
        <f>garage!H181</f>
        <v>N</v>
      </c>
      <c r="I181" s="10" t="str">
        <f>garage!I181</f>
        <v>N</v>
      </c>
      <c r="J181" s="10" t="str">
        <f>garage!J181</f>
        <v>N</v>
      </c>
      <c r="K181" s="10" t="str">
        <f>garage!K181</f>
        <v>S</v>
      </c>
      <c r="L181" s="11" t="str">
        <f>garage!L181</f>
        <v>Chrysler</v>
      </c>
      <c r="M181" s="11" t="str">
        <f>garage!M181</f>
        <v>ME412</v>
      </c>
      <c r="O181" s="10">
        <v>3165</v>
      </c>
      <c r="P181" s="10">
        <v>3303</v>
      </c>
      <c r="Q181" s="10" t="s">
        <v>112</v>
      </c>
      <c r="R181" s="10" t="s">
        <v>112</v>
      </c>
      <c r="S181" s="10" t="s">
        <v>112</v>
      </c>
      <c r="T181" s="10" t="s">
        <v>112</v>
      </c>
      <c r="U181" s="10">
        <v>4241</v>
      </c>
    </row>
    <row r="182" spans="2:21" ht="18" customHeight="1" x14ac:dyDescent="0.2">
      <c r="B182" s="8">
        <f>garage!B182</f>
        <v>182</v>
      </c>
      <c r="C182" s="8">
        <f>garage!C182</f>
        <v>5</v>
      </c>
      <c r="D182" s="8">
        <f>garage!D182</f>
        <v>10</v>
      </c>
      <c r="E182" s="8">
        <f>garage!E182</f>
        <v>0</v>
      </c>
      <c r="F182" s="8" t="str">
        <f>garage!F182</f>
        <v>--</v>
      </c>
      <c r="G182" s="8" t="str">
        <f>garage!G182</f>
        <v>O</v>
      </c>
      <c r="H182" s="8" t="str">
        <f>garage!H182</f>
        <v>O</v>
      </c>
      <c r="I182" s="8" t="str">
        <f>garage!I182</f>
        <v>O</v>
      </c>
      <c r="J182" s="8" t="str">
        <f>garage!J182</f>
        <v>N</v>
      </c>
      <c r="K182" s="8" t="str">
        <f>garage!K182</f>
        <v>S</v>
      </c>
      <c r="L182" s="9" t="str">
        <f>garage!L182</f>
        <v>Trion</v>
      </c>
      <c r="M182" s="9" t="str">
        <f>garage!M182</f>
        <v>Nemesis</v>
      </c>
      <c r="O182" s="44">
        <v>3232</v>
      </c>
      <c r="P182" s="44">
        <v>3380</v>
      </c>
      <c r="Q182" s="44">
        <v>3547</v>
      </c>
      <c r="R182" s="44">
        <v>3729</v>
      </c>
      <c r="S182" s="44">
        <v>3917</v>
      </c>
      <c r="T182" s="44">
        <v>4143</v>
      </c>
      <c r="U182" s="44">
        <v>4344</v>
      </c>
    </row>
    <row r="183" spans="2:21" ht="18" customHeight="1" x14ac:dyDescent="0.2">
      <c r="B183" s="10">
        <f>garage!B183</f>
        <v>183</v>
      </c>
      <c r="C183" s="10">
        <f>garage!C183</f>
        <v>5</v>
      </c>
      <c r="D183" s="10">
        <f>garage!D183</f>
        <v>11</v>
      </c>
      <c r="E183" s="10">
        <f>garage!E183</f>
        <v>29</v>
      </c>
      <c r="F183" s="10" t="str">
        <f>garage!F183</f>
        <v>--</v>
      </c>
      <c r="G183" s="10" t="str">
        <f>garage!G183</f>
        <v>N</v>
      </c>
      <c r="H183" s="10" t="str">
        <f>garage!H183</f>
        <v>N</v>
      </c>
      <c r="I183" s="10" t="str">
        <f>garage!I183</f>
        <v>N</v>
      </c>
      <c r="J183" s="10" t="str">
        <f>garage!J183</f>
        <v>N</v>
      </c>
      <c r="K183" s="10" t="str">
        <f>garage!K183</f>
        <v>S</v>
      </c>
      <c r="L183" s="11" t="str">
        <f>garage!L183</f>
        <v>Spania GTA</v>
      </c>
      <c r="M183" s="11" t="str">
        <f>garage!M183</f>
        <v>2015 GTA Spano</v>
      </c>
      <c r="O183" s="10">
        <v>3266</v>
      </c>
      <c r="P183" s="10">
        <v>3408</v>
      </c>
      <c r="Q183" s="10" t="s">
        <v>112</v>
      </c>
      <c r="R183" s="10" t="s">
        <v>112</v>
      </c>
      <c r="S183" s="10" t="s">
        <v>112</v>
      </c>
      <c r="T183" s="10" t="s">
        <v>112</v>
      </c>
      <c r="U183" s="10">
        <v>4373</v>
      </c>
    </row>
    <row r="184" spans="2:21" ht="18" customHeight="1" x14ac:dyDescent="0.2">
      <c r="B184" s="8">
        <f>garage!B184</f>
        <v>184</v>
      </c>
      <c r="C184" s="8">
        <f>garage!C184</f>
        <v>5</v>
      </c>
      <c r="D184" s="8">
        <f>garage!D184</f>
        <v>12</v>
      </c>
      <c r="E184" s="8">
        <f>garage!E184</f>
        <v>15</v>
      </c>
      <c r="F184" s="8" t="str">
        <f>garage!F184</f>
        <v>F</v>
      </c>
      <c r="G184" s="8" t="str">
        <f>garage!G184</f>
        <v>O</v>
      </c>
      <c r="H184" s="8" t="str">
        <f>garage!H184</f>
        <v>N</v>
      </c>
      <c r="I184" s="8" t="str">
        <f>garage!I184</f>
        <v>N</v>
      </c>
      <c r="J184" s="8" t="str">
        <f>garage!J184</f>
        <v>N</v>
      </c>
      <c r="K184" s="8" t="str">
        <f>garage!K184</f>
        <v>S</v>
      </c>
      <c r="L184" s="9" t="str">
        <f>garage!L184</f>
        <v>Ferrari</v>
      </c>
      <c r="M184" s="9" t="str">
        <f>garage!M184</f>
        <v>SF90 Stradale</v>
      </c>
      <c r="O184" s="44">
        <v>2928</v>
      </c>
      <c r="P184" s="44">
        <v>3124</v>
      </c>
      <c r="Q184" s="44">
        <v>3350</v>
      </c>
      <c r="R184" s="44">
        <v>3587</v>
      </c>
      <c r="S184" s="44">
        <v>3832</v>
      </c>
      <c r="T184" s="44">
        <v>4117</v>
      </c>
      <c r="U184" s="44">
        <v>4395</v>
      </c>
    </row>
    <row r="185" spans="2:21" ht="18" customHeight="1" x14ac:dyDescent="0.2">
      <c r="B185" s="10">
        <f>garage!B185</f>
        <v>185</v>
      </c>
      <c r="C185" s="10">
        <f>garage!C185</f>
        <v>5</v>
      </c>
      <c r="D185" s="10">
        <f>garage!D185</f>
        <v>13</v>
      </c>
      <c r="E185" s="10">
        <f>garage!E185</f>
        <v>30</v>
      </c>
      <c r="F185" s="10" t="str">
        <f>garage!F185</f>
        <v>--</v>
      </c>
      <c r="G185" s="10" t="str">
        <f>garage!G185</f>
        <v>N</v>
      </c>
      <c r="H185" s="10" t="str">
        <f>garage!H185</f>
        <v>N</v>
      </c>
      <c r="I185" s="10" t="str">
        <f>garage!I185</f>
        <v>N</v>
      </c>
      <c r="J185" s="10" t="str">
        <f>garage!J185</f>
        <v>N</v>
      </c>
      <c r="K185" s="10" t="str">
        <f>garage!K185</f>
        <v>S</v>
      </c>
      <c r="L185" s="11" t="str">
        <f>garage!L185</f>
        <v>FV Frangivento</v>
      </c>
      <c r="M185" s="11" t="str">
        <f>garage!M185</f>
        <v>Sorpasso GT3</v>
      </c>
      <c r="O185" s="10" t="s">
        <v>112</v>
      </c>
      <c r="P185" s="10">
        <v>3420</v>
      </c>
      <c r="Q185" s="10" t="s">
        <v>112</v>
      </c>
      <c r="R185" s="10" t="s">
        <v>112</v>
      </c>
      <c r="S185" s="10" t="s">
        <v>112</v>
      </c>
      <c r="T185" s="10" t="s">
        <v>112</v>
      </c>
      <c r="U185" s="10" t="s">
        <v>112</v>
      </c>
    </row>
    <row r="186" spans="2:21" ht="18" customHeight="1" x14ac:dyDescent="0.2">
      <c r="B186" s="8">
        <f>garage!B186</f>
        <v>186</v>
      </c>
      <c r="C186" s="8">
        <f>garage!C186</f>
        <v>5</v>
      </c>
      <c r="D186" s="8">
        <f>garage!D186</f>
        <v>14</v>
      </c>
      <c r="E186" s="8">
        <f>garage!E186</f>
        <v>7</v>
      </c>
      <c r="F186" s="8" t="str">
        <f>garage!F186</f>
        <v>M</v>
      </c>
      <c r="G186" s="8" t="str">
        <f>garage!G186</f>
        <v>O</v>
      </c>
      <c r="H186" s="8" t="str">
        <f>garage!H186</f>
        <v>N</v>
      </c>
      <c r="I186" s="8" t="str">
        <f>garage!I186</f>
        <v>N</v>
      </c>
      <c r="J186" s="8" t="str">
        <f>garage!J186</f>
        <v>N</v>
      </c>
      <c r="K186" s="8" t="str">
        <f>garage!K186</f>
        <v>S</v>
      </c>
      <c r="L186" s="9" t="str">
        <f>garage!L186</f>
        <v>McLaren</v>
      </c>
      <c r="M186" s="9" t="str">
        <f>garage!M186</f>
        <v>Senna</v>
      </c>
      <c r="O186" s="44">
        <v>2855</v>
      </c>
      <c r="P186" s="44">
        <v>3058</v>
      </c>
      <c r="Q186" s="44">
        <v>3297</v>
      </c>
      <c r="R186" s="44">
        <v>3552</v>
      </c>
      <c r="S186" s="44">
        <v>3812</v>
      </c>
      <c r="T186" s="44">
        <v>4112</v>
      </c>
      <c r="U186" s="44">
        <v>4406</v>
      </c>
    </row>
    <row r="187" spans="2:21" ht="18" customHeight="1" x14ac:dyDescent="0.2">
      <c r="B187" s="10">
        <f>garage!B187</f>
        <v>187</v>
      </c>
      <c r="C187" s="10">
        <f>garage!C187</f>
        <v>5</v>
      </c>
      <c r="D187" s="10">
        <f>garage!D187</f>
        <v>15</v>
      </c>
      <c r="E187" s="10">
        <f>garage!E187</f>
        <v>20</v>
      </c>
      <c r="F187" s="10" t="str">
        <f>garage!F187</f>
        <v>B</v>
      </c>
      <c r="G187" s="10" t="str">
        <f>garage!G187</f>
        <v>N</v>
      </c>
      <c r="H187" s="10" t="str">
        <f>garage!H187</f>
        <v>N</v>
      </c>
      <c r="I187" s="10" t="str">
        <f>garage!I187</f>
        <v>N</v>
      </c>
      <c r="J187" s="10" t="str">
        <f>garage!J187</f>
        <v>N</v>
      </c>
      <c r="K187" s="10" t="str">
        <f>garage!K187</f>
        <v>S</v>
      </c>
      <c r="L187" s="11" t="str">
        <f>garage!L187</f>
        <v>Bugatti</v>
      </c>
      <c r="M187" s="11" t="str">
        <f>garage!M187</f>
        <v>Veyron 16.4 Grand Sport Vitesse</v>
      </c>
      <c r="O187" s="10">
        <v>3111</v>
      </c>
      <c r="P187" s="10">
        <v>3281</v>
      </c>
      <c r="Q187" s="10">
        <v>3480</v>
      </c>
      <c r="R187" s="10">
        <v>3693</v>
      </c>
      <c r="S187" s="10">
        <v>3910</v>
      </c>
      <c r="T187" s="10">
        <v>4165</v>
      </c>
      <c r="U187" s="10">
        <v>4406</v>
      </c>
    </row>
    <row r="188" spans="2:21" ht="18" customHeight="1" x14ac:dyDescent="0.2">
      <c r="B188" s="8">
        <f>garage!B188</f>
        <v>188</v>
      </c>
      <c r="C188" s="8">
        <f>garage!C188</f>
        <v>5</v>
      </c>
      <c r="D188" s="8">
        <f>garage!D188</f>
        <v>16</v>
      </c>
      <c r="E188" s="8">
        <f>garage!E188</f>
        <v>0</v>
      </c>
      <c r="F188" s="8" t="str">
        <f>garage!F188</f>
        <v>L</v>
      </c>
      <c r="G188" s="8" t="str">
        <f>garage!G188</f>
        <v>O</v>
      </c>
      <c r="H188" s="8" t="str">
        <f>garage!H188</f>
        <v>O</v>
      </c>
      <c r="I188" s="8" t="str">
        <f>garage!I188</f>
        <v>O</v>
      </c>
      <c r="J188" s="8" t="str">
        <f>garage!J188</f>
        <v>N</v>
      </c>
      <c r="K188" s="8" t="str">
        <f>garage!K188</f>
        <v>S</v>
      </c>
      <c r="L188" s="9" t="str">
        <f>garage!L188</f>
        <v>Lamborghini</v>
      </c>
      <c r="M188" s="9" t="str">
        <f>garage!M188</f>
        <v>Terzo Millennio</v>
      </c>
      <c r="O188" s="44">
        <v>3288</v>
      </c>
      <c r="P188" s="44">
        <v>3440</v>
      </c>
      <c r="Q188" s="44">
        <v>3618</v>
      </c>
      <c r="R188" s="44">
        <v>3798</v>
      </c>
      <c r="S188" s="44">
        <v>3986</v>
      </c>
      <c r="T188" s="44">
        <v>4205</v>
      </c>
      <c r="U188" s="44">
        <v>4411</v>
      </c>
    </row>
    <row r="189" spans="2:21" ht="18" customHeight="1" x14ac:dyDescent="0.2">
      <c r="B189" s="10">
        <f>garage!B189</f>
        <v>189</v>
      </c>
      <c r="C189" s="10">
        <f>garage!C189</f>
        <v>5</v>
      </c>
      <c r="D189" s="10">
        <f>garage!D189</f>
        <v>17</v>
      </c>
      <c r="E189" s="10">
        <f>garage!E189</f>
        <v>24</v>
      </c>
      <c r="F189" s="10" t="str">
        <f>garage!F189</f>
        <v>--</v>
      </c>
      <c r="G189" s="10" t="str">
        <f>garage!G189</f>
        <v>O</v>
      </c>
      <c r="H189" s="10" t="str">
        <f>garage!H189</f>
        <v>N</v>
      </c>
      <c r="I189" s="10" t="str">
        <f>garage!I189</f>
        <v>N</v>
      </c>
      <c r="J189" s="10" t="str">
        <f>garage!J189</f>
        <v>N</v>
      </c>
      <c r="K189" s="10" t="str">
        <f>garage!K189</f>
        <v>S</v>
      </c>
      <c r="L189" s="11" t="str">
        <f>garage!L189</f>
        <v>Vision</v>
      </c>
      <c r="M189" s="11">
        <f>garage!M189</f>
        <v>1789</v>
      </c>
      <c r="O189" s="10">
        <v>3232</v>
      </c>
      <c r="P189" s="10">
        <v>3390</v>
      </c>
      <c r="Q189" s="10">
        <v>3576</v>
      </c>
      <c r="R189" s="10">
        <v>3773</v>
      </c>
      <c r="S189" s="10">
        <v>3974</v>
      </c>
      <c r="T189" s="10">
        <v>4212</v>
      </c>
      <c r="U189" s="10">
        <v>4435</v>
      </c>
    </row>
    <row r="190" spans="2:21" ht="18" customHeight="1" x14ac:dyDescent="0.2">
      <c r="B190" s="8">
        <f>garage!B190</f>
        <v>190</v>
      </c>
      <c r="C190" s="8">
        <f>garage!C190</f>
        <v>5</v>
      </c>
      <c r="D190" s="8">
        <f>garage!D190</f>
        <v>18</v>
      </c>
      <c r="E190" s="8">
        <f>garage!E190</f>
        <v>0</v>
      </c>
      <c r="F190" s="8" t="str">
        <f>garage!F190</f>
        <v>--</v>
      </c>
      <c r="G190" s="8" t="str">
        <f>garage!G190</f>
        <v>O</v>
      </c>
      <c r="H190" s="8" t="str">
        <f>garage!H190</f>
        <v>O</v>
      </c>
      <c r="I190" s="8" t="str">
        <f>garage!I190</f>
        <v>N</v>
      </c>
      <c r="J190" s="8" t="str">
        <f>garage!J190</f>
        <v>N</v>
      </c>
      <c r="K190" s="8" t="str">
        <f>garage!K190</f>
        <v>S</v>
      </c>
      <c r="L190" s="9" t="str">
        <f>garage!L190</f>
        <v>W Motors</v>
      </c>
      <c r="M190" s="9" t="str">
        <f>garage!M190</f>
        <v>Fenyr Supersport</v>
      </c>
      <c r="O190" s="44">
        <v>3345</v>
      </c>
      <c r="P190" s="44">
        <v>3492</v>
      </c>
      <c r="Q190" s="44">
        <v>3666</v>
      </c>
      <c r="R190" s="44">
        <v>3851</v>
      </c>
      <c r="S190" s="44">
        <v>4043</v>
      </c>
      <c r="T190" s="44">
        <v>4268</v>
      </c>
      <c r="U190" s="44">
        <v>4479</v>
      </c>
    </row>
    <row r="191" spans="2:21" ht="18" customHeight="1" x14ac:dyDescent="0.2">
      <c r="B191" s="10">
        <f>garage!B191</f>
        <v>191</v>
      </c>
      <c r="C191" s="10">
        <f>garage!C191</f>
        <v>5</v>
      </c>
      <c r="D191" s="10">
        <f>garage!D191</f>
        <v>19</v>
      </c>
      <c r="E191" s="10">
        <f>garage!E191</f>
        <v>19</v>
      </c>
      <c r="F191" s="10" t="str">
        <f>garage!F191</f>
        <v>AM</v>
      </c>
      <c r="G191" s="10" t="str">
        <f>garage!G191</f>
        <v>N</v>
      </c>
      <c r="H191" s="10" t="str">
        <f>garage!H191</f>
        <v>N</v>
      </c>
      <c r="I191" s="10" t="str">
        <f>garage!I191</f>
        <v>N</v>
      </c>
      <c r="J191" s="10" t="str">
        <f>garage!J191</f>
        <v>N</v>
      </c>
      <c r="K191" s="10" t="str">
        <f>garage!K191</f>
        <v>S</v>
      </c>
      <c r="L191" s="11" t="str">
        <f>garage!L191</f>
        <v>Aston Martin</v>
      </c>
      <c r="M191" s="11" t="str">
        <f>garage!M191</f>
        <v>Valkyrie</v>
      </c>
      <c r="O191" s="10">
        <v>3176</v>
      </c>
      <c r="P191" s="10">
        <v>3346</v>
      </c>
      <c r="Q191" s="10">
        <v>3548</v>
      </c>
      <c r="R191" s="10">
        <v>3761</v>
      </c>
      <c r="S191" s="10">
        <v>3984</v>
      </c>
      <c r="T191" s="10">
        <v>4242</v>
      </c>
      <c r="U191" s="10">
        <v>4488</v>
      </c>
    </row>
    <row r="192" spans="2:21" ht="18" customHeight="1" x14ac:dyDescent="0.2">
      <c r="B192" s="8">
        <f>garage!B192</f>
        <v>192</v>
      </c>
      <c r="C192" s="8">
        <f>garage!C192</f>
        <v>5</v>
      </c>
      <c r="D192" s="8">
        <f>garage!D192</f>
        <v>20</v>
      </c>
      <c r="E192" s="8">
        <f>garage!E192</f>
        <v>0</v>
      </c>
      <c r="F192" s="8" t="str">
        <f>garage!F192</f>
        <v>--</v>
      </c>
      <c r="G192" s="8" t="str">
        <f>garage!G192</f>
        <v>O</v>
      </c>
      <c r="H192" s="8" t="str">
        <f>garage!H192</f>
        <v>O</v>
      </c>
      <c r="I192" s="8" t="str">
        <f>garage!I192</f>
        <v>N</v>
      </c>
      <c r="J192" s="8" t="str">
        <f>garage!J192</f>
        <v>N</v>
      </c>
      <c r="K192" s="8" t="str">
        <f>garage!K192</f>
        <v>S</v>
      </c>
      <c r="L192" s="9" t="str">
        <f>garage!L192</f>
        <v>Zenvo</v>
      </c>
      <c r="M192" s="9" t="str">
        <f>garage!M192</f>
        <v>TS1 GT Anniversary</v>
      </c>
      <c r="O192" s="44">
        <v>3067</v>
      </c>
      <c r="P192" s="44">
        <v>3251</v>
      </c>
      <c r="Q192" s="44">
        <v>3477</v>
      </c>
      <c r="R192" s="44">
        <v>3711</v>
      </c>
      <c r="S192" s="44">
        <v>3958</v>
      </c>
      <c r="T192" s="44">
        <v>4249</v>
      </c>
      <c r="U192" s="44">
        <v>4514</v>
      </c>
    </row>
    <row r="193" spans="2:21" ht="18" customHeight="1" x14ac:dyDescent="0.2">
      <c r="B193" s="10">
        <f>garage!B193</f>
        <v>193</v>
      </c>
      <c r="C193" s="10">
        <f>garage!C193</f>
        <v>5</v>
      </c>
      <c r="D193" s="10">
        <f>garage!D193</f>
        <v>21</v>
      </c>
      <c r="E193" s="10">
        <f>garage!E193</f>
        <v>8</v>
      </c>
      <c r="F193" s="10" t="str">
        <f>garage!F193</f>
        <v>--</v>
      </c>
      <c r="G193" s="10" t="str">
        <f>garage!G193</f>
        <v>O</v>
      </c>
      <c r="H193" s="10" t="str">
        <f>garage!H193</f>
        <v>N</v>
      </c>
      <c r="I193" s="10" t="str">
        <f>garage!I193</f>
        <v>N</v>
      </c>
      <c r="J193" s="10" t="str">
        <f>garage!J193</f>
        <v>N</v>
      </c>
      <c r="K193" s="10" t="str">
        <f>garage!K193</f>
        <v>S</v>
      </c>
      <c r="L193" s="11" t="str">
        <f>garage!L193</f>
        <v>Automobili Pininfarina</v>
      </c>
      <c r="M193" s="11" t="str">
        <f>garage!M193</f>
        <v>Battista</v>
      </c>
      <c r="O193" s="10">
        <v>3122</v>
      </c>
      <c r="P193" s="10">
        <v>3308</v>
      </c>
      <c r="Q193" s="10">
        <v>3527</v>
      </c>
      <c r="R193" s="10">
        <v>3761</v>
      </c>
      <c r="S193" s="10">
        <v>4002</v>
      </c>
      <c r="T193" s="10">
        <v>4280</v>
      </c>
      <c r="U193" s="10">
        <v>4550</v>
      </c>
    </row>
    <row r="194" spans="2:21" ht="18" customHeight="1" x14ac:dyDescent="0.2">
      <c r="B194" s="8">
        <f>garage!B194</f>
        <v>194</v>
      </c>
      <c r="C194" s="8">
        <f>garage!C194</f>
        <v>5</v>
      </c>
      <c r="D194" s="8">
        <f>garage!D194</f>
        <v>22</v>
      </c>
      <c r="E194" s="8">
        <f>garage!E194</f>
        <v>22</v>
      </c>
      <c r="F194" s="8" t="str">
        <f>garage!F194</f>
        <v>--</v>
      </c>
      <c r="G194" s="8" t="str">
        <f>garage!G194</f>
        <v>N</v>
      </c>
      <c r="H194" s="8" t="str">
        <f>garage!H194</f>
        <v>N</v>
      </c>
      <c r="I194" s="8" t="str">
        <f>garage!I194</f>
        <v>N</v>
      </c>
      <c r="J194" s="8" t="str">
        <f>garage!J194</f>
        <v>N</v>
      </c>
      <c r="K194" s="8" t="str">
        <f>garage!K194</f>
        <v>S</v>
      </c>
      <c r="L194" s="9" t="str">
        <f>garage!L194</f>
        <v>Naran</v>
      </c>
      <c r="M194" s="9" t="str">
        <f>garage!M194</f>
        <v>Hyper Coupé</v>
      </c>
      <c r="O194" s="44">
        <v>3210</v>
      </c>
      <c r="P194" s="44">
        <v>3386</v>
      </c>
      <c r="Q194" s="44">
        <v>3593</v>
      </c>
      <c r="R194" s="44">
        <v>3815</v>
      </c>
      <c r="S194" s="44">
        <v>4044</v>
      </c>
      <c r="T194" s="44">
        <v>4311</v>
      </c>
      <c r="U194" s="44">
        <v>4566</v>
      </c>
    </row>
    <row r="195" spans="2:21" ht="18" customHeight="1" x14ac:dyDescent="0.2">
      <c r="B195" s="10">
        <f>garage!B195</f>
        <v>195</v>
      </c>
      <c r="C195" s="10">
        <f>garage!C195</f>
        <v>5</v>
      </c>
      <c r="D195" s="10">
        <f>garage!D195</f>
        <v>23</v>
      </c>
      <c r="E195" s="10">
        <f>garage!E195</f>
        <v>14</v>
      </c>
      <c r="F195" s="10" t="str">
        <f>garage!F195</f>
        <v>M</v>
      </c>
      <c r="G195" s="10" t="str">
        <f>garage!G195</f>
        <v>O</v>
      </c>
      <c r="H195" s="10" t="str">
        <f>garage!H195</f>
        <v>N</v>
      </c>
      <c r="I195" s="10" t="str">
        <f>garage!I195</f>
        <v>N</v>
      </c>
      <c r="J195" s="10" t="str">
        <f>garage!J195</f>
        <v>N</v>
      </c>
      <c r="K195" s="10" t="str">
        <f>garage!K195</f>
        <v>S</v>
      </c>
      <c r="L195" s="11" t="str">
        <f>garage!L195</f>
        <v>McLaren</v>
      </c>
      <c r="M195" s="11" t="str">
        <f>garage!M195</f>
        <v>Speedtail</v>
      </c>
      <c r="O195" s="10">
        <v>3402</v>
      </c>
      <c r="P195" s="10">
        <v>3559</v>
      </c>
      <c r="Q195" s="10">
        <v>3741</v>
      </c>
      <c r="R195" s="10">
        <v>3937</v>
      </c>
      <c r="S195" s="10">
        <v>4138</v>
      </c>
      <c r="T195" s="10">
        <v>4372</v>
      </c>
      <c r="U195" s="10">
        <v>4593</v>
      </c>
    </row>
    <row r="196" spans="2:21" ht="18" customHeight="1" x14ac:dyDescent="0.2">
      <c r="B196" s="8">
        <f>garage!B196</f>
        <v>196</v>
      </c>
      <c r="C196" s="8">
        <f>garage!C196</f>
        <v>5</v>
      </c>
      <c r="D196" s="8">
        <f>garage!D196</f>
        <v>24</v>
      </c>
      <c r="E196" s="8">
        <f>garage!E196</f>
        <v>28</v>
      </c>
      <c r="F196" s="8" t="str">
        <f>garage!F196</f>
        <v>--</v>
      </c>
      <c r="G196" s="8" t="str">
        <f>garage!G196</f>
        <v>N</v>
      </c>
      <c r="H196" s="8" t="str">
        <f>garage!H196</f>
        <v>N</v>
      </c>
      <c r="I196" s="8" t="str">
        <f>garage!I196</f>
        <v>N</v>
      </c>
      <c r="J196" s="8" t="str">
        <f>garage!J196</f>
        <v>N</v>
      </c>
      <c r="K196" s="8" t="str">
        <f>garage!K196</f>
        <v>S</v>
      </c>
      <c r="L196" s="9" t="str">
        <f>garage!L196</f>
        <v>Faraday</v>
      </c>
      <c r="M196" s="9" t="str">
        <f>garage!M196</f>
        <v>FFZero1</v>
      </c>
      <c r="O196" s="44">
        <v>3425</v>
      </c>
      <c r="P196" s="44">
        <v>3578</v>
      </c>
      <c r="Q196" s="44">
        <v>3758</v>
      </c>
      <c r="R196" s="44">
        <v>3949</v>
      </c>
      <c r="S196" s="44">
        <v>4149</v>
      </c>
      <c r="T196" s="44">
        <v>4377</v>
      </c>
      <c r="U196" s="44">
        <v>4602</v>
      </c>
    </row>
    <row r="197" spans="2:21" ht="18" customHeight="1" x14ac:dyDescent="0.2">
      <c r="B197" s="10">
        <f>garage!B197</f>
        <v>197</v>
      </c>
      <c r="C197" s="10">
        <f>garage!C197</f>
        <v>5</v>
      </c>
      <c r="D197" s="10">
        <f>garage!D197</f>
        <v>25</v>
      </c>
      <c r="E197" s="10">
        <f>garage!E197</f>
        <v>0</v>
      </c>
      <c r="F197" s="10" t="str">
        <f>garage!F197</f>
        <v>--</v>
      </c>
      <c r="G197" s="10" t="str">
        <f>garage!G197</f>
        <v>O</v>
      </c>
      <c r="H197" s="10" t="str">
        <f>garage!H197</f>
        <v>O</v>
      </c>
      <c r="I197" s="10" t="str">
        <f>garage!I197</f>
        <v>O</v>
      </c>
      <c r="J197" s="10" t="str">
        <f>garage!J197</f>
        <v>N</v>
      </c>
      <c r="K197" s="10" t="str">
        <f>garage!K197</f>
        <v>S</v>
      </c>
      <c r="L197" s="11" t="str">
        <f>garage!L197</f>
        <v>Koenigsegg</v>
      </c>
      <c r="M197" s="11" t="str">
        <f>garage!M197</f>
        <v>Regera</v>
      </c>
      <c r="O197" s="10">
        <v>3460</v>
      </c>
      <c r="P197" s="10">
        <v>3612</v>
      </c>
      <c r="Q197" s="10">
        <v>3793</v>
      </c>
      <c r="R197" s="10">
        <v>3980</v>
      </c>
      <c r="S197" s="10">
        <v>4176</v>
      </c>
      <c r="T197" s="10">
        <v>4403</v>
      </c>
      <c r="U197" s="10">
        <v>4616</v>
      </c>
    </row>
    <row r="198" spans="2:21" ht="18" customHeight="1" x14ac:dyDescent="0.2">
      <c r="B198" s="10">
        <f>garage!B198</f>
        <v>198</v>
      </c>
      <c r="C198" s="10">
        <f>garage!C198</f>
        <v>5</v>
      </c>
      <c r="D198" s="10">
        <f>garage!D198</f>
        <v>26</v>
      </c>
      <c r="E198" s="10">
        <f>garage!E198</f>
        <v>32</v>
      </c>
      <c r="F198" s="10" t="str">
        <f>garage!F198</f>
        <v>--</v>
      </c>
      <c r="G198" s="10" t="str">
        <f>garage!G198</f>
        <v>N</v>
      </c>
      <c r="H198" s="10" t="str">
        <f>garage!H198</f>
        <v>N</v>
      </c>
      <c r="I198" s="10" t="str">
        <f>garage!I198</f>
        <v>N</v>
      </c>
      <c r="J198" s="10" t="str">
        <f>garage!J198</f>
        <v>N</v>
      </c>
      <c r="K198" s="10" t="str">
        <f>garage!K198</f>
        <v>S</v>
      </c>
      <c r="L198" s="11" t="str">
        <f>garage!L198</f>
        <v>Saleen</v>
      </c>
      <c r="M198" s="11" t="str">
        <f>garage!M198</f>
        <v>S7 Twin Turbo</v>
      </c>
      <c r="O198" s="10">
        <v>3471</v>
      </c>
      <c r="P198" s="10">
        <v>3620</v>
      </c>
      <c r="Q198" s="10">
        <v>3796</v>
      </c>
      <c r="R198" s="10">
        <v>3983</v>
      </c>
      <c r="S198" s="10">
        <v>4179</v>
      </c>
      <c r="T198" s="10">
        <v>4405</v>
      </c>
      <c r="U198" s="10">
        <v>4629</v>
      </c>
    </row>
    <row r="199" spans="2:21" ht="18" customHeight="1" x14ac:dyDescent="0.2">
      <c r="B199" s="8">
        <f>garage!B199</f>
        <v>199</v>
      </c>
      <c r="C199" s="8">
        <f>garage!C199</f>
        <v>5</v>
      </c>
      <c r="D199" s="8">
        <f>garage!D199</f>
        <v>27</v>
      </c>
      <c r="E199" s="8">
        <f>garage!E199</f>
        <v>23</v>
      </c>
      <c r="F199" s="8" t="str">
        <f>garage!F199</f>
        <v>--</v>
      </c>
      <c r="G199" s="8" t="str">
        <f>garage!G199</f>
        <v>N</v>
      </c>
      <c r="H199" s="8" t="str">
        <f>garage!H199</f>
        <v>N</v>
      </c>
      <c r="I199" s="8" t="str">
        <f>garage!I199</f>
        <v>N</v>
      </c>
      <c r="J199" s="8" t="str">
        <f>garage!J199</f>
        <v>N</v>
      </c>
      <c r="K199" s="8" t="str">
        <f>garage!K199</f>
        <v>S</v>
      </c>
      <c r="L199" s="9" t="str">
        <f>garage!L199</f>
        <v>Ultima</v>
      </c>
      <c r="M199" s="9" t="str">
        <f>garage!M199</f>
        <v>RS</v>
      </c>
      <c r="O199" s="44">
        <v>3483</v>
      </c>
      <c r="P199" s="44">
        <v>3637</v>
      </c>
      <c r="Q199" s="44">
        <v>3814</v>
      </c>
      <c r="R199" s="44">
        <v>4002</v>
      </c>
      <c r="S199" s="44">
        <v>4197</v>
      </c>
      <c r="T199" s="44">
        <v>4423</v>
      </c>
      <c r="U199" s="44">
        <v>4644</v>
      </c>
    </row>
    <row r="200" spans="2:21" ht="18" customHeight="1" x14ac:dyDescent="0.2">
      <c r="B200" s="10">
        <f>garage!B200</f>
        <v>200</v>
      </c>
      <c r="C200" s="10">
        <f>garage!C200</f>
        <v>5</v>
      </c>
      <c r="D200" s="10">
        <f>garage!D200</f>
        <v>28</v>
      </c>
      <c r="E200" s="10">
        <f>garage!E200</f>
        <v>12</v>
      </c>
      <c r="F200" s="10" t="str">
        <f>garage!F200</f>
        <v>L</v>
      </c>
      <c r="G200" s="10" t="str">
        <f>garage!G200</f>
        <v>N</v>
      </c>
      <c r="H200" s="10" t="str">
        <f>garage!H200</f>
        <v>N</v>
      </c>
      <c r="I200" s="10" t="str">
        <f>garage!I200</f>
        <v>N</v>
      </c>
      <c r="J200" s="10" t="str">
        <f>garage!J200</f>
        <v>N</v>
      </c>
      <c r="K200" s="10" t="str">
        <f>garage!K200</f>
        <v>S</v>
      </c>
      <c r="L200" s="11" t="str">
        <f>garage!L200</f>
        <v>Lamborghini</v>
      </c>
      <c r="M200" s="11" t="str">
        <f>garage!M200</f>
        <v>Sián FKP 37</v>
      </c>
      <c r="O200" s="10">
        <v>3518</v>
      </c>
      <c r="P200" s="10">
        <v>3676</v>
      </c>
      <c r="Q200" s="10">
        <v>3856</v>
      </c>
      <c r="R200" s="10">
        <v>4045</v>
      </c>
      <c r="S200" s="10">
        <v>4241</v>
      </c>
      <c r="T200" s="10">
        <v>4470</v>
      </c>
      <c r="U200" s="10">
        <v>4685</v>
      </c>
    </row>
    <row r="201" spans="2:21" ht="18" customHeight="1" x14ac:dyDescent="0.2">
      <c r="B201" s="8">
        <f>garage!B201</f>
        <v>201</v>
      </c>
      <c r="C201" s="8">
        <f>garage!C201</f>
        <v>5</v>
      </c>
      <c r="D201" s="8">
        <f>garage!D201</f>
        <v>29</v>
      </c>
      <c r="E201" s="8">
        <f>garage!E201</f>
        <v>27</v>
      </c>
      <c r="F201" s="8" t="str">
        <f>garage!F201</f>
        <v>--</v>
      </c>
      <c r="G201" s="8" t="str">
        <f>garage!G201</f>
        <v>N</v>
      </c>
      <c r="H201" s="8" t="str">
        <f>garage!H201</f>
        <v>N</v>
      </c>
      <c r="I201" s="8" t="str">
        <f>garage!I201</f>
        <v>N</v>
      </c>
      <c r="J201" s="8" t="str">
        <f>garage!J201</f>
        <v>N</v>
      </c>
      <c r="K201" s="8" t="str">
        <f>garage!K201</f>
        <v>S</v>
      </c>
      <c r="L201" s="9" t="str">
        <f>garage!L201</f>
        <v>Ajlani</v>
      </c>
      <c r="M201" s="9" t="str">
        <f>garage!M201</f>
        <v>Drakuma</v>
      </c>
      <c r="O201" s="44">
        <v>3532</v>
      </c>
      <c r="P201" s="44">
        <v>3683</v>
      </c>
      <c r="Q201" s="44">
        <v>3863</v>
      </c>
      <c r="R201" s="44">
        <v>4054</v>
      </c>
      <c r="S201" s="44">
        <v>4251</v>
      </c>
      <c r="T201" s="44">
        <v>4483</v>
      </c>
      <c r="U201" s="44">
        <v>4702</v>
      </c>
    </row>
    <row r="202" spans="2:21" ht="18" customHeight="1" x14ac:dyDescent="0.2">
      <c r="B202" s="10">
        <f>garage!B202</f>
        <v>202</v>
      </c>
      <c r="C202" s="10">
        <f>garage!C202</f>
        <v>5</v>
      </c>
      <c r="D202" s="10">
        <f>garage!D202</f>
        <v>30</v>
      </c>
      <c r="E202" s="10">
        <f>garage!E202</f>
        <v>17</v>
      </c>
      <c r="F202" s="10" t="str">
        <f>garage!F202</f>
        <v>--</v>
      </c>
      <c r="G202" s="10" t="str">
        <f>garage!G202</f>
        <v>O</v>
      </c>
      <c r="H202" s="10" t="str">
        <f>garage!H202</f>
        <v>N</v>
      </c>
      <c r="I202" s="10" t="str">
        <f>garage!I202</f>
        <v>N</v>
      </c>
      <c r="J202" s="10" t="str">
        <f>garage!J202</f>
        <v>N</v>
      </c>
      <c r="K202" s="10" t="str">
        <f>garage!K202</f>
        <v>S</v>
      </c>
      <c r="L202" s="11" t="str">
        <f>garage!L202</f>
        <v>Inferno Automobili</v>
      </c>
      <c r="M202" s="11" t="str">
        <f>garage!M202</f>
        <v>Inferno</v>
      </c>
      <c r="O202" s="10">
        <v>3549</v>
      </c>
      <c r="P202" s="10">
        <v>3703</v>
      </c>
      <c r="Q202" s="10">
        <v>3882</v>
      </c>
      <c r="R202" s="10">
        <v>4073</v>
      </c>
      <c r="S202" s="10">
        <v>4272</v>
      </c>
      <c r="T202" s="10">
        <v>4504</v>
      </c>
      <c r="U202" s="10">
        <v>4722</v>
      </c>
    </row>
    <row r="203" spans="2:21" ht="18" customHeight="1" x14ac:dyDescent="0.2">
      <c r="B203" s="8">
        <f>garage!B203</f>
        <v>203</v>
      </c>
      <c r="C203" s="8">
        <f>garage!C203</f>
        <v>5</v>
      </c>
      <c r="D203" s="8">
        <f>garage!D203</f>
        <v>31</v>
      </c>
      <c r="E203" s="8">
        <f>garage!E203</f>
        <v>29</v>
      </c>
      <c r="F203" s="8" t="str">
        <f>garage!F203</f>
        <v>--</v>
      </c>
      <c r="G203" s="8" t="str">
        <f>garage!G203</f>
        <v>N</v>
      </c>
      <c r="H203" s="8" t="str">
        <f>garage!H203</f>
        <v>N</v>
      </c>
      <c r="I203" s="8" t="str">
        <f>garage!I203</f>
        <v>N</v>
      </c>
      <c r="J203" s="8" t="str">
        <f>garage!J203</f>
        <v>N</v>
      </c>
      <c r="K203" s="8" t="str">
        <f>garage!K203</f>
        <v>S</v>
      </c>
      <c r="L203" s="9" t="str">
        <f>garage!L203</f>
        <v>Torino Design</v>
      </c>
      <c r="M203" s="9" t="str">
        <f>garage!M203</f>
        <v>Super Sport</v>
      </c>
      <c r="O203" s="44">
        <v>3565</v>
      </c>
      <c r="P203" s="44">
        <v>3719</v>
      </c>
      <c r="Q203" s="44">
        <v>3895</v>
      </c>
      <c r="R203" s="44">
        <v>4086</v>
      </c>
      <c r="S203" s="44">
        <v>4287</v>
      </c>
      <c r="T203" s="44">
        <v>4520</v>
      </c>
      <c r="U203" s="44">
        <v>4741</v>
      </c>
    </row>
    <row r="204" spans="2:21" ht="18" customHeight="1" x14ac:dyDescent="0.2">
      <c r="B204" s="10">
        <f>garage!B204</f>
        <v>204</v>
      </c>
      <c r="C204" s="10">
        <f>garage!C204</f>
        <v>5</v>
      </c>
      <c r="D204" s="10">
        <f>garage!D204</f>
        <v>32</v>
      </c>
      <c r="E204" s="10">
        <f>garage!E204</f>
        <v>0</v>
      </c>
      <c r="F204" s="10" t="str">
        <f>garage!F204</f>
        <v>B</v>
      </c>
      <c r="G204" s="10" t="str">
        <f>garage!G204</f>
        <v>O</v>
      </c>
      <c r="H204" s="10" t="str">
        <f>garage!H204</f>
        <v>O</v>
      </c>
      <c r="I204" s="10" t="str">
        <f>garage!I204</f>
        <v>O</v>
      </c>
      <c r="J204" s="10" t="str">
        <f>garage!J204</f>
        <v>N</v>
      </c>
      <c r="K204" s="10" t="str">
        <f>garage!K204</f>
        <v>S</v>
      </c>
      <c r="L204" s="11" t="str">
        <f>garage!L204</f>
        <v>Bugatti</v>
      </c>
      <c r="M204" s="11" t="str">
        <f>garage!M204</f>
        <v>Chiron</v>
      </c>
      <c r="O204" s="10">
        <v>3577</v>
      </c>
      <c r="P204" s="10">
        <v>3730</v>
      </c>
      <c r="Q204" s="10">
        <v>3910</v>
      </c>
      <c r="R204" s="10">
        <v>4101</v>
      </c>
      <c r="S204" s="10">
        <v>4302</v>
      </c>
      <c r="T204" s="10">
        <v>4534</v>
      </c>
      <c r="U204" s="10">
        <v>4755</v>
      </c>
    </row>
    <row r="205" spans="2:21" ht="18" customHeight="1" x14ac:dyDescent="0.2">
      <c r="B205" s="8">
        <f>garage!B205</f>
        <v>205</v>
      </c>
      <c r="C205" s="8">
        <f>garage!C205</f>
        <v>5</v>
      </c>
      <c r="D205" s="8">
        <f>garage!D205</f>
        <v>33</v>
      </c>
      <c r="E205" s="8">
        <f>garage!E205</f>
        <v>13</v>
      </c>
      <c r="F205" s="8" t="str">
        <f>garage!F205</f>
        <v>--</v>
      </c>
      <c r="G205" s="8" t="str">
        <f>garage!G205</f>
        <v>O</v>
      </c>
      <c r="H205" s="8" t="str">
        <f>garage!H205</f>
        <v>O</v>
      </c>
      <c r="I205" s="8" t="str">
        <f>garage!I205</f>
        <v>N</v>
      </c>
      <c r="J205" s="8" t="str">
        <f>garage!J205</f>
        <v>N</v>
      </c>
      <c r="K205" s="8" t="str">
        <f>garage!K205</f>
        <v>S</v>
      </c>
      <c r="L205" s="9" t="str">
        <f>garage!L205</f>
        <v>BXR</v>
      </c>
      <c r="M205" s="9" t="str">
        <f>garage!M205</f>
        <v>Bailey Blade GT1</v>
      </c>
      <c r="O205" s="44">
        <v>3345</v>
      </c>
      <c r="P205" s="44">
        <v>3533</v>
      </c>
      <c r="Q205" s="44">
        <v>3750</v>
      </c>
      <c r="R205" s="44">
        <v>3981</v>
      </c>
      <c r="S205" s="44">
        <v>4223</v>
      </c>
      <c r="T205" s="44">
        <v>4506</v>
      </c>
      <c r="U205" s="44">
        <v>4764</v>
      </c>
    </row>
    <row r="206" spans="2:21" ht="18" customHeight="1" x14ac:dyDescent="0.2">
      <c r="B206" s="10">
        <f>garage!B206</f>
        <v>206</v>
      </c>
      <c r="C206" s="10">
        <f>garage!C206</f>
        <v>5</v>
      </c>
      <c r="D206" s="10">
        <f>garage!D206</f>
        <v>34</v>
      </c>
      <c r="E206" s="10">
        <f>garage!E206</f>
        <v>16</v>
      </c>
      <c r="F206" s="10" t="str">
        <f>garage!F206</f>
        <v>B</v>
      </c>
      <c r="G206" s="10" t="str">
        <f>garage!G206</f>
        <v>N</v>
      </c>
      <c r="H206" s="10" t="str">
        <f>garage!H206</f>
        <v>N</v>
      </c>
      <c r="I206" s="10" t="str">
        <f>garage!I206</f>
        <v>N</v>
      </c>
      <c r="J206" s="10" t="str">
        <f>garage!J206</f>
        <v>N</v>
      </c>
      <c r="K206" s="10" t="str">
        <f>garage!K206</f>
        <v>S</v>
      </c>
      <c r="L206" s="11" t="str">
        <f>garage!L206</f>
        <v>Bugatti</v>
      </c>
      <c r="M206" s="11" t="str">
        <f>garage!M206</f>
        <v>Divo</v>
      </c>
      <c r="O206" s="10" t="s">
        <v>112</v>
      </c>
      <c r="P206" s="10" t="s">
        <v>112</v>
      </c>
      <c r="Q206" s="10" t="s">
        <v>112</v>
      </c>
      <c r="R206" s="10" t="s">
        <v>112</v>
      </c>
      <c r="S206" s="10" t="s">
        <v>112</v>
      </c>
      <c r="T206" s="10" t="s">
        <v>112</v>
      </c>
      <c r="U206" s="10" t="s">
        <v>112</v>
      </c>
    </row>
    <row r="207" spans="2:21" ht="18" customHeight="1" x14ac:dyDescent="0.2">
      <c r="B207" s="8">
        <f>garage!B207</f>
        <v>207</v>
      </c>
      <c r="C207" s="8">
        <f>garage!C207</f>
        <v>5</v>
      </c>
      <c r="D207" s="8">
        <f>garage!D207</f>
        <v>35</v>
      </c>
      <c r="E207" s="8">
        <f>garage!E207</f>
        <v>24</v>
      </c>
      <c r="F207" s="8" t="str">
        <f>garage!F207</f>
        <v>--</v>
      </c>
      <c r="G207" s="8" t="str">
        <f>garage!G207</f>
        <v>N</v>
      </c>
      <c r="H207" s="8" t="str">
        <f>garage!H207</f>
        <v>N</v>
      </c>
      <c r="I207" s="8" t="str">
        <f>garage!I207</f>
        <v>N</v>
      </c>
      <c r="J207" s="8" t="str">
        <f>garage!J207</f>
        <v>N</v>
      </c>
      <c r="K207" s="8" t="str">
        <f>garage!K207</f>
        <v>S</v>
      </c>
      <c r="L207" s="9" t="str">
        <f>garage!L207</f>
        <v>Tushek</v>
      </c>
      <c r="M207" s="9" t="str">
        <f>garage!M207</f>
        <v>TS 900 Racer Pro</v>
      </c>
      <c r="O207" s="44">
        <v>3402</v>
      </c>
      <c r="P207" s="44">
        <v>3584</v>
      </c>
      <c r="Q207" s="44">
        <v>3795</v>
      </c>
      <c r="R207" s="44">
        <v>4020</v>
      </c>
      <c r="S207" s="44">
        <v>4253</v>
      </c>
      <c r="T207" s="44">
        <v>4527</v>
      </c>
      <c r="U207" s="44">
        <v>4779</v>
      </c>
    </row>
    <row r="208" spans="2:21" ht="18" customHeight="1" x14ac:dyDescent="0.2">
      <c r="B208" s="10">
        <f>garage!B208</f>
        <v>208</v>
      </c>
      <c r="C208" s="10">
        <f>garage!C208</f>
        <v>5</v>
      </c>
      <c r="D208" s="10">
        <f>garage!D208</f>
        <v>36</v>
      </c>
      <c r="E208" s="10">
        <f>garage!E208</f>
        <v>18</v>
      </c>
      <c r="F208" s="10" t="str">
        <f>garage!F208</f>
        <v>--</v>
      </c>
      <c r="G208" s="10" t="str">
        <f>garage!G208</f>
        <v>N</v>
      </c>
      <c r="H208" s="10" t="str">
        <f>garage!H208</f>
        <v>N</v>
      </c>
      <c r="I208" s="10" t="str">
        <f>garage!I208</f>
        <v>N</v>
      </c>
      <c r="J208" s="10" t="str">
        <f>garage!J208</f>
        <v>N</v>
      </c>
      <c r="K208" s="10" t="str">
        <f>garage!K208</f>
        <v>S</v>
      </c>
      <c r="L208" s="11" t="str">
        <f>garage!L208</f>
        <v>Mazzanti</v>
      </c>
      <c r="M208" s="11" t="str">
        <f>garage!M208</f>
        <v>Evantra Millecavalli</v>
      </c>
      <c r="O208" s="10">
        <v>3490</v>
      </c>
      <c r="P208" s="10">
        <v>3631</v>
      </c>
      <c r="Q208" s="10">
        <v>3883</v>
      </c>
      <c r="R208" s="10">
        <v>4050</v>
      </c>
      <c r="S208" s="10">
        <v>4277</v>
      </c>
      <c r="T208" s="10">
        <v>4547</v>
      </c>
      <c r="U208" s="10">
        <v>4796</v>
      </c>
    </row>
    <row r="209" spans="2:21" ht="18" customHeight="1" x14ac:dyDescent="0.2">
      <c r="B209" s="8">
        <f>garage!B209</f>
        <v>209</v>
      </c>
      <c r="C209" s="8">
        <f>garage!C209</f>
        <v>5</v>
      </c>
      <c r="D209" s="8">
        <f>garage!D209</f>
        <v>37</v>
      </c>
      <c r="E209" s="8">
        <f>garage!E209</f>
        <v>21</v>
      </c>
      <c r="F209" s="8" t="str">
        <f>garage!F209</f>
        <v>TD</v>
      </c>
      <c r="G209" s="8" t="str">
        <f>garage!G209</f>
        <v>N</v>
      </c>
      <c r="H209" s="8" t="str">
        <f>garage!H209</f>
        <v>N</v>
      </c>
      <c r="I209" s="8" t="str">
        <f>garage!I209</f>
        <v>N</v>
      </c>
      <c r="J209" s="8" t="str">
        <f>garage!J209</f>
        <v>N</v>
      </c>
      <c r="K209" s="8" t="str">
        <f>garage!K209</f>
        <v>S</v>
      </c>
      <c r="L209" s="9" t="str">
        <f>garage!L209</f>
        <v>Toroidion</v>
      </c>
      <c r="M209" s="9" t="str">
        <f>garage!M209</f>
        <v>1MW</v>
      </c>
      <c r="O209" s="44">
        <v>3518</v>
      </c>
      <c r="P209" s="44">
        <v>3685</v>
      </c>
      <c r="Q209" s="44">
        <v>3883</v>
      </c>
      <c r="R209" s="44">
        <v>4096</v>
      </c>
      <c r="S209" s="44">
        <v>4314</v>
      </c>
      <c r="T209" s="44">
        <v>4571</v>
      </c>
      <c r="U209" s="44">
        <v>4806</v>
      </c>
    </row>
    <row r="210" spans="2:21" ht="18" customHeight="1" x14ac:dyDescent="0.2">
      <c r="B210" s="10">
        <f>garage!B210</f>
        <v>210</v>
      </c>
      <c r="C210" s="10">
        <f>garage!C210</f>
        <v>5</v>
      </c>
      <c r="D210" s="10">
        <f>garage!D210</f>
        <v>38</v>
      </c>
      <c r="E210" s="10">
        <f>garage!E210</f>
        <v>27</v>
      </c>
      <c r="F210" s="10" t="str">
        <f>garage!F210</f>
        <v>--</v>
      </c>
      <c r="G210" s="10" t="str">
        <f>garage!G210</f>
        <v>N</v>
      </c>
      <c r="H210" s="10" t="str">
        <f>garage!H210</f>
        <v>N</v>
      </c>
      <c r="I210" s="10" t="str">
        <f>garage!I210</f>
        <v>N</v>
      </c>
      <c r="J210" s="10" t="str">
        <f>garage!J210</f>
        <v>N</v>
      </c>
      <c r="K210" s="10" t="str">
        <f>garage!K210</f>
        <v>S</v>
      </c>
      <c r="L210" s="11" t="str">
        <f>garage!L210</f>
        <v>Inferno Automobili</v>
      </c>
      <c r="M210" s="11" t="str">
        <f>garage!M210</f>
        <v>Settimo Cerchio</v>
      </c>
      <c r="O210" s="10">
        <v>3577</v>
      </c>
      <c r="P210" s="10">
        <v>3741</v>
      </c>
      <c r="Q210" s="10">
        <v>3932</v>
      </c>
      <c r="R210" s="10">
        <v>4136</v>
      </c>
      <c r="S210" s="10">
        <v>4346</v>
      </c>
      <c r="T210" s="10">
        <v>4591</v>
      </c>
      <c r="U210" s="10">
        <v>4817</v>
      </c>
    </row>
    <row r="211" spans="2:21" ht="18" customHeight="1" x14ac:dyDescent="0.2">
      <c r="B211" s="8">
        <f>garage!B211</f>
        <v>211</v>
      </c>
      <c r="C211" s="8">
        <f>garage!C211</f>
        <v>5</v>
      </c>
      <c r="D211" s="8">
        <f>garage!D211</f>
        <v>39</v>
      </c>
      <c r="E211" s="8">
        <f>garage!E211</f>
        <v>6</v>
      </c>
      <c r="F211" s="8" t="str">
        <f>garage!F211</f>
        <v>--</v>
      </c>
      <c r="G211" s="8" t="str">
        <f>garage!G211</f>
        <v>N</v>
      </c>
      <c r="H211" s="8" t="str">
        <f>garage!H211</f>
        <v>O</v>
      </c>
      <c r="I211" s="8" t="str">
        <f>garage!I211</f>
        <v>N</v>
      </c>
      <c r="J211" s="8" t="str">
        <f>garage!J211</f>
        <v>N</v>
      </c>
      <c r="K211" s="8" t="str">
        <f>garage!K211</f>
        <v>S</v>
      </c>
      <c r="L211" s="9" t="str">
        <f>garage!L211</f>
        <v>Koenigsegg</v>
      </c>
      <c r="M211" s="9" t="str">
        <f>garage!M211</f>
        <v>Jesko</v>
      </c>
      <c r="O211" s="44">
        <v>3637</v>
      </c>
      <c r="P211" s="44">
        <v>3793</v>
      </c>
      <c r="Q211" s="44">
        <v>3975</v>
      </c>
      <c r="R211" s="44">
        <v>4170</v>
      </c>
      <c r="S211" s="44">
        <v>4372</v>
      </c>
      <c r="T211" s="44">
        <v>4608</v>
      </c>
      <c r="U211" s="44">
        <v>4826</v>
      </c>
    </row>
    <row r="212" spans="2:21" ht="18" customHeight="1" x14ac:dyDescent="0.2">
      <c r="B212" s="10">
        <f>garage!B212</f>
        <v>212</v>
      </c>
      <c r="C212" s="10">
        <f>garage!C212</f>
        <v>5</v>
      </c>
      <c r="D212" s="10">
        <f>garage!D212</f>
        <v>40</v>
      </c>
      <c r="E212" s="10">
        <f>garage!E212</f>
        <v>26</v>
      </c>
      <c r="F212" s="10" t="str">
        <f>garage!F212</f>
        <v>B</v>
      </c>
      <c r="G212" s="10" t="str">
        <f>garage!G212</f>
        <v>N</v>
      </c>
      <c r="H212" s="10" t="str">
        <f>garage!H212</f>
        <v>N</v>
      </c>
      <c r="I212" s="10" t="str">
        <f>garage!I212</f>
        <v>N</v>
      </c>
      <c r="J212" s="10" t="str">
        <f>garage!J212</f>
        <v>N</v>
      </c>
      <c r="K212" s="10" t="str">
        <f>garage!K212</f>
        <v>S</v>
      </c>
      <c r="L212" s="11" t="str">
        <f>garage!L212</f>
        <v>Bugatti</v>
      </c>
      <c r="M212" s="11" t="str">
        <f>garage!M212</f>
        <v>Centodieci</v>
      </c>
      <c r="O212" s="10">
        <v>3651</v>
      </c>
      <c r="P212" s="10">
        <v>3808</v>
      </c>
      <c r="Q212" s="10">
        <v>3992</v>
      </c>
      <c r="R212" s="10">
        <v>4189</v>
      </c>
      <c r="S212" s="10">
        <v>4389</v>
      </c>
      <c r="T212" s="10">
        <v>4621</v>
      </c>
      <c r="U212" s="10">
        <v>4843</v>
      </c>
    </row>
    <row r="213" spans="2:21" ht="18" customHeight="1" x14ac:dyDescent="0.2">
      <c r="B213" s="8">
        <f>garage!B213</f>
        <v>213</v>
      </c>
      <c r="C213" s="8">
        <f>garage!C213</f>
        <v>5</v>
      </c>
      <c r="D213" s="8">
        <f>garage!D213</f>
        <v>41</v>
      </c>
      <c r="E213" s="8">
        <f>garage!E213</f>
        <v>17</v>
      </c>
      <c r="F213" s="8" t="str">
        <f>garage!F213</f>
        <v>--</v>
      </c>
      <c r="G213" s="8" t="str">
        <f>garage!G213</f>
        <v>N</v>
      </c>
      <c r="H213" s="8" t="str">
        <f>garage!H213</f>
        <v>N</v>
      </c>
      <c r="I213" s="8" t="str">
        <f>garage!I213</f>
        <v>N</v>
      </c>
      <c r="J213" s="8" t="str">
        <f>garage!J213</f>
        <v>N</v>
      </c>
      <c r="K213" s="8" t="str">
        <f>garage!K213</f>
        <v>S</v>
      </c>
      <c r="L213" s="9" t="str">
        <f>garage!L213</f>
        <v>Aspark</v>
      </c>
      <c r="M213" s="9" t="str">
        <f>garage!M213</f>
        <v>Owl</v>
      </c>
      <c r="O213" s="44">
        <v>3668</v>
      </c>
      <c r="P213" s="44">
        <v>3824</v>
      </c>
      <c r="Q213" s="44">
        <v>4006</v>
      </c>
      <c r="R213" s="44">
        <v>4201</v>
      </c>
      <c r="S213" s="44">
        <v>4405</v>
      </c>
      <c r="T213" s="44">
        <v>4645</v>
      </c>
      <c r="U213" s="44">
        <v>4863</v>
      </c>
    </row>
    <row r="214" spans="2:21" ht="18" customHeight="1" x14ac:dyDescent="0.2">
      <c r="B214" s="10">
        <f>garage!B214</f>
        <v>214</v>
      </c>
      <c r="C214" s="10">
        <f>garage!C214</f>
        <v>5</v>
      </c>
      <c r="D214" s="10">
        <f>garage!D214</f>
        <v>42</v>
      </c>
      <c r="E214" s="10">
        <f>garage!E214</f>
        <v>0</v>
      </c>
      <c r="F214" s="10" t="str">
        <f>garage!F214</f>
        <v>--</v>
      </c>
      <c r="G214" s="10" t="str">
        <f>garage!G214</f>
        <v>N</v>
      </c>
      <c r="H214" s="10" t="str">
        <f>garage!H214</f>
        <v>N</v>
      </c>
      <c r="I214" s="10" t="str">
        <f>garage!I214</f>
        <v>N</v>
      </c>
      <c r="J214" s="10" t="str">
        <f>garage!J214</f>
        <v>N</v>
      </c>
      <c r="K214" s="10" t="str">
        <f>garage!K214</f>
        <v>S</v>
      </c>
      <c r="L214" s="11" t="str">
        <f>garage!L214</f>
        <v>Rimac</v>
      </c>
      <c r="M214" s="11" t="str">
        <f>garage!M214</f>
        <v>Nevera</v>
      </c>
      <c r="O214" s="10">
        <v>3697</v>
      </c>
      <c r="P214" s="10">
        <v>3852</v>
      </c>
      <c r="Q214" s="10">
        <v>4035</v>
      </c>
      <c r="R214" s="10">
        <v>4231</v>
      </c>
      <c r="S214" s="10">
        <v>4435</v>
      </c>
      <c r="T214" s="10">
        <v>4677</v>
      </c>
      <c r="U214" s="10">
        <v>4897</v>
      </c>
    </row>
    <row r="215" spans="2:21" ht="18" customHeight="1" x14ac:dyDescent="0.2">
      <c r="B215" s="8">
        <f>garage!B215</f>
        <v>215</v>
      </c>
      <c r="C215" s="8">
        <f>garage!C215</f>
        <v>5</v>
      </c>
      <c r="D215" s="8">
        <f>garage!D215</f>
        <v>43</v>
      </c>
      <c r="E215" s="8">
        <f>garage!E215</f>
        <v>27</v>
      </c>
      <c r="F215" s="8" t="str">
        <f>garage!F215</f>
        <v>--</v>
      </c>
      <c r="G215" s="8" t="str">
        <f>garage!G215</f>
        <v>N</v>
      </c>
      <c r="H215" s="8" t="str">
        <f>garage!H215</f>
        <v>N</v>
      </c>
      <c r="I215" s="8" t="str">
        <f>garage!I215</f>
        <v>N</v>
      </c>
      <c r="J215" s="8" t="str">
        <f>garage!J215</f>
        <v>N</v>
      </c>
      <c r="K215" s="8" t="str">
        <f>garage!K215</f>
        <v>S</v>
      </c>
      <c r="L215" s="9" t="str">
        <f>garage!L215</f>
        <v>Koenigsegg</v>
      </c>
      <c r="M215" s="9" t="str">
        <f>garage!M215</f>
        <v>Agera RS</v>
      </c>
      <c r="O215" s="44">
        <v>3734</v>
      </c>
      <c r="P215" s="44">
        <v>3892</v>
      </c>
      <c r="Q215" s="44">
        <v>4076</v>
      </c>
      <c r="R215" s="44">
        <v>4272</v>
      </c>
      <c r="S215" s="44">
        <v>4479</v>
      </c>
      <c r="T215" s="44">
        <v>4719</v>
      </c>
      <c r="U215" s="44">
        <v>4940</v>
      </c>
    </row>
    <row r="216" spans="2:21" ht="18" customHeight="1" x14ac:dyDescent="0.2">
      <c r="B216" s="10">
        <f>garage!B216</f>
        <v>216</v>
      </c>
      <c r="C216" s="10">
        <f>garage!C216</f>
        <v>5</v>
      </c>
      <c r="D216" s="10">
        <f>garage!D216</f>
        <v>44</v>
      </c>
      <c r="E216" s="10">
        <f>garage!E216</f>
        <v>13</v>
      </c>
      <c r="F216" s="10" t="str">
        <f>garage!F216</f>
        <v>--</v>
      </c>
      <c r="G216" s="10" t="str">
        <f>garage!G216</f>
        <v>N</v>
      </c>
      <c r="H216" s="10" t="str">
        <f>garage!H216</f>
        <v>O</v>
      </c>
      <c r="I216" s="10" t="str">
        <f>garage!I216</f>
        <v>N</v>
      </c>
      <c r="J216" s="10" t="str">
        <f>garage!J216</f>
        <v>N</v>
      </c>
      <c r="K216" s="10" t="str">
        <f>garage!K216</f>
        <v>S</v>
      </c>
      <c r="L216" s="11" t="str">
        <f>garage!L216</f>
        <v>SSC</v>
      </c>
      <c r="M216" s="11" t="str">
        <f>garage!M216</f>
        <v>Tuatara</v>
      </c>
      <c r="O216" s="10">
        <v>3758</v>
      </c>
      <c r="P216" s="10">
        <v>3918</v>
      </c>
      <c r="Q216" s="10">
        <v>4105</v>
      </c>
      <c r="R216" s="10">
        <v>4303</v>
      </c>
      <c r="S216" s="10">
        <v>4506</v>
      </c>
      <c r="T216" s="10">
        <v>4744</v>
      </c>
      <c r="U216" s="10">
        <v>4969</v>
      </c>
    </row>
    <row r="217" spans="2:21" ht="18" customHeight="1" x14ac:dyDescent="0.2">
      <c r="B217" s="8">
        <f>garage!B217</f>
        <v>217</v>
      </c>
      <c r="C217" s="8">
        <f>garage!C217</f>
        <v>5</v>
      </c>
      <c r="D217" s="8">
        <f>garage!D217</f>
        <v>45</v>
      </c>
      <c r="E217" s="8">
        <f>garage!E217</f>
        <v>30</v>
      </c>
      <c r="F217" s="8" t="str">
        <f>garage!F217</f>
        <v>--</v>
      </c>
      <c r="G217" s="8" t="str">
        <f>garage!G217</f>
        <v>N</v>
      </c>
      <c r="H217" s="8" t="str">
        <f>garage!H217</f>
        <v>N</v>
      </c>
      <c r="I217" s="8" t="str">
        <f>garage!I217</f>
        <v>N</v>
      </c>
      <c r="J217" s="8" t="str">
        <f>garage!J217</f>
        <v>N</v>
      </c>
      <c r="K217" s="8" t="str">
        <f>garage!K217</f>
        <v>S</v>
      </c>
      <c r="L217" s="9" t="str">
        <f>garage!L217</f>
        <v>Koenigsegg</v>
      </c>
      <c r="M217" s="9" t="str">
        <f>garage!M217</f>
        <v>CCXR</v>
      </c>
      <c r="O217" s="44">
        <v>3782</v>
      </c>
      <c r="P217" s="44">
        <v>3938</v>
      </c>
      <c r="Q217" s="44">
        <v>4123</v>
      </c>
      <c r="R217" s="44">
        <v>4321</v>
      </c>
      <c r="S217" s="44">
        <v>4528</v>
      </c>
      <c r="T217" s="44">
        <v>4771</v>
      </c>
      <c r="U217" s="44">
        <v>4998</v>
      </c>
    </row>
    <row r="218" spans="2:21" ht="18" customHeight="1" x14ac:dyDescent="0.2">
      <c r="B218" s="10">
        <f>garage!B218</f>
        <v>218</v>
      </c>
      <c r="C218" s="10">
        <f>garage!C218</f>
        <v>5</v>
      </c>
      <c r="D218" s="10">
        <f>garage!D218</f>
        <v>46</v>
      </c>
      <c r="E218" s="10">
        <f>garage!E218</f>
        <v>16</v>
      </c>
      <c r="F218" s="10" t="str">
        <f>garage!F218</f>
        <v>B</v>
      </c>
      <c r="G218" s="10" t="str">
        <f>garage!G218</f>
        <v>N</v>
      </c>
      <c r="H218" s="10" t="str">
        <f>garage!H218</f>
        <v>N</v>
      </c>
      <c r="I218" s="10" t="str">
        <f>garage!I218</f>
        <v>N</v>
      </c>
      <c r="J218" s="10" t="str">
        <f>garage!J218</f>
        <v>N</v>
      </c>
      <c r="K218" s="10" t="str">
        <f>garage!K218</f>
        <v>S</v>
      </c>
      <c r="L218" s="11" t="str">
        <f>garage!L218</f>
        <v>Bugatti</v>
      </c>
      <c r="M218" s="11" t="str">
        <f>garage!M218</f>
        <v>La Voiture Noire</v>
      </c>
      <c r="O218" s="10">
        <v>3819</v>
      </c>
      <c r="P218" s="10">
        <v>3980</v>
      </c>
      <c r="Q218" s="10">
        <v>4164</v>
      </c>
      <c r="R218" s="10">
        <v>4363</v>
      </c>
      <c r="S218" s="10">
        <v>4569</v>
      </c>
      <c r="T218" s="10">
        <v>4814</v>
      </c>
      <c r="U218" s="10">
        <v>5041</v>
      </c>
    </row>
    <row r="219" spans="2:21" ht="18" customHeight="1" x14ac:dyDescent="0.2">
      <c r="B219" s="8">
        <f>garage!B219</f>
        <v>219</v>
      </c>
      <c r="C219" s="8">
        <f>garage!C219</f>
        <v>5</v>
      </c>
      <c r="D219" s="8">
        <f>garage!D219</f>
        <v>47</v>
      </c>
      <c r="E219" s="8">
        <f>garage!E219</f>
        <v>22</v>
      </c>
      <c r="F219" s="8" t="str">
        <f>garage!F219</f>
        <v>--</v>
      </c>
      <c r="G219" s="8" t="str">
        <f>garage!G219</f>
        <v>N</v>
      </c>
      <c r="H219" s="8" t="str">
        <f>garage!H219</f>
        <v>N</v>
      </c>
      <c r="I219" s="8" t="str">
        <f>garage!I219</f>
        <v>N</v>
      </c>
      <c r="J219" s="8" t="str">
        <f>garage!J219</f>
        <v>N</v>
      </c>
      <c r="K219" s="8" t="str">
        <f>garage!K219</f>
        <v>S</v>
      </c>
      <c r="L219" s="9" t="str">
        <f>garage!L219</f>
        <v>Koenigsegg</v>
      </c>
      <c r="M219" s="9" t="str">
        <f>garage!M219</f>
        <v>Gemera</v>
      </c>
      <c r="O219" s="44">
        <v>3856</v>
      </c>
      <c r="P219" s="44">
        <v>4018</v>
      </c>
      <c r="Q219" s="44">
        <v>4207</v>
      </c>
      <c r="R219" s="44">
        <v>4409</v>
      </c>
      <c r="S219" s="44">
        <v>4616</v>
      </c>
      <c r="T219" s="44">
        <v>4864</v>
      </c>
      <c r="U219" s="44">
        <v>5085</v>
      </c>
    </row>
    <row r="220" spans="2:21" ht="18" customHeight="1" x14ac:dyDescent="0.2">
      <c r="B220" s="10">
        <f>garage!B220</f>
        <v>220</v>
      </c>
      <c r="C220" s="10">
        <f>garage!C220</f>
        <v>5</v>
      </c>
      <c r="D220" s="10">
        <f>garage!D220</f>
        <v>48</v>
      </c>
      <c r="E220" s="10">
        <f>garage!E220</f>
        <v>20</v>
      </c>
      <c r="F220" s="10" t="str">
        <f>garage!F220</f>
        <v>TD</v>
      </c>
      <c r="G220" s="10" t="str">
        <f>garage!G220</f>
        <v>N</v>
      </c>
      <c r="H220" s="10" t="str">
        <f>garage!H220</f>
        <v>N</v>
      </c>
      <c r="I220" s="10" t="str">
        <f>garage!I220</f>
        <v>N</v>
      </c>
      <c r="J220" s="10" t="str">
        <f>garage!J220</f>
        <v>N</v>
      </c>
      <c r="K220" s="10" t="str">
        <f>garage!K220</f>
        <v>S</v>
      </c>
      <c r="L220" s="11" t="str">
        <f>garage!L220</f>
        <v>Hennessey</v>
      </c>
      <c r="M220" s="11" t="str">
        <f>garage!M220</f>
        <v>Venom F5</v>
      </c>
      <c r="O220" s="10">
        <v>3881</v>
      </c>
      <c r="P220" s="10">
        <v>4046</v>
      </c>
      <c r="Q220" s="10">
        <v>4237</v>
      </c>
      <c r="R220" s="10">
        <v>4439</v>
      </c>
      <c r="S220" s="10">
        <v>4651</v>
      </c>
      <c r="T220" s="10">
        <v>4900</v>
      </c>
      <c r="U220" s="10">
        <v>5126</v>
      </c>
    </row>
    <row r="221" spans="2:21" ht="18" customHeight="1" x14ac:dyDescent="0.2">
      <c r="B221" s="10">
        <f>garage!B221</f>
        <v>221</v>
      </c>
      <c r="C221" s="10">
        <f>garage!C221</f>
        <v>5</v>
      </c>
      <c r="D221" s="10">
        <f>garage!D221</f>
        <v>49</v>
      </c>
      <c r="E221" s="10">
        <f>garage!E221</f>
        <v>32</v>
      </c>
      <c r="F221" s="10" t="str">
        <f>garage!F221</f>
        <v>--</v>
      </c>
      <c r="G221" s="10" t="str">
        <f>garage!G221</f>
        <v>N</v>
      </c>
      <c r="H221" s="10" t="str">
        <f>garage!H221</f>
        <v>N</v>
      </c>
      <c r="I221" s="10" t="str">
        <f>garage!I221</f>
        <v>N</v>
      </c>
      <c r="J221" s="10" t="str">
        <f>garage!J221</f>
        <v>N</v>
      </c>
      <c r="K221" s="10" t="str">
        <f>garage!K221</f>
        <v>S</v>
      </c>
      <c r="L221" s="11" t="str">
        <f>garage!L221</f>
        <v>Koenigsegg</v>
      </c>
      <c r="M221" s="11" t="str">
        <f>garage!M221</f>
        <v>CC850</v>
      </c>
      <c r="O221" s="10">
        <v>3919</v>
      </c>
      <c r="P221" s="10">
        <v>4078</v>
      </c>
      <c r="Q221" s="10">
        <v>4266</v>
      </c>
      <c r="R221" s="10">
        <v>4466</v>
      </c>
      <c r="S221" s="10">
        <v>4677</v>
      </c>
      <c r="T221" s="10">
        <v>4923</v>
      </c>
      <c r="U221" s="10">
        <v>5145</v>
      </c>
    </row>
    <row r="222" spans="2:21" ht="18" customHeight="1" x14ac:dyDescent="0.2">
      <c r="B222" s="8">
        <f>garage!B222</f>
        <v>222</v>
      </c>
      <c r="C222" s="8">
        <f>garage!C222</f>
        <v>5</v>
      </c>
      <c r="D222" s="8">
        <f>garage!D222</f>
        <v>50</v>
      </c>
      <c r="E222" s="8">
        <f>garage!E222</f>
        <v>28</v>
      </c>
      <c r="F222" s="8" t="str">
        <f>garage!F222</f>
        <v>B</v>
      </c>
      <c r="G222" s="8" t="str">
        <f>garage!G222</f>
        <v>N</v>
      </c>
      <c r="H222" s="8" t="str">
        <f>garage!H222</f>
        <v>N</v>
      </c>
      <c r="I222" s="8" t="str">
        <f>garage!I222</f>
        <v>N</v>
      </c>
      <c r="J222" s="8" t="str">
        <f>garage!J222</f>
        <v>N</v>
      </c>
      <c r="K222" s="8" t="str">
        <f>garage!K222</f>
        <v>S</v>
      </c>
      <c r="L222" s="9" t="str">
        <f>garage!L222</f>
        <v>Bugatti</v>
      </c>
      <c r="M222" s="9" t="str">
        <f>garage!M222</f>
        <v>Bolide</v>
      </c>
      <c r="O222" s="44">
        <v>3969</v>
      </c>
      <c r="P222" s="44">
        <v>4129</v>
      </c>
      <c r="Q222" s="44" t="s">
        <v>112</v>
      </c>
      <c r="R222" s="44" t="s">
        <v>112</v>
      </c>
      <c r="S222" s="44" t="s">
        <v>112</v>
      </c>
      <c r="T222" s="44" t="s">
        <v>112</v>
      </c>
      <c r="U222" s="44">
        <v>5190</v>
      </c>
    </row>
    <row r="223" spans="2:21" ht="18" customHeight="1" x14ac:dyDescent="0.2">
      <c r="B223" s="10">
        <f>garage!B223</f>
        <v>223</v>
      </c>
      <c r="C223" s="10">
        <f>garage!C223</f>
        <v>5</v>
      </c>
      <c r="D223" s="10">
        <f>garage!D223</f>
        <v>99</v>
      </c>
      <c r="E223" s="10">
        <f>garage!E223</f>
        <v>0</v>
      </c>
      <c r="F223" s="10" t="str">
        <f>garage!F223</f>
        <v>--</v>
      </c>
      <c r="G223" s="10" t="str">
        <f>garage!G223</f>
        <v>N</v>
      </c>
      <c r="H223" s="10" t="str">
        <f>garage!H223</f>
        <v>N</v>
      </c>
      <c r="I223" s="10" t="str">
        <f>garage!I223</f>
        <v>N</v>
      </c>
      <c r="J223" s="10" t="str">
        <f>garage!J223</f>
        <v>N</v>
      </c>
      <c r="K223" s="10" t="str">
        <f>garage!K223</f>
        <v>S</v>
      </c>
      <c r="L223" s="11" t="str">
        <f>garage!L223</f>
        <v>Rimac</v>
      </c>
      <c r="M223" s="11" t="str">
        <f>garage!M223</f>
        <v>C TWO</v>
      </c>
      <c r="O223" s="10" t="s">
        <v>112</v>
      </c>
      <c r="P223" s="10" t="s">
        <v>112</v>
      </c>
      <c r="Q223" s="10" t="s">
        <v>112</v>
      </c>
      <c r="R223" s="10" t="s">
        <v>112</v>
      </c>
      <c r="S223" s="10" t="s">
        <v>112</v>
      </c>
      <c r="T223" s="10" t="s">
        <v>112</v>
      </c>
      <c r="U223" s="10" t="s">
        <v>112</v>
      </c>
    </row>
  </sheetData>
  <autoFilter ref="E1:L223"/>
  <sortState ref="B2:U218">
    <sortCondition ref="C2:C218"/>
    <sortCondition ref="D2:D218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B1:AC223"/>
  <sheetViews>
    <sheetView showGridLines="0" workbookViewId="0">
      <pane ySplit="1" topLeftCell="A11" activePane="bottomLeft" state="frozenSplit"/>
      <selection activeCell="A221" sqref="A221:XFD221"/>
      <selection pane="bottomLeft" activeCell="A2" sqref="A2"/>
    </sheetView>
  </sheetViews>
  <sheetFormatPr baseColWidth="10" defaultColWidth="3.7109375" defaultRowHeight="18" customHeight="1" x14ac:dyDescent="0.2"/>
  <cols>
    <col min="2" max="8" width="3.7109375" style="2"/>
    <col min="11" max="11" width="3.7109375" style="4"/>
    <col min="12" max="12" width="25.7109375" style="4" customWidth="1"/>
    <col min="13" max="13" width="30.7109375" customWidth="1"/>
    <col min="15" max="18" width="10.7109375" customWidth="1"/>
    <col min="19" max="19" width="10.7109375" style="12" customWidth="1"/>
    <col min="21" max="24" width="10.7109375" customWidth="1"/>
    <col min="25" max="25" width="10.7109375" style="12" customWidth="1"/>
    <col min="27" max="27" width="3.7109375" style="2"/>
    <col min="29" max="29" width="6.7109375" style="2" customWidth="1"/>
  </cols>
  <sheetData>
    <row r="1" spans="2:27" ht="50.1" customHeight="1" x14ac:dyDescent="0.2">
      <c r="B1" s="7" t="s">
        <v>94</v>
      </c>
      <c r="C1" s="7" t="s">
        <v>95</v>
      </c>
      <c r="D1" s="7" t="s">
        <v>96</v>
      </c>
      <c r="E1" s="7" t="s">
        <v>97</v>
      </c>
      <c r="F1" s="7" t="s">
        <v>98</v>
      </c>
      <c r="G1" s="7" t="s">
        <v>65</v>
      </c>
      <c r="H1" s="7" t="s">
        <v>66</v>
      </c>
      <c r="I1" s="7" t="s">
        <v>67</v>
      </c>
      <c r="J1" s="7" t="s">
        <v>99</v>
      </c>
      <c r="K1" s="6" t="s">
        <v>100</v>
      </c>
      <c r="L1" s="6" t="s">
        <v>101</v>
      </c>
      <c r="M1" s="6" t="s">
        <v>102</v>
      </c>
      <c r="O1" s="7" t="s">
        <v>442</v>
      </c>
      <c r="P1" s="7" t="s">
        <v>443</v>
      </c>
      <c r="Q1" s="7" t="s">
        <v>444</v>
      </c>
      <c r="R1" s="7" t="s">
        <v>445</v>
      </c>
      <c r="S1" s="7" t="s">
        <v>448</v>
      </c>
      <c r="U1" s="7" t="s">
        <v>442</v>
      </c>
      <c r="V1" s="7" t="s">
        <v>449</v>
      </c>
      <c r="W1" s="7" t="s">
        <v>444</v>
      </c>
      <c r="X1" s="7" t="s">
        <v>445</v>
      </c>
      <c r="Y1" s="7" t="s">
        <v>448</v>
      </c>
      <c r="AA1" s="7" t="s">
        <v>96</v>
      </c>
    </row>
    <row r="2" spans="2:27" ht="18" customHeight="1" x14ac:dyDescent="0.2">
      <c r="B2" s="8">
        <f>garage!B2</f>
        <v>2</v>
      </c>
      <c r="C2" s="8">
        <f>garage!C2</f>
        <v>1</v>
      </c>
      <c r="D2" s="8">
        <f>garage!D2</f>
        <v>1</v>
      </c>
      <c r="E2" s="8">
        <f>garage!E2</f>
        <v>0</v>
      </c>
      <c r="F2" s="8" t="str">
        <f>garage!F2</f>
        <v>--</v>
      </c>
      <c r="G2" s="8" t="str">
        <f>garage!G2</f>
        <v>O</v>
      </c>
      <c r="H2" s="8" t="str">
        <f>garage!H2</f>
        <v>O</v>
      </c>
      <c r="I2" s="8" t="str">
        <f>garage!I2</f>
        <v>O</v>
      </c>
      <c r="J2" s="8" t="str">
        <f>garage!J42</f>
        <v>N</v>
      </c>
      <c r="K2" s="8" t="str">
        <f>garage!K2</f>
        <v>D</v>
      </c>
      <c r="L2" s="9" t="str">
        <f>garage!L2</f>
        <v>Mitsubishi</v>
      </c>
      <c r="M2" s="9" t="str">
        <f>garage!M2</f>
        <v>Lancer Evolution</v>
      </c>
      <c r="O2" s="53">
        <v>250</v>
      </c>
      <c r="P2" s="53">
        <v>42.4</v>
      </c>
      <c r="Q2" s="53">
        <v>54.8</v>
      </c>
      <c r="R2" s="53">
        <v>54.8</v>
      </c>
      <c r="S2" s="55">
        <f t="shared" ref="S2:S67" si="0">AVERAGE(O2:R2)</f>
        <v>100.5</v>
      </c>
      <c r="U2" s="53">
        <v>270.10000000000002</v>
      </c>
      <c r="V2" s="53">
        <v>55.03</v>
      </c>
      <c r="W2" s="53">
        <v>53.79</v>
      </c>
      <c r="X2" s="53">
        <v>68.19</v>
      </c>
      <c r="Y2" s="55">
        <f t="shared" ref="Y2:Y65" si="1">AVERAGE(U2:X2)</f>
        <v>111.7775</v>
      </c>
      <c r="AA2" s="8">
        <v>1</v>
      </c>
    </row>
    <row r="3" spans="2:27" ht="18" customHeight="1" x14ac:dyDescent="0.2">
      <c r="B3" s="10">
        <f>garage!B3</f>
        <v>3</v>
      </c>
      <c r="C3" s="10">
        <f>garage!C3</f>
        <v>1</v>
      </c>
      <c r="D3" s="10">
        <f>garage!D3</f>
        <v>2</v>
      </c>
      <c r="E3" s="10">
        <f>garage!E3</f>
        <v>0</v>
      </c>
      <c r="F3" s="10" t="str">
        <f>garage!F3</f>
        <v>--</v>
      </c>
      <c r="G3" s="10" t="str">
        <f>garage!G3</f>
        <v>O</v>
      </c>
      <c r="H3" s="10" t="str">
        <f>garage!H3</f>
        <v>O</v>
      </c>
      <c r="I3" s="10" t="str">
        <f>garage!I3</f>
        <v>O</v>
      </c>
      <c r="J3" s="10" t="str">
        <f>garage!J43</f>
        <v>N</v>
      </c>
      <c r="K3" s="10" t="str">
        <f>garage!K3</f>
        <v>D</v>
      </c>
      <c r="L3" s="11" t="str">
        <f>garage!L3</f>
        <v>BMW</v>
      </c>
      <c r="M3" s="11" t="str">
        <f>garage!M3</f>
        <v>Z4 LCI E89</v>
      </c>
      <c r="O3" s="54">
        <v>250</v>
      </c>
      <c r="P3" s="54">
        <v>58.6</v>
      </c>
      <c r="Q3" s="54">
        <v>39.020000000000003</v>
      </c>
      <c r="R3" s="54">
        <v>45.09</v>
      </c>
      <c r="S3" s="56">
        <f t="shared" si="0"/>
        <v>98.177500000000009</v>
      </c>
      <c r="U3" s="54">
        <v>266.8</v>
      </c>
      <c r="V3" s="54">
        <v>68.86</v>
      </c>
      <c r="W3" s="54">
        <v>47.43</v>
      </c>
      <c r="X3" s="54">
        <v>57.49</v>
      </c>
      <c r="Y3" s="56">
        <f t="shared" si="1"/>
        <v>110.14500000000001</v>
      </c>
      <c r="AA3" s="10">
        <v>2</v>
      </c>
    </row>
    <row r="4" spans="2:27" ht="18" customHeight="1" x14ac:dyDescent="0.2">
      <c r="B4" s="8">
        <f>garage!B4</f>
        <v>4</v>
      </c>
      <c r="C4" s="8">
        <f>garage!C4</f>
        <v>1</v>
      </c>
      <c r="D4" s="8">
        <f>garage!D4</f>
        <v>3</v>
      </c>
      <c r="E4" s="8">
        <f>garage!E4</f>
        <v>0</v>
      </c>
      <c r="F4" s="8" t="str">
        <f>garage!F4</f>
        <v>C</v>
      </c>
      <c r="G4" s="8" t="str">
        <f>garage!G4</f>
        <v>O</v>
      </c>
      <c r="H4" s="8" t="str">
        <f>garage!H4</f>
        <v>O</v>
      </c>
      <c r="I4" s="8" t="str">
        <f>garage!I4</f>
        <v>O</v>
      </c>
      <c r="J4" s="8" t="str">
        <f>garage!J44</f>
        <v>N</v>
      </c>
      <c r="K4" s="8" t="str">
        <f>garage!K4</f>
        <v>D</v>
      </c>
      <c r="L4" s="9" t="str">
        <f>garage!L4</f>
        <v>Chevrolet</v>
      </c>
      <c r="M4" s="9" t="str">
        <f>garage!M4</f>
        <v>Camaro LT</v>
      </c>
      <c r="O4" s="53">
        <v>265</v>
      </c>
      <c r="P4" s="53">
        <v>51.4</v>
      </c>
      <c r="Q4" s="53">
        <v>41.17</v>
      </c>
      <c r="R4" s="53">
        <v>48.53</v>
      </c>
      <c r="S4" s="55">
        <f t="shared" si="0"/>
        <v>101.52500000000001</v>
      </c>
      <c r="U4" s="53">
        <v>284.10000000000002</v>
      </c>
      <c r="V4" s="53">
        <v>64.81</v>
      </c>
      <c r="W4" s="53">
        <v>48.39</v>
      </c>
      <c r="X4" s="53">
        <v>63.29</v>
      </c>
      <c r="Y4" s="55">
        <f t="shared" si="1"/>
        <v>115.14750000000001</v>
      </c>
      <c r="AA4" s="8">
        <v>3</v>
      </c>
    </row>
    <row r="5" spans="2:27" ht="18" customHeight="1" x14ac:dyDescent="0.2">
      <c r="B5" s="10">
        <f>garage!B5</f>
        <v>5</v>
      </c>
      <c r="C5" s="10">
        <f>garage!C5</f>
        <v>1</v>
      </c>
      <c r="D5" s="10">
        <f>garage!D5</f>
        <v>4</v>
      </c>
      <c r="E5" s="10">
        <f>garage!E5</f>
        <v>0</v>
      </c>
      <c r="F5" s="10" t="str">
        <f>garage!F5</f>
        <v>--</v>
      </c>
      <c r="G5" s="10" t="str">
        <f>garage!G5</f>
        <v>O</v>
      </c>
      <c r="H5" s="10" t="str">
        <f>garage!H5</f>
        <v>O</v>
      </c>
      <c r="I5" s="10" t="str">
        <f>garage!I5</f>
        <v>O</v>
      </c>
      <c r="J5" s="10" t="str">
        <f>garage!J45</f>
        <v>N</v>
      </c>
      <c r="K5" s="10" t="str">
        <f>garage!K5</f>
        <v>D</v>
      </c>
      <c r="L5" s="11" t="str">
        <f>garage!L5</f>
        <v>Nissan</v>
      </c>
      <c r="M5" s="11" t="str">
        <f>garage!M5</f>
        <v>Leaf Nismo RC</v>
      </c>
      <c r="O5" s="54">
        <v>220</v>
      </c>
      <c r="P5" s="54">
        <v>69.400000000000006</v>
      </c>
      <c r="Q5" s="54">
        <v>38.17</v>
      </c>
      <c r="R5" s="54">
        <v>48.27</v>
      </c>
      <c r="S5" s="56">
        <f t="shared" si="0"/>
        <v>93.96</v>
      </c>
      <c r="U5" s="54">
        <v>244.5</v>
      </c>
      <c r="V5" s="54">
        <v>78.87</v>
      </c>
      <c r="W5" s="54">
        <v>59.91</v>
      </c>
      <c r="X5" s="54">
        <v>65.03</v>
      </c>
      <c r="Y5" s="56">
        <f t="shared" si="1"/>
        <v>112.07749999999999</v>
      </c>
      <c r="AA5" s="10">
        <v>4</v>
      </c>
    </row>
    <row r="6" spans="2:27" ht="18" customHeight="1" x14ac:dyDescent="0.2">
      <c r="B6" s="8">
        <f>garage!B6</f>
        <v>6</v>
      </c>
      <c r="C6" s="8">
        <f>garage!C6</f>
        <v>1</v>
      </c>
      <c r="D6" s="8">
        <f>garage!D6</f>
        <v>5</v>
      </c>
      <c r="E6" s="8">
        <f>garage!E6</f>
        <v>0</v>
      </c>
      <c r="F6" s="8" t="str">
        <f>garage!F6</f>
        <v>--</v>
      </c>
      <c r="G6" s="8" t="str">
        <f>garage!G6</f>
        <v>O</v>
      </c>
      <c r="H6" s="8" t="str">
        <f>garage!H6</f>
        <v>O</v>
      </c>
      <c r="I6" s="8" t="str">
        <f>garage!I6</f>
        <v>O</v>
      </c>
      <c r="J6" s="8" t="str">
        <f>garage!J46</f>
        <v>O</v>
      </c>
      <c r="K6" s="8" t="str">
        <f>garage!K6</f>
        <v>D</v>
      </c>
      <c r="L6" s="9" t="str">
        <f>garage!L6</f>
        <v>Nissan</v>
      </c>
      <c r="M6" s="9" t="str">
        <f>garage!M6</f>
        <v>37OZ Nismo</v>
      </c>
      <c r="O6" s="53">
        <v>250</v>
      </c>
      <c r="P6" s="53">
        <v>53.2</v>
      </c>
      <c r="Q6" s="53">
        <v>52.37</v>
      </c>
      <c r="R6" s="53">
        <v>41.85</v>
      </c>
      <c r="S6" s="55">
        <f t="shared" si="0"/>
        <v>99.355000000000004</v>
      </c>
      <c r="U6" s="53">
        <v>268.5</v>
      </c>
      <c r="V6" s="53">
        <v>66.61</v>
      </c>
      <c r="W6" s="53">
        <v>81.83</v>
      </c>
      <c r="X6" s="53">
        <v>67.069999999999993</v>
      </c>
      <c r="Y6" s="55">
        <f t="shared" si="1"/>
        <v>121.0025</v>
      </c>
      <c r="AA6" s="8">
        <v>5</v>
      </c>
    </row>
    <row r="7" spans="2:27" ht="18" customHeight="1" x14ac:dyDescent="0.2">
      <c r="B7" s="10">
        <f>garage!B7</f>
        <v>7</v>
      </c>
      <c r="C7" s="10">
        <f>garage!C7</f>
        <v>1</v>
      </c>
      <c r="D7" s="10">
        <f>garage!D7</f>
        <v>6</v>
      </c>
      <c r="E7" s="10">
        <f>garage!E7</f>
        <v>30</v>
      </c>
      <c r="F7" s="10" t="str">
        <f>garage!F7</f>
        <v>--</v>
      </c>
      <c r="G7" s="10" t="str">
        <f>garage!G7</f>
        <v>O</v>
      </c>
      <c r="H7" s="10" t="str">
        <f>garage!H7</f>
        <v>O</v>
      </c>
      <c r="I7" s="10" t="str">
        <f>garage!I7</f>
        <v>N</v>
      </c>
      <c r="J7" s="10" t="str">
        <f>garage!J47</f>
        <v>N</v>
      </c>
      <c r="K7" s="10" t="str">
        <f>garage!K7</f>
        <v>D</v>
      </c>
      <c r="L7" s="11" t="str">
        <f>garage!L7</f>
        <v>KTM</v>
      </c>
      <c r="M7" s="11" t="str">
        <f>garage!M7</f>
        <v>X-Bow GTX</v>
      </c>
      <c r="O7" s="54">
        <v>231</v>
      </c>
      <c r="P7" s="54">
        <v>64.900000000000006</v>
      </c>
      <c r="Q7" s="54">
        <v>42.69</v>
      </c>
      <c r="R7" s="54">
        <v>50.35</v>
      </c>
      <c r="S7" s="56">
        <f t="shared" si="0"/>
        <v>97.234999999999999</v>
      </c>
      <c r="U7" s="54">
        <v>247.5</v>
      </c>
      <c r="V7" s="54">
        <v>83.84</v>
      </c>
      <c r="W7" s="54">
        <v>64.989999999999995</v>
      </c>
      <c r="X7" s="54">
        <v>66.989999999999995</v>
      </c>
      <c r="Y7" s="56">
        <f t="shared" si="1"/>
        <v>115.83000000000001</v>
      </c>
      <c r="AA7" s="10">
        <v>6</v>
      </c>
    </row>
    <row r="8" spans="2:27" ht="18" customHeight="1" x14ac:dyDescent="0.2">
      <c r="B8" s="8">
        <f>garage!B8</f>
        <v>8</v>
      </c>
      <c r="C8" s="8">
        <f>garage!C8</f>
        <v>1</v>
      </c>
      <c r="D8" s="8">
        <f>garage!D8</f>
        <v>7</v>
      </c>
      <c r="E8" s="8">
        <f>garage!E8</f>
        <v>0</v>
      </c>
      <c r="F8" s="8" t="str">
        <f>garage!F8</f>
        <v>--</v>
      </c>
      <c r="G8" s="8" t="str">
        <f>garage!G8</f>
        <v>O</v>
      </c>
      <c r="H8" s="8" t="str">
        <f>garage!H8</f>
        <v>O</v>
      </c>
      <c r="I8" s="8" t="str">
        <f>garage!I8</f>
        <v>O</v>
      </c>
      <c r="J8" s="8" t="str">
        <f>garage!J48</f>
        <v>N</v>
      </c>
      <c r="K8" s="8" t="str">
        <f>garage!K8</f>
        <v>D</v>
      </c>
      <c r="L8" s="9" t="str">
        <f>garage!L8</f>
        <v>Volkswagen</v>
      </c>
      <c r="M8" s="9" t="str">
        <f>garage!M8</f>
        <v>XL Sport Concept</v>
      </c>
      <c r="O8" s="53">
        <v>270</v>
      </c>
      <c r="P8" s="53">
        <v>46.9</v>
      </c>
      <c r="Q8" s="53">
        <v>49.35</v>
      </c>
      <c r="R8" s="53">
        <v>42.32</v>
      </c>
      <c r="S8" s="55">
        <f t="shared" si="0"/>
        <v>102.1425</v>
      </c>
      <c r="U8" s="53">
        <v>291.2</v>
      </c>
      <c r="V8" s="53">
        <v>60.31</v>
      </c>
      <c r="W8" s="53">
        <v>62.02</v>
      </c>
      <c r="X8" s="53">
        <v>61.94</v>
      </c>
      <c r="Y8" s="55">
        <f t="shared" si="1"/>
        <v>118.86749999999999</v>
      </c>
      <c r="AA8" s="8">
        <v>7</v>
      </c>
    </row>
    <row r="9" spans="2:27" ht="18" customHeight="1" x14ac:dyDescent="0.2">
      <c r="B9" s="10">
        <f>garage!B9</f>
        <v>9</v>
      </c>
      <c r="C9" s="10">
        <f>garage!C9</f>
        <v>1</v>
      </c>
      <c r="D9" s="10">
        <f>garage!D9</f>
        <v>8</v>
      </c>
      <c r="E9" s="10">
        <f>garage!E9</f>
        <v>0</v>
      </c>
      <c r="F9" s="10" t="str">
        <f>garage!F9</f>
        <v>--</v>
      </c>
      <c r="G9" s="10" t="str">
        <f>garage!G9</f>
        <v>O</v>
      </c>
      <c r="H9" s="10" t="str">
        <f>garage!H9</f>
        <v>O</v>
      </c>
      <c r="I9" s="10" t="str">
        <f>garage!I9</f>
        <v>O</v>
      </c>
      <c r="J9" s="10" t="str">
        <f>garage!J49</f>
        <v>N</v>
      </c>
      <c r="K9" s="10" t="str">
        <f>garage!K9</f>
        <v>D</v>
      </c>
      <c r="L9" s="11" t="str">
        <f>garage!L9</f>
        <v>DS Automobiles</v>
      </c>
      <c r="M9" s="11" t="str">
        <f>garage!M9</f>
        <v>DS E-Tense</v>
      </c>
      <c r="O9" s="54">
        <v>250</v>
      </c>
      <c r="P9" s="54">
        <v>59.5</v>
      </c>
      <c r="Q9" s="54">
        <v>45.09</v>
      </c>
      <c r="R9" s="54">
        <v>51.56</v>
      </c>
      <c r="S9" s="56">
        <f t="shared" si="0"/>
        <v>101.53750000000001</v>
      </c>
      <c r="U9" s="54">
        <v>270.10000000000002</v>
      </c>
      <c r="V9" s="54">
        <v>76.069999999999993</v>
      </c>
      <c r="W9" s="54">
        <v>81.27</v>
      </c>
      <c r="X9" s="54">
        <v>72.3</v>
      </c>
      <c r="Y9" s="56">
        <f t="shared" si="1"/>
        <v>124.935</v>
      </c>
      <c r="AA9" s="10">
        <v>8</v>
      </c>
    </row>
    <row r="10" spans="2:27" ht="18" customHeight="1" x14ac:dyDescent="0.2">
      <c r="B10" s="8">
        <f>garage!B10</f>
        <v>10</v>
      </c>
      <c r="C10" s="8">
        <f>garage!C10</f>
        <v>1</v>
      </c>
      <c r="D10" s="8">
        <f>garage!D10</f>
        <v>9</v>
      </c>
      <c r="E10" s="8">
        <f>garage!E10</f>
        <v>0</v>
      </c>
      <c r="F10" s="8" t="str">
        <f>garage!F10</f>
        <v>--</v>
      </c>
      <c r="G10" s="8" t="str">
        <f>garage!G10</f>
        <v>O</v>
      </c>
      <c r="H10" s="8" t="str">
        <f>garage!H10</f>
        <v>O</v>
      </c>
      <c r="I10" s="8" t="str">
        <f>garage!I10</f>
        <v>O</v>
      </c>
      <c r="J10" s="8" t="str">
        <f>garage!J50</f>
        <v>N</v>
      </c>
      <c r="K10" s="8" t="str">
        <f>garage!K10</f>
        <v>D</v>
      </c>
      <c r="L10" s="9" t="str">
        <f>garage!L10</f>
        <v>Dodge</v>
      </c>
      <c r="M10" s="9" t="str">
        <f>garage!M10</f>
        <v>Pack Challenger 392 Hemi Scat</v>
      </c>
      <c r="O10" s="53">
        <v>283</v>
      </c>
      <c r="P10" s="53">
        <v>62.2</v>
      </c>
      <c r="Q10" s="53">
        <v>36.1</v>
      </c>
      <c r="R10" s="53">
        <v>50.71</v>
      </c>
      <c r="S10" s="55">
        <f t="shared" si="0"/>
        <v>108.0025</v>
      </c>
      <c r="U10" s="53">
        <v>299.3</v>
      </c>
      <c r="V10" s="53">
        <v>72.459999999999994</v>
      </c>
      <c r="W10" s="53">
        <v>43.24</v>
      </c>
      <c r="X10" s="53">
        <v>62.34</v>
      </c>
      <c r="Y10" s="55">
        <f t="shared" si="1"/>
        <v>119.33500000000001</v>
      </c>
      <c r="AA10" s="8">
        <v>9</v>
      </c>
    </row>
    <row r="11" spans="2:27" ht="18" customHeight="1" x14ac:dyDescent="0.2">
      <c r="B11" s="10">
        <f>garage!B11</f>
        <v>11</v>
      </c>
      <c r="C11" s="10">
        <f>garage!C11</f>
        <v>1</v>
      </c>
      <c r="D11" s="10">
        <f>garage!D11</f>
        <v>10</v>
      </c>
      <c r="E11" s="10">
        <f>garage!E11</f>
        <v>26</v>
      </c>
      <c r="F11" s="10" t="str">
        <f>garage!F11</f>
        <v>--</v>
      </c>
      <c r="G11" s="10" t="str">
        <f>garage!G11</f>
        <v>O</v>
      </c>
      <c r="H11" s="10" t="str">
        <f>garage!H11</f>
        <v>N</v>
      </c>
      <c r="I11" s="10" t="str">
        <f>garage!I11</f>
        <v>N</v>
      </c>
      <c r="J11" s="10" t="str">
        <f>garage!J51</f>
        <v>N</v>
      </c>
      <c r="K11" s="10" t="str">
        <f>garage!K11</f>
        <v>D</v>
      </c>
      <c r="L11" s="11" t="str">
        <f>garage!L11</f>
        <v>Renault</v>
      </c>
      <c r="M11" s="11" t="str">
        <f>garage!M11</f>
        <v>Dezir</v>
      </c>
      <c r="O11" s="54">
        <v>275.7</v>
      </c>
      <c r="P11" s="54">
        <v>55</v>
      </c>
      <c r="Q11" s="54">
        <v>44.86</v>
      </c>
      <c r="R11" s="54">
        <v>44.86</v>
      </c>
      <c r="S11" s="56">
        <f t="shared" si="0"/>
        <v>105.105</v>
      </c>
      <c r="U11" s="54">
        <v>293.2</v>
      </c>
      <c r="V11" s="54">
        <v>65.56</v>
      </c>
      <c r="W11" s="54">
        <v>69.430000000000007</v>
      </c>
      <c r="X11" s="54">
        <v>68.44</v>
      </c>
      <c r="Y11" s="56">
        <f t="shared" si="1"/>
        <v>124.1575</v>
      </c>
      <c r="AA11" s="10">
        <v>10</v>
      </c>
    </row>
    <row r="12" spans="2:27" ht="18" customHeight="1" x14ac:dyDescent="0.2">
      <c r="B12" s="8">
        <f>garage!B12</f>
        <v>12</v>
      </c>
      <c r="C12" s="8">
        <f>garage!C12</f>
        <v>1</v>
      </c>
      <c r="D12" s="8">
        <f>garage!D12</f>
        <v>11</v>
      </c>
      <c r="E12" s="8">
        <f>garage!E12</f>
        <v>18</v>
      </c>
      <c r="F12" s="8" t="str">
        <f>garage!F12</f>
        <v>--</v>
      </c>
      <c r="G12" s="8" t="str">
        <f>garage!G12</f>
        <v>N</v>
      </c>
      <c r="H12" s="8" t="str">
        <f>garage!H12</f>
        <v>N</v>
      </c>
      <c r="I12" s="8" t="str">
        <f>garage!I12</f>
        <v>N</v>
      </c>
      <c r="J12" s="8" t="str">
        <f>garage!J52</f>
        <v>N</v>
      </c>
      <c r="K12" s="8" t="str">
        <f>garage!K12</f>
        <v>D</v>
      </c>
      <c r="L12" s="9" t="str">
        <f>garage!L12</f>
        <v>Italdesign</v>
      </c>
      <c r="M12" s="9" t="str">
        <f>garage!M12</f>
        <v>DaVinci</v>
      </c>
      <c r="O12" s="53">
        <v>250</v>
      </c>
      <c r="P12" s="53">
        <v>68.5</v>
      </c>
      <c r="Q12" s="53">
        <v>45.09</v>
      </c>
      <c r="R12" s="53">
        <v>35.380000000000003</v>
      </c>
      <c r="S12" s="55">
        <f t="shared" si="0"/>
        <v>99.742500000000007</v>
      </c>
      <c r="U12" s="53">
        <v>278.3</v>
      </c>
      <c r="V12" s="53">
        <v>83.53</v>
      </c>
      <c r="W12" s="53">
        <v>73.569999999999993</v>
      </c>
      <c r="X12" s="53">
        <v>55.35</v>
      </c>
      <c r="Y12" s="55">
        <f t="shared" si="1"/>
        <v>122.68750000000001</v>
      </c>
      <c r="AA12" s="8">
        <v>11</v>
      </c>
    </row>
    <row r="13" spans="2:27" ht="18" customHeight="1" x14ac:dyDescent="0.2">
      <c r="B13" s="10">
        <f>garage!B13</f>
        <v>13</v>
      </c>
      <c r="C13" s="10">
        <f>garage!C13</f>
        <v>1</v>
      </c>
      <c r="D13" s="10">
        <f>garage!D13</f>
        <v>12</v>
      </c>
      <c r="E13" s="10">
        <f>garage!E13</f>
        <v>16</v>
      </c>
      <c r="F13" s="10" t="str">
        <f>garage!F13</f>
        <v>--</v>
      </c>
      <c r="G13" s="10" t="str">
        <f>garage!G13</f>
        <v>O</v>
      </c>
      <c r="H13" s="10" t="str">
        <f>garage!H13</f>
        <v>N</v>
      </c>
      <c r="I13" s="10" t="str">
        <f>garage!I13</f>
        <v>N</v>
      </c>
      <c r="J13" s="10" t="str">
        <f>garage!J53</f>
        <v>N</v>
      </c>
      <c r="K13" s="10" t="str">
        <f>garage!K13</f>
        <v>D</v>
      </c>
      <c r="L13" s="11" t="str">
        <f>garage!L13</f>
        <v>BMW</v>
      </c>
      <c r="M13" s="11" t="str">
        <f>garage!M13</f>
        <v>I8 Roadster</v>
      </c>
      <c r="O13" s="54">
        <v>250</v>
      </c>
      <c r="P13" s="54">
        <v>58.6</v>
      </c>
      <c r="Q13" s="54">
        <v>51.16</v>
      </c>
      <c r="R13" s="54">
        <v>48.33</v>
      </c>
      <c r="S13" s="56">
        <f t="shared" si="0"/>
        <v>102.02249999999999</v>
      </c>
      <c r="U13" s="54">
        <v>278.3</v>
      </c>
      <c r="V13" s="54">
        <v>79.72</v>
      </c>
      <c r="W13" s="54">
        <v>78.61</v>
      </c>
      <c r="X13" s="54">
        <v>66.88</v>
      </c>
      <c r="Y13" s="56">
        <f t="shared" si="1"/>
        <v>125.8775</v>
      </c>
      <c r="AA13" s="10">
        <v>12</v>
      </c>
    </row>
    <row r="14" spans="2:27" ht="18" customHeight="1" x14ac:dyDescent="0.2">
      <c r="B14" s="8">
        <f>garage!B14</f>
        <v>14</v>
      </c>
      <c r="C14" s="8">
        <f>garage!C14</f>
        <v>1</v>
      </c>
      <c r="D14" s="8">
        <f>garage!D14</f>
        <v>13</v>
      </c>
      <c r="E14" s="8">
        <f>garage!E14</f>
        <v>27</v>
      </c>
      <c r="F14" s="8" t="str">
        <f>garage!F14</f>
        <v>--</v>
      </c>
      <c r="G14" s="8" t="str">
        <f>garage!G14</f>
        <v>O</v>
      </c>
      <c r="H14" s="8" t="str">
        <f>garage!H14</f>
        <v>N</v>
      </c>
      <c r="I14" s="8" t="str">
        <f>garage!I14</f>
        <v>N</v>
      </c>
      <c r="J14" s="8" t="str">
        <f>garage!J54</f>
        <v>O</v>
      </c>
      <c r="K14" s="8" t="str">
        <f>garage!K14</f>
        <v>D</v>
      </c>
      <c r="L14" s="9" t="str">
        <f>garage!L14</f>
        <v>Peugeot</v>
      </c>
      <c r="M14" s="9" t="str">
        <f>garage!M14</f>
        <v>SR1</v>
      </c>
      <c r="O14" s="53">
        <v>290</v>
      </c>
      <c r="P14" s="53">
        <v>57.7</v>
      </c>
      <c r="Q14" s="53">
        <v>32.35</v>
      </c>
      <c r="R14" s="53">
        <v>8.68</v>
      </c>
      <c r="S14" s="55">
        <f t="shared" si="0"/>
        <v>97.182500000000005</v>
      </c>
      <c r="U14" s="53">
        <v>278.3</v>
      </c>
      <c r="V14" s="53">
        <v>83.53</v>
      </c>
      <c r="W14" s="53">
        <v>73.569999999999993</v>
      </c>
      <c r="X14" s="53">
        <v>55.35</v>
      </c>
      <c r="Y14" s="55">
        <f t="shared" si="1"/>
        <v>122.68750000000001</v>
      </c>
      <c r="AA14" s="8">
        <v>13</v>
      </c>
    </row>
    <row r="15" spans="2:27" ht="18" customHeight="1" x14ac:dyDescent="0.2">
      <c r="B15" s="10">
        <f>garage!B15</f>
        <v>15</v>
      </c>
      <c r="C15" s="10">
        <f>garage!C15</f>
        <v>1</v>
      </c>
      <c r="D15" s="10">
        <f>garage!D15</f>
        <v>14</v>
      </c>
      <c r="E15" s="10">
        <f>garage!E15</f>
        <v>0</v>
      </c>
      <c r="F15" s="10" t="str">
        <f>garage!F15</f>
        <v>P</v>
      </c>
      <c r="G15" s="10" t="str">
        <f>garage!G15</f>
        <v>O</v>
      </c>
      <c r="H15" s="10" t="str">
        <f>garage!H15</f>
        <v>O</v>
      </c>
      <c r="I15" s="10" t="str">
        <f>garage!I15</f>
        <v>O</v>
      </c>
      <c r="J15" s="10" t="str">
        <f>garage!J55</f>
        <v>N</v>
      </c>
      <c r="K15" s="10" t="str">
        <f>garage!K15</f>
        <v>D</v>
      </c>
      <c r="L15" s="11" t="str">
        <f>garage!L15</f>
        <v>Porsche</v>
      </c>
      <c r="M15" s="11" t="str">
        <f>garage!M15</f>
        <v>718 Cayman</v>
      </c>
      <c r="O15" s="54">
        <v>275</v>
      </c>
      <c r="P15" s="54">
        <v>55.9</v>
      </c>
      <c r="Q15" s="54">
        <v>51.9</v>
      </c>
      <c r="R15" s="54">
        <v>39.4</v>
      </c>
      <c r="S15" s="56">
        <f t="shared" si="0"/>
        <v>105.54999999999998</v>
      </c>
      <c r="U15" s="54">
        <v>307.2</v>
      </c>
      <c r="V15" s="54">
        <v>70.87</v>
      </c>
      <c r="W15" s="54">
        <v>57.45</v>
      </c>
      <c r="X15" s="54">
        <v>53.42</v>
      </c>
      <c r="Y15" s="56">
        <f t="shared" si="1"/>
        <v>122.235</v>
      </c>
      <c r="AA15" s="10">
        <v>14</v>
      </c>
    </row>
    <row r="16" spans="2:27" ht="18" customHeight="1" x14ac:dyDescent="0.2">
      <c r="B16" s="8">
        <f>garage!B16</f>
        <v>16</v>
      </c>
      <c r="C16" s="8">
        <f>garage!C16</f>
        <v>1</v>
      </c>
      <c r="D16" s="8">
        <f>garage!D16</f>
        <v>15</v>
      </c>
      <c r="E16" s="8">
        <f>garage!E16</f>
        <v>17</v>
      </c>
      <c r="F16" s="8" t="str">
        <f>garage!F16</f>
        <v>--</v>
      </c>
      <c r="G16" s="8" t="str">
        <f>garage!G16</f>
        <v>O</v>
      </c>
      <c r="H16" s="8" t="str">
        <f>garage!H16</f>
        <v>O</v>
      </c>
      <c r="I16" s="8" t="str">
        <f>garage!I16</f>
        <v>N</v>
      </c>
      <c r="J16" s="8" t="str">
        <f>garage!J56</f>
        <v>N</v>
      </c>
      <c r="K16" s="8" t="str">
        <f>garage!K16</f>
        <v>D</v>
      </c>
      <c r="L16" s="9" t="str">
        <f>garage!L16</f>
        <v>Infiniti</v>
      </c>
      <c r="M16" s="9" t="str">
        <f>garage!M16</f>
        <v>Projet Black S</v>
      </c>
      <c r="O16" s="53">
        <v>246.2</v>
      </c>
      <c r="P16" s="53">
        <v>64</v>
      </c>
      <c r="Q16" s="53">
        <v>47.65</v>
      </c>
      <c r="R16" s="53">
        <v>44.65</v>
      </c>
      <c r="S16" s="55">
        <f t="shared" si="0"/>
        <v>100.62499999999999</v>
      </c>
      <c r="U16" s="53">
        <v>295.7</v>
      </c>
      <c r="V16" s="53">
        <v>70.52</v>
      </c>
      <c r="W16" s="53">
        <v>61.91</v>
      </c>
      <c r="X16" s="53">
        <v>60.28</v>
      </c>
      <c r="Y16" s="55">
        <f t="shared" si="1"/>
        <v>122.10249999999999</v>
      </c>
      <c r="AA16" s="8">
        <v>15</v>
      </c>
    </row>
    <row r="17" spans="2:27" ht="18" customHeight="1" x14ac:dyDescent="0.2">
      <c r="B17" s="10">
        <f>garage!B17</f>
        <v>17</v>
      </c>
      <c r="C17" s="10">
        <f>garage!C17</f>
        <v>1</v>
      </c>
      <c r="D17" s="10">
        <f>garage!D17</f>
        <v>16</v>
      </c>
      <c r="E17" s="10">
        <f>garage!E17</f>
        <v>0</v>
      </c>
      <c r="F17" s="10" t="str">
        <f>garage!F17</f>
        <v>--</v>
      </c>
      <c r="G17" s="10" t="str">
        <f>garage!G17</f>
        <v>O</v>
      </c>
      <c r="H17" s="10" t="str">
        <f>garage!H17</f>
        <v>O</v>
      </c>
      <c r="I17" s="10" t="str">
        <f>garage!I17</f>
        <v>O</v>
      </c>
      <c r="J17" s="10" t="str">
        <f>garage!J57</f>
        <v>N</v>
      </c>
      <c r="K17" s="10" t="str">
        <f>garage!K17</f>
        <v>D</v>
      </c>
      <c r="L17" s="11" t="str">
        <f>garage!L17</f>
        <v>Lotus</v>
      </c>
      <c r="M17" s="11" t="str">
        <f>garage!M17</f>
        <v>Elise Sprint 220</v>
      </c>
      <c r="O17" s="54">
        <v>234</v>
      </c>
      <c r="P17" s="54">
        <v>59.5</v>
      </c>
      <c r="Q17" s="54">
        <v>54.8</v>
      </c>
      <c r="R17" s="54">
        <v>47.82</v>
      </c>
      <c r="S17" s="56">
        <f t="shared" si="0"/>
        <v>99.03</v>
      </c>
      <c r="U17" s="54">
        <v>299.89999999999998</v>
      </c>
      <c r="V17" s="54">
        <v>75.06</v>
      </c>
      <c r="W17" s="54">
        <v>58.97</v>
      </c>
      <c r="X17" s="54">
        <v>52.93</v>
      </c>
      <c r="Y17" s="56">
        <f t="shared" si="1"/>
        <v>121.71499999999999</v>
      </c>
      <c r="AA17" s="10">
        <v>16</v>
      </c>
    </row>
    <row r="18" spans="2:27" ht="18" customHeight="1" x14ac:dyDescent="0.2">
      <c r="B18" s="8">
        <f>garage!B18</f>
        <v>18</v>
      </c>
      <c r="C18" s="8">
        <f>garage!C18</f>
        <v>1</v>
      </c>
      <c r="D18" s="8">
        <f>garage!D18</f>
        <v>17</v>
      </c>
      <c r="E18" s="8">
        <f>garage!E18</f>
        <v>25</v>
      </c>
      <c r="F18" s="8" t="str">
        <f>garage!F18</f>
        <v>L</v>
      </c>
      <c r="G18" s="8" t="str">
        <f>garage!G18</f>
        <v>O</v>
      </c>
      <c r="H18" s="8" t="str">
        <f>garage!H18</f>
        <v>N</v>
      </c>
      <c r="I18" s="8" t="str">
        <f>garage!I18</f>
        <v>N</v>
      </c>
      <c r="J18" s="8" t="str">
        <f>garage!J58</f>
        <v>N</v>
      </c>
      <c r="K18" s="8" t="str">
        <f>garage!K18</f>
        <v>D</v>
      </c>
      <c r="L18" s="9" t="str">
        <f>garage!L18</f>
        <v>Lamborghini</v>
      </c>
      <c r="M18" s="9" t="str">
        <f>garage!M18</f>
        <v>Countach 25th Anniversary</v>
      </c>
      <c r="O18" s="53">
        <v>293</v>
      </c>
      <c r="P18" s="53">
        <v>59.5</v>
      </c>
      <c r="Q18" s="53">
        <v>43.38</v>
      </c>
      <c r="R18" s="53">
        <v>14.14</v>
      </c>
      <c r="S18" s="55">
        <f t="shared" si="0"/>
        <v>102.505</v>
      </c>
      <c r="U18" s="53">
        <v>304.89999999999998</v>
      </c>
      <c r="V18" s="53">
        <v>71.69</v>
      </c>
      <c r="W18" s="53">
        <v>55.89</v>
      </c>
      <c r="X18" s="53">
        <v>36.299999999999997</v>
      </c>
      <c r="Y18" s="55">
        <f t="shared" si="1"/>
        <v>117.19499999999999</v>
      </c>
      <c r="AA18" s="8">
        <v>17</v>
      </c>
    </row>
    <row r="19" spans="2:27" ht="18" customHeight="1" x14ac:dyDescent="0.2">
      <c r="B19" s="10">
        <f>garage!B19</f>
        <v>19</v>
      </c>
      <c r="C19" s="10">
        <f>garage!C19</f>
        <v>1</v>
      </c>
      <c r="D19" s="10">
        <f>garage!D19</f>
        <v>18</v>
      </c>
      <c r="E19" s="10">
        <f>garage!E19</f>
        <v>0</v>
      </c>
      <c r="F19" s="10" t="str">
        <f>garage!F19</f>
        <v>--</v>
      </c>
      <c r="G19" s="10" t="str">
        <f>garage!G19</f>
        <v>O</v>
      </c>
      <c r="H19" s="10" t="str">
        <f>garage!H19</f>
        <v>O</v>
      </c>
      <c r="I19" s="10" t="str">
        <f>garage!I19</f>
        <v>O</v>
      </c>
      <c r="J19" s="10" t="str">
        <f>garage!J59</f>
        <v>N</v>
      </c>
      <c r="K19" s="10" t="str">
        <f>garage!K19</f>
        <v>D</v>
      </c>
      <c r="L19" s="11" t="str">
        <f>garage!L19</f>
        <v>Ford</v>
      </c>
      <c r="M19" s="11" t="str">
        <f>garage!M19</f>
        <v>Shelby GT350R</v>
      </c>
      <c r="O19" s="54">
        <v>276</v>
      </c>
      <c r="P19" s="54">
        <v>64.900000000000006</v>
      </c>
      <c r="Q19" s="54">
        <v>47.58</v>
      </c>
      <c r="R19" s="54">
        <v>34.380000000000003</v>
      </c>
      <c r="S19" s="56">
        <f t="shared" si="0"/>
        <v>105.71499999999999</v>
      </c>
      <c r="U19" s="54">
        <v>299.3</v>
      </c>
      <c r="V19" s="54">
        <v>72.459999999999994</v>
      </c>
      <c r="W19" s="54">
        <v>43.24</v>
      </c>
      <c r="X19" s="54">
        <v>62.34</v>
      </c>
      <c r="Y19" s="56">
        <f t="shared" si="1"/>
        <v>119.33500000000001</v>
      </c>
      <c r="AA19" s="10">
        <v>18</v>
      </c>
    </row>
    <row r="20" spans="2:27" ht="18" customHeight="1" x14ac:dyDescent="0.2">
      <c r="B20" s="8">
        <f>garage!B20</f>
        <v>20</v>
      </c>
      <c r="C20" s="8">
        <f>garage!C20</f>
        <v>1</v>
      </c>
      <c r="D20" s="8">
        <f>garage!D20</f>
        <v>19</v>
      </c>
      <c r="E20" s="8">
        <f>garage!E20</f>
        <v>6</v>
      </c>
      <c r="F20" s="8" t="str">
        <f>garage!F20</f>
        <v>P</v>
      </c>
      <c r="G20" s="8" t="str">
        <f>garage!G20</f>
        <v>O</v>
      </c>
      <c r="H20" s="8" t="str">
        <f>garage!H20</f>
        <v>O</v>
      </c>
      <c r="I20" s="8" t="str">
        <f>garage!I20</f>
        <v>O</v>
      </c>
      <c r="J20" s="8" t="str">
        <f>garage!J60</f>
        <v>N</v>
      </c>
      <c r="K20" s="8" t="str">
        <f>garage!K20</f>
        <v>D</v>
      </c>
      <c r="L20" s="9" t="str">
        <f>garage!L20</f>
        <v>Porsche</v>
      </c>
      <c r="M20" s="9" t="str">
        <f>garage!M20</f>
        <v>911 Targa 4S</v>
      </c>
      <c r="O20" s="53">
        <v>303</v>
      </c>
      <c r="P20" s="53">
        <v>64</v>
      </c>
      <c r="Q20" s="53">
        <v>29.2</v>
      </c>
      <c r="R20" s="53">
        <v>18.149999999999999</v>
      </c>
      <c r="S20" s="55">
        <f t="shared" si="0"/>
        <v>103.58749999999999</v>
      </c>
      <c r="U20" s="53">
        <v>291.2</v>
      </c>
      <c r="V20" s="53">
        <v>60.31</v>
      </c>
      <c r="W20" s="53">
        <v>62.02</v>
      </c>
      <c r="X20" s="53">
        <v>61.94</v>
      </c>
      <c r="Y20" s="55">
        <f t="shared" si="1"/>
        <v>118.86749999999999</v>
      </c>
      <c r="AA20" s="8">
        <v>19</v>
      </c>
    </row>
    <row r="21" spans="2:27" ht="18" customHeight="1" x14ac:dyDescent="0.2">
      <c r="B21" s="10">
        <f>garage!B21</f>
        <v>21</v>
      </c>
      <c r="C21" s="10">
        <f>garage!C21</f>
        <v>1</v>
      </c>
      <c r="D21" s="10">
        <f>garage!D21</f>
        <v>20</v>
      </c>
      <c r="E21" s="10">
        <f>garage!E21</f>
        <v>23</v>
      </c>
      <c r="F21" s="10" t="str">
        <f>garage!F21</f>
        <v>--</v>
      </c>
      <c r="G21" s="10" t="str">
        <f>garage!G21</f>
        <v>O</v>
      </c>
      <c r="H21" s="10" t="str">
        <f>garage!H21</f>
        <v>O</v>
      </c>
      <c r="I21" s="10" t="str">
        <f>garage!I21</f>
        <v>N</v>
      </c>
      <c r="J21" s="10" t="str">
        <f>garage!J61</f>
        <v>N</v>
      </c>
      <c r="K21" s="10" t="str">
        <f>garage!K21</f>
        <v>D</v>
      </c>
      <c r="L21" s="11" t="str">
        <f>garage!L21</f>
        <v>Lotus</v>
      </c>
      <c r="M21" s="11" t="str">
        <f>garage!M21</f>
        <v>Emira</v>
      </c>
      <c r="O21" s="54">
        <v>290</v>
      </c>
      <c r="P21" s="54">
        <v>59.5</v>
      </c>
      <c r="Q21" s="54">
        <v>43.07</v>
      </c>
      <c r="R21" s="54">
        <v>31.91</v>
      </c>
      <c r="S21" s="56">
        <f t="shared" si="0"/>
        <v>106.12</v>
      </c>
      <c r="U21" s="54">
        <v>307.2</v>
      </c>
      <c r="V21" s="54">
        <v>70.87</v>
      </c>
      <c r="W21" s="54">
        <v>57.45</v>
      </c>
      <c r="X21" s="54">
        <v>53.42</v>
      </c>
      <c r="Y21" s="56">
        <f t="shared" si="1"/>
        <v>122.235</v>
      </c>
      <c r="AA21" s="10">
        <v>20</v>
      </c>
    </row>
    <row r="22" spans="2:27" ht="18" customHeight="1" x14ac:dyDescent="0.2">
      <c r="B22" s="8">
        <f>garage!B22</f>
        <v>22</v>
      </c>
      <c r="C22" s="8">
        <f>garage!C22</f>
        <v>1</v>
      </c>
      <c r="D22" s="8">
        <f>garage!D22</f>
        <v>21</v>
      </c>
      <c r="E22" s="8">
        <f>garage!E22</f>
        <v>28</v>
      </c>
      <c r="F22" s="8" t="str">
        <f>garage!F22</f>
        <v>--</v>
      </c>
      <c r="G22" s="8" t="str">
        <f>garage!G22</f>
        <v>O</v>
      </c>
      <c r="H22" s="8" t="str">
        <f>garage!H22</f>
        <v>N</v>
      </c>
      <c r="I22" s="8" t="str">
        <f>garage!I22</f>
        <v>N</v>
      </c>
      <c r="J22" s="8" t="str">
        <f>garage!J62</f>
        <v>N</v>
      </c>
      <c r="K22" s="8" t="str">
        <f>garage!K22</f>
        <v>D</v>
      </c>
      <c r="L22" s="9" t="str">
        <f>garage!L22</f>
        <v>Prague</v>
      </c>
      <c r="M22" s="9" t="str">
        <f>garage!M22</f>
        <v>R1</v>
      </c>
      <c r="O22" s="53">
        <v>268</v>
      </c>
      <c r="P22" s="53">
        <v>74.8</v>
      </c>
      <c r="Q22" s="53">
        <v>42.12</v>
      </c>
      <c r="R22" s="53">
        <v>38.729999999999997</v>
      </c>
      <c r="S22" s="55">
        <f t="shared" si="0"/>
        <v>105.91250000000001</v>
      </c>
      <c r="U22" s="53">
        <v>283.3</v>
      </c>
      <c r="V22" s="53">
        <v>87.8</v>
      </c>
      <c r="W22" s="53">
        <v>62.25</v>
      </c>
      <c r="X22" s="53">
        <v>60.92</v>
      </c>
      <c r="Y22" s="55">
        <f t="shared" si="1"/>
        <v>123.56750000000001</v>
      </c>
      <c r="AA22" s="8">
        <v>21</v>
      </c>
    </row>
    <row r="23" spans="2:27" ht="18" customHeight="1" x14ac:dyDescent="0.2">
      <c r="B23" s="10">
        <f>garage!B23</f>
        <v>23</v>
      </c>
      <c r="C23" s="10">
        <f>garage!C23</f>
        <v>1</v>
      </c>
      <c r="D23" s="10">
        <f>garage!D23</f>
        <v>22</v>
      </c>
      <c r="E23" s="10">
        <f>garage!E23</f>
        <v>6</v>
      </c>
      <c r="F23" s="10" t="str">
        <f>garage!F23</f>
        <v>--</v>
      </c>
      <c r="G23" s="10" t="str">
        <f>garage!G23</f>
        <v>O</v>
      </c>
      <c r="H23" s="10" t="str">
        <f>garage!H23</f>
        <v>O</v>
      </c>
      <c r="I23" s="10" t="str">
        <f>garage!I23</f>
        <v>O</v>
      </c>
      <c r="J23" s="10" t="str">
        <f>garage!J63</f>
        <v>N</v>
      </c>
      <c r="K23" s="10" t="str">
        <f>garage!K23</f>
        <v>D</v>
      </c>
      <c r="L23" s="11" t="str">
        <f>garage!L23</f>
        <v>Ginetta</v>
      </c>
      <c r="M23" s="11" t="str">
        <f>garage!M23</f>
        <v>G60</v>
      </c>
      <c r="O23" s="54">
        <v>275</v>
      </c>
      <c r="P23" s="54">
        <v>57.7</v>
      </c>
      <c r="Q23" s="54">
        <v>54.48</v>
      </c>
      <c r="R23" s="54">
        <v>46.29</v>
      </c>
      <c r="S23" s="56">
        <f t="shared" si="0"/>
        <v>108.36750000000001</v>
      </c>
      <c r="U23" s="54">
        <v>310.5</v>
      </c>
      <c r="V23" s="54">
        <v>71.510000000000005</v>
      </c>
      <c r="W23" s="54">
        <v>52.39</v>
      </c>
      <c r="X23" s="54">
        <v>31.19</v>
      </c>
      <c r="Y23" s="56">
        <f t="shared" si="1"/>
        <v>116.39749999999999</v>
      </c>
      <c r="AA23" s="10">
        <v>22</v>
      </c>
    </row>
    <row r="24" spans="2:27" ht="18" customHeight="1" x14ac:dyDescent="0.2">
      <c r="B24" s="8">
        <f>garage!B24</f>
        <v>24</v>
      </c>
      <c r="C24" s="8">
        <f>garage!C24</f>
        <v>1</v>
      </c>
      <c r="D24" s="8">
        <f>garage!D24</f>
        <v>23</v>
      </c>
      <c r="E24" s="8">
        <f>garage!E24</f>
        <v>21</v>
      </c>
      <c r="F24" s="8" t="str">
        <f>garage!F24</f>
        <v>--</v>
      </c>
      <c r="G24" s="8" t="str">
        <f>garage!G24</f>
        <v>O</v>
      </c>
      <c r="H24" s="8" t="str">
        <f>garage!H24</f>
        <v>N</v>
      </c>
      <c r="I24" s="8" t="str">
        <f>garage!I24</f>
        <v>N</v>
      </c>
      <c r="J24" s="8" t="str">
        <f>garage!J64</f>
        <v>N</v>
      </c>
      <c r="K24" s="8" t="str">
        <f>garage!K24</f>
        <v>D</v>
      </c>
      <c r="L24" s="9" t="str">
        <f>garage!L24</f>
        <v>Renault</v>
      </c>
      <c r="M24" s="9" t="str">
        <f>garage!M24</f>
        <v>TreZor</v>
      </c>
      <c r="O24" s="53">
        <v>280</v>
      </c>
      <c r="P24" s="53">
        <v>64</v>
      </c>
      <c r="Q24" s="53">
        <v>42.06</v>
      </c>
      <c r="R24" s="53">
        <v>41.62</v>
      </c>
      <c r="S24" s="55">
        <f t="shared" si="0"/>
        <v>106.92</v>
      </c>
      <c r="U24" s="53">
        <v>294.5</v>
      </c>
      <c r="V24" s="53">
        <v>78.62</v>
      </c>
      <c r="W24" s="53">
        <v>61.93</v>
      </c>
      <c r="X24" s="53">
        <v>61.07</v>
      </c>
      <c r="Y24" s="55">
        <f t="shared" si="1"/>
        <v>124.03</v>
      </c>
      <c r="AA24" s="8">
        <v>23</v>
      </c>
    </row>
    <row r="25" spans="2:27" ht="18" customHeight="1" x14ac:dyDescent="0.2">
      <c r="B25" s="8">
        <f>garage!B25</f>
        <v>25</v>
      </c>
      <c r="C25" s="8">
        <f>garage!C25</f>
        <v>1</v>
      </c>
      <c r="D25" s="8">
        <f>garage!D25</f>
        <v>24</v>
      </c>
      <c r="E25" s="8">
        <f>garage!E25</f>
        <v>32</v>
      </c>
      <c r="F25" s="8" t="str">
        <f>garage!F25</f>
        <v>--</v>
      </c>
      <c r="G25" s="8" t="str">
        <f>garage!G25</f>
        <v>N</v>
      </c>
      <c r="H25" s="8" t="str">
        <f>garage!H25</f>
        <v>N</v>
      </c>
      <c r="I25" s="8" t="str">
        <f>garage!I25</f>
        <v>N</v>
      </c>
      <c r="J25" s="8" t="str">
        <f>garage!J65</f>
        <v>N</v>
      </c>
      <c r="K25" s="8" t="str">
        <f>garage!K25</f>
        <v>D</v>
      </c>
      <c r="L25" s="9" t="str">
        <f>garage!L25</f>
        <v>Nissan</v>
      </c>
      <c r="M25" s="9" t="str">
        <f>garage!M25</f>
        <v>370Z Édition Néon</v>
      </c>
      <c r="O25" s="53">
        <v>250</v>
      </c>
      <c r="P25" s="53">
        <v>53.2</v>
      </c>
      <c r="Q25" s="53">
        <v>49.95</v>
      </c>
      <c r="R25" s="53">
        <v>35.380000000000003</v>
      </c>
      <c r="S25" s="55">
        <f t="shared" si="0"/>
        <v>97.132499999999993</v>
      </c>
      <c r="U25" s="53">
        <v>271.10000000000002</v>
      </c>
      <c r="V25" s="53">
        <v>83.26</v>
      </c>
      <c r="W25" s="53">
        <v>82.91</v>
      </c>
      <c r="X25" s="53">
        <v>65.22</v>
      </c>
      <c r="Y25" s="55">
        <f t="shared" si="1"/>
        <v>125.6225</v>
      </c>
      <c r="AA25" s="8"/>
    </row>
    <row r="26" spans="2:27" ht="18" customHeight="1" x14ac:dyDescent="0.2">
      <c r="B26" s="10">
        <f>garage!B26</f>
        <v>26</v>
      </c>
      <c r="C26" s="10">
        <f>garage!C26</f>
        <v>1</v>
      </c>
      <c r="D26" s="10">
        <f>garage!D26</f>
        <v>25</v>
      </c>
      <c r="E26" s="10">
        <f>garage!E26</f>
        <v>10</v>
      </c>
      <c r="F26" s="10" t="str">
        <f>garage!F26</f>
        <v>--</v>
      </c>
      <c r="G26" s="10" t="str">
        <f>garage!G26</f>
        <v>O</v>
      </c>
      <c r="H26" s="10" t="str">
        <f>garage!H26</f>
        <v>O</v>
      </c>
      <c r="I26" s="10" t="str">
        <f>garage!I26</f>
        <v>N</v>
      </c>
      <c r="J26" s="10" t="str">
        <f>garage!J66</f>
        <v>N</v>
      </c>
      <c r="K26" s="10" t="str">
        <f>garage!K26</f>
        <v>D</v>
      </c>
      <c r="L26" s="11" t="str">
        <f>garage!L26</f>
        <v>Honda</v>
      </c>
      <c r="M26" s="11" t="str">
        <f>garage!M26</f>
        <v>Civic Type-R</v>
      </c>
      <c r="O26" s="54">
        <v>271</v>
      </c>
      <c r="P26" s="54">
        <v>72.099999999999994</v>
      </c>
      <c r="Q26" s="54">
        <v>41.15</v>
      </c>
      <c r="R26" s="54">
        <v>36.450000000000003</v>
      </c>
      <c r="S26" s="56">
        <f t="shared" si="0"/>
        <v>105.175</v>
      </c>
      <c r="U26" s="54">
        <v>244.5</v>
      </c>
      <c r="V26" s="54">
        <v>78.87</v>
      </c>
      <c r="W26" s="54">
        <v>59.91</v>
      </c>
      <c r="X26" s="54">
        <v>64.08</v>
      </c>
      <c r="Y26" s="56">
        <f t="shared" si="1"/>
        <v>111.83999999999999</v>
      </c>
      <c r="AA26" s="10">
        <v>24</v>
      </c>
    </row>
    <row r="27" spans="2:27" ht="18" customHeight="1" x14ac:dyDescent="0.2">
      <c r="B27" s="8">
        <f>garage!B27</f>
        <v>27</v>
      </c>
      <c r="C27" s="8">
        <f>garage!C27</f>
        <v>1</v>
      </c>
      <c r="D27" s="8">
        <f>garage!D27</f>
        <v>26</v>
      </c>
      <c r="E27" s="8">
        <f>garage!E27</f>
        <v>11</v>
      </c>
      <c r="F27" s="8" t="str">
        <f>garage!F27</f>
        <v>P</v>
      </c>
      <c r="G27" s="8" t="str">
        <f>garage!G27</f>
        <v>O</v>
      </c>
      <c r="H27" s="8" t="str">
        <f>garage!H27</f>
        <v>O</v>
      </c>
      <c r="I27" s="8" t="str">
        <f>garage!I27</f>
        <v>O</v>
      </c>
      <c r="J27" s="8" t="str">
        <f>garage!J67</f>
        <v>O</v>
      </c>
      <c r="K27" s="8" t="str">
        <f>garage!K27</f>
        <v>D</v>
      </c>
      <c r="L27" s="9" t="str">
        <f>garage!L27</f>
        <v>Porsche</v>
      </c>
      <c r="M27" s="9" t="str">
        <f>garage!M27</f>
        <v>Taycan Turbo S</v>
      </c>
      <c r="O27" s="53">
        <v>260</v>
      </c>
      <c r="P27" s="53">
        <v>74.8</v>
      </c>
      <c r="Q27" s="53">
        <v>52.49</v>
      </c>
      <c r="R27" s="53">
        <v>37.96</v>
      </c>
      <c r="S27" s="55">
        <f t="shared" si="0"/>
        <v>106.3125</v>
      </c>
      <c r="U27" s="53">
        <v>270.10000000000002</v>
      </c>
      <c r="V27" s="53">
        <v>55.03</v>
      </c>
      <c r="W27" s="53">
        <v>53.79</v>
      </c>
      <c r="X27" s="53">
        <v>68.19</v>
      </c>
      <c r="Y27" s="55">
        <f t="shared" si="1"/>
        <v>111.7775</v>
      </c>
      <c r="AA27" s="8">
        <v>25</v>
      </c>
    </row>
    <row r="28" spans="2:27" ht="18" customHeight="1" x14ac:dyDescent="0.2">
      <c r="B28" s="10">
        <f>garage!B28</f>
        <v>28</v>
      </c>
      <c r="C28" s="10">
        <f>garage!C28</f>
        <v>1</v>
      </c>
      <c r="D28" s="10">
        <f>garage!D28</f>
        <v>27</v>
      </c>
      <c r="E28" s="10">
        <f>garage!E28</f>
        <v>7</v>
      </c>
      <c r="F28" s="10" t="str">
        <f>garage!F28</f>
        <v>--</v>
      </c>
      <c r="G28" s="10" t="str">
        <f>garage!G28</f>
        <v>O</v>
      </c>
      <c r="H28" s="10" t="str">
        <f>garage!H28</f>
        <v>O</v>
      </c>
      <c r="I28" s="10" t="str">
        <f>garage!I28</f>
        <v>O</v>
      </c>
      <c r="J28" s="10" t="str">
        <f>garage!J68</f>
        <v>N</v>
      </c>
      <c r="K28" s="10" t="str">
        <f>garage!K28</f>
        <v>D</v>
      </c>
      <c r="L28" s="11" t="str">
        <f>garage!L28</f>
        <v>TVR</v>
      </c>
      <c r="M28" s="11" t="str">
        <f>garage!M28</f>
        <v>Griffith</v>
      </c>
      <c r="O28" s="54">
        <v>322</v>
      </c>
      <c r="P28" s="54">
        <v>64</v>
      </c>
      <c r="Q28" s="54">
        <v>39.11</v>
      </c>
      <c r="R28" s="54">
        <v>17.02</v>
      </c>
      <c r="S28" s="56">
        <f t="shared" si="0"/>
        <v>110.5325</v>
      </c>
      <c r="U28" s="54">
        <v>266.8</v>
      </c>
      <c r="V28" s="54">
        <v>68.86</v>
      </c>
      <c r="W28" s="54">
        <v>47.43</v>
      </c>
      <c r="X28" s="54">
        <v>57.49</v>
      </c>
      <c r="Y28" s="56">
        <f t="shared" si="1"/>
        <v>110.14500000000001</v>
      </c>
      <c r="AA28" s="10">
        <v>26</v>
      </c>
    </row>
    <row r="29" spans="2:27" ht="18" customHeight="1" x14ac:dyDescent="0.2">
      <c r="B29" s="8">
        <f>garage!B29</f>
        <v>29</v>
      </c>
      <c r="C29" s="8">
        <f>garage!C29</f>
        <v>1</v>
      </c>
      <c r="D29" s="8">
        <f>garage!D29</f>
        <v>28</v>
      </c>
      <c r="E29" s="8">
        <f>garage!E29</f>
        <v>14</v>
      </c>
      <c r="F29" s="8" t="str">
        <f>garage!F29</f>
        <v>--</v>
      </c>
      <c r="G29" s="8" t="str">
        <f>garage!G29</f>
        <v>O</v>
      </c>
      <c r="H29" s="8" t="str">
        <f>garage!H29</f>
        <v>O</v>
      </c>
      <c r="I29" s="8" t="str">
        <f>garage!I29</f>
        <v>N</v>
      </c>
      <c r="J29" s="8" t="str">
        <f>garage!J69</f>
        <v>N</v>
      </c>
      <c r="K29" s="8" t="str">
        <f>garage!K29</f>
        <v>D</v>
      </c>
      <c r="L29" s="9" t="str">
        <f>garage!L29</f>
        <v>Bentley</v>
      </c>
      <c r="M29" s="9" t="str">
        <f>garage!M29</f>
        <v>Continental GT3</v>
      </c>
      <c r="O29" s="53">
        <v>285</v>
      </c>
      <c r="P29" s="53">
        <v>65.8</v>
      </c>
      <c r="Q29" s="53">
        <v>45.88</v>
      </c>
      <c r="R29" s="53">
        <v>20.94</v>
      </c>
      <c r="S29" s="55">
        <f t="shared" si="0"/>
        <v>104.405</v>
      </c>
      <c r="U29" s="53">
        <v>300.8</v>
      </c>
      <c r="V29" s="53">
        <v>74.739999999999995</v>
      </c>
      <c r="W29" s="53">
        <v>72.52</v>
      </c>
      <c r="X29" s="53">
        <v>50.79</v>
      </c>
      <c r="Y29" s="55">
        <f t="shared" si="1"/>
        <v>124.71250000000001</v>
      </c>
      <c r="AA29" s="8">
        <v>27</v>
      </c>
    </row>
    <row r="30" spans="2:27" ht="18" customHeight="1" x14ac:dyDescent="0.2">
      <c r="B30" s="10">
        <f>garage!B30</f>
        <v>30</v>
      </c>
      <c r="C30" s="10">
        <f>garage!C30</f>
        <v>1</v>
      </c>
      <c r="D30" s="10">
        <f>garage!D30</f>
        <v>29</v>
      </c>
      <c r="E30" s="10">
        <f>garage!E30</f>
        <v>0</v>
      </c>
      <c r="F30" s="10" t="str">
        <f>garage!F30</f>
        <v>--</v>
      </c>
      <c r="G30" s="10" t="str">
        <f>garage!G30</f>
        <v>O</v>
      </c>
      <c r="H30" s="10" t="str">
        <f>garage!H30</f>
        <v>O</v>
      </c>
      <c r="I30" s="10" t="str">
        <f>garage!I30</f>
        <v>O</v>
      </c>
      <c r="J30" s="10" t="str">
        <f>garage!J70</f>
        <v>N</v>
      </c>
      <c r="K30" s="10" t="str">
        <f>garage!K30</f>
        <v>D</v>
      </c>
      <c r="L30" s="11" t="str">
        <f>garage!L30</f>
        <v>Mazda</v>
      </c>
      <c r="M30" s="11" t="str">
        <f>garage!M30</f>
        <v>Furai</v>
      </c>
      <c r="O30" s="54">
        <v>290</v>
      </c>
      <c r="P30" s="54">
        <v>71.2</v>
      </c>
      <c r="Q30" s="54">
        <v>43.07</v>
      </c>
      <c r="R30" s="54">
        <v>30.12</v>
      </c>
      <c r="S30" s="56">
        <f t="shared" si="0"/>
        <v>108.5975</v>
      </c>
      <c r="U30" s="54">
        <v>305.5</v>
      </c>
      <c r="V30" s="54">
        <v>80.95</v>
      </c>
      <c r="W30" s="54">
        <v>57.23</v>
      </c>
      <c r="X30" s="54">
        <v>49.67</v>
      </c>
      <c r="Y30" s="56">
        <f t="shared" si="1"/>
        <v>123.33750000000001</v>
      </c>
      <c r="AA30" s="10">
        <v>28</v>
      </c>
    </row>
    <row r="31" spans="2:27" ht="18" customHeight="1" x14ac:dyDescent="0.2">
      <c r="B31" s="8">
        <f>garage!B31</f>
        <v>31</v>
      </c>
      <c r="C31" s="8">
        <f>garage!C31</f>
        <v>1</v>
      </c>
      <c r="D31" s="8">
        <f>garage!D31</f>
        <v>30</v>
      </c>
      <c r="E31" s="8">
        <f>garage!E31</f>
        <v>13</v>
      </c>
      <c r="F31" s="8" t="str">
        <f>garage!F31</f>
        <v>C</v>
      </c>
      <c r="G31" s="8" t="str">
        <f>garage!G31</f>
        <v>O</v>
      </c>
      <c r="H31" s="8" t="str">
        <f>garage!H31</f>
        <v>O</v>
      </c>
      <c r="I31" s="8" t="str">
        <f>garage!I31</f>
        <v>N</v>
      </c>
      <c r="J31" s="8" t="str">
        <f>garage!J71</f>
        <v>N</v>
      </c>
      <c r="K31" s="8" t="str">
        <f>garage!K31</f>
        <v>D</v>
      </c>
      <c r="L31" s="9" t="str">
        <f>garage!L31</f>
        <v>Chevrolet</v>
      </c>
      <c r="M31" s="9" t="str">
        <f>garage!M31</f>
        <v>Corvette C7.R</v>
      </c>
      <c r="O31" s="53">
        <v>295</v>
      </c>
      <c r="P31" s="53">
        <v>71.2</v>
      </c>
      <c r="Q31" s="53">
        <v>34.770000000000003</v>
      </c>
      <c r="R31" s="53">
        <v>35.9</v>
      </c>
      <c r="S31" s="55">
        <f t="shared" si="0"/>
        <v>109.21749999999999</v>
      </c>
      <c r="U31" s="53">
        <v>307.60000000000002</v>
      </c>
      <c r="V31" s="53">
        <v>80.48</v>
      </c>
      <c r="W31" s="53">
        <v>47.08</v>
      </c>
      <c r="X31" s="53">
        <v>57.03</v>
      </c>
      <c r="Y31" s="55">
        <f t="shared" si="1"/>
        <v>123.04750000000001</v>
      </c>
      <c r="AA31" s="8">
        <v>29</v>
      </c>
    </row>
    <row r="32" spans="2:27" ht="18" customHeight="1" x14ac:dyDescent="0.2">
      <c r="B32" s="10">
        <f>garage!B32</f>
        <v>32</v>
      </c>
      <c r="C32" s="10">
        <f>garage!C32</f>
        <v>1</v>
      </c>
      <c r="D32" s="10">
        <f>garage!D32</f>
        <v>31</v>
      </c>
      <c r="E32" s="10">
        <f>garage!E32</f>
        <v>16</v>
      </c>
      <c r="F32" s="10" t="str">
        <f>garage!F32</f>
        <v>L</v>
      </c>
      <c r="G32" s="10" t="str">
        <f>garage!G32</f>
        <v>N</v>
      </c>
      <c r="H32" s="10" t="str">
        <f>garage!H32</f>
        <v>N</v>
      </c>
      <c r="I32" s="10" t="str">
        <f>garage!I32</f>
        <v>N</v>
      </c>
      <c r="J32" s="10" t="str">
        <f>garage!J72</f>
        <v>N</v>
      </c>
      <c r="K32" s="10" t="str">
        <f>garage!K32</f>
        <v>D</v>
      </c>
      <c r="L32" s="11" t="str">
        <f>garage!L32</f>
        <v>Lamborghini</v>
      </c>
      <c r="M32" s="11" t="str">
        <f>garage!M32</f>
        <v>Huracan Super Trofeo Evo</v>
      </c>
      <c r="O32" s="54">
        <v>290</v>
      </c>
      <c r="P32" s="54">
        <v>72.099999999999994</v>
      </c>
      <c r="Q32" s="54">
        <v>46.42</v>
      </c>
      <c r="R32" s="54">
        <v>31.01</v>
      </c>
      <c r="S32" s="56">
        <f t="shared" si="0"/>
        <v>109.88250000000001</v>
      </c>
      <c r="U32" s="54">
        <v>303.7</v>
      </c>
      <c r="V32" s="54">
        <v>82.89</v>
      </c>
      <c r="W32" s="54">
        <v>63.48</v>
      </c>
      <c r="X32" s="54">
        <v>54.41</v>
      </c>
      <c r="Y32" s="56">
        <f t="shared" si="1"/>
        <v>126.12</v>
      </c>
      <c r="AA32" s="10">
        <v>30</v>
      </c>
    </row>
    <row r="33" spans="2:29" ht="18" customHeight="1" x14ac:dyDescent="0.2">
      <c r="B33" s="8">
        <f>garage!B33</f>
        <v>33</v>
      </c>
      <c r="C33" s="8">
        <f>garage!C33</f>
        <v>1</v>
      </c>
      <c r="D33" s="8">
        <f>garage!D33</f>
        <v>32</v>
      </c>
      <c r="E33" s="8">
        <f>garage!E33</f>
        <v>21</v>
      </c>
      <c r="F33" s="8" t="str">
        <f>garage!F33</f>
        <v>--</v>
      </c>
      <c r="G33" s="8" t="str">
        <f>garage!G33</f>
        <v>N</v>
      </c>
      <c r="H33" s="8" t="str">
        <f>garage!H33</f>
        <v>N</v>
      </c>
      <c r="I33" s="8" t="str">
        <f>garage!I33</f>
        <v>N</v>
      </c>
      <c r="J33" s="8" t="str">
        <f>garage!J73</f>
        <v>N</v>
      </c>
      <c r="K33" s="8" t="str">
        <f>garage!K33</f>
        <v>D</v>
      </c>
      <c r="L33" s="9" t="str">
        <f>garage!L33</f>
        <v>Volkswagen</v>
      </c>
      <c r="M33" s="9" t="str">
        <f>garage!M33</f>
        <v>Electric R</v>
      </c>
      <c r="O33" s="53">
        <v>270</v>
      </c>
      <c r="P33" s="53">
        <v>82.45</v>
      </c>
      <c r="Q33" s="53">
        <v>37.85</v>
      </c>
      <c r="R33" s="53">
        <v>50.84</v>
      </c>
      <c r="S33" s="55">
        <f t="shared" si="0"/>
        <v>110.285</v>
      </c>
      <c r="U33" s="53">
        <v>290.5</v>
      </c>
      <c r="V33" s="53">
        <v>88.5</v>
      </c>
      <c r="W33" s="53">
        <v>57.91</v>
      </c>
      <c r="X33" s="53">
        <v>67.930000000000007</v>
      </c>
      <c r="Y33" s="55">
        <f t="shared" si="1"/>
        <v>126.21</v>
      </c>
      <c r="AA33" s="8">
        <v>31</v>
      </c>
    </row>
    <row r="34" spans="2:29" ht="18" customHeight="1" x14ac:dyDescent="0.2">
      <c r="B34" s="10">
        <f>garage!B34</f>
        <v>34</v>
      </c>
      <c r="C34" s="10">
        <f>garage!C34</f>
        <v>1</v>
      </c>
      <c r="D34" s="10">
        <f>garage!D34</f>
        <v>33</v>
      </c>
      <c r="E34" s="10">
        <f>garage!E34</f>
        <v>27</v>
      </c>
      <c r="F34" s="10" t="str">
        <f>garage!F34</f>
        <v>--</v>
      </c>
      <c r="G34" s="10" t="str">
        <f>garage!G34</f>
        <v>N</v>
      </c>
      <c r="H34" s="10" t="str">
        <f>garage!H34</f>
        <v>N</v>
      </c>
      <c r="I34" s="10" t="str">
        <f>garage!I34</f>
        <v>N</v>
      </c>
      <c r="J34" s="10" t="str">
        <f>garage!J74</f>
        <v>N</v>
      </c>
      <c r="K34" s="10" t="str">
        <f>garage!K34</f>
        <v>D</v>
      </c>
      <c r="L34" s="11" t="str">
        <f>garage!L34</f>
        <v>Glickhaus</v>
      </c>
      <c r="M34" s="11" t="str">
        <f>garage!M34</f>
        <v>004C</v>
      </c>
      <c r="O34" s="54">
        <v>298</v>
      </c>
      <c r="P34" s="54">
        <v>70.3</v>
      </c>
      <c r="Q34" s="54">
        <v>40.47</v>
      </c>
      <c r="R34" s="54">
        <v>36.15</v>
      </c>
      <c r="S34" s="56">
        <f t="shared" si="0"/>
        <v>111.22999999999999</v>
      </c>
      <c r="U34" s="54">
        <v>311.2</v>
      </c>
      <c r="V34" s="54">
        <v>76.75</v>
      </c>
      <c r="W34" s="54">
        <v>56.89</v>
      </c>
      <c r="X34" s="54">
        <v>60.87</v>
      </c>
      <c r="Y34" s="56">
        <f t="shared" si="1"/>
        <v>126.42749999999999</v>
      </c>
      <c r="AA34" s="10">
        <v>32</v>
      </c>
    </row>
    <row r="35" spans="2:29" ht="18" customHeight="1" x14ac:dyDescent="0.2">
      <c r="B35" s="8">
        <f>garage!B35</f>
        <v>35</v>
      </c>
      <c r="C35" s="8">
        <f>garage!C35</f>
        <v>2</v>
      </c>
      <c r="D35" s="8">
        <f>garage!D35</f>
        <v>1</v>
      </c>
      <c r="E35" s="8">
        <f>garage!E35</f>
        <v>0</v>
      </c>
      <c r="F35" s="8" t="str">
        <f>garage!F35</f>
        <v>--</v>
      </c>
      <c r="G35" s="8" t="str">
        <f>garage!G35</f>
        <v>O</v>
      </c>
      <c r="H35" s="8" t="str">
        <f>garage!H35</f>
        <v>O</v>
      </c>
      <c r="I35" s="8" t="str">
        <f>garage!I35</f>
        <v>O</v>
      </c>
      <c r="J35" s="8" t="str">
        <f>garage!J75</f>
        <v>N</v>
      </c>
      <c r="K35" s="8" t="str">
        <f>garage!K35</f>
        <v>C</v>
      </c>
      <c r="L35" s="9" t="str">
        <f>garage!L35</f>
        <v>Dodge</v>
      </c>
      <c r="M35" s="9" t="str">
        <f>garage!M35</f>
        <v>Challenger SRT8</v>
      </c>
      <c r="O35" s="53">
        <v>292</v>
      </c>
      <c r="P35" s="53">
        <v>64</v>
      </c>
      <c r="Q35" s="53">
        <v>26.47</v>
      </c>
      <c r="R35" s="53">
        <v>23.08</v>
      </c>
      <c r="S35" s="55">
        <f t="shared" si="0"/>
        <v>101.3875</v>
      </c>
      <c r="U35" s="53">
        <v>322</v>
      </c>
      <c r="V35" s="53">
        <v>80.98</v>
      </c>
      <c r="W35" s="53">
        <v>83.65</v>
      </c>
      <c r="X35" s="53">
        <v>70.81</v>
      </c>
      <c r="Y35" s="55">
        <f t="shared" si="1"/>
        <v>139.36000000000001</v>
      </c>
      <c r="AA35" s="8">
        <v>1</v>
      </c>
      <c r="AC35" s="2" t="str">
        <f t="shared" ref="AC35:AC75" si="2">IF(Y35&gt;136,"Done","None")</f>
        <v>Done</v>
      </c>
    </row>
    <row r="36" spans="2:29" ht="18" customHeight="1" x14ac:dyDescent="0.2">
      <c r="B36" s="10">
        <f>garage!B36</f>
        <v>36</v>
      </c>
      <c r="C36" s="10">
        <f>garage!C36</f>
        <v>2</v>
      </c>
      <c r="D36" s="10">
        <f>garage!D36</f>
        <v>2</v>
      </c>
      <c r="E36" s="10">
        <f>garage!E36</f>
        <v>0</v>
      </c>
      <c r="F36" s="10" t="str">
        <f>garage!F36</f>
        <v>--</v>
      </c>
      <c r="G36" s="10" t="str">
        <f>garage!G36</f>
        <v>O</v>
      </c>
      <c r="H36" s="10" t="str">
        <f>garage!H36</f>
        <v>O</v>
      </c>
      <c r="I36" s="10" t="str">
        <f>garage!I36</f>
        <v>O</v>
      </c>
      <c r="J36" s="10" t="str">
        <f>garage!J76</f>
        <v>N</v>
      </c>
      <c r="K36" s="10" t="str">
        <f>garage!K36</f>
        <v>C</v>
      </c>
      <c r="L36" s="11" t="str">
        <f>garage!L36</f>
        <v>BMW</v>
      </c>
      <c r="M36" s="11" t="str">
        <f>garage!M36</f>
        <v>3.0 CSL Hommage</v>
      </c>
      <c r="O36" s="54">
        <v>280</v>
      </c>
      <c r="P36" s="54">
        <v>63.1</v>
      </c>
      <c r="Q36" s="54">
        <v>44.02</v>
      </c>
      <c r="R36" s="54">
        <v>39.880000000000003</v>
      </c>
      <c r="S36" s="56">
        <f t="shared" si="0"/>
        <v>106.75</v>
      </c>
      <c r="U36" s="54">
        <v>323.60000000000002</v>
      </c>
      <c r="V36" s="54">
        <v>73.44</v>
      </c>
      <c r="W36" s="54">
        <v>87.24</v>
      </c>
      <c r="X36" s="54">
        <v>70.55</v>
      </c>
      <c r="Y36" s="56">
        <f t="shared" si="1"/>
        <v>138.70750000000001</v>
      </c>
      <c r="AA36" s="10">
        <v>2</v>
      </c>
      <c r="AC36" s="2" t="str">
        <f t="shared" si="2"/>
        <v>Done</v>
      </c>
    </row>
    <row r="37" spans="2:29" ht="18" customHeight="1" x14ac:dyDescent="0.2">
      <c r="B37" s="8">
        <f>garage!B37</f>
        <v>37</v>
      </c>
      <c r="C37" s="8">
        <f>garage!C37</f>
        <v>2</v>
      </c>
      <c r="D37" s="8">
        <f>garage!D37</f>
        <v>3</v>
      </c>
      <c r="E37" s="8">
        <f>garage!E37</f>
        <v>28</v>
      </c>
      <c r="F37" s="8" t="str">
        <f>garage!F37</f>
        <v>P</v>
      </c>
      <c r="G37" s="8" t="str">
        <f>garage!G37</f>
        <v>O</v>
      </c>
      <c r="H37" s="8" t="str">
        <f>garage!H37</f>
        <v>O</v>
      </c>
      <c r="I37" s="8" t="str">
        <f>garage!I37</f>
        <v>N</v>
      </c>
      <c r="J37" s="8" t="str">
        <f>garage!J77</f>
        <v>N</v>
      </c>
      <c r="K37" s="8" t="str">
        <f>garage!K37</f>
        <v>C</v>
      </c>
      <c r="L37" s="9" t="str">
        <f>garage!L37</f>
        <v>Porsche</v>
      </c>
      <c r="M37" s="9" t="str">
        <f>garage!M37</f>
        <v>Boxster 25th</v>
      </c>
      <c r="O37" s="53">
        <v>288</v>
      </c>
      <c r="P37" s="53">
        <v>64</v>
      </c>
      <c r="Q37" s="53">
        <v>39.54</v>
      </c>
      <c r="R37" s="53">
        <v>35.31</v>
      </c>
      <c r="S37" s="55">
        <f t="shared" si="0"/>
        <v>106.71250000000001</v>
      </c>
      <c r="U37" s="53">
        <v>298.39999999999998</v>
      </c>
      <c r="V37" s="53">
        <v>71.92</v>
      </c>
      <c r="W37" s="53">
        <v>45.93</v>
      </c>
      <c r="X37" s="53">
        <v>53.86</v>
      </c>
      <c r="Y37" s="55">
        <f t="shared" si="1"/>
        <v>117.5275</v>
      </c>
      <c r="AA37" s="8">
        <v>3</v>
      </c>
      <c r="AC37" s="2" t="str">
        <f t="shared" si="2"/>
        <v>None</v>
      </c>
    </row>
    <row r="38" spans="2:29" ht="18" customHeight="1" x14ac:dyDescent="0.2">
      <c r="B38" s="10">
        <f>garage!B38</f>
        <v>38</v>
      </c>
      <c r="C38" s="10">
        <f>garage!C38</f>
        <v>2</v>
      </c>
      <c r="D38" s="10">
        <f>garage!D38</f>
        <v>4</v>
      </c>
      <c r="E38" s="10">
        <f>garage!E38</f>
        <v>0</v>
      </c>
      <c r="F38" s="10" t="str">
        <f>garage!F38</f>
        <v>C</v>
      </c>
      <c r="G38" s="10" t="str">
        <f>garage!G38</f>
        <v>O</v>
      </c>
      <c r="H38" s="10" t="str">
        <f>garage!H38</f>
        <v>O</v>
      </c>
      <c r="I38" s="10" t="str">
        <f>garage!I38</f>
        <v>O</v>
      </c>
      <c r="J38" s="10" t="str">
        <f>garage!J78</f>
        <v>N</v>
      </c>
      <c r="K38" s="10" t="str">
        <f>garage!K38</f>
        <v>C</v>
      </c>
      <c r="L38" s="11" t="str">
        <f>garage!L38</f>
        <v>Chevrolet</v>
      </c>
      <c r="M38" s="11" t="str">
        <f>garage!M38</f>
        <v>Camaro ZL1 50th Edition</v>
      </c>
      <c r="O38" s="54">
        <v>250</v>
      </c>
      <c r="P38" s="54">
        <v>63.1</v>
      </c>
      <c r="Q38" s="54">
        <v>58.14</v>
      </c>
      <c r="R38" s="54">
        <v>49.95</v>
      </c>
      <c r="S38" s="56">
        <f t="shared" si="0"/>
        <v>105.2975</v>
      </c>
      <c r="U38" s="54">
        <v>340.7</v>
      </c>
      <c r="V38" s="54">
        <v>76.56</v>
      </c>
      <c r="W38" s="54">
        <v>75.81</v>
      </c>
      <c r="X38" s="54">
        <v>59.69</v>
      </c>
      <c r="Y38" s="56">
        <f t="shared" si="1"/>
        <v>138.19</v>
      </c>
      <c r="AA38" s="10">
        <v>4</v>
      </c>
      <c r="AC38" s="2" t="str">
        <f t="shared" si="2"/>
        <v>Done</v>
      </c>
    </row>
    <row r="39" spans="2:29" ht="18" customHeight="1" x14ac:dyDescent="0.2">
      <c r="B39" s="8">
        <f>garage!B39</f>
        <v>39</v>
      </c>
      <c r="C39" s="8">
        <f>garage!C39</f>
        <v>2</v>
      </c>
      <c r="D39" s="8">
        <f>garage!D39</f>
        <v>5</v>
      </c>
      <c r="E39" s="8">
        <f>garage!E39</f>
        <v>0</v>
      </c>
      <c r="F39" s="8" t="str">
        <f>garage!F39</f>
        <v>--</v>
      </c>
      <c r="G39" s="8" t="str">
        <f>garage!G39</f>
        <v>O</v>
      </c>
      <c r="H39" s="8" t="str">
        <f>garage!H39</f>
        <v>O</v>
      </c>
      <c r="I39" s="8" t="str">
        <f>garage!I39</f>
        <v>O</v>
      </c>
      <c r="J39" s="8" t="str">
        <f>garage!J79</f>
        <v>N</v>
      </c>
      <c r="K39" s="8" t="str">
        <f>garage!K39</f>
        <v>C</v>
      </c>
      <c r="L39" s="9" t="str">
        <f>garage!L39</f>
        <v>Lotus</v>
      </c>
      <c r="M39" s="9" t="str">
        <f>garage!M39</f>
        <v>Evora Sport 410</v>
      </c>
      <c r="O39" s="53">
        <v>300</v>
      </c>
      <c r="P39" s="53">
        <v>62.2</v>
      </c>
      <c r="Q39" s="53">
        <v>44.09</v>
      </c>
      <c r="R39" s="53">
        <v>36.32</v>
      </c>
      <c r="S39" s="55">
        <f t="shared" si="0"/>
        <v>110.65249999999999</v>
      </c>
      <c r="U39" s="53">
        <v>340.6</v>
      </c>
      <c r="V39" s="53">
        <v>72.88</v>
      </c>
      <c r="W39" s="53">
        <v>69.319999999999993</v>
      </c>
      <c r="X39" s="53">
        <v>63.5</v>
      </c>
      <c r="Y39" s="55">
        <f t="shared" si="1"/>
        <v>136.57499999999999</v>
      </c>
      <c r="AA39" s="8">
        <v>5</v>
      </c>
      <c r="AC39" s="2" t="str">
        <f t="shared" si="2"/>
        <v>Done</v>
      </c>
    </row>
    <row r="40" spans="2:29" ht="18" customHeight="1" x14ac:dyDescent="0.2">
      <c r="B40" s="10">
        <f>garage!B40</f>
        <v>40</v>
      </c>
      <c r="C40" s="10">
        <f>garage!C40</f>
        <v>2</v>
      </c>
      <c r="D40" s="10">
        <f>garage!D40</f>
        <v>6</v>
      </c>
      <c r="E40" s="10">
        <f>garage!E40</f>
        <v>0</v>
      </c>
      <c r="F40" s="10" t="str">
        <f>garage!F40</f>
        <v>--</v>
      </c>
      <c r="G40" s="10" t="str">
        <f>garage!G40</f>
        <v>O</v>
      </c>
      <c r="H40" s="10" t="str">
        <f>garage!H40</f>
        <v>O</v>
      </c>
      <c r="I40" s="10" t="str">
        <f>garage!I40</f>
        <v>O</v>
      </c>
      <c r="J40" s="10" t="str">
        <f>garage!J80</f>
        <v>N</v>
      </c>
      <c r="K40" s="10" t="str">
        <f>garage!K40</f>
        <v>C</v>
      </c>
      <c r="L40" s="11" t="str">
        <f>garage!L40</f>
        <v>Mercedes-Benz</v>
      </c>
      <c r="M40" s="11" t="str">
        <f>garage!M40</f>
        <v>AMG GT S</v>
      </c>
      <c r="O40" s="54">
        <v>310</v>
      </c>
      <c r="P40" s="54">
        <v>65.8</v>
      </c>
      <c r="Q40" s="54">
        <v>35.630000000000003</v>
      </c>
      <c r="R40" s="54">
        <v>39.96</v>
      </c>
      <c r="S40" s="56">
        <f t="shared" si="0"/>
        <v>112.8475</v>
      </c>
      <c r="U40" s="54">
        <v>317.89999999999998</v>
      </c>
      <c r="V40" s="54">
        <v>78.22</v>
      </c>
      <c r="W40" s="54">
        <v>86.5</v>
      </c>
      <c r="X40" s="54">
        <v>60.57</v>
      </c>
      <c r="Y40" s="56">
        <f t="shared" si="1"/>
        <v>135.79750000000001</v>
      </c>
      <c r="AA40" s="10">
        <v>6</v>
      </c>
      <c r="AC40" s="2" t="str">
        <f t="shared" si="2"/>
        <v>None</v>
      </c>
    </row>
    <row r="41" spans="2:29" ht="18" customHeight="1" x14ac:dyDescent="0.2">
      <c r="B41" s="8">
        <f>garage!B41</f>
        <v>41</v>
      </c>
      <c r="C41" s="8">
        <f>garage!C41</f>
        <v>2</v>
      </c>
      <c r="D41" s="8">
        <f>garage!D41</f>
        <v>7</v>
      </c>
      <c r="E41" s="8">
        <f>garage!E41</f>
        <v>0</v>
      </c>
      <c r="F41" s="8" t="str">
        <f>garage!F41</f>
        <v>--</v>
      </c>
      <c r="G41" s="8" t="str">
        <f>garage!G41</f>
        <v>O</v>
      </c>
      <c r="H41" s="8" t="str">
        <f>garage!H41</f>
        <v>O</v>
      </c>
      <c r="I41" s="8" t="str">
        <f>garage!I41</f>
        <v>O</v>
      </c>
      <c r="J41" s="8" t="str">
        <f>garage!J81</f>
        <v>N</v>
      </c>
      <c r="K41" s="8" t="str">
        <f>garage!K41</f>
        <v>C</v>
      </c>
      <c r="L41" s="9" t="str">
        <f>garage!L41</f>
        <v>BMW</v>
      </c>
      <c r="M41" s="9" t="str">
        <f>garage!M41</f>
        <v>M4 GTS</v>
      </c>
      <c r="O41" s="53">
        <v>305</v>
      </c>
      <c r="P41" s="53">
        <v>65.8</v>
      </c>
      <c r="Q41" s="53">
        <v>43.9</v>
      </c>
      <c r="R41" s="53">
        <v>38.58</v>
      </c>
      <c r="S41" s="55">
        <f t="shared" si="0"/>
        <v>113.32</v>
      </c>
      <c r="U41" s="53">
        <v>340.4</v>
      </c>
      <c r="V41" s="53">
        <v>77.38</v>
      </c>
      <c r="W41" s="53">
        <v>67.260000000000005</v>
      </c>
      <c r="X41" s="53">
        <v>55.85</v>
      </c>
      <c r="Y41" s="55">
        <f t="shared" si="1"/>
        <v>135.2225</v>
      </c>
      <c r="AA41" s="8">
        <v>7</v>
      </c>
      <c r="AC41" s="2" t="str">
        <f t="shared" si="2"/>
        <v>None</v>
      </c>
    </row>
    <row r="42" spans="2:29" ht="18" customHeight="1" x14ac:dyDescent="0.2">
      <c r="B42" s="10">
        <f>garage!B42</f>
        <v>42</v>
      </c>
      <c r="C42" s="10">
        <f>garage!C42</f>
        <v>2</v>
      </c>
      <c r="D42" s="10">
        <f>garage!D42</f>
        <v>8</v>
      </c>
      <c r="E42" s="10">
        <f>garage!E42</f>
        <v>0</v>
      </c>
      <c r="F42" s="10" t="str">
        <f>garage!F42</f>
        <v>--</v>
      </c>
      <c r="G42" s="10" t="str">
        <f>garage!G42</f>
        <v>O</v>
      </c>
      <c r="H42" s="10" t="str">
        <f>garage!H42</f>
        <v>O</v>
      </c>
      <c r="I42" s="10" t="str">
        <f>garage!I42</f>
        <v>O</v>
      </c>
      <c r="J42" s="10" t="str">
        <f>garage!J82</f>
        <v>N</v>
      </c>
      <c r="K42" s="10" t="str">
        <f>garage!K42</f>
        <v>C</v>
      </c>
      <c r="L42" s="11" t="str">
        <f>garage!L42</f>
        <v>Rezvani</v>
      </c>
      <c r="M42" s="11" t="str">
        <f>garage!M42</f>
        <v>Beast X</v>
      </c>
      <c r="O42" s="54">
        <v>282</v>
      </c>
      <c r="P42" s="54">
        <v>73</v>
      </c>
      <c r="Q42" s="54">
        <v>48.18</v>
      </c>
      <c r="R42" s="54">
        <v>46.21</v>
      </c>
      <c r="S42" s="56">
        <f t="shared" si="0"/>
        <v>112.3475</v>
      </c>
      <c r="U42" s="54">
        <v>352.1</v>
      </c>
      <c r="V42" s="54">
        <v>78.53</v>
      </c>
      <c r="W42" s="54">
        <v>59.47</v>
      </c>
      <c r="X42" s="54">
        <v>47.71</v>
      </c>
      <c r="Y42" s="56">
        <f t="shared" si="1"/>
        <v>134.45250000000001</v>
      </c>
      <c r="AA42" s="10">
        <v>8</v>
      </c>
      <c r="AC42" s="2" t="str">
        <f t="shared" si="2"/>
        <v>None</v>
      </c>
    </row>
    <row r="43" spans="2:29" ht="18" customHeight="1" x14ac:dyDescent="0.2">
      <c r="B43" s="8">
        <f>garage!B43</f>
        <v>43</v>
      </c>
      <c r="C43" s="8">
        <f>garage!C43</f>
        <v>2</v>
      </c>
      <c r="D43" s="8">
        <f>garage!D43</f>
        <v>9</v>
      </c>
      <c r="E43" s="8">
        <f>garage!E43</f>
        <v>20</v>
      </c>
      <c r="F43" s="8" t="str">
        <f>garage!F43</f>
        <v>AM</v>
      </c>
      <c r="G43" s="8" t="str">
        <f>garage!G43</f>
        <v>O</v>
      </c>
      <c r="H43" s="8" t="str">
        <f>garage!H43</f>
        <v>N</v>
      </c>
      <c r="I43" s="8" t="str">
        <f>garage!I43</f>
        <v>N</v>
      </c>
      <c r="J43" s="8" t="str">
        <f>garage!J83</f>
        <v>N</v>
      </c>
      <c r="K43" s="8" t="str">
        <f>garage!K43</f>
        <v>C</v>
      </c>
      <c r="L43" s="9" t="str">
        <f>garage!L43</f>
        <v>Aston Martin</v>
      </c>
      <c r="M43" s="9" t="str">
        <f>garage!M43</f>
        <v>V12 Speedster</v>
      </c>
      <c r="O43" s="53">
        <v>300</v>
      </c>
      <c r="P43" s="53">
        <v>68.5</v>
      </c>
      <c r="Q43" s="53">
        <v>37.229999999999997</v>
      </c>
      <c r="R43" s="53">
        <v>42.72</v>
      </c>
      <c r="S43" s="55">
        <f t="shared" si="0"/>
        <v>112.11250000000001</v>
      </c>
      <c r="U43" s="53">
        <v>303.89999999999998</v>
      </c>
      <c r="V43" s="53">
        <v>77.319999999999993</v>
      </c>
      <c r="W43" s="53">
        <v>86.2</v>
      </c>
      <c r="X43" s="53">
        <v>68.94</v>
      </c>
      <c r="Y43" s="55">
        <f t="shared" si="1"/>
        <v>134.08999999999997</v>
      </c>
      <c r="AA43" s="8">
        <v>9</v>
      </c>
      <c r="AC43" s="2" t="str">
        <f t="shared" si="2"/>
        <v>None</v>
      </c>
    </row>
    <row r="44" spans="2:29" ht="18" customHeight="1" x14ac:dyDescent="0.2">
      <c r="B44" s="10">
        <f>garage!B44</f>
        <v>44</v>
      </c>
      <c r="C44" s="10">
        <f>garage!C44</f>
        <v>2</v>
      </c>
      <c r="D44" s="10">
        <f>garage!D44</f>
        <v>10</v>
      </c>
      <c r="E44" s="10">
        <f>garage!E44</f>
        <v>29</v>
      </c>
      <c r="F44" s="10" t="str">
        <f>garage!F44</f>
        <v>--</v>
      </c>
      <c r="G44" s="10" t="str">
        <f>garage!G44</f>
        <v>O</v>
      </c>
      <c r="H44" s="10" t="str">
        <f>garage!H44</f>
        <v>N</v>
      </c>
      <c r="I44" s="10" t="str">
        <f>garage!I44</f>
        <v>N</v>
      </c>
      <c r="J44" s="10" t="str">
        <f>garage!J84</f>
        <v>N</v>
      </c>
      <c r="K44" s="10" t="str">
        <f>garage!K44</f>
        <v>C</v>
      </c>
      <c r="L44" s="11" t="str">
        <f>garage!L44</f>
        <v>Donkervoort</v>
      </c>
      <c r="M44" s="11" t="str">
        <f>garage!M44</f>
        <v>D8 GTO</v>
      </c>
      <c r="O44" s="54">
        <v>286</v>
      </c>
      <c r="P44" s="54">
        <v>76.599999999999994</v>
      </c>
      <c r="Q44" s="54">
        <v>52.62</v>
      </c>
      <c r="R44" s="54">
        <v>44.88</v>
      </c>
      <c r="S44" s="56">
        <f t="shared" si="0"/>
        <v>115.02500000000001</v>
      </c>
      <c r="U44" s="54">
        <v>300.3</v>
      </c>
      <c r="V44" s="54">
        <v>85.42</v>
      </c>
      <c r="W44" s="54">
        <v>85.09</v>
      </c>
      <c r="X44" s="54">
        <v>62.77</v>
      </c>
      <c r="Y44" s="56">
        <f t="shared" si="1"/>
        <v>133.39500000000001</v>
      </c>
      <c r="AA44" s="10">
        <v>10</v>
      </c>
      <c r="AC44" s="2" t="str">
        <f t="shared" si="2"/>
        <v>None</v>
      </c>
    </row>
    <row r="45" spans="2:29" ht="18" customHeight="1" x14ac:dyDescent="0.2">
      <c r="B45" s="8">
        <f>garage!B45</f>
        <v>45</v>
      </c>
      <c r="C45" s="8">
        <f>garage!C45</f>
        <v>2</v>
      </c>
      <c r="D45" s="8">
        <f>garage!D45</f>
        <v>11</v>
      </c>
      <c r="E45" s="8">
        <f>garage!E45</f>
        <v>0</v>
      </c>
      <c r="F45" s="8" t="str">
        <f>garage!F45</f>
        <v>--</v>
      </c>
      <c r="G45" s="8" t="str">
        <f>garage!G45</f>
        <v>O</v>
      </c>
      <c r="H45" s="8" t="str">
        <f>garage!H45</f>
        <v>O</v>
      </c>
      <c r="I45" s="8" t="str">
        <f>garage!I45</f>
        <v>O</v>
      </c>
      <c r="J45" s="8" t="str">
        <f>garage!J85</f>
        <v>N</v>
      </c>
      <c r="K45" s="8" t="str">
        <f>garage!K45</f>
        <v>C</v>
      </c>
      <c r="L45" s="9" t="str">
        <f>garage!L45</f>
        <v>Dodge</v>
      </c>
      <c r="M45" s="9" t="str">
        <f>garage!M45</f>
        <v>Viper ACR</v>
      </c>
      <c r="O45" s="53">
        <v>285</v>
      </c>
      <c r="P45" s="53">
        <v>68.5</v>
      </c>
      <c r="Q45" s="53">
        <v>55.81</v>
      </c>
      <c r="R45" s="53">
        <v>50.95</v>
      </c>
      <c r="S45" s="55">
        <f t="shared" si="0"/>
        <v>115.065</v>
      </c>
      <c r="U45" s="53">
        <v>350.5</v>
      </c>
      <c r="V45" s="53">
        <v>74.12</v>
      </c>
      <c r="W45" s="53">
        <v>62.87</v>
      </c>
      <c r="X45" s="53">
        <v>46.83</v>
      </c>
      <c r="Y45" s="55">
        <f t="shared" si="1"/>
        <v>133.58000000000001</v>
      </c>
      <c r="AA45" s="8">
        <v>11</v>
      </c>
      <c r="AC45" s="2" t="str">
        <f t="shared" si="2"/>
        <v>None</v>
      </c>
    </row>
    <row r="46" spans="2:29" ht="18" customHeight="1" x14ac:dyDescent="0.2">
      <c r="B46" s="10">
        <f>garage!B46</f>
        <v>46</v>
      </c>
      <c r="C46" s="10">
        <f>garage!C46</f>
        <v>2</v>
      </c>
      <c r="D46" s="10">
        <f>garage!D46</f>
        <v>12</v>
      </c>
      <c r="E46" s="10">
        <f>garage!E46</f>
        <v>24</v>
      </c>
      <c r="F46" s="10" t="str">
        <f>garage!F46</f>
        <v>--</v>
      </c>
      <c r="G46" s="10" t="str">
        <f>garage!G46</f>
        <v>O</v>
      </c>
      <c r="H46" s="10" t="str">
        <f>garage!H46</f>
        <v>N</v>
      </c>
      <c r="I46" s="10" t="str">
        <f>garage!I46</f>
        <v>N</v>
      </c>
      <c r="J46" s="10" t="str">
        <f>garage!J86</f>
        <v>N</v>
      </c>
      <c r="K46" s="10" t="str">
        <f>garage!K46</f>
        <v>C</v>
      </c>
      <c r="L46" s="11" t="str">
        <f>garage!L46</f>
        <v>Bolwell</v>
      </c>
      <c r="M46" s="11" t="str">
        <f>garage!M46</f>
        <v>MK X Nagari 500</v>
      </c>
      <c r="O46" s="54">
        <v>300</v>
      </c>
      <c r="P46" s="54">
        <v>73</v>
      </c>
      <c r="Q46" s="54">
        <v>44.09</v>
      </c>
      <c r="R46" s="54">
        <v>37.229999999999997</v>
      </c>
      <c r="S46" s="56">
        <f t="shared" si="0"/>
        <v>113.58000000000001</v>
      </c>
      <c r="U46" s="54">
        <v>327.7</v>
      </c>
      <c r="V46" s="54">
        <v>81.56</v>
      </c>
      <c r="W46" s="54">
        <v>60.15</v>
      </c>
      <c r="X46" s="54">
        <v>64.44</v>
      </c>
      <c r="Y46" s="56">
        <f t="shared" si="1"/>
        <v>133.46249999999998</v>
      </c>
      <c r="AA46" s="10">
        <v>12</v>
      </c>
      <c r="AC46" s="2" t="str">
        <f t="shared" si="2"/>
        <v>None</v>
      </c>
    </row>
    <row r="47" spans="2:29" ht="18" customHeight="1" x14ac:dyDescent="0.2">
      <c r="B47" s="8">
        <f>garage!B47</f>
        <v>47</v>
      </c>
      <c r="C47" s="8">
        <f>garage!C47</f>
        <v>2</v>
      </c>
      <c r="D47" s="8">
        <f>garage!D47</f>
        <v>13</v>
      </c>
      <c r="E47" s="8">
        <f>garage!E47</f>
        <v>0</v>
      </c>
      <c r="F47" s="8" t="str">
        <f>garage!F47</f>
        <v>--</v>
      </c>
      <c r="G47" s="8" t="str">
        <f>garage!G47</f>
        <v>O</v>
      </c>
      <c r="H47" s="8" t="str">
        <f>garage!H47</f>
        <v>O</v>
      </c>
      <c r="I47" s="8" t="str">
        <f>garage!I47</f>
        <v>O</v>
      </c>
      <c r="J47" s="8" t="str">
        <f>garage!J87</f>
        <v>N</v>
      </c>
      <c r="K47" s="8" t="str">
        <f>garage!K47</f>
        <v>C</v>
      </c>
      <c r="L47" s="9" t="str">
        <f>garage!L47</f>
        <v>Ford</v>
      </c>
      <c r="M47" s="9" t="str">
        <f>garage!M47</f>
        <v>Shelby GR-1</v>
      </c>
      <c r="O47" s="53">
        <v>305</v>
      </c>
      <c r="P47" s="53">
        <v>64.900000000000006</v>
      </c>
      <c r="Q47" s="53">
        <v>51.53</v>
      </c>
      <c r="R47" s="53">
        <v>45.98</v>
      </c>
      <c r="S47" s="55">
        <f t="shared" si="0"/>
        <v>116.85249999999999</v>
      </c>
      <c r="U47" s="53">
        <v>321.7</v>
      </c>
      <c r="V47" s="53">
        <v>75.319999999999993</v>
      </c>
      <c r="W47" s="53">
        <v>69.599999999999994</v>
      </c>
      <c r="X47" s="53">
        <v>66.63</v>
      </c>
      <c r="Y47" s="55">
        <f t="shared" si="1"/>
        <v>133.3125</v>
      </c>
      <c r="AA47" s="8">
        <v>13</v>
      </c>
      <c r="AC47" s="2" t="str">
        <f t="shared" si="2"/>
        <v>None</v>
      </c>
    </row>
    <row r="48" spans="2:29" ht="18" customHeight="1" x14ac:dyDescent="0.2">
      <c r="B48" s="10">
        <f>garage!B48</f>
        <v>48</v>
      </c>
      <c r="C48" s="10">
        <f>garage!C48</f>
        <v>2</v>
      </c>
      <c r="D48" s="10">
        <f>garage!D48</f>
        <v>14</v>
      </c>
      <c r="E48" s="10">
        <f>garage!E48</f>
        <v>0</v>
      </c>
      <c r="F48" s="10" t="str">
        <f>garage!F48</f>
        <v>--</v>
      </c>
      <c r="G48" s="10" t="str">
        <f>garage!G48</f>
        <v>O</v>
      </c>
      <c r="H48" s="10" t="str">
        <f>garage!H48</f>
        <v>O</v>
      </c>
      <c r="I48" s="10" t="str">
        <f>garage!I48</f>
        <v>O</v>
      </c>
      <c r="J48" s="10" t="str">
        <f>garage!J88</f>
        <v>N</v>
      </c>
      <c r="K48" s="10" t="str">
        <f>garage!K48</f>
        <v>C</v>
      </c>
      <c r="L48" s="11" t="str">
        <f>garage!L48</f>
        <v>Pininfarina</v>
      </c>
      <c r="M48" s="11" t="str">
        <f>garage!M48</f>
        <v>H2 Speed</v>
      </c>
      <c r="O48" s="54">
        <v>300</v>
      </c>
      <c r="P48" s="54">
        <v>69.400000000000006</v>
      </c>
      <c r="Q48" s="54">
        <v>64.66</v>
      </c>
      <c r="R48" s="54">
        <v>41.8</v>
      </c>
      <c r="S48" s="56">
        <f t="shared" si="0"/>
        <v>118.96499999999999</v>
      </c>
      <c r="U48" s="54">
        <v>316.3</v>
      </c>
      <c r="V48" s="54">
        <v>85.72</v>
      </c>
      <c r="W48" s="54">
        <v>57.94</v>
      </c>
      <c r="X48" s="54">
        <v>71.91</v>
      </c>
      <c r="Y48" s="56">
        <f t="shared" si="1"/>
        <v>132.9675</v>
      </c>
      <c r="AA48" s="10">
        <v>14</v>
      </c>
      <c r="AC48" s="2" t="str">
        <f t="shared" si="2"/>
        <v>None</v>
      </c>
    </row>
    <row r="49" spans="2:29" ht="18" customHeight="1" x14ac:dyDescent="0.2">
      <c r="B49" s="8">
        <f>garage!B49</f>
        <v>49</v>
      </c>
      <c r="C49" s="8">
        <f>garage!C49</f>
        <v>2</v>
      </c>
      <c r="D49" s="8">
        <f>garage!D49</f>
        <v>15</v>
      </c>
      <c r="E49" s="8">
        <f>garage!E49</f>
        <v>7</v>
      </c>
      <c r="F49" s="8" t="str">
        <f>garage!F49</f>
        <v>--</v>
      </c>
      <c r="G49" s="8" t="str">
        <f>garage!G49</f>
        <v>O</v>
      </c>
      <c r="H49" s="8" t="str">
        <f>garage!H49</f>
        <v>O</v>
      </c>
      <c r="I49" s="8" t="str">
        <f>garage!I49</f>
        <v>O</v>
      </c>
      <c r="J49" s="8" t="str">
        <f>garage!J89</f>
        <v>N</v>
      </c>
      <c r="K49" s="8" t="str">
        <f>garage!K49</f>
        <v>C</v>
      </c>
      <c r="L49" s="9" t="str">
        <f>garage!L49</f>
        <v>Artega</v>
      </c>
      <c r="M49" s="9" t="str">
        <f>garage!M49</f>
        <v>Scalo Superelletra</v>
      </c>
      <c r="O49" s="53">
        <v>300</v>
      </c>
      <c r="P49" s="53">
        <v>75.7</v>
      </c>
      <c r="Q49" s="53">
        <v>39.29</v>
      </c>
      <c r="R49" s="53">
        <v>54.6</v>
      </c>
      <c r="S49" s="55">
        <f t="shared" si="0"/>
        <v>117.39750000000001</v>
      </c>
      <c r="U49" s="53">
        <v>338.7</v>
      </c>
      <c r="V49" s="53">
        <v>78.28</v>
      </c>
      <c r="W49" s="53">
        <v>48.14</v>
      </c>
      <c r="X49" s="53">
        <v>62.98</v>
      </c>
      <c r="Y49" s="55">
        <f t="shared" si="1"/>
        <v>132.02500000000001</v>
      </c>
      <c r="AA49" s="8">
        <v>15</v>
      </c>
      <c r="AC49" s="2" t="str">
        <f t="shared" si="2"/>
        <v>None</v>
      </c>
    </row>
    <row r="50" spans="2:29" ht="18" customHeight="1" x14ac:dyDescent="0.2">
      <c r="B50" s="10">
        <f>garage!B50</f>
        <v>50</v>
      </c>
      <c r="C50" s="10">
        <f>garage!C50</f>
        <v>2</v>
      </c>
      <c r="D50" s="10">
        <f>garage!D50</f>
        <v>16</v>
      </c>
      <c r="E50" s="10">
        <f>garage!E50</f>
        <v>22</v>
      </c>
      <c r="F50" s="10" t="str">
        <f>garage!F50</f>
        <v>--</v>
      </c>
      <c r="G50" s="10" t="str">
        <f>garage!G50</f>
        <v>O</v>
      </c>
      <c r="H50" s="10" t="str">
        <f>garage!H50</f>
        <v>N</v>
      </c>
      <c r="I50" s="10" t="str">
        <f>garage!I50</f>
        <v>N</v>
      </c>
      <c r="J50" s="10" t="str">
        <f>garage!J90</f>
        <v>N</v>
      </c>
      <c r="K50" s="10" t="str">
        <f>garage!K50</f>
        <v>C</v>
      </c>
      <c r="L50" s="11" t="str">
        <f>garage!L50</f>
        <v>Saleen</v>
      </c>
      <c r="M50" s="11" t="str">
        <f>garage!M50</f>
        <v>S1</v>
      </c>
      <c r="O50" s="54">
        <v>290</v>
      </c>
      <c r="P50" s="54">
        <v>67.599999999999994</v>
      </c>
      <c r="Q50" s="54">
        <v>57.15</v>
      </c>
      <c r="R50" s="54">
        <v>58.71</v>
      </c>
      <c r="S50" s="56">
        <f t="shared" si="0"/>
        <v>118.36499999999999</v>
      </c>
      <c r="U50" s="54">
        <v>305.3</v>
      </c>
      <c r="V50" s="54">
        <v>76.739999999999995</v>
      </c>
      <c r="W50" s="54">
        <v>82.8</v>
      </c>
      <c r="X50" s="54">
        <v>74.069999999999993</v>
      </c>
      <c r="Y50" s="56">
        <f t="shared" si="1"/>
        <v>134.72750000000002</v>
      </c>
      <c r="AA50" s="10">
        <v>16</v>
      </c>
      <c r="AC50" s="2" t="str">
        <f t="shared" si="2"/>
        <v>None</v>
      </c>
    </row>
    <row r="51" spans="2:29" ht="18" customHeight="1" x14ac:dyDescent="0.2">
      <c r="B51" s="8">
        <f>garage!B51</f>
        <v>51</v>
      </c>
      <c r="C51" s="8">
        <f>garage!C51</f>
        <v>2</v>
      </c>
      <c r="D51" s="8">
        <f>garage!D51</f>
        <v>17</v>
      </c>
      <c r="E51" s="8">
        <f>garage!E51</f>
        <v>0</v>
      </c>
      <c r="F51" s="8" t="str">
        <f>garage!F51</f>
        <v>--</v>
      </c>
      <c r="G51" s="8" t="str">
        <f>garage!G51</f>
        <v>O</v>
      </c>
      <c r="H51" s="8" t="str">
        <f>garage!H51</f>
        <v>O</v>
      </c>
      <c r="I51" s="8" t="str">
        <f>garage!I51</f>
        <v>O</v>
      </c>
      <c r="J51" s="8" t="str">
        <f>garage!J91</f>
        <v>O</v>
      </c>
      <c r="K51" s="8" t="str">
        <f>garage!K51</f>
        <v>C</v>
      </c>
      <c r="L51" s="9" t="str">
        <f>garage!L51</f>
        <v>Acura</v>
      </c>
      <c r="M51" s="9" t="str">
        <f>garage!M51</f>
        <v>2017 NSX</v>
      </c>
      <c r="O51" s="53">
        <v>305</v>
      </c>
      <c r="P51" s="53">
        <v>75.7</v>
      </c>
      <c r="Q51" s="53">
        <v>48.17</v>
      </c>
      <c r="R51" s="53">
        <v>36.81</v>
      </c>
      <c r="S51" s="55">
        <f t="shared" si="0"/>
        <v>116.42</v>
      </c>
      <c r="U51" s="53">
        <v>335.7</v>
      </c>
      <c r="V51" s="53">
        <v>74.430000000000007</v>
      </c>
      <c r="W51" s="53">
        <v>41.38</v>
      </c>
      <c r="X51" s="53">
        <v>72.91</v>
      </c>
      <c r="Y51" s="55">
        <f t="shared" si="1"/>
        <v>131.10499999999999</v>
      </c>
      <c r="AA51" s="8">
        <v>17</v>
      </c>
      <c r="AC51" s="2" t="str">
        <f t="shared" si="2"/>
        <v>None</v>
      </c>
    </row>
    <row r="52" spans="2:29" ht="18" customHeight="1" x14ac:dyDescent="0.2">
      <c r="B52" s="10">
        <f>garage!B52</f>
        <v>52</v>
      </c>
      <c r="C52" s="10">
        <f>garage!C52</f>
        <v>2</v>
      </c>
      <c r="D52" s="10">
        <f>garage!D52</f>
        <v>18</v>
      </c>
      <c r="E52" s="10">
        <f>garage!E52</f>
        <v>0</v>
      </c>
      <c r="F52" s="10" t="str">
        <f>garage!F52</f>
        <v>--</v>
      </c>
      <c r="G52" s="10" t="str">
        <f>garage!G52</f>
        <v>O</v>
      </c>
      <c r="H52" s="10" t="str">
        <f>garage!H52</f>
        <v>O</v>
      </c>
      <c r="I52" s="10" t="str">
        <f>garage!I52</f>
        <v>O</v>
      </c>
      <c r="J52" s="10" t="str">
        <f>garage!J92</f>
        <v>N</v>
      </c>
      <c r="K52" s="10" t="str">
        <f>garage!K52</f>
        <v>C</v>
      </c>
      <c r="L52" s="11" t="str">
        <f>garage!L52</f>
        <v>Maserati</v>
      </c>
      <c r="M52" s="11" t="str">
        <f>garage!M52</f>
        <v>Alfieri</v>
      </c>
      <c r="O52" s="54">
        <v>305</v>
      </c>
      <c r="P52" s="54">
        <v>60.4</v>
      </c>
      <c r="Q52" s="54">
        <v>29.33</v>
      </c>
      <c r="R52" s="54">
        <v>51.53</v>
      </c>
      <c r="S52" s="56">
        <f t="shared" si="0"/>
        <v>111.565</v>
      </c>
      <c r="U52" s="54">
        <v>299.5</v>
      </c>
      <c r="V52" s="54">
        <v>84.62</v>
      </c>
      <c r="W52" s="54">
        <v>69.2</v>
      </c>
      <c r="X52" s="54">
        <v>63.68</v>
      </c>
      <c r="Y52" s="56">
        <f t="shared" si="1"/>
        <v>129.25</v>
      </c>
      <c r="AA52" s="10">
        <v>18</v>
      </c>
      <c r="AC52" s="2" t="str">
        <f t="shared" si="2"/>
        <v>None</v>
      </c>
    </row>
    <row r="53" spans="2:29" ht="18" customHeight="1" x14ac:dyDescent="0.2">
      <c r="B53" s="10">
        <f>garage!B53</f>
        <v>53</v>
      </c>
      <c r="C53" s="10">
        <f>garage!C53</f>
        <v>2</v>
      </c>
      <c r="D53" s="10">
        <f>garage!D53</f>
        <v>19</v>
      </c>
      <c r="E53" s="10">
        <f>garage!E53</f>
        <v>32</v>
      </c>
      <c r="F53" s="10" t="str">
        <f>garage!F53</f>
        <v>--</v>
      </c>
      <c r="G53" s="10" t="str">
        <f>garage!G53</f>
        <v>N</v>
      </c>
      <c r="H53" s="10" t="str">
        <f>garage!H53</f>
        <v>N</v>
      </c>
      <c r="I53" s="10" t="str">
        <f>garage!I53</f>
        <v>N</v>
      </c>
      <c r="J53" s="10" t="str">
        <f>garage!J93</f>
        <v>N</v>
      </c>
      <c r="K53" s="10" t="str">
        <f>garage!K53</f>
        <v>C</v>
      </c>
      <c r="L53" s="11" t="str">
        <f>garage!L53</f>
        <v>Jaguar</v>
      </c>
      <c r="M53" s="11" t="str">
        <f>garage!M53</f>
        <v>XJR-15</v>
      </c>
      <c r="O53" s="54">
        <v>307</v>
      </c>
      <c r="P53" s="54">
        <v>71.2</v>
      </c>
      <c r="Q53" s="54">
        <v>48.28</v>
      </c>
      <c r="R53" s="54">
        <v>44.33</v>
      </c>
      <c r="S53" s="56">
        <f t="shared" si="0"/>
        <v>117.7025</v>
      </c>
      <c r="U53" s="54">
        <v>320.39999999999998</v>
      </c>
      <c r="V53" s="54">
        <v>80.819999999999993</v>
      </c>
      <c r="W53" s="54">
        <v>70.91</v>
      </c>
      <c r="X53" s="54">
        <v>61.06</v>
      </c>
      <c r="Y53" s="56">
        <f t="shared" si="1"/>
        <v>133.29750000000001</v>
      </c>
      <c r="AA53" s="10"/>
      <c r="AC53" s="2" t="str">
        <f t="shared" si="2"/>
        <v>None</v>
      </c>
    </row>
    <row r="54" spans="2:29" ht="18" customHeight="1" x14ac:dyDescent="0.2">
      <c r="B54" s="8">
        <f>garage!B54</f>
        <v>54</v>
      </c>
      <c r="C54" s="8">
        <f>garage!C54</f>
        <v>2</v>
      </c>
      <c r="D54" s="8">
        <f>garage!D54</f>
        <v>20</v>
      </c>
      <c r="E54" s="8">
        <f>garage!E54</f>
        <v>26</v>
      </c>
      <c r="F54" s="8" t="str">
        <f>garage!F54</f>
        <v>F</v>
      </c>
      <c r="G54" s="8" t="str">
        <f>garage!G54</f>
        <v>O</v>
      </c>
      <c r="H54" s="8" t="str">
        <f>garage!H54</f>
        <v>N</v>
      </c>
      <c r="I54" s="8" t="str">
        <f>garage!I54</f>
        <v>N</v>
      </c>
      <c r="J54" s="8" t="str">
        <f>garage!J94</f>
        <v>N</v>
      </c>
      <c r="K54" s="8" t="str">
        <f>garage!K54</f>
        <v>C</v>
      </c>
      <c r="L54" s="9" t="str">
        <f>garage!L54</f>
        <v>Ferrari</v>
      </c>
      <c r="M54" s="9" t="str">
        <f>garage!M54</f>
        <v>Monza SP1</v>
      </c>
      <c r="O54" s="53">
        <v>300</v>
      </c>
      <c r="P54" s="53">
        <v>73.900000000000006</v>
      </c>
      <c r="Q54" s="53">
        <v>44.86</v>
      </c>
      <c r="R54" s="53">
        <v>51.55</v>
      </c>
      <c r="S54" s="55">
        <f t="shared" si="0"/>
        <v>117.5775</v>
      </c>
      <c r="U54" s="53">
        <v>271</v>
      </c>
      <c r="V54" s="53">
        <v>78.14</v>
      </c>
      <c r="W54" s="53">
        <v>83.14</v>
      </c>
      <c r="X54" s="53">
        <v>72.33</v>
      </c>
      <c r="Y54" s="55">
        <f t="shared" si="1"/>
        <v>126.15249999999999</v>
      </c>
      <c r="AA54" s="8">
        <v>19</v>
      </c>
      <c r="AC54" s="2" t="str">
        <f t="shared" si="2"/>
        <v>None</v>
      </c>
    </row>
    <row r="55" spans="2:29" ht="18" customHeight="1" x14ac:dyDescent="0.2">
      <c r="B55" s="10">
        <f>garage!B55</f>
        <v>55</v>
      </c>
      <c r="C55" s="10">
        <f>garage!C55</f>
        <v>2</v>
      </c>
      <c r="D55" s="10">
        <f>garage!D55</f>
        <v>21</v>
      </c>
      <c r="E55" s="10">
        <f>garage!E55</f>
        <v>18</v>
      </c>
      <c r="F55" s="10" t="str">
        <f>garage!F55</f>
        <v>--</v>
      </c>
      <c r="G55" s="10" t="str">
        <f>garage!G55</f>
        <v>O</v>
      </c>
      <c r="H55" s="10" t="str">
        <f>garage!H55</f>
        <v>O</v>
      </c>
      <c r="I55" s="10" t="str">
        <f>garage!I55</f>
        <v>N</v>
      </c>
      <c r="J55" s="10" t="str">
        <f>garage!J95</f>
        <v>N</v>
      </c>
      <c r="K55" s="10" t="str">
        <f>garage!K55</f>
        <v>C</v>
      </c>
      <c r="L55" s="11" t="str">
        <f>garage!L55</f>
        <v>ATS Automobili</v>
      </c>
      <c r="M55" s="11" t="str">
        <f>garage!M55</f>
        <v>Corsa RRTurbo</v>
      </c>
      <c r="O55" s="54">
        <v>305</v>
      </c>
      <c r="P55" s="54">
        <v>81.099999999999994</v>
      </c>
      <c r="Q55" s="54">
        <v>39.39</v>
      </c>
      <c r="R55" s="54">
        <v>17.309999999999999</v>
      </c>
      <c r="S55" s="56">
        <f t="shared" si="0"/>
        <v>110.7</v>
      </c>
      <c r="U55" s="54">
        <v>326.5</v>
      </c>
      <c r="V55" s="54">
        <v>73.72</v>
      </c>
      <c r="W55" s="54">
        <v>51.19</v>
      </c>
      <c r="X55" s="54">
        <v>52.48</v>
      </c>
      <c r="Y55" s="56">
        <f t="shared" si="1"/>
        <v>125.97250000000001</v>
      </c>
      <c r="AA55" s="10">
        <v>20</v>
      </c>
      <c r="AC55" s="2" t="str">
        <f t="shared" si="2"/>
        <v>None</v>
      </c>
    </row>
    <row r="56" spans="2:29" ht="18" customHeight="1" x14ac:dyDescent="0.2">
      <c r="B56" s="8">
        <f>garage!B56</f>
        <v>56</v>
      </c>
      <c r="C56" s="8">
        <f>garage!C56</f>
        <v>2</v>
      </c>
      <c r="D56" s="8">
        <f>garage!D56</f>
        <v>22</v>
      </c>
      <c r="E56" s="8">
        <f>garage!E56</f>
        <v>27</v>
      </c>
      <c r="F56" s="8" t="str">
        <f>garage!F56</f>
        <v>--</v>
      </c>
      <c r="G56" s="8" t="str">
        <f>garage!G56</f>
        <v>N</v>
      </c>
      <c r="H56" s="8" t="str">
        <f>garage!H56</f>
        <v>N</v>
      </c>
      <c r="I56" s="8" t="str">
        <f>garage!I56</f>
        <v>N</v>
      </c>
      <c r="J56" s="8" t="str">
        <f>garage!J96</f>
        <v>N</v>
      </c>
      <c r="K56" s="8" t="str">
        <f>garage!K56</f>
        <v>C</v>
      </c>
      <c r="L56" s="9" t="str">
        <f>garage!L56</f>
        <v>Jaguar</v>
      </c>
      <c r="M56" s="9" t="str">
        <f>garage!M56</f>
        <v>XE SV Project 8</v>
      </c>
      <c r="O56" s="53">
        <v>322</v>
      </c>
      <c r="P56" s="53">
        <v>68.5</v>
      </c>
      <c r="Q56" s="53">
        <v>33.35</v>
      </c>
      <c r="R56" s="53">
        <v>37.19</v>
      </c>
      <c r="S56" s="55">
        <f t="shared" si="0"/>
        <v>115.26</v>
      </c>
      <c r="U56" s="53">
        <v>329.4</v>
      </c>
      <c r="V56" s="53">
        <v>71.34</v>
      </c>
      <c r="W56" s="53">
        <v>42.69</v>
      </c>
      <c r="X56" s="53">
        <v>54.65</v>
      </c>
      <c r="Y56" s="55">
        <f t="shared" si="1"/>
        <v>124.52</v>
      </c>
      <c r="AA56" s="8">
        <v>21</v>
      </c>
      <c r="AC56" s="2" t="str">
        <f t="shared" si="2"/>
        <v>None</v>
      </c>
    </row>
    <row r="57" spans="2:29" ht="18" customHeight="1" x14ac:dyDescent="0.2">
      <c r="B57" s="10">
        <f>garage!B57</f>
        <v>57</v>
      </c>
      <c r="C57" s="10">
        <f>garage!C57</f>
        <v>2</v>
      </c>
      <c r="D57" s="10">
        <f>garage!D57</f>
        <v>23</v>
      </c>
      <c r="E57" s="10">
        <f>garage!E57</f>
        <v>15</v>
      </c>
      <c r="F57" s="10" t="str">
        <f>garage!F57</f>
        <v>F</v>
      </c>
      <c r="G57" s="10" t="str">
        <f>garage!G57</f>
        <v>O</v>
      </c>
      <c r="H57" s="10" t="str">
        <f>garage!H57</f>
        <v>O</v>
      </c>
      <c r="I57" s="10" t="str">
        <f>garage!I57</f>
        <v>N</v>
      </c>
      <c r="J57" s="10" t="str">
        <f>garage!J97</f>
        <v>N</v>
      </c>
      <c r="K57" s="10" t="str">
        <f>garage!K57</f>
        <v>C</v>
      </c>
      <c r="L57" s="11" t="str">
        <f>garage!L57</f>
        <v>Ferrari</v>
      </c>
      <c r="M57" s="11" t="str">
        <f>garage!M57</f>
        <v>F40</v>
      </c>
      <c r="O57" s="54">
        <v>324</v>
      </c>
      <c r="P57" s="54">
        <v>63.1</v>
      </c>
      <c r="Q57" s="54">
        <v>53.76</v>
      </c>
      <c r="R57" s="54">
        <v>40.25</v>
      </c>
      <c r="S57" s="56">
        <f t="shared" si="0"/>
        <v>120.2775</v>
      </c>
      <c r="U57" s="54">
        <v>317.7</v>
      </c>
      <c r="V57" s="54">
        <v>71.7</v>
      </c>
      <c r="W57" s="54">
        <v>50.93</v>
      </c>
      <c r="X57" s="54">
        <v>47.05</v>
      </c>
      <c r="Y57" s="56">
        <f t="shared" si="1"/>
        <v>121.845</v>
      </c>
      <c r="AA57" s="10">
        <v>22</v>
      </c>
      <c r="AC57" s="2" t="str">
        <f t="shared" si="2"/>
        <v>None</v>
      </c>
    </row>
    <row r="58" spans="2:29" ht="18" customHeight="1" x14ac:dyDescent="0.2">
      <c r="B58" s="8">
        <f>garage!B58</f>
        <v>58</v>
      </c>
      <c r="C58" s="8">
        <f>garage!C58</f>
        <v>2</v>
      </c>
      <c r="D58" s="8">
        <f>garage!D58</f>
        <v>24</v>
      </c>
      <c r="E58" s="8">
        <f>garage!E58</f>
        <v>19</v>
      </c>
      <c r="F58" s="8" t="str">
        <f>garage!F58</f>
        <v>--</v>
      </c>
      <c r="G58" s="8" t="str">
        <f>garage!G58</f>
        <v>N</v>
      </c>
      <c r="H58" s="8" t="str">
        <f>garage!H58</f>
        <v>N</v>
      </c>
      <c r="I58" s="8" t="str">
        <f>garage!I58</f>
        <v>N</v>
      </c>
      <c r="J58" s="8" t="str">
        <f>garage!J98</f>
        <v>N</v>
      </c>
      <c r="K58" s="8" t="str">
        <f>garage!K58</f>
        <v>C</v>
      </c>
      <c r="L58" s="9" t="str">
        <f>garage!L58</f>
        <v>Renault</v>
      </c>
      <c r="M58" s="9" t="str">
        <f>garage!M58</f>
        <v>R.S. 01</v>
      </c>
      <c r="O58" s="53">
        <v>300</v>
      </c>
      <c r="P58" s="53">
        <v>73.900000000000006</v>
      </c>
      <c r="Q58" s="53">
        <v>42.37</v>
      </c>
      <c r="R58" s="53">
        <v>54.6</v>
      </c>
      <c r="S58" s="55">
        <f t="shared" si="0"/>
        <v>117.7175</v>
      </c>
      <c r="U58" s="53">
        <v>297.39999999999998</v>
      </c>
      <c r="V58" s="53">
        <v>73.39</v>
      </c>
      <c r="W58" s="53">
        <v>50.08</v>
      </c>
      <c r="X58" s="53">
        <v>51.2</v>
      </c>
      <c r="Y58" s="55">
        <f t="shared" si="1"/>
        <v>118.01749999999998</v>
      </c>
      <c r="AA58" s="8">
        <v>23</v>
      </c>
      <c r="AC58" s="2" t="str">
        <f t="shared" si="2"/>
        <v>None</v>
      </c>
    </row>
    <row r="59" spans="2:29" ht="18" customHeight="1" x14ac:dyDescent="0.2">
      <c r="B59" s="10">
        <f>garage!B59</f>
        <v>59</v>
      </c>
      <c r="C59" s="10">
        <f>garage!C59</f>
        <v>2</v>
      </c>
      <c r="D59" s="10">
        <f>garage!D59</f>
        <v>25</v>
      </c>
      <c r="E59" s="10">
        <f>garage!E59</f>
        <v>31</v>
      </c>
      <c r="F59" s="10" t="str">
        <f>garage!F59</f>
        <v>--</v>
      </c>
      <c r="G59" s="10" t="str">
        <f>garage!G59</f>
        <v>N</v>
      </c>
      <c r="H59" s="10" t="str">
        <f>garage!H59</f>
        <v>N</v>
      </c>
      <c r="I59" s="10" t="str">
        <f>garage!I59</f>
        <v>N</v>
      </c>
      <c r="J59" s="10" t="str">
        <f>garage!J99</f>
        <v>N</v>
      </c>
      <c r="K59" s="10" t="str">
        <f>garage!K59</f>
        <v>C</v>
      </c>
      <c r="L59" s="11" t="str">
        <f>garage!L59</f>
        <v>Mercedes-Benz</v>
      </c>
      <c r="M59" s="11" t="str">
        <f>garage!M59</f>
        <v>CLK-GTR</v>
      </c>
      <c r="O59" s="54">
        <v>320</v>
      </c>
      <c r="P59" s="54">
        <v>66.7</v>
      </c>
      <c r="Q59" s="54">
        <v>42.53</v>
      </c>
      <c r="R59" s="54">
        <v>32.25</v>
      </c>
      <c r="S59" s="56">
        <f t="shared" si="0"/>
        <v>115.37</v>
      </c>
      <c r="U59" s="54">
        <v>332.7</v>
      </c>
      <c r="V59" s="54">
        <v>78.92</v>
      </c>
      <c r="W59" s="54">
        <v>70.489999999999995</v>
      </c>
      <c r="X59" s="54">
        <v>57.24</v>
      </c>
      <c r="Y59" s="56">
        <f t="shared" ref="Y59" si="3">AVERAGE(U59:X59)</f>
        <v>134.83750000000001</v>
      </c>
      <c r="AA59" s="10">
        <v>24</v>
      </c>
      <c r="AC59" s="2" t="str">
        <f t="shared" si="2"/>
        <v>None</v>
      </c>
    </row>
    <row r="60" spans="2:29" ht="18" customHeight="1" x14ac:dyDescent="0.2">
      <c r="B60" s="8">
        <f>garage!B60</f>
        <v>60</v>
      </c>
      <c r="C60" s="8">
        <f>garage!C60</f>
        <v>2</v>
      </c>
      <c r="D60" s="8">
        <f>garage!D60</f>
        <v>26</v>
      </c>
      <c r="E60" s="8">
        <f>garage!E60</f>
        <v>17</v>
      </c>
      <c r="F60" s="8" t="str">
        <f>garage!F60</f>
        <v>--</v>
      </c>
      <c r="G60" s="8" t="str">
        <f>garage!G60</f>
        <v>O</v>
      </c>
      <c r="H60" s="8" t="str">
        <f>garage!H60</f>
        <v>O</v>
      </c>
      <c r="I60" s="8" t="str">
        <f>garage!I60</f>
        <v>N</v>
      </c>
      <c r="J60" s="8" t="str">
        <f>garage!J100</f>
        <v>N</v>
      </c>
      <c r="K60" s="8" t="str">
        <f>garage!K60</f>
        <v>C</v>
      </c>
      <c r="L60" s="9" t="str">
        <f>garage!L60</f>
        <v>Acura</v>
      </c>
      <c r="M60" s="9" t="str">
        <f>garage!M60</f>
        <v>NSX GT3 EVO</v>
      </c>
      <c r="O60" s="53">
        <v>295</v>
      </c>
      <c r="P60" s="53">
        <v>60.85</v>
      </c>
      <c r="Q60" s="53">
        <v>63.92</v>
      </c>
      <c r="R60" s="53">
        <v>55.78</v>
      </c>
      <c r="S60" s="55">
        <f t="shared" si="0"/>
        <v>118.88750000000002</v>
      </c>
      <c r="U60" s="53">
        <v>314.39999999999998</v>
      </c>
      <c r="V60" s="53">
        <v>74.290000000000006</v>
      </c>
      <c r="W60" s="53">
        <v>86.13</v>
      </c>
      <c r="X60" s="53">
        <v>73.760000000000005</v>
      </c>
      <c r="Y60" s="55">
        <f t="shared" si="1"/>
        <v>137.14500000000001</v>
      </c>
      <c r="AA60" s="8">
        <v>25</v>
      </c>
      <c r="AC60" s="2" t="str">
        <f t="shared" si="2"/>
        <v>Done</v>
      </c>
    </row>
    <row r="61" spans="2:29" ht="18" customHeight="1" x14ac:dyDescent="0.2">
      <c r="B61" s="10">
        <f>garage!B61</f>
        <v>61</v>
      </c>
      <c r="C61" s="10">
        <f>garage!C61</f>
        <v>2</v>
      </c>
      <c r="D61" s="10">
        <f>garage!D61</f>
        <v>27</v>
      </c>
      <c r="E61" s="10">
        <f>garage!E61</f>
        <v>0</v>
      </c>
      <c r="F61" s="10" t="str">
        <f>garage!F61</f>
        <v>--</v>
      </c>
      <c r="G61" s="10" t="str">
        <f>garage!G61</f>
        <v>O</v>
      </c>
      <c r="H61" s="10" t="str">
        <f>garage!H61</f>
        <v>O</v>
      </c>
      <c r="I61" s="10" t="str">
        <f>garage!I61</f>
        <v>O</v>
      </c>
      <c r="J61" s="10" t="str">
        <f>garage!J101</f>
        <v>N</v>
      </c>
      <c r="K61" s="10" t="str">
        <f>garage!K61</f>
        <v>C</v>
      </c>
      <c r="L61" s="11" t="str">
        <f>garage!L61</f>
        <v>Vencer</v>
      </c>
      <c r="M61" s="11" t="str">
        <f>garage!M61</f>
        <v>Sarthe</v>
      </c>
      <c r="O61" s="54">
        <v>340</v>
      </c>
      <c r="P61" s="54">
        <v>67.599999999999994</v>
      </c>
      <c r="Q61" s="54">
        <v>48.14</v>
      </c>
      <c r="R61" s="54">
        <v>29.67</v>
      </c>
      <c r="S61" s="56">
        <f t="shared" si="0"/>
        <v>121.35250000000001</v>
      </c>
      <c r="U61" s="54">
        <v>350.5</v>
      </c>
      <c r="V61" s="54">
        <v>74.12</v>
      </c>
      <c r="W61" s="54">
        <v>62.87</v>
      </c>
      <c r="X61" s="54">
        <v>46.83</v>
      </c>
      <c r="Y61" s="56">
        <f t="shared" si="1"/>
        <v>133.58000000000001</v>
      </c>
      <c r="AA61" s="10">
        <v>26</v>
      </c>
      <c r="AC61" s="2" t="str">
        <f t="shared" si="2"/>
        <v>None</v>
      </c>
    </row>
    <row r="62" spans="2:29" ht="18" customHeight="1" x14ac:dyDescent="0.2">
      <c r="B62" s="8">
        <f>garage!B62</f>
        <v>62</v>
      </c>
      <c r="C62" s="8">
        <f>garage!C62</f>
        <v>2</v>
      </c>
      <c r="D62" s="8">
        <f>garage!D62</f>
        <v>28</v>
      </c>
      <c r="E62" s="8">
        <f>garage!E62</f>
        <v>30</v>
      </c>
      <c r="F62" s="8" t="str">
        <f>garage!F62</f>
        <v>--</v>
      </c>
      <c r="G62" s="8" t="str">
        <f>garage!G62</f>
        <v>N</v>
      </c>
      <c r="H62" s="8" t="str">
        <f>garage!H62</f>
        <v>N</v>
      </c>
      <c r="I62" s="8" t="str">
        <f>garage!I62</f>
        <v>N</v>
      </c>
      <c r="J62" s="8" t="str">
        <f>garage!J102</f>
        <v>N</v>
      </c>
      <c r="K62" s="8" t="str">
        <f>garage!K62</f>
        <v>C</v>
      </c>
      <c r="L62" s="9" t="str">
        <f>garage!L62</f>
        <v>Maserati</v>
      </c>
      <c r="M62" s="9" t="str">
        <f>garage!M62</f>
        <v>MC12</v>
      </c>
      <c r="O62" s="53">
        <v>330</v>
      </c>
      <c r="P62" s="53">
        <v>66.7</v>
      </c>
      <c r="Q62" s="53">
        <v>47.13</v>
      </c>
      <c r="R62" s="53">
        <v>9.5</v>
      </c>
      <c r="S62" s="55">
        <f t="shared" si="0"/>
        <v>113.3325</v>
      </c>
      <c r="U62" s="53">
        <v>342.9</v>
      </c>
      <c r="V62" s="53">
        <v>76.48</v>
      </c>
      <c r="W62" s="53">
        <v>72.36</v>
      </c>
      <c r="X62" s="53">
        <v>38.94</v>
      </c>
      <c r="Y62" s="55">
        <f t="shared" si="1"/>
        <v>132.67000000000002</v>
      </c>
      <c r="AA62" s="8">
        <v>27</v>
      </c>
      <c r="AC62" s="2" t="str">
        <f t="shared" si="2"/>
        <v>None</v>
      </c>
    </row>
    <row r="63" spans="2:29" ht="18" customHeight="1" x14ac:dyDescent="0.2">
      <c r="B63" s="10">
        <f>garage!B63</f>
        <v>63</v>
      </c>
      <c r="C63" s="10">
        <f>garage!C63</f>
        <v>2</v>
      </c>
      <c r="D63" s="10">
        <f>garage!D63</f>
        <v>29</v>
      </c>
      <c r="E63" s="10">
        <f>garage!E63</f>
        <v>14</v>
      </c>
      <c r="F63" s="10" t="str">
        <f>garage!F63</f>
        <v>--</v>
      </c>
      <c r="G63" s="10" t="str">
        <f>garage!G63</f>
        <v>O</v>
      </c>
      <c r="H63" s="10" t="str">
        <f>garage!H63</f>
        <v>N</v>
      </c>
      <c r="I63" s="10" t="str">
        <f>garage!I63</f>
        <v>N</v>
      </c>
      <c r="J63" s="10" t="str">
        <f>garage!J103</f>
        <v>N</v>
      </c>
      <c r="K63" s="10" t="str">
        <f>garage!K63</f>
        <v>C</v>
      </c>
      <c r="L63" s="11" t="str">
        <f>garage!L63</f>
        <v>Bentley</v>
      </c>
      <c r="M63" s="11" t="str">
        <f>garage!M63</f>
        <v>Mulliner Bacalar</v>
      </c>
      <c r="O63" s="54">
        <v>322</v>
      </c>
      <c r="P63" s="54">
        <v>67.599999999999994</v>
      </c>
      <c r="Q63" s="54">
        <v>46.32</v>
      </c>
      <c r="R63" s="54">
        <v>36.229999999999997</v>
      </c>
      <c r="S63" s="56">
        <f t="shared" si="0"/>
        <v>118.03750000000001</v>
      </c>
      <c r="U63" s="54">
        <v>340.4</v>
      </c>
      <c r="V63" s="54">
        <v>77.38</v>
      </c>
      <c r="W63" s="54">
        <v>67.260000000000005</v>
      </c>
      <c r="X63" s="54">
        <v>55.86</v>
      </c>
      <c r="Y63" s="56">
        <f t="shared" si="1"/>
        <v>135.22499999999999</v>
      </c>
      <c r="AA63" s="10">
        <v>28</v>
      </c>
      <c r="AC63" s="2" t="str">
        <f t="shared" si="2"/>
        <v>None</v>
      </c>
    </row>
    <row r="64" spans="2:29" ht="18" customHeight="1" x14ac:dyDescent="0.2">
      <c r="B64" s="8">
        <f>garage!B64</f>
        <v>64</v>
      </c>
      <c r="C64" s="8">
        <f>garage!C64</f>
        <v>2</v>
      </c>
      <c r="D64" s="8">
        <f>garage!D64</f>
        <v>30</v>
      </c>
      <c r="E64" s="8">
        <f>garage!E64</f>
        <v>25</v>
      </c>
      <c r="F64" s="8" t="str">
        <f>garage!F64</f>
        <v>L</v>
      </c>
      <c r="G64" s="8" t="str">
        <f>garage!G64</f>
        <v>N</v>
      </c>
      <c r="H64" s="8" t="str">
        <f>garage!H64</f>
        <v>N</v>
      </c>
      <c r="I64" s="8" t="str">
        <f>garage!I64</f>
        <v>N</v>
      </c>
      <c r="J64" s="8" t="str">
        <f>garage!J104</f>
        <v>N</v>
      </c>
      <c r="K64" s="8" t="str">
        <f>garage!K64</f>
        <v>C</v>
      </c>
      <c r="L64" s="9" t="str">
        <f>garage!L64</f>
        <v>Lamborghini</v>
      </c>
      <c r="M64" s="9" t="str">
        <f>garage!M64</f>
        <v>Miura Concept</v>
      </c>
      <c r="O64" s="53">
        <v>330</v>
      </c>
      <c r="P64" s="53">
        <v>65.8</v>
      </c>
      <c r="Q64" s="53">
        <v>39.799999999999997</v>
      </c>
      <c r="R64" s="53">
        <v>38.82</v>
      </c>
      <c r="S64" s="55">
        <f t="shared" si="0"/>
        <v>118.605</v>
      </c>
      <c r="U64" s="53">
        <v>346.2</v>
      </c>
      <c r="V64" s="53">
        <v>72.319999999999993</v>
      </c>
      <c r="W64" s="53">
        <v>54.97</v>
      </c>
      <c r="X64" s="53">
        <v>60.38</v>
      </c>
      <c r="Y64" s="55">
        <f t="shared" si="1"/>
        <v>133.4675</v>
      </c>
      <c r="AA64" s="8">
        <v>29</v>
      </c>
      <c r="AC64" s="2" t="str">
        <f t="shared" si="2"/>
        <v>None</v>
      </c>
    </row>
    <row r="65" spans="2:29" ht="18" customHeight="1" x14ac:dyDescent="0.2">
      <c r="B65" s="10">
        <f>garage!B65</f>
        <v>65</v>
      </c>
      <c r="C65" s="10">
        <f>garage!C65</f>
        <v>2</v>
      </c>
      <c r="D65" s="10">
        <f>garage!D65</f>
        <v>31</v>
      </c>
      <c r="E65" s="10">
        <f>garage!E65</f>
        <v>11</v>
      </c>
      <c r="F65" s="10" t="str">
        <f>garage!F65</f>
        <v>P</v>
      </c>
      <c r="G65" s="10" t="str">
        <f>garage!G65</f>
        <v>O</v>
      </c>
      <c r="H65" s="10" t="str">
        <f>garage!H65</f>
        <v>O</v>
      </c>
      <c r="I65" s="10" t="str">
        <f>garage!I65</f>
        <v>N</v>
      </c>
      <c r="J65" s="10" t="str">
        <f>garage!J105</f>
        <v>N</v>
      </c>
      <c r="K65" s="10" t="str">
        <f>garage!K65</f>
        <v>C</v>
      </c>
      <c r="L65" s="11" t="str">
        <f>garage!L65</f>
        <v>Porsche</v>
      </c>
      <c r="M65" s="11" t="str">
        <f>garage!M65</f>
        <v>718 Cayman GT4 Clubsport</v>
      </c>
      <c r="O65" s="54">
        <v>304</v>
      </c>
      <c r="P65" s="54">
        <v>60.4</v>
      </c>
      <c r="Q65" s="54">
        <v>58.34</v>
      </c>
      <c r="R65" s="54">
        <v>44.03</v>
      </c>
      <c r="S65" s="56">
        <f t="shared" si="0"/>
        <v>116.6925</v>
      </c>
      <c r="U65" s="54">
        <v>323.60000000000002</v>
      </c>
      <c r="V65" s="54">
        <v>73.44</v>
      </c>
      <c r="W65" s="54">
        <v>87.24</v>
      </c>
      <c r="X65" s="54">
        <v>70.55</v>
      </c>
      <c r="Y65" s="56">
        <f t="shared" si="1"/>
        <v>138.70750000000001</v>
      </c>
      <c r="AA65" s="10">
        <v>30</v>
      </c>
      <c r="AC65" s="2" t="str">
        <f t="shared" si="2"/>
        <v>Done</v>
      </c>
    </row>
    <row r="66" spans="2:29" ht="18" customHeight="1" x14ac:dyDescent="0.2">
      <c r="B66" s="8">
        <f>garage!B66</f>
        <v>66</v>
      </c>
      <c r="C66" s="8">
        <f>garage!C66</f>
        <v>2</v>
      </c>
      <c r="D66" s="8">
        <f>garage!D66</f>
        <v>32</v>
      </c>
      <c r="E66" s="8">
        <f>garage!E66</f>
        <v>13</v>
      </c>
      <c r="F66" s="8" t="str">
        <f>garage!F66</f>
        <v>C</v>
      </c>
      <c r="G66" s="8" t="str">
        <f>garage!G66</f>
        <v>O</v>
      </c>
      <c r="H66" s="8" t="str">
        <f>garage!H66</f>
        <v>N</v>
      </c>
      <c r="I66" s="8" t="str">
        <f>garage!I66</f>
        <v>N</v>
      </c>
      <c r="J66" s="8" t="str">
        <f>garage!J106</f>
        <v>N</v>
      </c>
      <c r="K66" s="8" t="str">
        <f>garage!K66</f>
        <v>C</v>
      </c>
      <c r="L66" s="9" t="str">
        <f>garage!L66</f>
        <v>Chevrolet</v>
      </c>
      <c r="M66" s="9" t="str">
        <f>garage!M66</f>
        <v>Corvette Stingray</v>
      </c>
      <c r="O66" s="53">
        <v>312</v>
      </c>
      <c r="P66" s="53">
        <v>73</v>
      </c>
      <c r="Q66" s="53">
        <v>45.3</v>
      </c>
      <c r="R66" s="53">
        <v>48.59</v>
      </c>
      <c r="S66" s="55">
        <f t="shared" si="0"/>
        <v>119.7225</v>
      </c>
      <c r="U66" s="53">
        <v>327.7</v>
      </c>
      <c r="V66" s="53">
        <v>81.56</v>
      </c>
      <c r="W66" s="53">
        <v>60.15</v>
      </c>
      <c r="X66" s="53">
        <v>64.44</v>
      </c>
      <c r="Y66" s="55">
        <f t="shared" ref="Y66:Y129" si="4">AVERAGE(U66:X66)</f>
        <v>133.46249999999998</v>
      </c>
      <c r="AA66" s="8">
        <v>31</v>
      </c>
      <c r="AC66" s="2" t="str">
        <f t="shared" si="2"/>
        <v>None</v>
      </c>
    </row>
    <row r="67" spans="2:29" ht="18" customHeight="1" x14ac:dyDescent="0.2">
      <c r="B67" s="10">
        <f>garage!B67</f>
        <v>67</v>
      </c>
      <c r="C67" s="10">
        <f>garage!C67</f>
        <v>2</v>
      </c>
      <c r="D67" s="10">
        <f>garage!D67</f>
        <v>33</v>
      </c>
      <c r="E67" s="10">
        <f>garage!E67</f>
        <v>24</v>
      </c>
      <c r="F67" s="10" t="str">
        <f>garage!F67</f>
        <v>--</v>
      </c>
      <c r="G67" s="10" t="str">
        <f>garage!G67</f>
        <v>N</v>
      </c>
      <c r="H67" s="10" t="str">
        <f>garage!H67</f>
        <v>N</v>
      </c>
      <c r="I67" s="10" t="str">
        <f>garage!I67</f>
        <v>N</v>
      </c>
      <c r="J67" s="10" t="str">
        <f>garage!J107</f>
        <v>N</v>
      </c>
      <c r="K67" s="10" t="str">
        <f>garage!K67</f>
        <v>C</v>
      </c>
      <c r="L67" s="11" t="str">
        <f>garage!L67</f>
        <v>Brabham</v>
      </c>
      <c r="M67" s="11" t="str">
        <f>garage!M67</f>
        <v>BT62</v>
      </c>
      <c r="O67" s="54">
        <v>305</v>
      </c>
      <c r="P67" s="54">
        <v>76.599999999999994</v>
      </c>
      <c r="Q67" s="54">
        <v>48.06</v>
      </c>
      <c r="R67" s="54">
        <v>45.98</v>
      </c>
      <c r="S67" s="56">
        <f t="shared" si="0"/>
        <v>118.91000000000001</v>
      </c>
      <c r="U67" s="54">
        <v>322</v>
      </c>
      <c r="V67" s="54">
        <v>83.93</v>
      </c>
      <c r="W67" s="54">
        <v>76.11</v>
      </c>
      <c r="X67" s="54">
        <v>75.7</v>
      </c>
      <c r="Y67" s="56">
        <f t="shared" si="4"/>
        <v>139.435</v>
      </c>
      <c r="AA67" s="10">
        <v>32</v>
      </c>
      <c r="AC67" s="2" t="str">
        <f t="shared" si="2"/>
        <v>Done</v>
      </c>
    </row>
    <row r="68" spans="2:29" ht="18" customHeight="1" x14ac:dyDescent="0.2">
      <c r="B68" s="8">
        <f>garage!B68</f>
        <v>68</v>
      </c>
      <c r="C68" s="8">
        <f>garage!C68</f>
        <v>2</v>
      </c>
      <c r="D68" s="8">
        <f>garage!D68</f>
        <v>34</v>
      </c>
      <c r="E68" s="8">
        <f>garage!E68</f>
        <v>15</v>
      </c>
      <c r="F68" s="8" t="str">
        <f>garage!F68</f>
        <v>F</v>
      </c>
      <c r="G68" s="8" t="str">
        <f>garage!G68</f>
        <v>O</v>
      </c>
      <c r="H68" s="8" t="str">
        <f>garage!H68</f>
        <v>O</v>
      </c>
      <c r="I68" s="8" t="str">
        <f>garage!I68</f>
        <v>N</v>
      </c>
      <c r="J68" s="8" t="str">
        <f>garage!J108</f>
        <v>N</v>
      </c>
      <c r="K68" s="8" t="str">
        <f>garage!K68</f>
        <v>C</v>
      </c>
      <c r="L68" s="9" t="str">
        <f>garage!L68</f>
        <v>Ferrari</v>
      </c>
      <c r="M68" s="9" t="str">
        <f>garage!M68</f>
        <v>599XX EVO</v>
      </c>
      <c r="O68" s="53">
        <v>305</v>
      </c>
      <c r="P68" s="53">
        <v>71.2</v>
      </c>
      <c r="Q68" s="53">
        <v>58.47</v>
      </c>
      <c r="R68" s="53">
        <v>49.68</v>
      </c>
      <c r="S68" s="55">
        <f t="shared" ref="S68:S131" si="5">AVERAGE(O68:R68)</f>
        <v>121.08749999999999</v>
      </c>
      <c r="U68" s="53">
        <v>322</v>
      </c>
      <c r="V68" s="53">
        <v>80.98</v>
      </c>
      <c r="W68" s="53">
        <v>83.65</v>
      </c>
      <c r="X68" s="53">
        <v>70.81</v>
      </c>
      <c r="Y68" s="55">
        <f t="shared" si="4"/>
        <v>139.36000000000001</v>
      </c>
      <c r="AA68" s="8">
        <v>33</v>
      </c>
      <c r="AC68" s="2" t="str">
        <f t="shared" si="2"/>
        <v>Done</v>
      </c>
    </row>
    <row r="69" spans="2:29" ht="18" customHeight="1" x14ac:dyDescent="0.2">
      <c r="B69" s="10">
        <f>garage!B69</f>
        <v>69</v>
      </c>
      <c r="C69" s="10">
        <f>garage!C69</f>
        <v>2</v>
      </c>
      <c r="D69" s="10">
        <f>garage!D69</f>
        <v>35</v>
      </c>
      <c r="E69" s="10">
        <f>garage!E69</f>
        <v>28</v>
      </c>
      <c r="F69" s="10" t="str">
        <f>garage!F69</f>
        <v>--</v>
      </c>
      <c r="G69" s="10" t="str">
        <f>garage!G69</f>
        <v>O</v>
      </c>
      <c r="H69" s="10" t="str">
        <f>garage!H69</f>
        <v>N</v>
      </c>
      <c r="I69" s="10" t="str">
        <f>garage!I69</f>
        <v>N</v>
      </c>
      <c r="J69" s="10" t="str">
        <f>garage!J109</f>
        <v>N</v>
      </c>
      <c r="K69" s="10" t="str">
        <f>garage!K69</f>
        <v>C</v>
      </c>
      <c r="L69" s="11" t="str">
        <f>garage!L69</f>
        <v>Ares</v>
      </c>
      <c r="M69" s="11" t="str">
        <f>garage!M69</f>
        <v>S1</v>
      </c>
      <c r="O69" s="54">
        <v>296</v>
      </c>
      <c r="P69" s="54">
        <v>75.7</v>
      </c>
      <c r="Q69" s="54">
        <v>62.03</v>
      </c>
      <c r="R69" s="54">
        <v>52.29</v>
      </c>
      <c r="S69" s="56">
        <f t="shared" si="5"/>
        <v>121.50500000000001</v>
      </c>
      <c r="U69" s="54">
        <v>307.8</v>
      </c>
      <c r="V69" s="54">
        <v>89.55</v>
      </c>
      <c r="W69" s="54">
        <v>78.930000000000007</v>
      </c>
      <c r="X69" s="54">
        <v>68.930000000000007</v>
      </c>
      <c r="Y69" s="56">
        <f t="shared" si="4"/>
        <v>136.30250000000001</v>
      </c>
      <c r="AA69" s="10">
        <v>34</v>
      </c>
      <c r="AC69" s="2" t="str">
        <f t="shared" si="2"/>
        <v>Done</v>
      </c>
    </row>
    <row r="70" spans="2:29" ht="18" customHeight="1" x14ac:dyDescent="0.2">
      <c r="B70" s="8">
        <f>garage!B70</f>
        <v>70</v>
      </c>
      <c r="C70" s="8">
        <f>garage!C70</f>
        <v>2</v>
      </c>
      <c r="D70" s="8">
        <f>garage!D70</f>
        <v>36</v>
      </c>
      <c r="E70" s="8">
        <f>garage!E70</f>
        <v>25</v>
      </c>
      <c r="F70" s="8" t="str">
        <f>garage!F70</f>
        <v>L</v>
      </c>
      <c r="G70" s="8" t="str">
        <f>garage!G70</f>
        <v>N</v>
      </c>
      <c r="H70" s="8" t="str">
        <f>garage!H70</f>
        <v>N</v>
      </c>
      <c r="I70" s="8" t="str">
        <f>garage!I70</f>
        <v>N</v>
      </c>
      <c r="J70" s="8" t="str">
        <f>garage!J110</f>
        <v>N</v>
      </c>
      <c r="K70" s="8" t="str">
        <f>garage!K70</f>
        <v>C</v>
      </c>
      <c r="L70" s="9" t="str">
        <f>garage!L70</f>
        <v>Lamborghini</v>
      </c>
      <c r="M70" s="9" t="str">
        <f>garage!M70</f>
        <v>Diablo GT</v>
      </c>
      <c r="O70" s="53">
        <v>338</v>
      </c>
      <c r="P70" s="53">
        <v>66.7</v>
      </c>
      <c r="Q70" s="53">
        <v>44.21</v>
      </c>
      <c r="R70" s="53">
        <v>37.5</v>
      </c>
      <c r="S70" s="55">
        <f t="shared" si="5"/>
        <v>121.60249999999999</v>
      </c>
      <c r="U70" s="53">
        <v>348.6</v>
      </c>
      <c r="V70" s="53">
        <v>74.03</v>
      </c>
      <c r="W70" s="53">
        <v>62.5</v>
      </c>
      <c r="X70" s="53">
        <v>58.63</v>
      </c>
      <c r="Y70" s="55">
        <f t="shared" si="4"/>
        <v>135.94</v>
      </c>
      <c r="AA70" s="8">
        <v>35</v>
      </c>
      <c r="AC70" s="2" t="str">
        <f t="shared" si="2"/>
        <v>None</v>
      </c>
    </row>
    <row r="71" spans="2:29" ht="18" customHeight="1" x14ac:dyDescent="0.2">
      <c r="B71" s="10">
        <f>garage!B71</f>
        <v>71</v>
      </c>
      <c r="C71" s="10">
        <f>garage!C71</f>
        <v>2</v>
      </c>
      <c r="D71" s="10">
        <f>garage!D71</f>
        <v>37</v>
      </c>
      <c r="E71" s="10">
        <f>garage!E71</f>
        <v>7</v>
      </c>
      <c r="F71" s="10" t="str">
        <f>garage!F71</f>
        <v>--</v>
      </c>
      <c r="G71" s="10" t="str">
        <f>garage!G71</f>
        <v>O</v>
      </c>
      <c r="H71" s="10" t="str">
        <f>garage!H71</f>
        <v>O</v>
      </c>
      <c r="I71" s="10" t="str">
        <f>garage!I71</f>
        <v>O</v>
      </c>
      <c r="J71" s="10" t="str">
        <f>garage!J111</f>
        <v>N</v>
      </c>
      <c r="K71" s="10" t="str">
        <f>garage!K71</f>
        <v>C</v>
      </c>
      <c r="L71" s="11" t="str">
        <f>garage!L71</f>
        <v>Arrinera</v>
      </c>
      <c r="M71" s="11" t="str">
        <f>garage!M71</f>
        <v>Hussarya 33</v>
      </c>
      <c r="O71" s="54">
        <v>340</v>
      </c>
      <c r="P71" s="54">
        <v>71.2</v>
      </c>
      <c r="Q71" s="54">
        <v>44.4</v>
      </c>
      <c r="R71" s="54">
        <v>25.68</v>
      </c>
      <c r="S71" s="56">
        <f t="shared" si="5"/>
        <v>120.32</v>
      </c>
      <c r="U71" s="54">
        <v>352.1</v>
      </c>
      <c r="V71" s="54">
        <v>78.53</v>
      </c>
      <c r="W71" s="54">
        <v>59.47</v>
      </c>
      <c r="X71" s="54">
        <v>47.71</v>
      </c>
      <c r="Y71" s="56">
        <f t="shared" si="4"/>
        <v>134.45250000000001</v>
      </c>
      <c r="AA71" s="10">
        <v>36</v>
      </c>
      <c r="AC71" s="2" t="str">
        <f t="shared" si="2"/>
        <v>None</v>
      </c>
    </row>
    <row r="72" spans="2:29" ht="18" customHeight="1" x14ac:dyDescent="0.2">
      <c r="B72" s="8">
        <f>garage!B72</f>
        <v>72</v>
      </c>
      <c r="C72" s="8">
        <f>garage!C72</f>
        <v>2</v>
      </c>
      <c r="D72" s="8">
        <f>garage!D72</f>
        <v>38</v>
      </c>
      <c r="E72" s="8">
        <f>garage!E72</f>
        <v>26</v>
      </c>
      <c r="F72" s="8" t="str">
        <f>garage!F72</f>
        <v>B</v>
      </c>
      <c r="G72" s="8" t="str">
        <f>garage!G72</f>
        <v>O</v>
      </c>
      <c r="H72" s="8" t="str">
        <f>garage!H72</f>
        <v>O</v>
      </c>
      <c r="I72" s="8" t="str">
        <f>garage!I72</f>
        <v>N</v>
      </c>
      <c r="J72" s="8" t="str">
        <f>garage!J112</f>
        <v>N</v>
      </c>
      <c r="K72" s="8" t="str">
        <f>garage!K72</f>
        <v>C</v>
      </c>
      <c r="L72" s="9" t="str">
        <f>garage!L72</f>
        <v>Bugatti</v>
      </c>
      <c r="M72" s="9" t="str">
        <f>garage!M72</f>
        <v>EB110</v>
      </c>
      <c r="O72" s="53">
        <v>336</v>
      </c>
      <c r="P72" s="53">
        <v>67.599999999999994</v>
      </c>
      <c r="Q72" s="53">
        <v>45.51</v>
      </c>
      <c r="R72" s="53">
        <v>32.39</v>
      </c>
      <c r="S72" s="55">
        <f t="shared" si="5"/>
        <v>120.375</v>
      </c>
      <c r="U72" s="53">
        <v>348.4</v>
      </c>
      <c r="V72" s="53">
        <v>74.12</v>
      </c>
      <c r="W72" s="53">
        <v>66.08</v>
      </c>
      <c r="X72" s="53">
        <v>58.15</v>
      </c>
      <c r="Y72" s="55">
        <f t="shared" si="4"/>
        <v>136.6875</v>
      </c>
      <c r="AA72" s="8">
        <v>37</v>
      </c>
      <c r="AC72" s="2" t="str">
        <f t="shared" si="2"/>
        <v>Done</v>
      </c>
    </row>
    <row r="73" spans="2:29" ht="18" customHeight="1" x14ac:dyDescent="0.2">
      <c r="B73" s="10">
        <f>garage!B73</f>
        <v>73</v>
      </c>
      <c r="C73" s="10">
        <f>garage!C73</f>
        <v>2</v>
      </c>
      <c r="D73" s="10">
        <f>garage!D73</f>
        <v>39</v>
      </c>
      <c r="E73" s="10">
        <f>garage!E73</f>
        <v>31</v>
      </c>
      <c r="F73" s="10" t="str">
        <f>garage!F73</f>
        <v>--</v>
      </c>
      <c r="G73" s="10" t="str">
        <f>garage!G73</f>
        <v>N</v>
      </c>
      <c r="H73" s="10" t="str">
        <f>garage!H73</f>
        <v>N</v>
      </c>
      <c r="I73" s="10" t="str">
        <f>garage!I73</f>
        <v>N</v>
      </c>
      <c r="J73" s="10" t="str">
        <f>garage!J113</f>
        <v>N</v>
      </c>
      <c r="K73" s="10" t="str">
        <f>garage!K73</f>
        <v>C</v>
      </c>
      <c r="L73" s="11" t="str">
        <f>garage!L73</f>
        <v>Porsche</v>
      </c>
      <c r="M73" s="11" t="str">
        <f>garage!M73</f>
        <v>Panamera Turbo S</v>
      </c>
      <c r="O73" s="54">
        <v>315</v>
      </c>
      <c r="P73" s="54">
        <v>81.099999999999994</v>
      </c>
      <c r="Q73" s="54">
        <v>38.51</v>
      </c>
      <c r="R73" s="54">
        <v>26.22</v>
      </c>
      <c r="S73" s="56">
        <f t="shared" si="5"/>
        <v>115.20750000000001</v>
      </c>
      <c r="U73" s="54">
        <v>326.3</v>
      </c>
      <c r="V73" s="54">
        <v>88.03</v>
      </c>
      <c r="W73" s="54">
        <v>72.48</v>
      </c>
      <c r="X73" s="54">
        <v>58.56</v>
      </c>
      <c r="Y73" s="56">
        <f t="shared" si="4"/>
        <v>136.34250000000003</v>
      </c>
      <c r="AA73" s="10">
        <v>38</v>
      </c>
      <c r="AC73" s="2" t="str">
        <f t="shared" si="2"/>
        <v>Done</v>
      </c>
    </row>
    <row r="74" spans="2:29" ht="18" customHeight="1" x14ac:dyDescent="0.2">
      <c r="B74" s="8">
        <f>garage!B74</f>
        <v>74</v>
      </c>
      <c r="C74" s="8">
        <f>garage!C74</f>
        <v>2</v>
      </c>
      <c r="D74" s="8">
        <f>garage!D74</f>
        <v>40</v>
      </c>
      <c r="E74" s="8">
        <f>garage!E74</f>
        <v>12</v>
      </c>
      <c r="F74" s="8" t="str">
        <f>garage!F74</f>
        <v>L</v>
      </c>
      <c r="G74" s="8" t="str">
        <f>garage!G74</f>
        <v>O</v>
      </c>
      <c r="H74" s="8" t="str">
        <f>garage!H74</f>
        <v>N</v>
      </c>
      <c r="I74" s="8" t="str">
        <f>garage!I74</f>
        <v>N</v>
      </c>
      <c r="J74" s="8" t="str">
        <f>garage!J114</f>
        <v>N</v>
      </c>
      <c r="K74" s="8" t="str">
        <f>garage!K74</f>
        <v>C</v>
      </c>
      <c r="L74" s="9" t="str">
        <f>garage!L74</f>
        <v>Lamborghini</v>
      </c>
      <c r="M74" s="9" t="str">
        <f>garage!M74</f>
        <v>Gallardo LP560-4</v>
      </c>
      <c r="O74" s="53">
        <v>325</v>
      </c>
      <c r="P74" s="53">
        <v>67.599999999999994</v>
      </c>
      <c r="Q74" s="53">
        <v>50.25</v>
      </c>
      <c r="R74" s="53">
        <v>38.4</v>
      </c>
      <c r="S74" s="55">
        <f t="shared" si="5"/>
        <v>120.3125</v>
      </c>
      <c r="U74" s="53">
        <v>340.7</v>
      </c>
      <c r="V74" s="53">
        <v>76.56</v>
      </c>
      <c r="W74" s="53">
        <v>75.81</v>
      </c>
      <c r="X74" s="53">
        <v>59.69</v>
      </c>
      <c r="Y74" s="55">
        <f t="shared" si="4"/>
        <v>138.19</v>
      </c>
      <c r="AA74" s="8">
        <v>39</v>
      </c>
      <c r="AC74" s="2" t="str">
        <f t="shared" si="2"/>
        <v>Done</v>
      </c>
    </row>
    <row r="75" spans="2:29" ht="18" customHeight="1" x14ac:dyDescent="0.2">
      <c r="B75" s="10">
        <f>garage!B75</f>
        <v>75</v>
      </c>
      <c r="C75" s="10">
        <f>garage!C75</f>
        <v>2</v>
      </c>
      <c r="D75" s="10">
        <f>garage!D75</f>
        <v>41</v>
      </c>
      <c r="E75" s="10">
        <f>garage!E75</f>
        <v>23</v>
      </c>
      <c r="F75" s="10" t="str">
        <f>garage!F75</f>
        <v>M</v>
      </c>
      <c r="G75" s="10" t="str">
        <f>garage!G75</f>
        <v>O</v>
      </c>
      <c r="H75" s="10" t="str">
        <f>garage!H75</f>
        <v>N</v>
      </c>
      <c r="I75" s="10" t="str">
        <f>garage!I75</f>
        <v>N</v>
      </c>
      <c r="J75" s="10" t="str">
        <f>garage!J115</f>
        <v>N</v>
      </c>
      <c r="K75" s="10" t="str">
        <f>garage!K75</f>
        <v>C</v>
      </c>
      <c r="L75" s="11" t="str">
        <f>garage!L75</f>
        <v>McLaren</v>
      </c>
      <c r="M75" s="11" t="str">
        <f>garage!M75</f>
        <v>GT</v>
      </c>
      <c r="O75" s="54">
        <v>326</v>
      </c>
      <c r="P75" s="54">
        <v>71.2</v>
      </c>
      <c r="Q75" s="54">
        <v>53.99</v>
      </c>
      <c r="R75" s="54">
        <v>34.61</v>
      </c>
      <c r="S75" s="56">
        <f t="shared" si="5"/>
        <v>121.45</v>
      </c>
      <c r="U75" s="54">
        <v>339.1</v>
      </c>
      <c r="V75" s="54">
        <v>80.98</v>
      </c>
      <c r="W75" s="54">
        <v>69.09</v>
      </c>
      <c r="X75" s="54">
        <v>57.31</v>
      </c>
      <c r="Y75" s="56">
        <f t="shared" si="4"/>
        <v>136.62</v>
      </c>
      <c r="AA75" s="10">
        <v>40</v>
      </c>
      <c r="AC75" s="2" t="str">
        <f t="shared" si="2"/>
        <v>Done</v>
      </c>
    </row>
    <row r="76" spans="2:29" ht="18" customHeight="1" x14ac:dyDescent="0.2">
      <c r="B76" s="8">
        <f>garage!B76</f>
        <v>76</v>
      </c>
      <c r="C76" s="8">
        <f>garage!C76</f>
        <v>2</v>
      </c>
      <c r="D76" s="8">
        <f>garage!D76</f>
        <v>42</v>
      </c>
      <c r="E76" s="8">
        <f>garage!E76</f>
        <v>29</v>
      </c>
      <c r="F76" s="8" t="str">
        <f>garage!F76</f>
        <v>--</v>
      </c>
      <c r="G76" s="8" t="str">
        <f>garage!G76</f>
        <v>O</v>
      </c>
      <c r="H76" s="8" t="str">
        <f>garage!H76</f>
        <v>N</v>
      </c>
      <c r="I76" s="8" t="str">
        <f>garage!I76</f>
        <v>N</v>
      </c>
      <c r="J76" s="8" t="str">
        <f>garage!J116</f>
        <v>N</v>
      </c>
      <c r="K76" s="8" t="str">
        <f>garage!K76</f>
        <v>C</v>
      </c>
      <c r="L76" s="9" t="str">
        <f>garage!L76</f>
        <v>Mercedes-Benz</v>
      </c>
      <c r="M76" s="9" t="str">
        <f>garage!M76</f>
        <v>AMG GT Black Series</v>
      </c>
      <c r="O76" s="53">
        <v>325</v>
      </c>
      <c r="P76" s="53">
        <v>72.2</v>
      </c>
      <c r="Q76" s="53">
        <v>43</v>
      </c>
      <c r="R76" s="53">
        <v>50.97</v>
      </c>
      <c r="S76" s="55">
        <f t="shared" si="5"/>
        <v>122.79249999999999</v>
      </c>
      <c r="U76" s="53">
        <v>335.7</v>
      </c>
      <c r="V76" s="53">
        <v>81.790000000000006</v>
      </c>
      <c r="W76" s="53">
        <v>60.83</v>
      </c>
      <c r="X76" s="53">
        <v>65.62</v>
      </c>
      <c r="Y76" s="55">
        <f t="shared" si="4"/>
        <v>135.98500000000001</v>
      </c>
      <c r="AA76" s="8">
        <v>41</v>
      </c>
      <c r="AC76" s="2" t="str">
        <f>IF(Y76&gt;136,"Done","None")</f>
        <v>None</v>
      </c>
    </row>
    <row r="77" spans="2:29" ht="18" customHeight="1" x14ac:dyDescent="0.2">
      <c r="B77" s="10">
        <f>garage!B77</f>
        <v>77</v>
      </c>
      <c r="C77" s="10">
        <f>garage!C77</f>
        <v>3</v>
      </c>
      <c r="D77" s="10">
        <f>garage!D77</f>
        <v>1</v>
      </c>
      <c r="E77" s="10">
        <f>garage!E77</f>
        <v>0</v>
      </c>
      <c r="F77" s="10" t="str">
        <f>garage!F77</f>
        <v>P</v>
      </c>
      <c r="G77" s="10" t="str">
        <f>garage!G77</f>
        <v>O</v>
      </c>
      <c r="H77" s="10" t="str">
        <f>garage!H77</f>
        <v>O</v>
      </c>
      <c r="I77" s="10" t="str">
        <f>garage!I77</f>
        <v>O</v>
      </c>
      <c r="J77" s="10" t="str">
        <f>garage!J117</f>
        <v>N</v>
      </c>
      <c r="K77" s="10" t="str">
        <f>garage!K77</f>
        <v>B</v>
      </c>
      <c r="L77" s="11" t="str">
        <f>garage!L77</f>
        <v>Porsche</v>
      </c>
      <c r="M77" s="11" t="str">
        <f>garage!M77</f>
        <v>911 GTS Coupé</v>
      </c>
      <c r="O77" s="54">
        <v>312</v>
      </c>
      <c r="P77" s="54">
        <v>64.900000000000006</v>
      </c>
      <c r="Q77" s="54">
        <v>41.08</v>
      </c>
      <c r="R77" s="54">
        <v>42.95</v>
      </c>
      <c r="S77" s="56">
        <f t="shared" si="5"/>
        <v>115.23249999999999</v>
      </c>
      <c r="U77" s="54">
        <v>328.8</v>
      </c>
      <c r="V77" s="54">
        <v>71.209999999999994</v>
      </c>
      <c r="W77" s="54">
        <v>45.85</v>
      </c>
      <c r="X77" s="54">
        <v>56.6</v>
      </c>
      <c r="Y77" s="56">
        <f t="shared" si="4"/>
        <v>125.61500000000001</v>
      </c>
      <c r="AA77" s="10">
        <v>1</v>
      </c>
      <c r="AC77" s="2" t="str">
        <f t="shared" ref="AC77:AC127" si="6">IF(Y77&gt;146,"Done","None")</f>
        <v>None</v>
      </c>
    </row>
    <row r="78" spans="2:29" ht="18" customHeight="1" x14ac:dyDescent="0.2">
      <c r="B78" s="8">
        <f>garage!B78</f>
        <v>78</v>
      </c>
      <c r="C78" s="8">
        <f>garage!C78</f>
        <v>3</v>
      </c>
      <c r="D78" s="8">
        <f>garage!D78</f>
        <v>2</v>
      </c>
      <c r="E78" s="8">
        <f>garage!E78</f>
        <v>0</v>
      </c>
      <c r="F78" s="8" t="str">
        <f>garage!F78</f>
        <v>AM</v>
      </c>
      <c r="G78" s="8" t="str">
        <f>garage!G78</f>
        <v>O</v>
      </c>
      <c r="H78" s="8" t="str">
        <f>garage!H78</f>
        <v>O</v>
      </c>
      <c r="I78" s="8" t="str">
        <f>garage!I78</f>
        <v>O</v>
      </c>
      <c r="J78" s="8" t="str">
        <f>garage!J118</f>
        <v>N</v>
      </c>
      <c r="K78" s="8" t="str">
        <f>garage!K78</f>
        <v>B</v>
      </c>
      <c r="L78" s="9" t="str">
        <f>garage!L78</f>
        <v>Aston Martin</v>
      </c>
      <c r="M78" s="9" t="str">
        <f>garage!M78</f>
        <v>DB11</v>
      </c>
      <c r="O78" s="53">
        <v>322</v>
      </c>
      <c r="P78" s="53">
        <v>66.7</v>
      </c>
      <c r="Q78" s="53">
        <v>38.03</v>
      </c>
      <c r="R78" s="53">
        <v>43.92</v>
      </c>
      <c r="S78" s="55">
        <f t="shared" si="5"/>
        <v>117.66250000000001</v>
      </c>
      <c r="U78" s="53">
        <v>340.6</v>
      </c>
      <c r="V78" s="53">
        <v>74.2</v>
      </c>
      <c r="W78" s="53">
        <v>43.21</v>
      </c>
      <c r="X78" s="53">
        <v>55.4</v>
      </c>
      <c r="Y78" s="55">
        <f t="shared" si="4"/>
        <v>128.35249999999999</v>
      </c>
      <c r="AA78" s="8">
        <v>2</v>
      </c>
      <c r="AC78" s="2" t="str">
        <f t="shared" si="6"/>
        <v>None</v>
      </c>
    </row>
    <row r="79" spans="2:29" ht="18" customHeight="1" x14ac:dyDescent="0.2">
      <c r="B79" s="10">
        <f>garage!B79</f>
        <v>79</v>
      </c>
      <c r="C79" s="10">
        <f>garage!C79</f>
        <v>3</v>
      </c>
      <c r="D79" s="10">
        <f>garage!D79</f>
        <v>3</v>
      </c>
      <c r="E79" s="10">
        <f>garage!E79</f>
        <v>0</v>
      </c>
      <c r="F79" s="10" t="str">
        <f>garage!F79</f>
        <v>--</v>
      </c>
      <c r="G79" s="10" t="str">
        <f>garage!G79</f>
        <v>O</v>
      </c>
      <c r="H79" s="10" t="str">
        <f>garage!H79</f>
        <v>O</v>
      </c>
      <c r="I79" s="10" t="str">
        <f>garage!I79</f>
        <v>O</v>
      </c>
      <c r="J79" s="10" t="str">
        <f>garage!J119</f>
        <v>O</v>
      </c>
      <c r="K79" s="10" t="str">
        <f>garage!K79</f>
        <v>B</v>
      </c>
      <c r="L79" s="11" t="str">
        <f>garage!L79</f>
        <v>Jaguar</v>
      </c>
      <c r="M79" s="11" t="str">
        <f>garage!M79</f>
        <v>F-Type SVR</v>
      </c>
      <c r="O79" s="54">
        <v>322</v>
      </c>
      <c r="P79" s="54">
        <v>66.7</v>
      </c>
      <c r="Q79" s="54">
        <v>43.33</v>
      </c>
      <c r="R79" s="54">
        <v>34.31</v>
      </c>
      <c r="S79" s="56">
        <f t="shared" si="5"/>
        <v>116.58499999999999</v>
      </c>
      <c r="U79" s="54">
        <v>341</v>
      </c>
      <c r="V79" s="54">
        <v>75.55</v>
      </c>
      <c r="W79" s="54">
        <v>49.28</v>
      </c>
      <c r="X79" s="54">
        <v>50.12</v>
      </c>
      <c r="Y79" s="56">
        <f t="shared" si="4"/>
        <v>128.98750000000001</v>
      </c>
      <c r="AA79" s="10">
        <v>3</v>
      </c>
      <c r="AC79" s="2" t="str">
        <f t="shared" si="6"/>
        <v>None</v>
      </c>
    </row>
    <row r="80" spans="2:29" ht="18" customHeight="1" x14ac:dyDescent="0.2">
      <c r="B80" s="8">
        <f>garage!B80</f>
        <v>80</v>
      </c>
      <c r="C80" s="8">
        <f>garage!C80</f>
        <v>3</v>
      </c>
      <c r="D80" s="8">
        <f>garage!D80</f>
        <v>4</v>
      </c>
      <c r="E80" s="8">
        <f>garage!E80</f>
        <v>29</v>
      </c>
      <c r="F80" s="8" t="str">
        <f>garage!F80</f>
        <v>F</v>
      </c>
      <c r="G80" s="8" t="str">
        <f>garage!G80</f>
        <v>O</v>
      </c>
      <c r="H80" s="8" t="str">
        <f>garage!H80</f>
        <v>N</v>
      </c>
      <c r="I80" s="8" t="str">
        <f>garage!I80</f>
        <v>N</v>
      </c>
      <c r="J80" s="8" t="str">
        <f>garage!J120</f>
        <v>N</v>
      </c>
      <c r="K80" s="8" t="str">
        <f>garage!K80</f>
        <v>B</v>
      </c>
      <c r="L80" s="9" t="str">
        <f>garage!L80</f>
        <v>Ferrari</v>
      </c>
      <c r="M80" s="9" t="str">
        <f>garage!M80</f>
        <v>F50</v>
      </c>
      <c r="O80" s="53">
        <v>325</v>
      </c>
      <c r="P80" s="53">
        <v>65.8</v>
      </c>
      <c r="Q80" s="53">
        <v>35.74</v>
      </c>
      <c r="R80" s="53">
        <v>42.27</v>
      </c>
      <c r="S80" s="55">
        <f t="shared" si="5"/>
        <v>117.2025</v>
      </c>
      <c r="U80" s="53">
        <v>338.9</v>
      </c>
      <c r="V80" s="53">
        <v>73.849999999999994</v>
      </c>
      <c r="W80" s="53">
        <v>43.52</v>
      </c>
      <c r="X80" s="53">
        <v>61.42</v>
      </c>
      <c r="Y80" s="55">
        <f t="shared" si="4"/>
        <v>129.42249999999999</v>
      </c>
      <c r="AA80" s="8">
        <v>4</v>
      </c>
      <c r="AC80" s="2" t="str">
        <f t="shared" si="6"/>
        <v>None</v>
      </c>
    </row>
    <row r="81" spans="2:29" ht="18" customHeight="1" x14ac:dyDescent="0.2">
      <c r="B81" s="10">
        <f>garage!B81</f>
        <v>81</v>
      </c>
      <c r="C81" s="10">
        <f>garage!C81</f>
        <v>3</v>
      </c>
      <c r="D81" s="10">
        <f>garage!D81</f>
        <v>5</v>
      </c>
      <c r="E81" s="10">
        <f>garage!E81</f>
        <v>0</v>
      </c>
      <c r="F81" s="10" t="str">
        <f>garage!F81</f>
        <v>--</v>
      </c>
      <c r="G81" s="10" t="str">
        <f>garage!G81</f>
        <v>O</v>
      </c>
      <c r="H81" s="10" t="str">
        <f>garage!H81</f>
        <v>O</v>
      </c>
      <c r="I81" s="10" t="str">
        <f>garage!I81</f>
        <v>O</v>
      </c>
      <c r="J81" s="10" t="str">
        <f>garage!J121</f>
        <v>N</v>
      </c>
      <c r="K81" s="10" t="str">
        <f>garage!K81</f>
        <v>B</v>
      </c>
      <c r="L81" s="11" t="str">
        <f>garage!L81</f>
        <v>Exotic Rides</v>
      </c>
      <c r="M81" s="11" t="str">
        <f>garage!M81</f>
        <v>W70</v>
      </c>
      <c r="O81" s="54">
        <v>313</v>
      </c>
      <c r="P81" s="54">
        <v>73.900000000000006</v>
      </c>
      <c r="Q81" s="54">
        <v>40.46</v>
      </c>
      <c r="R81" s="54">
        <v>43.05</v>
      </c>
      <c r="S81" s="56">
        <f t="shared" si="5"/>
        <v>117.60249999999999</v>
      </c>
      <c r="U81" s="54">
        <v>329.7</v>
      </c>
      <c r="V81" s="54">
        <v>80.209999999999994</v>
      </c>
      <c r="W81" s="54">
        <v>45.2</v>
      </c>
      <c r="X81" s="54">
        <v>56.71</v>
      </c>
      <c r="Y81" s="56">
        <f t="shared" si="4"/>
        <v>127.95499999999998</v>
      </c>
      <c r="AA81" s="10">
        <v>5</v>
      </c>
      <c r="AC81" s="2" t="str">
        <f t="shared" si="6"/>
        <v>None</v>
      </c>
    </row>
    <row r="82" spans="2:29" ht="18" customHeight="1" x14ac:dyDescent="0.2">
      <c r="B82" s="8">
        <f>garage!B82</f>
        <v>82</v>
      </c>
      <c r="C82" s="8">
        <f>garage!C82</f>
        <v>3</v>
      </c>
      <c r="D82" s="8">
        <f>garage!D82</f>
        <v>6</v>
      </c>
      <c r="E82" s="8">
        <f>garage!E82</f>
        <v>11</v>
      </c>
      <c r="F82" s="8" t="str">
        <f>garage!F82</f>
        <v>P</v>
      </c>
      <c r="G82" s="8" t="str">
        <f>garage!G82</f>
        <v>O</v>
      </c>
      <c r="H82" s="8" t="str">
        <f>garage!H82</f>
        <v>O</v>
      </c>
      <c r="I82" s="8" t="str">
        <f>garage!I82</f>
        <v>N</v>
      </c>
      <c r="J82" s="8" t="str">
        <f>garage!J122</f>
        <v>O</v>
      </c>
      <c r="K82" s="8" t="str">
        <f>garage!K82</f>
        <v>B</v>
      </c>
      <c r="L82" s="9" t="str">
        <f>garage!L82</f>
        <v>Porsche</v>
      </c>
      <c r="M82" s="9" t="str">
        <f>garage!M82</f>
        <v>911 GT1 Evolution</v>
      </c>
      <c r="O82" s="53">
        <v>310</v>
      </c>
      <c r="P82" s="53">
        <v>66.7</v>
      </c>
      <c r="Q82" s="53">
        <v>45.1</v>
      </c>
      <c r="R82" s="53">
        <v>55.86</v>
      </c>
      <c r="S82" s="55">
        <f t="shared" si="5"/>
        <v>119.41500000000001</v>
      </c>
      <c r="U82" s="53">
        <v>329.8</v>
      </c>
      <c r="V82" s="53">
        <v>75.150000000000006</v>
      </c>
      <c r="W82" s="53">
        <v>53.7</v>
      </c>
      <c r="X82" s="53">
        <v>68.88</v>
      </c>
      <c r="Y82" s="55">
        <f t="shared" si="4"/>
        <v>131.88249999999999</v>
      </c>
      <c r="AA82" s="8">
        <v>6</v>
      </c>
      <c r="AC82" s="2" t="str">
        <f t="shared" si="6"/>
        <v>None</v>
      </c>
    </row>
    <row r="83" spans="2:29" ht="18" customHeight="1" x14ac:dyDescent="0.2">
      <c r="B83" s="10">
        <f>garage!B83</f>
        <v>83</v>
      </c>
      <c r="C83" s="10">
        <f>garage!C83</f>
        <v>3</v>
      </c>
      <c r="D83" s="10">
        <f>garage!D83</f>
        <v>7</v>
      </c>
      <c r="E83" s="10">
        <f>garage!E83</f>
        <v>0</v>
      </c>
      <c r="F83" s="10" t="str">
        <f>garage!F83</f>
        <v>--</v>
      </c>
      <c r="G83" s="10" t="str">
        <f>garage!G83</f>
        <v>O</v>
      </c>
      <c r="H83" s="10" t="str">
        <f>garage!H83</f>
        <v>O</v>
      </c>
      <c r="I83" s="10" t="str">
        <f>garage!I83</f>
        <v>O</v>
      </c>
      <c r="J83" s="10" t="str">
        <f>garage!J123</f>
        <v>N</v>
      </c>
      <c r="K83" s="10" t="str">
        <f>garage!K83</f>
        <v>B</v>
      </c>
      <c r="L83" s="11" t="str">
        <f>garage!L83</f>
        <v>Ford</v>
      </c>
      <c r="M83" s="11" t="str">
        <f>garage!M83</f>
        <v>GT</v>
      </c>
      <c r="O83" s="54">
        <v>348</v>
      </c>
      <c r="P83" s="54">
        <v>70.3</v>
      </c>
      <c r="Q83" s="54">
        <v>29.92</v>
      </c>
      <c r="R83" s="54">
        <v>38.29</v>
      </c>
      <c r="S83" s="56">
        <f t="shared" si="5"/>
        <v>121.62750000000001</v>
      </c>
      <c r="U83" s="54">
        <v>362.8</v>
      </c>
      <c r="V83" s="54">
        <v>79.150000000000006</v>
      </c>
      <c r="W83" s="54">
        <v>34.36</v>
      </c>
      <c r="X83" s="54">
        <v>54.49</v>
      </c>
      <c r="Y83" s="56">
        <f t="shared" si="4"/>
        <v>132.70000000000002</v>
      </c>
      <c r="AA83" s="10">
        <v>7</v>
      </c>
      <c r="AC83" s="2" t="str">
        <f t="shared" si="6"/>
        <v>None</v>
      </c>
    </row>
    <row r="84" spans="2:29" ht="18" customHeight="1" x14ac:dyDescent="0.2">
      <c r="B84" s="8">
        <f>garage!B84</f>
        <v>84</v>
      </c>
      <c r="C84" s="8">
        <f>garage!C84</f>
        <v>3</v>
      </c>
      <c r="D84" s="8">
        <f>garage!D84</f>
        <v>8</v>
      </c>
      <c r="E84" s="8">
        <f>garage!E84</f>
        <v>0</v>
      </c>
      <c r="F84" s="8" t="str">
        <f>garage!F84</f>
        <v>L</v>
      </c>
      <c r="G84" s="8" t="str">
        <f>garage!G84</f>
        <v>O</v>
      </c>
      <c r="H84" s="8" t="str">
        <f>garage!H84</f>
        <v>O</v>
      </c>
      <c r="I84" s="8" t="str">
        <f>garage!I84</f>
        <v>N</v>
      </c>
      <c r="J84" s="8" t="str">
        <f>garage!J124</f>
        <v>N</v>
      </c>
      <c r="K84" s="8" t="str">
        <f>garage!K84</f>
        <v>B</v>
      </c>
      <c r="L84" s="9" t="str">
        <f>garage!L84</f>
        <v>Lamborghini</v>
      </c>
      <c r="M84" s="9" t="str">
        <f>garage!M84</f>
        <v>Asterion</v>
      </c>
      <c r="O84" s="53">
        <v>320</v>
      </c>
      <c r="P84" s="53">
        <v>73</v>
      </c>
      <c r="Q84" s="53">
        <v>37.51</v>
      </c>
      <c r="R84" s="53">
        <v>58.07</v>
      </c>
      <c r="S84" s="55">
        <f t="shared" si="5"/>
        <v>122.145</v>
      </c>
      <c r="U84" s="53">
        <v>336.8</v>
      </c>
      <c r="V84" s="53">
        <v>81.05</v>
      </c>
      <c r="W84" s="53">
        <v>45.56</v>
      </c>
      <c r="X84" s="53">
        <v>68.209999999999994</v>
      </c>
      <c r="Y84" s="55">
        <f t="shared" si="4"/>
        <v>132.905</v>
      </c>
      <c r="AA84" s="8">
        <v>8</v>
      </c>
      <c r="AC84" s="2" t="str">
        <f t="shared" si="6"/>
        <v>None</v>
      </c>
    </row>
    <row r="85" spans="2:29" ht="18" customHeight="1" x14ac:dyDescent="0.2">
      <c r="B85" s="10">
        <f>garage!B85</f>
        <v>85</v>
      </c>
      <c r="C85" s="10">
        <f>garage!C85</f>
        <v>3</v>
      </c>
      <c r="D85" s="10">
        <f>garage!D85</f>
        <v>9</v>
      </c>
      <c r="E85" s="10">
        <f>garage!E85</f>
        <v>18</v>
      </c>
      <c r="F85" s="10" t="str">
        <f>garage!F85</f>
        <v>F</v>
      </c>
      <c r="G85" s="10" t="str">
        <f>garage!G85</f>
        <v>O</v>
      </c>
      <c r="H85" s="10" t="str">
        <f>garage!H85</f>
        <v>O</v>
      </c>
      <c r="I85" s="10" t="str">
        <f>garage!I85</f>
        <v>N</v>
      </c>
      <c r="J85" s="10" t="str">
        <f>garage!J125</f>
        <v>N</v>
      </c>
      <c r="K85" s="10" t="str">
        <f>garage!K85</f>
        <v>B</v>
      </c>
      <c r="L85" s="11" t="str">
        <f>garage!L85</f>
        <v>Ferrari</v>
      </c>
      <c r="M85" s="11" t="str">
        <f>garage!M85</f>
        <v>Roma</v>
      </c>
      <c r="O85" s="54">
        <v>320</v>
      </c>
      <c r="P85" s="54">
        <v>69.400000000000006</v>
      </c>
      <c r="Q85" s="54">
        <v>46.11</v>
      </c>
      <c r="R85" s="54">
        <v>51.38</v>
      </c>
      <c r="S85" s="56">
        <f t="shared" si="5"/>
        <v>121.7225</v>
      </c>
      <c r="U85" s="54">
        <v>331.7</v>
      </c>
      <c r="V85" s="54">
        <v>77.45</v>
      </c>
      <c r="W85" s="54">
        <v>60.49</v>
      </c>
      <c r="X85" s="54">
        <v>66.78</v>
      </c>
      <c r="Y85" s="56">
        <f t="shared" si="4"/>
        <v>134.10499999999999</v>
      </c>
      <c r="AA85" s="10">
        <v>9</v>
      </c>
      <c r="AC85" s="2" t="str">
        <f t="shared" si="6"/>
        <v>None</v>
      </c>
    </row>
    <row r="86" spans="2:29" ht="18" customHeight="1" x14ac:dyDescent="0.2">
      <c r="B86" s="8">
        <f>garage!B86</f>
        <v>86</v>
      </c>
      <c r="C86" s="8">
        <f>garage!C86</f>
        <v>3</v>
      </c>
      <c r="D86" s="8">
        <f>garage!D86</f>
        <v>10</v>
      </c>
      <c r="E86" s="8">
        <f>garage!E86</f>
        <v>22</v>
      </c>
      <c r="F86" s="8" t="str">
        <f>garage!F86</f>
        <v>--</v>
      </c>
      <c r="G86" s="8" t="str">
        <f>garage!G86</f>
        <v>O</v>
      </c>
      <c r="H86" s="8" t="str">
        <f>garage!H86</f>
        <v>O</v>
      </c>
      <c r="I86" s="8" t="str">
        <f>garage!I86</f>
        <v>N</v>
      </c>
      <c r="J86" s="8" t="str">
        <f>garage!J126</f>
        <v>N</v>
      </c>
      <c r="K86" s="8" t="str">
        <f>garage!K86</f>
        <v>B</v>
      </c>
      <c r="L86" s="9" t="str">
        <f>garage!L86</f>
        <v>Arash</v>
      </c>
      <c r="M86" s="9" t="str">
        <f>garage!M86</f>
        <v>AF10</v>
      </c>
      <c r="O86" s="53">
        <v>323</v>
      </c>
      <c r="P86" s="53">
        <v>73.900000000000006</v>
      </c>
      <c r="Q86" s="53">
        <v>39.200000000000003</v>
      </c>
      <c r="R86" s="53">
        <v>44.1</v>
      </c>
      <c r="S86" s="55">
        <f t="shared" si="5"/>
        <v>120.05</v>
      </c>
      <c r="U86" s="53">
        <v>337</v>
      </c>
      <c r="V86" s="53">
        <v>78.73</v>
      </c>
      <c r="W86" s="53">
        <v>50.41</v>
      </c>
      <c r="X86" s="53">
        <v>59.6</v>
      </c>
      <c r="Y86" s="55">
        <f t="shared" si="4"/>
        <v>131.435</v>
      </c>
      <c r="AA86" s="8">
        <v>10</v>
      </c>
      <c r="AC86" s="2" t="str">
        <f t="shared" si="6"/>
        <v>None</v>
      </c>
    </row>
    <row r="87" spans="2:29" ht="18" customHeight="1" x14ac:dyDescent="0.2">
      <c r="B87" s="10">
        <f>garage!B87</f>
        <v>87</v>
      </c>
      <c r="C87" s="10">
        <f>garage!C87</f>
        <v>3</v>
      </c>
      <c r="D87" s="10">
        <f>garage!D87</f>
        <v>11</v>
      </c>
      <c r="E87" s="10">
        <f>garage!E87</f>
        <v>31</v>
      </c>
      <c r="F87" s="10" t="str">
        <f>garage!F87</f>
        <v>--</v>
      </c>
      <c r="G87" s="10" t="str">
        <f>garage!G87</f>
        <v>N</v>
      </c>
      <c r="H87" s="10" t="str">
        <f>garage!H87</f>
        <v>N</v>
      </c>
      <c r="I87" s="10" t="str">
        <f>garage!I87</f>
        <v>N</v>
      </c>
      <c r="J87" s="10" t="str">
        <f>garage!J127</f>
        <v>N</v>
      </c>
      <c r="K87" s="10" t="str">
        <f>garage!K87</f>
        <v>B</v>
      </c>
      <c r="L87" s="11" t="str">
        <f>garage!L87</f>
        <v>BMW</v>
      </c>
      <c r="M87" s="11" t="str">
        <f>garage!M87</f>
        <v>M4 GT3</v>
      </c>
      <c r="O87" s="54">
        <v>324.60000000000002</v>
      </c>
      <c r="P87" s="54">
        <v>73.040000000000006</v>
      </c>
      <c r="Q87" s="54">
        <v>48.28</v>
      </c>
      <c r="R87" s="54">
        <v>56.99</v>
      </c>
      <c r="S87" s="56">
        <f t="shared" si="5"/>
        <v>125.72750000000002</v>
      </c>
      <c r="U87" s="54">
        <v>333.3</v>
      </c>
      <c r="V87" s="54">
        <v>79.459999999999994</v>
      </c>
      <c r="W87" s="54">
        <v>53.36</v>
      </c>
      <c r="X87" s="54">
        <v>63.69</v>
      </c>
      <c r="Y87" s="56">
        <f t="shared" si="4"/>
        <v>132.45249999999999</v>
      </c>
      <c r="AA87" s="10">
        <v>11</v>
      </c>
      <c r="AC87" s="2" t="str">
        <f t="shared" si="6"/>
        <v>None</v>
      </c>
    </row>
    <row r="88" spans="2:29" ht="18" customHeight="1" x14ac:dyDescent="0.2">
      <c r="B88" s="8">
        <f>garage!B88</f>
        <v>88</v>
      </c>
      <c r="C88" s="8">
        <f>garage!C88</f>
        <v>3</v>
      </c>
      <c r="D88" s="8">
        <f>garage!D88</f>
        <v>12</v>
      </c>
      <c r="E88" s="8">
        <f>garage!E88</f>
        <v>0</v>
      </c>
      <c r="F88" s="8" t="str">
        <f>garage!F88</f>
        <v>--</v>
      </c>
      <c r="G88" s="8" t="str">
        <f>garage!G88</f>
        <v>O</v>
      </c>
      <c r="H88" s="8" t="str">
        <f>garage!H88</f>
        <v>O</v>
      </c>
      <c r="I88" s="8" t="str">
        <f>garage!I88</f>
        <v>O</v>
      </c>
      <c r="J88" s="8" t="str">
        <f>garage!J128</f>
        <v>N</v>
      </c>
      <c r="K88" s="8" t="str">
        <f>garage!K88</f>
        <v>B</v>
      </c>
      <c r="L88" s="9" t="str">
        <f>garage!L88</f>
        <v>Cadillac</v>
      </c>
      <c r="M88" s="9" t="str">
        <f>garage!M88</f>
        <v>Cien Concept</v>
      </c>
      <c r="O88" s="53">
        <v>350</v>
      </c>
      <c r="P88" s="53">
        <v>68.5</v>
      </c>
      <c r="Q88" s="53">
        <v>30.04</v>
      </c>
      <c r="R88" s="53">
        <v>50.68</v>
      </c>
      <c r="S88" s="55">
        <f t="shared" si="5"/>
        <v>124.80500000000001</v>
      </c>
      <c r="U88" s="53">
        <v>368</v>
      </c>
      <c r="V88" s="53">
        <v>76.55</v>
      </c>
      <c r="W88" s="53">
        <v>36.14</v>
      </c>
      <c r="X88" s="53">
        <v>61.1</v>
      </c>
      <c r="Y88" s="55">
        <f t="shared" si="4"/>
        <v>135.44749999999999</v>
      </c>
      <c r="AA88" s="8">
        <v>12</v>
      </c>
      <c r="AC88" s="2" t="str">
        <f t="shared" si="6"/>
        <v>None</v>
      </c>
    </row>
    <row r="89" spans="2:29" ht="18" customHeight="1" x14ac:dyDescent="0.2">
      <c r="B89" s="10">
        <f>garage!B89</f>
        <v>89</v>
      </c>
      <c r="C89" s="10">
        <f>garage!C89</f>
        <v>3</v>
      </c>
      <c r="D89" s="10">
        <f>garage!D89</f>
        <v>13</v>
      </c>
      <c r="E89" s="10">
        <f>garage!E89</f>
        <v>13</v>
      </c>
      <c r="F89" s="10" t="str">
        <f>garage!F89</f>
        <v>--</v>
      </c>
      <c r="G89" s="10" t="str">
        <f>garage!G89</f>
        <v>O</v>
      </c>
      <c r="H89" s="10" t="str">
        <f>garage!H89</f>
        <v>O</v>
      </c>
      <c r="I89" s="10" t="str">
        <f>garage!I89</f>
        <v>N</v>
      </c>
      <c r="J89" s="10" t="str">
        <f>garage!J129</f>
        <v>N</v>
      </c>
      <c r="K89" s="10" t="str">
        <f>garage!K89</f>
        <v>B</v>
      </c>
      <c r="L89" s="11" t="str">
        <f>garage!L89</f>
        <v>Ford</v>
      </c>
      <c r="M89" s="11" t="str">
        <f>garage!M89</f>
        <v>GT MK II</v>
      </c>
      <c r="O89" s="54">
        <v>300</v>
      </c>
      <c r="P89" s="54">
        <v>76.599999999999994</v>
      </c>
      <c r="Q89" s="54">
        <v>57.8</v>
      </c>
      <c r="R89" s="54">
        <v>49.12</v>
      </c>
      <c r="S89" s="56">
        <f t="shared" si="5"/>
        <v>120.88000000000001</v>
      </c>
      <c r="U89" s="54">
        <v>315.5</v>
      </c>
      <c r="V89" s="54">
        <v>86.26</v>
      </c>
      <c r="W89" s="54">
        <v>79</v>
      </c>
      <c r="X89" s="54">
        <v>67.88</v>
      </c>
      <c r="Y89" s="56">
        <f t="shared" si="4"/>
        <v>137.16</v>
      </c>
      <c r="AA89" s="10">
        <v>13</v>
      </c>
      <c r="AC89" s="2" t="str">
        <f t="shared" si="6"/>
        <v>None</v>
      </c>
    </row>
    <row r="90" spans="2:29" ht="18" customHeight="1" x14ac:dyDescent="0.2">
      <c r="B90" s="8">
        <f>garage!B90</f>
        <v>90</v>
      </c>
      <c r="C90" s="8">
        <f>garage!C90</f>
        <v>3</v>
      </c>
      <c r="D90" s="8">
        <f>garage!D90</f>
        <v>14</v>
      </c>
      <c r="E90" s="8">
        <f>garage!E90</f>
        <v>0</v>
      </c>
      <c r="F90" s="8" t="str">
        <f>garage!F90</f>
        <v>--</v>
      </c>
      <c r="G90" s="8" t="str">
        <f>garage!G90</f>
        <v>O</v>
      </c>
      <c r="H90" s="8" t="str">
        <f>garage!H90</f>
        <v>O</v>
      </c>
      <c r="I90" s="8" t="str">
        <f>garage!I90</f>
        <v>O</v>
      </c>
      <c r="J90" s="8" t="str">
        <f>garage!J130</f>
        <v>N</v>
      </c>
      <c r="K90" s="8" t="str">
        <f>garage!K90</f>
        <v>B</v>
      </c>
      <c r="L90" s="9" t="str">
        <f>garage!L90</f>
        <v>Italdesign</v>
      </c>
      <c r="M90" s="9" t="str">
        <f>garage!M90</f>
        <v>Zerouno</v>
      </c>
      <c r="O90" s="53">
        <v>330</v>
      </c>
      <c r="P90" s="53">
        <v>71.2</v>
      </c>
      <c r="Q90" s="53">
        <v>47.13</v>
      </c>
      <c r="R90" s="53">
        <v>38.82</v>
      </c>
      <c r="S90" s="55">
        <f t="shared" si="5"/>
        <v>121.78749999999999</v>
      </c>
      <c r="U90" s="53">
        <v>368</v>
      </c>
      <c r="V90" s="53">
        <v>76.55</v>
      </c>
      <c r="W90" s="53">
        <v>36.14</v>
      </c>
      <c r="X90" s="53">
        <v>51.1</v>
      </c>
      <c r="Y90" s="55">
        <f t="shared" si="4"/>
        <v>132.94749999999999</v>
      </c>
      <c r="AA90" s="8">
        <v>14</v>
      </c>
      <c r="AC90" s="2" t="str">
        <f t="shared" si="6"/>
        <v>None</v>
      </c>
    </row>
    <row r="91" spans="2:29" ht="18" customHeight="1" x14ac:dyDescent="0.2">
      <c r="B91" s="10">
        <f>garage!B91</f>
        <v>91</v>
      </c>
      <c r="C91" s="10">
        <f>garage!C91</f>
        <v>3</v>
      </c>
      <c r="D91" s="10">
        <f>garage!D91</f>
        <v>15</v>
      </c>
      <c r="E91" s="10">
        <f>garage!E91</f>
        <v>24</v>
      </c>
      <c r="F91" s="10" t="str">
        <f>garage!F91</f>
        <v>--</v>
      </c>
      <c r="G91" s="10" t="str">
        <f>garage!G91</f>
        <v>N</v>
      </c>
      <c r="H91" s="10" t="str">
        <f>garage!H91</f>
        <v>N</v>
      </c>
      <c r="I91" s="10" t="str">
        <f>garage!I91</f>
        <v>N</v>
      </c>
      <c r="J91" s="10" t="str">
        <f>garage!J131</f>
        <v>N</v>
      </c>
      <c r="K91" s="10" t="str">
        <f>garage!K91</f>
        <v>B</v>
      </c>
      <c r="L91" s="11" t="str">
        <f>garage!L91</f>
        <v>Arash</v>
      </c>
      <c r="M91" s="11" t="str">
        <f>garage!M91</f>
        <v>AF8 Falcon Edition</v>
      </c>
      <c r="O91" s="54">
        <v>321</v>
      </c>
      <c r="P91" s="54">
        <v>70.03</v>
      </c>
      <c r="Q91" s="54">
        <v>53.41</v>
      </c>
      <c r="R91" s="54">
        <v>62.99</v>
      </c>
      <c r="S91" s="56">
        <f t="shared" si="5"/>
        <v>126.85749999999999</v>
      </c>
      <c r="U91" s="54">
        <v>332.6</v>
      </c>
      <c r="V91" s="54">
        <v>76.739999999999995</v>
      </c>
      <c r="W91" s="54">
        <v>66.010000000000005</v>
      </c>
      <c r="X91" s="54">
        <v>76.94</v>
      </c>
      <c r="Y91" s="56">
        <f t="shared" si="4"/>
        <v>138.07249999999999</v>
      </c>
      <c r="AA91" s="10">
        <v>15</v>
      </c>
      <c r="AC91" s="2" t="str">
        <f t="shared" si="6"/>
        <v>None</v>
      </c>
    </row>
    <row r="92" spans="2:29" ht="18" customHeight="1" x14ac:dyDescent="0.2">
      <c r="B92" s="8">
        <f>garage!B92</f>
        <v>92</v>
      </c>
      <c r="C92" s="8">
        <f>garage!C92</f>
        <v>3</v>
      </c>
      <c r="D92" s="8">
        <f>garage!D92</f>
        <v>16</v>
      </c>
      <c r="E92" s="8">
        <f>garage!E92</f>
        <v>0</v>
      </c>
      <c r="F92" s="8" t="str">
        <f>garage!F92</f>
        <v>F</v>
      </c>
      <c r="G92" s="8" t="str">
        <f>garage!G92</f>
        <v>O</v>
      </c>
      <c r="H92" s="8" t="str">
        <f>garage!H92</f>
        <v>O</v>
      </c>
      <c r="I92" s="8" t="str">
        <f>garage!I92</f>
        <v>O</v>
      </c>
      <c r="J92" s="8" t="str">
        <f>garage!J132</f>
        <v>N</v>
      </c>
      <c r="K92" s="8" t="str">
        <f>garage!K92</f>
        <v>B</v>
      </c>
      <c r="L92" s="9" t="str">
        <f>garage!L92</f>
        <v>Ferrari</v>
      </c>
      <c r="M92" s="9" t="str">
        <f>garage!M92</f>
        <v>488 GTB</v>
      </c>
      <c r="O92" s="53">
        <v>330</v>
      </c>
      <c r="P92" s="53">
        <v>73</v>
      </c>
      <c r="Q92" s="53">
        <v>41.99</v>
      </c>
      <c r="R92" s="53">
        <v>56.41</v>
      </c>
      <c r="S92" s="55">
        <f t="shared" si="5"/>
        <v>125.35</v>
      </c>
      <c r="U92" s="53">
        <v>347.6</v>
      </c>
      <c r="V92" s="53">
        <v>80.239999999999995</v>
      </c>
      <c r="W92" s="53">
        <v>48.38</v>
      </c>
      <c r="X92" s="53">
        <v>65.84</v>
      </c>
      <c r="Y92" s="55">
        <f t="shared" si="4"/>
        <v>135.51500000000001</v>
      </c>
      <c r="AA92" s="8">
        <v>16</v>
      </c>
      <c r="AC92" s="2" t="str">
        <f t="shared" si="6"/>
        <v>None</v>
      </c>
    </row>
    <row r="93" spans="2:29" ht="18" customHeight="1" x14ac:dyDescent="0.2">
      <c r="B93" s="10">
        <f>garage!B93</f>
        <v>93</v>
      </c>
      <c r="C93" s="10">
        <f>garage!C93</f>
        <v>3</v>
      </c>
      <c r="D93" s="10">
        <f>garage!D93</f>
        <v>17</v>
      </c>
      <c r="E93" s="10">
        <f>garage!E93</f>
        <v>30</v>
      </c>
      <c r="F93" s="10" t="str">
        <f>garage!F93</f>
        <v>--</v>
      </c>
      <c r="G93" s="10" t="str">
        <f>garage!G93</f>
        <v>N</v>
      </c>
      <c r="H93" s="10" t="str">
        <f>garage!H93</f>
        <v>O</v>
      </c>
      <c r="I93" s="10" t="str">
        <f>garage!I93</f>
        <v>N</v>
      </c>
      <c r="J93" s="10" t="str">
        <f>garage!J133</f>
        <v>N</v>
      </c>
      <c r="K93" s="10" t="str">
        <f>garage!K93</f>
        <v>B</v>
      </c>
      <c r="L93" s="11" t="str">
        <f>garage!L93</f>
        <v>Kepler</v>
      </c>
      <c r="M93" s="11" t="str">
        <f>garage!M93</f>
        <v>Motion</v>
      </c>
      <c r="O93" s="54">
        <v>322</v>
      </c>
      <c r="P93" s="54">
        <v>78.400000000000006</v>
      </c>
      <c r="Q93" s="54">
        <v>40.549999999999997</v>
      </c>
      <c r="R93" s="54">
        <v>40.07</v>
      </c>
      <c r="S93" s="56">
        <f t="shared" si="5"/>
        <v>120.255</v>
      </c>
      <c r="U93" s="54">
        <v>338.5</v>
      </c>
      <c r="V93" s="54">
        <v>86.45</v>
      </c>
      <c r="W93" s="54">
        <v>48.72</v>
      </c>
      <c r="X93" s="54">
        <v>61.18</v>
      </c>
      <c r="Y93" s="56">
        <f t="shared" si="4"/>
        <v>133.71249999999998</v>
      </c>
      <c r="AA93" s="10">
        <v>17</v>
      </c>
      <c r="AC93" s="2" t="str">
        <f t="shared" si="6"/>
        <v>None</v>
      </c>
    </row>
    <row r="94" spans="2:29" ht="18" customHeight="1" x14ac:dyDescent="0.2">
      <c r="B94" s="8">
        <f>garage!B94</f>
        <v>94</v>
      </c>
      <c r="C94" s="8">
        <f>garage!C94</f>
        <v>3</v>
      </c>
      <c r="D94" s="8">
        <f>garage!D94</f>
        <v>18</v>
      </c>
      <c r="E94" s="8">
        <f>garage!E94</f>
        <v>21</v>
      </c>
      <c r="F94" s="8" t="str">
        <f>garage!F94</f>
        <v>--</v>
      </c>
      <c r="G94" s="8" t="str">
        <f>garage!G94</f>
        <v>O</v>
      </c>
      <c r="H94" s="8" t="str">
        <f>garage!H94</f>
        <v>N</v>
      </c>
      <c r="I94" s="8" t="str">
        <f>garage!I94</f>
        <v>N</v>
      </c>
      <c r="J94" s="8" t="str">
        <f>garage!J134</f>
        <v>N</v>
      </c>
      <c r="K94" s="8" t="str">
        <f>garage!K94</f>
        <v>B</v>
      </c>
      <c r="L94" s="9" t="str">
        <f>garage!L94</f>
        <v>Drako</v>
      </c>
      <c r="M94" s="9" t="str">
        <f>garage!M94</f>
        <v>GTE</v>
      </c>
      <c r="O94" s="53">
        <v>332</v>
      </c>
      <c r="P94" s="53">
        <v>73</v>
      </c>
      <c r="Q94" s="53">
        <v>39.97</v>
      </c>
      <c r="R94" s="53">
        <v>48.8</v>
      </c>
      <c r="S94" s="55">
        <f t="shared" si="5"/>
        <v>123.44250000000001</v>
      </c>
      <c r="U94" s="53">
        <v>346.2</v>
      </c>
      <c r="V94" s="53">
        <v>81.849999999999994</v>
      </c>
      <c r="W94" s="53">
        <v>47.31</v>
      </c>
      <c r="X94" s="53">
        <v>61.18</v>
      </c>
      <c r="Y94" s="55">
        <f t="shared" si="4"/>
        <v>134.13499999999999</v>
      </c>
      <c r="AA94" s="8">
        <v>18</v>
      </c>
      <c r="AC94" s="2" t="str">
        <f t="shared" si="6"/>
        <v>None</v>
      </c>
    </row>
    <row r="95" spans="2:29" ht="18" customHeight="1" x14ac:dyDescent="0.2">
      <c r="B95" s="10">
        <f>garage!B95</f>
        <v>95</v>
      </c>
      <c r="C95" s="10">
        <f>garage!C95</f>
        <v>3</v>
      </c>
      <c r="D95" s="10">
        <f>garage!D95</f>
        <v>19</v>
      </c>
      <c r="E95" s="10">
        <f>garage!E95</f>
        <v>0</v>
      </c>
      <c r="F95" s="10" t="str">
        <f>garage!F95</f>
        <v>--</v>
      </c>
      <c r="G95" s="10" t="str">
        <f>garage!G95</f>
        <v>O</v>
      </c>
      <c r="H95" s="10" t="str">
        <f>garage!H95</f>
        <v>O</v>
      </c>
      <c r="I95" s="10" t="str">
        <f>garage!I95</f>
        <v>O</v>
      </c>
      <c r="J95" s="10" t="str">
        <f>garage!J135</f>
        <v>N</v>
      </c>
      <c r="K95" s="10" t="str">
        <f>garage!K95</f>
        <v>B</v>
      </c>
      <c r="L95" s="11" t="str">
        <f>garage!L95</f>
        <v>Glickhaus</v>
      </c>
      <c r="M95" s="11" t="str">
        <f>garage!M95</f>
        <v>003S</v>
      </c>
      <c r="O95" s="54">
        <v>350</v>
      </c>
      <c r="P95" s="54">
        <v>73</v>
      </c>
      <c r="Q95" s="54">
        <v>32.33</v>
      </c>
      <c r="R95" s="54">
        <v>50.68</v>
      </c>
      <c r="S95" s="56">
        <f t="shared" si="5"/>
        <v>126.5025</v>
      </c>
      <c r="U95" s="54">
        <v>368.8</v>
      </c>
      <c r="V95" s="54">
        <v>79.44</v>
      </c>
      <c r="W95" s="54">
        <v>38.58</v>
      </c>
      <c r="X95" s="54">
        <v>63.11</v>
      </c>
      <c r="Y95" s="56">
        <f t="shared" si="4"/>
        <v>137.48249999999999</v>
      </c>
      <c r="AA95" s="10">
        <v>19</v>
      </c>
      <c r="AC95" s="2" t="str">
        <f t="shared" si="6"/>
        <v>None</v>
      </c>
    </row>
    <row r="96" spans="2:29" ht="18" customHeight="1" x14ac:dyDescent="0.2">
      <c r="B96" s="8">
        <f>garage!B96</f>
        <v>96</v>
      </c>
      <c r="C96" s="8">
        <f>garage!C96</f>
        <v>3</v>
      </c>
      <c r="D96" s="8">
        <f>garage!D96</f>
        <v>20</v>
      </c>
      <c r="E96" s="8">
        <f>garage!E96</f>
        <v>20</v>
      </c>
      <c r="F96" s="8" t="str">
        <f>garage!F96</f>
        <v>M</v>
      </c>
      <c r="G96" s="8" t="str">
        <f>garage!G96</f>
        <v>O</v>
      </c>
      <c r="H96" s="8" t="str">
        <f>garage!H96</f>
        <v>N</v>
      </c>
      <c r="I96" s="8" t="str">
        <f>garage!I96</f>
        <v>N</v>
      </c>
      <c r="J96" s="8" t="str">
        <f>garage!J136</f>
        <v>N</v>
      </c>
      <c r="K96" s="8" t="str">
        <f>garage!K96</f>
        <v>B</v>
      </c>
      <c r="L96" s="9" t="str">
        <f>garage!L96</f>
        <v>McLaren</v>
      </c>
      <c r="M96" s="9" t="str">
        <f>garage!M96</f>
        <v>Elva</v>
      </c>
      <c r="O96" s="53">
        <v>326</v>
      </c>
      <c r="P96" s="53">
        <v>74.8</v>
      </c>
      <c r="Q96" s="53">
        <v>50.36</v>
      </c>
      <c r="R96" s="53">
        <v>49.15</v>
      </c>
      <c r="S96" s="55">
        <f t="shared" si="5"/>
        <v>125.0775</v>
      </c>
      <c r="U96" s="53">
        <v>339.1</v>
      </c>
      <c r="V96" s="53">
        <v>81.31</v>
      </c>
      <c r="W96" s="53">
        <v>75.510000000000005</v>
      </c>
      <c r="X96" s="53">
        <v>65.900000000000006</v>
      </c>
      <c r="Y96" s="55">
        <f t="shared" si="4"/>
        <v>140.45500000000001</v>
      </c>
      <c r="AA96" s="8">
        <v>20</v>
      </c>
      <c r="AC96" s="2" t="str">
        <f t="shared" si="6"/>
        <v>None</v>
      </c>
    </row>
    <row r="97" spans="2:29" ht="18" customHeight="1" x14ac:dyDescent="0.2">
      <c r="B97" s="10">
        <f>garage!B97</f>
        <v>97</v>
      </c>
      <c r="C97" s="10">
        <f>garage!C97</f>
        <v>3</v>
      </c>
      <c r="D97" s="10">
        <f>garage!D97</f>
        <v>21</v>
      </c>
      <c r="E97" s="10">
        <f>garage!E97</f>
        <v>27</v>
      </c>
      <c r="F97" s="10" t="str">
        <f>garage!F97</f>
        <v>--</v>
      </c>
      <c r="G97" s="10" t="str">
        <f>garage!G97</f>
        <v>O</v>
      </c>
      <c r="H97" s="10" t="str">
        <f>garage!H97</f>
        <v>N</v>
      </c>
      <c r="I97" s="10" t="str">
        <f>garage!I97</f>
        <v>N</v>
      </c>
      <c r="J97" s="10" t="str">
        <f>garage!J137</f>
        <v>O</v>
      </c>
      <c r="K97" s="10" t="str">
        <f>garage!K97</f>
        <v>B</v>
      </c>
      <c r="L97" s="11" t="str">
        <f>garage!L97</f>
        <v>Nissan</v>
      </c>
      <c r="M97" s="11" t="str">
        <f>garage!M97</f>
        <v>R390 GT1</v>
      </c>
      <c r="O97" s="54">
        <v>354</v>
      </c>
      <c r="P97" s="54">
        <v>69.400000000000006</v>
      </c>
      <c r="Q97" s="54">
        <v>45.71</v>
      </c>
      <c r="R97" s="54">
        <v>34.659999999999997</v>
      </c>
      <c r="S97" s="56">
        <f t="shared" si="5"/>
        <v>125.9425</v>
      </c>
      <c r="U97" s="54">
        <v>373.5</v>
      </c>
      <c r="V97" s="54">
        <v>76.72</v>
      </c>
      <c r="W97" s="54">
        <v>52.63</v>
      </c>
      <c r="X97" s="54">
        <v>55.45</v>
      </c>
      <c r="Y97" s="56">
        <f t="shared" si="4"/>
        <v>139.57500000000002</v>
      </c>
      <c r="AA97" s="10">
        <v>21</v>
      </c>
      <c r="AC97" s="2" t="str">
        <f t="shared" si="6"/>
        <v>None</v>
      </c>
    </row>
    <row r="98" spans="2:29" ht="18" customHeight="1" x14ac:dyDescent="0.2">
      <c r="B98" s="8">
        <f>garage!B98</f>
        <v>98</v>
      </c>
      <c r="C98" s="8">
        <f>garage!C98</f>
        <v>3</v>
      </c>
      <c r="D98" s="8">
        <f>garage!D98</f>
        <v>22</v>
      </c>
      <c r="E98" s="8">
        <f>garage!E98</f>
        <v>0</v>
      </c>
      <c r="F98" s="8" t="str">
        <f>garage!F98</f>
        <v>F</v>
      </c>
      <c r="G98" s="8" t="str">
        <f>garage!G98</f>
        <v>O</v>
      </c>
      <c r="H98" s="8" t="str">
        <f>garage!H98</f>
        <v>O</v>
      </c>
      <c r="I98" s="8" t="str">
        <f>garage!I98</f>
        <v>O</v>
      </c>
      <c r="J98" s="8" t="str">
        <f>garage!J138</f>
        <v>N</v>
      </c>
      <c r="K98" s="8" t="str">
        <f>garage!K98</f>
        <v>B</v>
      </c>
      <c r="L98" s="9" t="str">
        <f>garage!L98</f>
        <v>Ferrari</v>
      </c>
      <c r="M98" s="9" t="str">
        <f>garage!M98</f>
        <v>F12TDF</v>
      </c>
      <c r="O98" s="53">
        <v>340</v>
      </c>
      <c r="P98" s="53">
        <v>73.900000000000006</v>
      </c>
      <c r="Q98" s="53">
        <v>31.67</v>
      </c>
      <c r="R98" s="53">
        <v>69.61</v>
      </c>
      <c r="S98" s="55">
        <f t="shared" si="5"/>
        <v>128.79499999999999</v>
      </c>
      <c r="U98" s="53">
        <v>360.5</v>
      </c>
      <c r="V98" s="53">
        <v>78.38</v>
      </c>
      <c r="W98" s="53">
        <v>40.130000000000003</v>
      </c>
      <c r="X98" s="53">
        <v>80.180000000000007</v>
      </c>
      <c r="Y98" s="55">
        <f t="shared" si="4"/>
        <v>139.79750000000001</v>
      </c>
      <c r="AA98" s="8">
        <v>22</v>
      </c>
      <c r="AC98" s="2" t="str">
        <f t="shared" si="6"/>
        <v>None</v>
      </c>
    </row>
    <row r="99" spans="2:29" ht="18" customHeight="1" x14ac:dyDescent="0.2">
      <c r="B99" s="10">
        <f>garage!B99</f>
        <v>99</v>
      </c>
      <c r="C99" s="10">
        <f>garage!C99</f>
        <v>3</v>
      </c>
      <c r="D99" s="10">
        <f>garage!D99</f>
        <v>23</v>
      </c>
      <c r="E99" s="10">
        <f>garage!E99</f>
        <v>18</v>
      </c>
      <c r="F99" s="10" t="str">
        <f>garage!F99</f>
        <v>L</v>
      </c>
      <c r="G99" s="10" t="str">
        <f>garage!G99</f>
        <v>O</v>
      </c>
      <c r="H99" s="10" t="str">
        <f>garage!H99</f>
        <v>N</v>
      </c>
      <c r="I99" s="10" t="str">
        <f>garage!I99</f>
        <v>N</v>
      </c>
      <c r="J99" s="10" t="str">
        <f>garage!J139</f>
        <v>N</v>
      </c>
      <c r="K99" s="10" t="str">
        <f>garage!K99</f>
        <v>B</v>
      </c>
      <c r="L99" s="11" t="str">
        <f>garage!L99</f>
        <v>Lamborghini</v>
      </c>
      <c r="M99" s="11" t="str">
        <f>garage!M99</f>
        <v>Murcielago LP 640 Roadster</v>
      </c>
      <c r="O99" s="54">
        <v>342</v>
      </c>
      <c r="P99" s="54">
        <v>69.400000000000006</v>
      </c>
      <c r="Q99" s="54">
        <v>49.88</v>
      </c>
      <c r="R99" s="54">
        <v>37.840000000000003</v>
      </c>
      <c r="S99" s="56">
        <f t="shared" si="5"/>
        <v>124.78</v>
      </c>
      <c r="U99" s="54">
        <v>354.1</v>
      </c>
      <c r="V99" s="54">
        <v>77.540000000000006</v>
      </c>
      <c r="W99" s="54">
        <v>67.180000000000007</v>
      </c>
      <c r="X99" s="54">
        <v>61.13</v>
      </c>
      <c r="Y99" s="56">
        <f t="shared" si="4"/>
        <v>139.98750000000001</v>
      </c>
      <c r="AA99" s="10">
        <v>23</v>
      </c>
      <c r="AC99" s="2" t="str">
        <f t="shared" si="6"/>
        <v>None</v>
      </c>
    </row>
    <row r="100" spans="2:29" ht="18" customHeight="1" x14ac:dyDescent="0.2">
      <c r="B100" s="8">
        <f>garage!B100</f>
        <v>100</v>
      </c>
      <c r="C100" s="8">
        <f>garage!C100</f>
        <v>3</v>
      </c>
      <c r="D100" s="8">
        <f>garage!D100</f>
        <v>24</v>
      </c>
      <c r="E100" s="8">
        <f>garage!E100</f>
        <v>26</v>
      </c>
      <c r="F100" s="8" t="str">
        <f>garage!F100</f>
        <v>M</v>
      </c>
      <c r="G100" s="8" t="str">
        <f>garage!G100</f>
        <v>O</v>
      </c>
      <c r="H100" s="8" t="str">
        <f>garage!H100</f>
        <v>N</v>
      </c>
      <c r="I100" s="8" t="str">
        <f>garage!I100</f>
        <v>N</v>
      </c>
      <c r="J100" s="8" t="str">
        <f>garage!J140</f>
        <v>N</v>
      </c>
      <c r="K100" s="8" t="str">
        <f>garage!K100</f>
        <v>B</v>
      </c>
      <c r="L100" s="9" t="str">
        <f>garage!L100</f>
        <v>McLaren</v>
      </c>
      <c r="M100" s="9" t="str">
        <f>garage!M100</f>
        <v>765LT</v>
      </c>
      <c r="O100" s="53">
        <v>330</v>
      </c>
      <c r="P100" s="53">
        <v>74.8</v>
      </c>
      <c r="Q100" s="53">
        <v>54.46</v>
      </c>
      <c r="R100" s="53">
        <v>34.909999999999997</v>
      </c>
      <c r="S100" s="55">
        <f t="shared" si="5"/>
        <v>123.54249999999999</v>
      </c>
      <c r="U100" s="53">
        <v>349.5</v>
      </c>
      <c r="V100" s="53">
        <v>80.5</v>
      </c>
      <c r="W100" s="53">
        <v>70.61</v>
      </c>
      <c r="X100" s="53">
        <v>62.26</v>
      </c>
      <c r="Y100" s="55">
        <f t="shared" si="4"/>
        <v>140.7175</v>
      </c>
      <c r="AA100" s="8">
        <v>24</v>
      </c>
      <c r="AC100" s="2" t="str">
        <f t="shared" si="6"/>
        <v>None</v>
      </c>
    </row>
    <row r="101" spans="2:29" ht="18" customHeight="1" x14ac:dyDescent="0.2">
      <c r="B101" s="10">
        <f>garage!B101</f>
        <v>101</v>
      </c>
      <c r="C101" s="10">
        <f>garage!C101</f>
        <v>3</v>
      </c>
      <c r="D101" s="10">
        <f>garage!D101</f>
        <v>25</v>
      </c>
      <c r="E101" s="10">
        <f>garage!E101</f>
        <v>0</v>
      </c>
      <c r="F101" s="10" t="str">
        <f>garage!F101</f>
        <v>C</v>
      </c>
      <c r="G101" s="10" t="str">
        <f>garage!G101</f>
        <v>O</v>
      </c>
      <c r="H101" s="10" t="str">
        <f>garage!H101</f>
        <v>O</v>
      </c>
      <c r="I101" s="10" t="str">
        <f>garage!I101</f>
        <v>O</v>
      </c>
      <c r="J101" s="10" t="str">
        <f>garage!J141</f>
        <v>N</v>
      </c>
      <c r="K101" s="10" t="str">
        <f>garage!K101</f>
        <v>B</v>
      </c>
      <c r="L101" s="11" t="str">
        <f>garage!L101</f>
        <v>Chevrolet</v>
      </c>
      <c r="M101" s="11" t="str">
        <f>garage!M101</f>
        <v>Corvette Grand Sport</v>
      </c>
      <c r="O101" s="54">
        <v>314</v>
      </c>
      <c r="P101" s="54">
        <v>67.599999999999994</v>
      </c>
      <c r="Q101" s="54">
        <v>70.28</v>
      </c>
      <c r="R101" s="54">
        <v>66.739999999999995</v>
      </c>
      <c r="S101" s="56">
        <f t="shared" si="5"/>
        <v>129.655</v>
      </c>
      <c r="U101" s="54">
        <v>331.2</v>
      </c>
      <c r="V101" s="54">
        <v>76.55</v>
      </c>
      <c r="W101" s="54">
        <v>92.99</v>
      </c>
      <c r="X101" s="54">
        <v>80.87</v>
      </c>
      <c r="Y101" s="56">
        <f t="shared" si="4"/>
        <v>145.4025</v>
      </c>
      <c r="AA101" s="10">
        <v>25</v>
      </c>
      <c r="AC101" s="2" t="str">
        <f t="shared" si="6"/>
        <v>None</v>
      </c>
    </row>
    <row r="102" spans="2:29" ht="18" customHeight="1" x14ac:dyDescent="0.2">
      <c r="B102" s="8">
        <f>garage!B102</f>
        <v>102</v>
      </c>
      <c r="C102" s="8">
        <f>garage!C102</f>
        <v>3</v>
      </c>
      <c r="D102" s="8">
        <f>garage!D102</f>
        <v>26</v>
      </c>
      <c r="E102" s="8">
        <f>garage!E102</f>
        <v>7</v>
      </c>
      <c r="F102" s="8" t="str">
        <f>garage!F102</f>
        <v>AM</v>
      </c>
      <c r="G102" s="8" t="str">
        <f>garage!G102</f>
        <v>O</v>
      </c>
      <c r="H102" s="8" t="str">
        <f>garage!H102</f>
        <v>O</v>
      </c>
      <c r="I102" s="8" t="str">
        <f>garage!I102</f>
        <v>O</v>
      </c>
      <c r="J102" s="8" t="str">
        <f>garage!J142</f>
        <v>N</v>
      </c>
      <c r="K102" s="8" t="str">
        <f>garage!K102</f>
        <v>B</v>
      </c>
      <c r="L102" s="9" t="str">
        <f>garage!L102</f>
        <v>Aston Martin</v>
      </c>
      <c r="M102" s="9" t="str">
        <f>garage!M102</f>
        <v>Vantage GT12</v>
      </c>
      <c r="O102" s="53">
        <v>322</v>
      </c>
      <c r="P102" s="53">
        <v>68.5</v>
      </c>
      <c r="Q102" s="53">
        <v>64.33</v>
      </c>
      <c r="R102" s="53">
        <v>61.21</v>
      </c>
      <c r="S102" s="55">
        <f t="shared" si="5"/>
        <v>129.01</v>
      </c>
      <c r="U102" s="53">
        <v>337.8</v>
      </c>
      <c r="V102" s="53">
        <v>78.260000000000005</v>
      </c>
      <c r="W102" s="53">
        <v>86.85</v>
      </c>
      <c r="X102" s="53">
        <v>80.459999999999994</v>
      </c>
      <c r="Y102" s="55">
        <f t="shared" si="4"/>
        <v>145.8425</v>
      </c>
      <c r="AA102" s="8">
        <v>26</v>
      </c>
      <c r="AC102" s="2" t="str">
        <f t="shared" si="6"/>
        <v>None</v>
      </c>
    </row>
    <row r="103" spans="2:29" ht="18" customHeight="1" x14ac:dyDescent="0.2">
      <c r="B103" s="10">
        <f>garage!B103</f>
        <v>103</v>
      </c>
      <c r="C103" s="10">
        <f>garage!C103</f>
        <v>3</v>
      </c>
      <c r="D103" s="10">
        <f>garage!D103</f>
        <v>27</v>
      </c>
      <c r="E103" s="10">
        <f>garage!E103</f>
        <v>14</v>
      </c>
      <c r="F103" s="10" t="str">
        <f>garage!F103</f>
        <v>--</v>
      </c>
      <c r="G103" s="10" t="str">
        <f>garage!G103</f>
        <v>O</v>
      </c>
      <c r="H103" s="10" t="str">
        <f>garage!H103</f>
        <v>O</v>
      </c>
      <c r="I103" s="10" t="str">
        <f>garage!I103</f>
        <v>N</v>
      </c>
      <c r="J103" s="10" t="str">
        <f>garage!J143</f>
        <v>N</v>
      </c>
      <c r="K103" s="10" t="str">
        <f>garage!K103</f>
        <v>B</v>
      </c>
      <c r="L103" s="11" t="str">
        <f>garage!L103</f>
        <v>Apex</v>
      </c>
      <c r="M103" s="11" t="str">
        <f>garage!M103</f>
        <v>AP-0</v>
      </c>
      <c r="O103" s="54">
        <v>320</v>
      </c>
      <c r="P103" s="54">
        <v>71.2</v>
      </c>
      <c r="Q103" s="54">
        <v>60.46</v>
      </c>
      <c r="R103" s="54">
        <v>57.11</v>
      </c>
      <c r="S103" s="56">
        <f t="shared" si="5"/>
        <v>127.1925</v>
      </c>
      <c r="U103" s="54">
        <v>335.1</v>
      </c>
      <c r="V103" s="54">
        <v>80.959999999999994</v>
      </c>
      <c r="W103" s="54">
        <v>89.37</v>
      </c>
      <c r="X103" s="54">
        <v>75.16</v>
      </c>
      <c r="Y103" s="56">
        <f t="shared" si="4"/>
        <v>145.14750000000001</v>
      </c>
      <c r="AA103" s="10">
        <v>27</v>
      </c>
      <c r="AC103" s="2" t="str">
        <f t="shared" si="6"/>
        <v>None</v>
      </c>
    </row>
    <row r="104" spans="2:29" ht="18" customHeight="1" x14ac:dyDescent="0.2">
      <c r="B104" s="8">
        <f>garage!B104</f>
        <v>104</v>
      </c>
      <c r="C104" s="8">
        <f>garage!C104</f>
        <v>3</v>
      </c>
      <c r="D104" s="8">
        <f>garage!D104</f>
        <v>28</v>
      </c>
      <c r="E104" s="8">
        <f>garage!E104</f>
        <v>16</v>
      </c>
      <c r="F104" s="8" t="str">
        <f>garage!F104</f>
        <v>--</v>
      </c>
      <c r="G104" s="8" t="str">
        <f>garage!G104</f>
        <v>O</v>
      </c>
      <c r="H104" s="8" t="str">
        <f>garage!H104</f>
        <v>N</v>
      </c>
      <c r="I104" s="8" t="str">
        <f>garage!I104</f>
        <v>N</v>
      </c>
      <c r="J104" s="8" t="str">
        <f>garage!J144</f>
        <v>N</v>
      </c>
      <c r="K104" s="8" t="str">
        <f>garage!K104</f>
        <v>B</v>
      </c>
      <c r="L104" s="9" t="str">
        <f>garage!L104</f>
        <v>Apollo</v>
      </c>
      <c r="M104" s="9" t="str">
        <f>garage!M104</f>
        <v>IE</v>
      </c>
      <c r="O104" s="53">
        <v>335</v>
      </c>
      <c r="P104" s="53">
        <v>75.7</v>
      </c>
      <c r="Q104" s="53">
        <v>47.64</v>
      </c>
      <c r="R104" s="53">
        <v>51.09</v>
      </c>
      <c r="S104" s="55">
        <f t="shared" si="5"/>
        <v>127.35749999999999</v>
      </c>
      <c r="U104" s="53">
        <v>348.3</v>
      </c>
      <c r="V104" s="53">
        <v>84.65</v>
      </c>
      <c r="W104" s="53">
        <v>73.17</v>
      </c>
      <c r="X104" s="53">
        <v>69.12</v>
      </c>
      <c r="Y104" s="55">
        <f t="shared" si="4"/>
        <v>143.81</v>
      </c>
      <c r="AA104" s="8">
        <v>28</v>
      </c>
      <c r="AC104" s="2" t="str">
        <f t="shared" si="6"/>
        <v>None</v>
      </c>
    </row>
    <row r="105" spans="2:29" ht="18" customHeight="1" x14ac:dyDescent="0.2">
      <c r="B105" s="10">
        <f>garage!B105</f>
        <v>105</v>
      </c>
      <c r="C105" s="10">
        <f>garage!C105</f>
        <v>3</v>
      </c>
      <c r="D105" s="10">
        <f>garage!D105</f>
        <v>29</v>
      </c>
      <c r="E105" s="10">
        <f>garage!E105</f>
        <v>0</v>
      </c>
      <c r="F105" s="10" t="str">
        <f>garage!F105</f>
        <v>--</v>
      </c>
      <c r="G105" s="10" t="str">
        <f>garage!G105</f>
        <v>O</v>
      </c>
      <c r="H105" s="10" t="str">
        <f>garage!H105</f>
        <v>O</v>
      </c>
      <c r="I105" s="10" t="str">
        <f>garage!I105</f>
        <v>O</v>
      </c>
      <c r="J105" s="10" t="str">
        <f>garage!J145</f>
        <v>N</v>
      </c>
      <c r="K105" s="10" t="str">
        <f>garage!K105</f>
        <v>B</v>
      </c>
      <c r="L105" s="11" t="str">
        <f>garage!L105</f>
        <v>Sin</v>
      </c>
      <c r="M105" s="11" t="str">
        <f>garage!M105</f>
        <v>R1 550</v>
      </c>
      <c r="O105" s="54">
        <v>350</v>
      </c>
      <c r="P105" s="54">
        <v>68.5</v>
      </c>
      <c r="Q105" s="54">
        <v>36.92</v>
      </c>
      <c r="R105" s="54">
        <v>63.94</v>
      </c>
      <c r="S105" s="56">
        <f t="shared" si="5"/>
        <v>129.84</v>
      </c>
      <c r="U105" s="54">
        <v>370.6</v>
      </c>
      <c r="V105" s="54">
        <v>77.040000000000006</v>
      </c>
      <c r="W105" s="54">
        <v>45.74</v>
      </c>
      <c r="X105" s="54">
        <v>85</v>
      </c>
      <c r="Y105" s="56">
        <f t="shared" si="4"/>
        <v>144.59500000000003</v>
      </c>
      <c r="AA105" s="10">
        <v>29</v>
      </c>
      <c r="AC105" s="2" t="str">
        <f t="shared" si="6"/>
        <v>None</v>
      </c>
    </row>
    <row r="106" spans="2:29" ht="18" customHeight="1" x14ac:dyDescent="0.2">
      <c r="B106" s="8">
        <f>garage!B106</f>
        <v>106</v>
      </c>
      <c r="C106" s="8">
        <f>garage!C106</f>
        <v>3</v>
      </c>
      <c r="D106" s="8">
        <f>garage!D106</f>
        <v>30</v>
      </c>
      <c r="E106" s="8">
        <f>garage!E106</f>
        <v>25</v>
      </c>
      <c r="F106" s="8" t="str">
        <f>garage!F106</f>
        <v>L</v>
      </c>
      <c r="G106" s="8" t="str">
        <f>garage!G106</f>
        <v>O</v>
      </c>
      <c r="H106" s="8" t="str">
        <f>garage!H106</f>
        <v>N</v>
      </c>
      <c r="I106" s="8" t="str">
        <f>garage!I106</f>
        <v>N</v>
      </c>
      <c r="J106" s="8" t="str">
        <f>garage!J146</f>
        <v>N</v>
      </c>
      <c r="K106" s="8" t="str">
        <f>garage!K106</f>
        <v>B</v>
      </c>
      <c r="L106" s="9" t="str">
        <f>garage!L106</f>
        <v>Lamborghini</v>
      </c>
      <c r="M106" s="9" t="str">
        <f>garage!M106</f>
        <v>Reventón Roadster</v>
      </c>
      <c r="O106" s="53">
        <v>340</v>
      </c>
      <c r="P106" s="53">
        <v>69.400000000000006</v>
      </c>
      <c r="Q106" s="53">
        <v>51.14</v>
      </c>
      <c r="R106" s="53">
        <v>55.63</v>
      </c>
      <c r="S106" s="55">
        <f t="shared" si="5"/>
        <v>129.04249999999999</v>
      </c>
      <c r="U106" s="53">
        <v>356.3</v>
      </c>
      <c r="V106" s="53">
        <v>78.349999999999994</v>
      </c>
      <c r="W106" s="53">
        <v>67.650000000000006</v>
      </c>
      <c r="X106" s="53">
        <v>74.41</v>
      </c>
      <c r="Y106" s="55">
        <f t="shared" si="4"/>
        <v>144.17749999999998</v>
      </c>
      <c r="AA106" s="8">
        <v>30</v>
      </c>
      <c r="AC106" s="2" t="str">
        <f t="shared" si="6"/>
        <v>None</v>
      </c>
    </row>
    <row r="107" spans="2:29" ht="18" customHeight="1" x14ac:dyDescent="0.2">
      <c r="B107" s="10">
        <f>garage!B107</f>
        <v>107</v>
      </c>
      <c r="C107" s="10">
        <f>garage!C107</f>
        <v>3</v>
      </c>
      <c r="D107" s="10">
        <f>garage!D107</f>
        <v>31</v>
      </c>
      <c r="E107" s="10">
        <f>garage!E107</f>
        <v>15</v>
      </c>
      <c r="F107" s="10" t="str">
        <f>garage!F107</f>
        <v>F</v>
      </c>
      <c r="G107" s="10" t="str">
        <f>garage!G107</f>
        <v>O</v>
      </c>
      <c r="H107" s="10" t="str">
        <f>garage!H107</f>
        <v>O</v>
      </c>
      <c r="I107" s="10" t="str">
        <f>garage!I107</f>
        <v>N</v>
      </c>
      <c r="J107" s="10" t="str">
        <f>garage!J147</f>
        <v>N</v>
      </c>
      <c r="K107" s="10" t="str">
        <f>garage!K107</f>
        <v>B</v>
      </c>
      <c r="L107" s="11" t="str">
        <f>garage!L107</f>
        <v>Ferrari</v>
      </c>
      <c r="M107" s="11" t="str">
        <f>garage!M107</f>
        <v>Enzo Ferrari</v>
      </c>
      <c r="O107" s="54">
        <v>350</v>
      </c>
      <c r="P107" s="54">
        <v>67.150000000000006</v>
      </c>
      <c r="Q107" s="54">
        <v>49.16</v>
      </c>
      <c r="R107" s="54">
        <v>60.88</v>
      </c>
      <c r="S107" s="56">
        <f t="shared" si="5"/>
        <v>131.79749999999999</v>
      </c>
      <c r="U107" s="54">
        <v>364.8</v>
      </c>
      <c r="V107" s="54">
        <v>75.290000000000006</v>
      </c>
      <c r="W107" s="54">
        <v>64.95</v>
      </c>
      <c r="X107" s="54">
        <v>72.260000000000005</v>
      </c>
      <c r="Y107" s="56">
        <f t="shared" si="4"/>
        <v>144.32500000000002</v>
      </c>
      <c r="AA107" s="10">
        <v>31</v>
      </c>
      <c r="AC107" s="2" t="str">
        <f t="shared" si="6"/>
        <v>None</v>
      </c>
    </row>
    <row r="108" spans="2:29" ht="18" customHeight="1" x14ac:dyDescent="0.2">
      <c r="B108" s="8">
        <f>garage!B108</f>
        <v>108</v>
      </c>
      <c r="C108" s="8">
        <f>garage!C108</f>
        <v>3</v>
      </c>
      <c r="D108" s="8">
        <f>garage!D108</f>
        <v>32</v>
      </c>
      <c r="E108" s="8">
        <f>garage!E108</f>
        <v>23</v>
      </c>
      <c r="F108" s="8" t="str">
        <f>garage!F108</f>
        <v>AM</v>
      </c>
      <c r="G108" s="8" t="str">
        <f>garage!G108</f>
        <v>O</v>
      </c>
      <c r="H108" s="8" t="str">
        <f>garage!H108</f>
        <v>N</v>
      </c>
      <c r="I108" s="8" t="str">
        <f>garage!I108</f>
        <v>N</v>
      </c>
      <c r="J108" s="8" t="str">
        <f>garage!J148</f>
        <v>N</v>
      </c>
      <c r="K108" s="8" t="str">
        <f>garage!K108</f>
        <v>B</v>
      </c>
      <c r="L108" s="9" t="str">
        <f>garage!L108</f>
        <v>Aston Martin</v>
      </c>
      <c r="M108" s="9" t="str">
        <f>garage!M108</f>
        <v>One77</v>
      </c>
      <c r="O108" s="53">
        <v>345</v>
      </c>
      <c r="P108" s="53">
        <v>71.2</v>
      </c>
      <c r="Q108" s="53">
        <v>53.42</v>
      </c>
      <c r="R108" s="53">
        <v>38.770000000000003</v>
      </c>
      <c r="S108" s="55">
        <f t="shared" si="5"/>
        <v>127.0975</v>
      </c>
      <c r="U108" s="53">
        <v>363.5</v>
      </c>
      <c r="V108" s="53">
        <v>79.34</v>
      </c>
      <c r="W108" s="53">
        <v>68.7</v>
      </c>
      <c r="X108" s="53">
        <v>56.61</v>
      </c>
      <c r="Y108" s="55">
        <f t="shared" si="4"/>
        <v>142.03749999999999</v>
      </c>
      <c r="AA108" s="8">
        <v>32</v>
      </c>
      <c r="AC108" s="2" t="str">
        <f t="shared" si="6"/>
        <v>None</v>
      </c>
    </row>
    <row r="109" spans="2:29" ht="18" customHeight="1" x14ac:dyDescent="0.2">
      <c r="B109" s="10">
        <f>garage!B109</f>
        <v>109</v>
      </c>
      <c r="C109" s="10">
        <f>garage!C109</f>
        <v>3</v>
      </c>
      <c r="D109" s="10">
        <f>garage!D109</f>
        <v>33</v>
      </c>
      <c r="E109" s="10">
        <f>garage!E109</f>
        <v>0</v>
      </c>
      <c r="F109" s="10" t="str">
        <f>garage!F109</f>
        <v>--</v>
      </c>
      <c r="G109" s="10" t="str">
        <f>garage!G109</f>
        <v>O</v>
      </c>
      <c r="H109" s="10" t="str">
        <f>garage!H109</f>
        <v>O</v>
      </c>
      <c r="I109" s="10" t="str">
        <f>garage!I109</f>
        <v>O</v>
      </c>
      <c r="J109" s="10" t="str">
        <f>garage!J149</f>
        <v>N</v>
      </c>
      <c r="K109" s="10" t="str">
        <f>garage!K109</f>
        <v>B</v>
      </c>
      <c r="L109" s="11" t="str">
        <f>garage!L109</f>
        <v>Apollo</v>
      </c>
      <c r="M109" s="11" t="str">
        <f>garage!M109</f>
        <v>N</v>
      </c>
      <c r="O109" s="54">
        <v>360</v>
      </c>
      <c r="P109" s="54">
        <v>73</v>
      </c>
      <c r="Q109" s="54">
        <v>42.36</v>
      </c>
      <c r="R109" s="54">
        <v>47.57</v>
      </c>
      <c r="S109" s="56">
        <f t="shared" si="5"/>
        <v>130.73250000000002</v>
      </c>
      <c r="U109" s="54">
        <v>374.1</v>
      </c>
      <c r="V109" s="54">
        <v>80.319999999999993</v>
      </c>
      <c r="W109" s="54">
        <v>58.13</v>
      </c>
      <c r="X109" s="54">
        <v>60.57</v>
      </c>
      <c r="Y109" s="56">
        <f t="shared" si="4"/>
        <v>143.28000000000003</v>
      </c>
      <c r="AA109" s="10">
        <v>33</v>
      </c>
      <c r="AC109" s="2" t="str">
        <f t="shared" si="6"/>
        <v>None</v>
      </c>
    </row>
    <row r="110" spans="2:29" ht="18" customHeight="1" x14ac:dyDescent="0.2">
      <c r="B110" s="8">
        <f>garage!B110</f>
        <v>110</v>
      </c>
      <c r="C110" s="8">
        <f>garage!C110</f>
        <v>3</v>
      </c>
      <c r="D110" s="8">
        <f>garage!D110</f>
        <v>34</v>
      </c>
      <c r="E110" s="8">
        <f>garage!E110</f>
        <v>0</v>
      </c>
      <c r="F110" s="8" t="str">
        <f>garage!F110</f>
        <v>--</v>
      </c>
      <c r="G110" s="8" t="str">
        <f>garage!G110</f>
        <v>O</v>
      </c>
      <c r="H110" s="8" t="str">
        <f>garage!H110</f>
        <v>O</v>
      </c>
      <c r="I110" s="8" t="str">
        <f>garage!I110</f>
        <v>N</v>
      </c>
      <c r="J110" s="8" t="str">
        <f>garage!J150</f>
        <v>N</v>
      </c>
      <c r="K110" s="8" t="str">
        <f>garage!K110</f>
        <v>B</v>
      </c>
      <c r="L110" s="9" t="str">
        <f>garage!L110</f>
        <v>Mercedes-Benz</v>
      </c>
      <c r="M110" s="9" t="str">
        <f>garage!M110</f>
        <v>SLR McLaren</v>
      </c>
      <c r="O110" s="53">
        <v>334</v>
      </c>
      <c r="P110" s="53">
        <v>67.599999999999994</v>
      </c>
      <c r="Q110" s="53">
        <v>43.84</v>
      </c>
      <c r="R110" s="53">
        <v>54.93</v>
      </c>
      <c r="S110" s="55">
        <f t="shared" si="5"/>
        <v>125.09250000000002</v>
      </c>
      <c r="U110" s="53">
        <v>353.3</v>
      </c>
      <c r="V110" s="53">
        <v>78.180000000000007</v>
      </c>
      <c r="W110" s="53">
        <v>66.599999999999994</v>
      </c>
      <c r="X110" s="53">
        <v>79.540000000000006</v>
      </c>
      <c r="Y110" s="55">
        <f t="shared" si="4"/>
        <v>144.405</v>
      </c>
      <c r="AA110" s="8">
        <v>34</v>
      </c>
      <c r="AC110" s="2" t="str">
        <f t="shared" si="6"/>
        <v>None</v>
      </c>
    </row>
    <row r="111" spans="2:29" ht="18" customHeight="1" x14ac:dyDescent="0.2">
      <c r="B111" s="10">
        <f>garage!B111</f>
        <v>111</v>
      </c>
      <c r="C111" s="10">
        <f>garage!C111</f>
        <v>3</v>
      </c>
      <c r="D111" s="10">
        <f>garage!D111</f>
        <v>35</v>
      </c>
      <c r="E111" s="10">
        <f>garage!E111</f>
        <v>8</v>
      </c>
      <c r="F111" s="10" t="str">
        <f>garage!F111</f>
        <v>AM</v>
      </c>
      <c r="G111" s="10" t="str">
        <f>garage!G111</f>
        <v>O</v>
      </c>
      <c r="H111" s="10" t="str">
        <f>garage!H111</f>
        <v>O</v>
      </c>
      <c r="I111" s="10" t="str">
        <f>garage!I111</f>
        <v>O</v>
      </c>
      <c r="J111" s="10" t="str">
        <f>garage!J151</f>
        <v>N</v>
      </c>
      <c r="K111" s="10" t="str">
        <f>garage!K111</f>
        <v>B</v>
      </c>
      <c r="L111" s="11" t="str">
        <f>garage!L111</f>
        <v>Aston Martin</v>
      </c>
      <c r="M111" s="11" t="str">
        <f>garage!M111</f>
        <v>DBS Superleggera</v>
      </c>
      <c r="O111" s="54">
        <v>339</v>
      </c>
      <c r="P111" s="54">
        <v>69.400000000000006</v>
      </c>
      <c r="Q111" s="54">
        <v>48.04</v>
      </c>
      <c r="R111" s="54">
        <v>51.53</v>
      </c>
      <c r="S111" s="56">
        <f t="shared" si="5"/>
        <v>126.99250000000001</v>
      </c>
      <c r="U111" s="54">
        <v>355.4</v>
      </c>
      <c r="V111" s="54">
        <v>79.16</v>
      </c>
      <c r="W111" s="54">
        <v>70.739999999999995</v>
      </c>
      <c r="X111" s="54">
        <v>73.88</v>
      </c>
      <c r="Y111" s="56">
        <f t="shared" si="4"/>
        <v>144.79499999999999</v>
      </c>
      <c r="AA111" s="10">
        <v>35</v>
      </c>
      <c r="AC111" s="2" t="str">
        <f t="shared" si="6"/>
        <v>None</v>
      </c>
    </row>
    <row r="112" spans="2:29" ht="18" customHeight="1" x14ac:dyDescent="0.2">
      <c r="B112" s="8">
        <f>garage!B112</f>
        <v>112</v>
      </c>
      <c r="C112" s="8">
        <f>garage!C112</f>
        <v>3</v>
      </c>
      <c r="D112" s="8">
        <f>garage!D112</f>
        <v>36</v>
      </c>
      <c r="E112" s="8">
        <f>garage!E112</f>
        <v>18</v>
      </c>
      <c r="F112" s="8" t="str">
        <f>garage!F112</f>
        <v>L</v>
      </c>
      <c r="G112" s="8" t="str">
        <f>garage!G112</f>
        <v>O</v>
      </c>
      <c r="H112" s="8" t="str">
        <f>garage!H112</f>
        <v>N</v>
      </c>
      <c r="I112" s="8" t="str">
        <f>garage!I112</f>
        <v>N</v>
      </c>
      <c r="J112" s="8" t="str">
        <f>garage!J152</f>
        <v>N</v>
      </c>
      <c r="K112" s="8" t="str">
        <f>garage!K112</f>
        <v>B</v>
      </c>
      <c r="L112" s="9" t="str">
        <f>garage!L112</f>
        <v>Lamborghini</v>
      </c>
      <c r="M112" s="9" t="str">
        <f>garage!M112</f>
        <v>Essenza SCV12</v>
      </c>
      <c r="O112" s="53">
        <v>318</v>
      </c>
      <c r="P112" s="53">
        <v>76.150000000000006</v>
      </c>
      <c r="Q112" s="53">
        <v>49.51</v>
      </c>
      <c r="R112" s="53">
        <v>47.37</v>
      </c>
      <c r="S112" s="55">
        <f t="shared" si="5"/>
        <v>122.75749999999999</v>
      </c>
      <c r="U112" s="53">
        <v>340.8</v>
      </c>
      <c r="V112" s="53">
        <v>85.1</v>
      </c>
      <c r="W112" s="53">
        <v>75.84</v>
      </c>
      <c r="X112" s="53">
        <v>74.27</v>
      </c>
      <c r="Y112" s="55">
        <f t="shared" si="4"/>
        <v>144.0025</v>
      </c>
      <c r="AA112" s="8">
        <v>36</v>
      </c>
      <c r="AC112" s="2" t="str">
        <f t="shared" si="6"/>
        <v>None</v>
      </c>
    </row>
    <row r="113" spans="2:29" ht="18" customHeight="1" x14ac:dyDescent="0.2">
      <c r="B113" s="10">
        <f>garage!B113</f>
        <v>113</v>
      </c>
      <c r="C113" s="10">
        <f>garage!C113</f>
        <v>3</v>
      </c>
      <c r="D113" s="10">
        <f>garage!D113</f>
        <v>37</v>
      </c>
      <c r="E113" s="10">
        <f>garage!E113</f>
        <v>29</v>
      </c>
      <c r="F113" s="10" t="str">
        <f>garage!F113</f>
        <v>M</v>
      </c>
      <c r="G113" s="10" t="str">
        <f>garage!G113</f>
        <v>N</v>
      </c>
      <c r="H113" s="10" t="str">
        <f>garage!H113</f>
        <v>N</v>
      </c>
      <c r="I113" s="10" t="str">
        <f>garage!I113</f>
        <v>N</v>
      </c>
      <c r="J113" s="10" t="str">
        <f>garage!J153</f>
        <v>N</v>
      </c>
      <c r="K113" s="10" t="str">
        <f>garage!K113</f>
        <v>B</v>
      </c>
      <c r="L113" s="11" t="str">
        <f>garage!L113</f>
        <v>McLaren</v>
      </c>
      <c r="M113" s="11" t="str">
        <f>garage!M113</f>
        <v>600LT Spider</v>
      </c>
      <c r="O113" s="54">
        <v>324</v>
      </c>
      <c r="P113" s="54">
        <v>73.900000000000006</v>
      </c>
      <c r="Q113" s="54">
        <v>49.41</v>
      </c>
      <c r="R113" s="54">
        <v>42.18</v>
      </c>
      <c r="S113" s="56">
        <f t="shared" si="5"/>
        <v>122.37249999999999</v>
      </c>
      <c r="U113" s="54">
        <v>340.5</v>
      </c>
      <c r="V113" s="54">
        <v>86.11</v>
      </c>
      <c r="W113" s="54">
        <v>83.17</v>
      </c>
      <c r="X113" s="54">
        <v>74.540000000000006</v>
      </c>
      <c r="Y113" s="56">
        <f t="shared" si="4"/>
        <v>146.08000000000001</v>
      </c>
      <c r="AA113" s="10">
        <v>37</v>
      </c>
      <c r="AC113" s="2" t="str">
        <f t="shared" si="6"/>
        <v>Done</v>
      </c>
    </row>
    <row r="114" spans="2:29" ht="18" customHeight="1" x14ac:dyDescent="0.2">
      <c r="B114" s="10">
        <f>garage!B114</f>
        <v>114</v>
      </c>
      <c r="C114" s="10">
        <f>garage!C114</f>
        <v>3</v>
      </c>
      <c r="D114" s="10">
        <f>garage!D114</f>
        <v>38</v>
      </c>
      <c r="E114" s="10">
        <f>garage!E114</f>
        <v>32</v>
      </c>
      <c r="F114" s="10" t="str">
        <f>garage!F114</f>
        <v>--</v>
      </c>
      <c r="G114" s="10" t="str">
        <f>garage!G114</f>
        <v>N</v>
      </c>
      <c r="H114" s="10" t="str">
        <f>garage!H114</f>
        <v>N</v>
      </c>
      <c r="I114" s="10" t="str">
        <f>garage!I114</f>
        <v>N</v>
      </c>
      <c r="J114" s="10" t="str">
        <f>garage!J154</f>
        <v>N</v>
      </c>
      <c r="K114" s="10" t="str">
        <f>garage!K114</f>
        <v>B</v>
      </c>
      <c r="L114" s="11" t="str">
        <f>garage!L114</f>
        <v>McLaren</v>
      </c>
      <c r="M114" s="11" t="str">
        <f>garage!M114</f>
        <v>Solus GT</v>
      </c>
      <c r="O114" s="54">
        <v>322</v>
      </c>
      <c r="P114" s="54">
        <v>77.5</v>
      </c>
      <c r="Q114" s="54">
        <v>51.36</v>
      </c>
      <c r="R114" s="54">
        <v>37.19</v>
      </c>
      <c r="S114" s="56">
        <f t="shared" si="5"/>
        <v>122.0125</v>
      </c>
      <c r="U114" s="54">
        <v>335.4</v>
      </c>
      <c r="V114" s="54">
        <v>89.3</v>
      </c>
      <c r="W114" s="54">
        <v>83.12</v>
      </c>
      <c r="X114" s="54">
        <v>76.83</v>
      </c>
      <c r="Y114" s="56">
        <f t="shared" si="4"/>
        <v>146.16249999999999</v>
      </c>
      <c r="AA114" s="10"/>
      <c r="AC114" s="2" t="str">
        <f t="shared" si="6"/>
        <v>Done</v>
      </c>
    </row>
    <row r="115" spans="2:29" ht="18" customHeight="1" x14ac:dyDescent="0.2">
      <c r="B115" s="8">
        <f>garage!B115</f>
        <v>115</v>
      </c>
      <c r="C115" s="8">
        <f>garage!C115</f>
        <v>3</v>
      </c>
      <c r="D115" s="8">
        <f>garage!D115</f>
        <v>39</v>
      </c>
      <c r="E115" s="8">
        <f>garage!E115</f>
        <v>24</v>
      </c>
      <c r="F115" s="8" t="str">
        <f>garage!F115</f>
        <v>--</v>
      </c>
      <c r="G115" s="8" t="str">
        <f>garage!G115</f>
        <v>O</v>
      </c>
      <c r="H115" s="8" t="str">
        <f>garage!H115</f>
        <v>N</v>
      </c>
      <c r="I115" s="8" t="str">
        <f>garage!I115</f>
        <v>N</v>
      </c>
      <c r="J115" s="8" t="str">
        <f>garage!J155</f>
        <v>N</v>
      </c>
      <c r="K115" s="8" t="str">
        <f>garage!K115</f>
        <v>B</v>
      </c>
      <c r="L115" s="9" t="str">
        <f>garage!L115</f>
        <v>Puritalia</v>
      </c>
      <c r="M115" s="9" t="str">
        <f>garage!M115</f>
        <v>Berlinetta</v>
      </c>
      <c r="O115" s="53">
        <v>330</v>
      </c>
      <c r="P115" s="53">
        <v>75.7</v>
      </c>
      <c r="Q115" s="53">
        <v>50.79</v>
      </c>
      <c r="R115" s="53">
        <v>34.909999999999997</v>
      </c>
      <c r="S115" s="55">
        <f t="shared" si="5"/>
        <v>122.85</v>
      </c>
      <c r="U115" s="53">
        <v>349.5</v>
      </c>
      <c r="V115" s="53">
        <v>83.43</v>
      </c>
      <c r="W115" s="53">
        <v>82.74</v>
      </c>
      <c r="X115" s="53">
        <v>69.66</v>
      </c>
      <c r="Y115" s="55">
        <f t="shared" si="4"/>
        <v>146.33249999999998</v>
      </c>
      <c r="AA115" s="8">
        <v>38</v>
      </c>
      <c r="AC115" s="2" t="str">
        <f t="shared" si="6"/>
        <v>Done</v>
      </c>
    </row>
    <row r="116" spans="2:29" ht="18" customHeight="1" x14ac:dyDescent="0.2">
      <c r="B116" s="10">
        <f>garage!B116</f>
        <v>116</v>
      </c>
      <c r="C116" s="10">
        <f>garage!C116</f>
        <v>3</v>
      </c>
      <c r="D116" s="10">
        <f>garage!D116</f>
        <v>40</v>
      </c>
      <c r="E116" s="10">
        <f>garage!E116</f>
        <v>0</v>
      </c>
      <c r="F116" s="10" t="str">
        <f>garage!F116</f>
        <v>L</v>
      </c>
      <c r="G116" s="10" t="str">
        <f>garage!G116</f>
        <v>O</v>
      </c>
      <c r="H116" s="10" t="str">
        <f>garage!H116</f>
        <v>O</v>
      </c>
      <c r="I116" s="10" t="str">
        <f>garage!I116</f>
        <v>O</v>
      </c>
      <c r="J116" s="10" t="str">
        <f>garage!J156</f>
        <v>N</v>
      </c>
      <c r="K116" s="10" t="str">
        <f>garage!K116</f>
        <v>B</v>
      </c>
      <c r="L116" s="11" t="str">
        <f>garage!L116</f>
        <v>Lamborghini</v>
      </c>
      <c r="M116" s="11" t="str">
        <f>garage!M116</f>
        <v>Huracán Evo Spyder</v>
      </c>
      <c r="O116" s="54">
        <v>325</v>
      </c>
      <c r="P116" s="54">
        <v>72.099999999999994</v>
      </c>
      <c r="Q116" s="54">
        <v>46.62</v>
      </c>
      <c r="R116" s="54">
        <v>51.94</v>
      </c>
      <c r="S116" s="56">
        <f t="shared" si="5"/>
        <v>123.91500000000001</v>
      </c>
      <c r="U116" s="54">
        <v>344</v>
      </c>
      <c r="V116" s="54">
        <v>84.31</v>
      </c>
      <c r="W116" s="54">
        <v>75.97</v>
      </c>
      <c r="X116" s="54">
        <v>82.43</v>
      </c>
      <c r="Y116" s="56">
        <f t="shared" si="4"/>
        <v>146.67750000000001</v>
      </c>
      <c r="AA116" s="10">
        <v>39</v>
      </c>
      <c r="AC116" s="2" t="str">
        <f t="shared" si="6"/>
        <v>Done</v>
      </c>
    </row>
    <row r="117" spans="2:29" ht="18" customHeight="1" x14ac:dyDescent="0.2">
      <c r="B117" s="8">
        <f>garage!B117</f>
        <v>117</v>
      </c>
      <c r="C117" s="8">
        <f>garage!C117</f>
        <v>3</v>
      </c>
      <c r="D117" s="8">
        <f>garage!D117</f>
        <v>41</v>
      </c>
      <c r="E117" s="8">
        <f>garage!E117</f>
        <v>11</v>
      </c>
      <c r="F117" s="8" t="str">
        <f>garage!F117</f>
        <v>P</v>
      </c>
      <c r="G117" s="8" t="str">
        <f>garage!G117</f>
        <v>O</v>
      </c>
      <c r="H117" s="8" t="str">
        <f>garage!H117</f>
        <v>N</v>
      </c>
      <c r="I117" s="8" t="str">
        <f>garage!I117</f>
        <v>N</v>
      </c>
      <c r="J117" s="8" t="str">
        <f>garage!J157</f>
        <v>N</v>
      </c>
      <c r="K117" s="8" t="str">
        <f>garage!K117</f>
        <v>B</v>
      </c>
      <c r="L117" s="9" t="str">
        <f>garage!L117</f>
        <v>Porsche</v>
      </c>
      <c r="M117" s="9" t="str">
        <f>garage!M117</f>
        <v>Carrera GT</v>
      </c>
      <c r="O117" s="53">
        <v>330</v>
      </c>
      <c r="P117" s="53">
        <v>68.5</v>
      </c>
      <c r="Q117" s="53">
        <v>61.79</v>
      </c>
      <c r="R117" s="53">
        <v>60.32</v>
      </c>
      <c r="S117" s="55">
        <f t="shared" si="5"/>
        <v>130.1525</v>
      </c>
      <c r="U117" s="53">
        <v>347.8</v>
      </c>
      <c r="V117" s="53">
        <v>78.67</v>
      </c>
      <c r="W117" s="53">
        <v>84.88</v>
      </c>
      <c r="X117" s="53">
        <v>82.91</v>
      </c>
      <c r="Y117" s="55">
        <f t="shared" si="4"/>
        <v>148.565</v>
      </c>
      <c r="AA117" s="8">
        <v>40</v>
      </c>
      <c r="AC117" s="2" t="str">
        <f t="shared" si="6"/>
        <v>Done</v>
      </c>
    </row>
    <row r="118" spans="2:29" ht="18" customHeight="1" x14ac:dyDescent="0.2">
      <c r="B118" s="10">
        <f>garage!B118</f>
        <v>118</v>
      </c>
      <c r="C118" s="10">
        <f>garage!C118</f>
        <v>3</v>
      </c>
      <c r="D118" s="10">
        <f>garage!D118</f>
        <v>42</v>
      </c>
      <c r="E118" s="10">
        <f>garage!E118</f>
        <v>22</v>
      </c>
      <c r="F118" s="10" t="str">
        <f>garage!F118</f>
        <v>--</v>
      </c>
      <c r="G118" s="10" t="str">
        <f>garage!G118</f>
        <v>O</v>
      </c>
      <c r="H118" s="10" t="str">
        <f>garage!H118</f>
        <v>N</v>
      </c>
      <c r="I118" s="10" t="str">
        <f>garage!I118</f>
        <v>N</v>
      </c>
      <c r="J118" s="10" t="str">
        <f>garage!J158</f>
        <v>N</v>
      </c>
      <c r="K118" s="10" t="str">
        <f>garage!K118</f>
        <v>B</v>
      </c>
      <c r="L118" s="11" t="str">
        <f>garage!L118</f>
        <v>Nissan</v>
      </c>
      <c r="M118" s="11" t="str">
        <f>garage!M118</f>
        <v>GTR-50 Italdesign</v>
      </c>
      <c r="O118" s="54">
        <v>330</v>
      </c>
      <c r="P118" s="54">
        <v>76.599999999999994</v>
      </c>
      <c r="Q118" s="54">
        <v>44.93</v>
      </c>
      <c r="R118" s="54">
        <v>39.799999999999997</v>
      </c>
      <c r="S118" s="56">
        <f t="shared" si="5"/>
        <v>122.83250000000001</v>
      </c>
      <c r="U118" s="54">
        <v>349.5</v>
      </c>
      <c r="V118" s="54">
        <v>86.36</v>
      </c>
      <c r="W118" s="54">
        <v>73.86</v>
      </c>
      <c r="X118" s="54">
        <v>64.59</v>
      </c>
      <c r="Y118" s="56">
        <f t="shared" si="4"/>
        <v>143.57750000000001</v>
      </c>
      <c r="AA118" s="10">
        <v>41</v>
      </c>
      <c r="AC118" s="2" t="str">
        <f t="shared" si="6"/>
        <v>None</v>
      </c>
    </row>
    <row r="119" spans="2:29" ht="18" customHeight="1" x14ac:dyDescent="0.2">
      <c r="B119" s="8">
        <f>garage!B119</f>
        <v>119</v>
      </c>
      <c r="C119" s="8">
        <f>garage!C119</f>
        <v>3</v>
      </c>
      <c r="D119" s="8">
        <f>garage!D119</f>
        <v>43</v>
      </c>
      <c r="E119" s="8">
        <f>garage!E119</f>
        <v>19</v>
      </c>
      <c r="F119" s="8" t="str">
        <f>garage!F119</f>
        <v>--</v>
      </c>
      <c r="G119" s="8" t="str">
        <f>garage!G119</f>
        <v>N</v>
      </c>
      <c r="H119" s="8" t="str">
        <f>garage!H119</f>
        <v>N</v>
      </c>
      <c r="I119" s="8" t="str">
        <f>garage!I119</f>
        <v>N</v>
      </c>
      <c r="J119" s="8" t="str">
        <f>garage!J159</f>
        <v>N</v>
      </c>
      <c r="K119" s="8" t="str">
        <f>garage!K119</f>
        <v>B</v>
      </c>
      <c r="L119" s="9" t="str">
        <f>garage!L119</f>
        <v>Zenvo</v>
      </c>
      <c r="M119" s="9" t="str">
        <f>garage!M119</f>
        <v>TSR-S</v>
      </c>
      <c r="O119" s="53">
        <v>325</v>
      </c>
      <c r="P119" s="53">
        <v>74.8</v>
      </c>
      <c r="Q119" s="53">
        <v>50.25</v>
      </c>
      <c r="R119" s="53">
        <v>40.340000000000003</v>
      </c>
      <c r="S119" s="55">
        <f t="shared" si="5"/>
        <v>122.5975</v>
      </c>
      <c r="U119" s="53">
        <v>342.4</v>
      </c>
      <c r="V119" s="53">
        <v>85.38</v>
      </c>
      <c r="W119" s="53">
        <v>82.88</v>
      </c>
      <c r="X119" s="53">
        <v>67.36</v>
      </c>
      <c r="Y119" s="55">
        <f t="shared" si="4"/>
        <v>144.505</v>
      </c>
      <c r="AA119" s="8">
        <v>42</v>
      </c>
      <c r="AC119" s="2" t="str">
        <f t="shared" si="6"/>
        <v>None</v>
      </c>
    </row>
    <row r="120" spans="2:29" ht="18" customHeight="1" x14ac:dyDescent="0.2">
      <c r="B120" s="10">
        <f>garage!B120</f>
        <v>120</v>
      </c>
      <c r="C120" s="10">
        <f>garage!C120</f>
        <v>3</v>
      </c>
      <c r="D120" s="10">
        <f>garage!D120</f>
        <v>44</v>
      </c>
      <c r="E120" s="10">
        <f>garage!E120</f>
        <v>25</v>
      </c>
      <c r="F120" s="10" t="str">
        <f>garage!F120</f>
        <v>L</v>
      </c>
      <c r="G120" s="10" t="str">
        <f>garage!G120</f>
        <v>N</v>
      </c>
      <c r="H120" s="10" t="str">
        <f>garage!H120</f>
        <v>N</v>
      </c>
      <c r="I120" s="10" t="str">
        <f>garage!I120</f>
        <v>N</v>
      </c>
      <c r="J120" s="10" t="str">
        <f>garage!J160</f>
        <v>N</v>
      </c>
      <c r="K120" s="10" t="str">
        <f>garage!K120</f>
        <v>B</v>
      </c>
      <c r="L120" s="11" t="str">
        <f>garage!L120</f>
        <v>Lamborghini</v>
      </c>
      <c r="M120" s="11" t="str">
        <f>garage!M120</f>
        <v>Sesto Elemento</v>
      </c>
      <c r="O120" s="54">
        <v>325</v>
      </c>
      <c r="P120" s="54">
        <v>77.5</v>
      </c>
      <c r="Q120" s="54">
        <v>40.46</v>
      </c>
      <c r="R120" s="54">
        <v>44.2</v>
      </c>
      <c r="S120" s="56">
        <f t="shared" si="5"/>
        <v>121.78999999999999</v>
      </c>
      <c r="U120" s="54">
        <v>346.5</v>
      </c>
      <c r="V120" s="54">
        <v>87.26</v>
      </c>
      <c r="W120" s="54">
        <v>70.27</v>
      </c>
      <c r="X120" s="54">
        <v>74.760000000000005</v>
      </c>
      <c r="Y120" s="56">
        <f t="shared" si="4"/>
        <v>144.69749999999999</v>
      </c>
      <c r="AA120" s="10">
        <v>43</v>
      </c>
      <c r="AC120" s="2" t="str">
        <f t="shared" si="6"/>
        <v>None</v>
      </c>
    </row>
    <row r="121" spans="2:29" ht="18" customHeight="1" x14ac:dyDescent="0.2">
      <c r="B121" s="8">
        <f>garage!B121</f>
        <v>121</v>
      </c>
      <c r="C121" s="8">
        <f>garage!C121</f>
        <v>3</v>
      </c>
      <c r="D121" s="8">
        <f>garage!D121</f>
        <v>45</v>
      </c>
      <c r="E121" s="8">
        <f>garage!E121</f>
        <v>7</v>
      </c>
      <c r="F121" s="8" t="str">
        <f>garage!F121</f>
        <v>P</v>
      </c>
      <c r="G121" s="8" t="str">
        <f>garage!G121</f>
        <v>O</v>
      </c>
      <c r="H121" s="8" t="str">
        <f>garage!H121</f>
        <v>N</v>
      </c>
      <c r="I121" s="8" t="str">
        <f>garage!I121</f>
        <v>N</v>
      </c>
      <c r="J121" s="8" t="str">
        <f>garage!J161</f>
        <v>N</v>
      </c>
      <c r="K121" s="8" t="str">
        <f>garage!K121</f>
        <v>B</v>
      </c>
      <c r="L121" s="9" t="str">
        <f>garage!L121</f>
        <v>Porsche</v>
      </c>
      <c r="M121" s="9" t="str">
        <f>garage!M121</f>
        <v>911 GT3 RS</v>
      </c>
      <c r="O121" s="53">
        <v>312</v>
      </c>
      <c r="P121" s="53">
        <v>71.2</v>
      </c>
      <c r="Q121" s="53">
        <v>52.35</v>
      </c>
      <c r="R121" s="53">
        <v>52.35</v>
      </c>
      <c r="S121" s="55">
        <f t="shared" si="5"/>
        <v>121.97500000000001</v>
      </c>
      <c r="U121" s="53">
        <v>339.4</v>
      </c>
      <c r="V121" s="53">
        <v>85.84</v>
      </c>
      <c r="W121" s="53">
        <v>92.97</v>
      </c>
      <c r="X121" s="53">
        <v>86.39</v>
      </c>
      <c r="Y121" s="55">
        <f t="shared" si="4"/>
        <v>151.15</v>
      </c>
      <c r="AA121" s="8">
        <v>44</v>
      </c>
      <c r="AC121" s="2" t="str">
        <f t="shared" si="6"/>
        <v>Done</v>
      </c>
    </row>
    <row r="122" spans="2:29" ht="18" customHeight="1" x14ac:dyDescent="0.2">
      <c r="B122" s="10">
        <f>garage!B122</f>
        <v>122</v>
      </c>
      <c r="C122" s="10">
        <f>garage!C122</f>
        <v>3</v>
      </c>
      <c r="D122" s="10">
        <f>garage!D122</f>
        <v>46</v>
      </c>
      <c r="E122" s="10">
        <f>garage!E122</f>
        <v>15</v>
      </c>
      <c r="F122" s="10" t="str">
        <f>garage!F122</f>
        <v>F</v>
      </c>
      <c r="G122" s="10" t="str">
        <f>garage!G122</f>
        <v>N</v>
      </c>
      <c r="H122" s="10" t="str">
        <f>garage!H122</f>
        <v>N</v>
      </c>
      <c r="I122" s="10" t="str">
        <f>garage!I122</f>
        <v>N</v>
      </c>
      <c r="J122" s="10" t="str">
        <f>garage!J162</f>
        <v>N</v>
      </c>
      <c r="K122" s="10" t="str">
        <f>garage!K122</f>
        <v>B</v>
      </c>
      <c r="L122" s="11" t="str">
        <f>garage!L122</f>
        <v>Ferrari</v>
      </c>
      <c r="M122" s="11" t="str">
        <f>garage!M122</f>
        <v>488 GTB Challenge EVO</v>
      </c>
      <c r="O122" s="54">
        <v>330</v>
      </c>
      <c r="P122" s="54">
        <v>73</v>
      </c>
      <c r="Q122" s="54">
        <v>47.13</v>
      </c>
      <c r="R122" s="54">
        <v>50.55</v>
      </c>
      <c r="S122" s="56">
        <f t="shared" si="5"/>
        <v>125.17</v>
      </c>
      <c r="U122" s="54">
        <v>351.2</v>
      </c>
      <c r="V122" s="54">
        <v>82.76</v>
      </c>
      <c r="W122" s="54">
        <v>77.11</v>
      </c>
      <c r="X122" s="54">
        <v>76.98</v>
      </c>
      <c r="Y122" s="56">
        <f t="shared" si="4"/>
        <v>147.01249999999999</v>
      </c>
      <c r="AA122" s="10">
        <v>45</v>
      </c>
      <c r="AC122" s="2" t="str">
        <f t="shared" si="6"/>
        <v>Done</v>
      </c>
    </row>
    <row r="123" spans="2:29" ht="18" customHeight="1" x14ac:dyDescent="0.2">
      <c r="B123" s="8">
        <f>garage!B123</f>
        <v>123</v>
      </c>
      <c r="C123" s="8">
        <f>garage!C123</f>
        <v>3</v>
      </c>
      <c r="D123" s="8">
        <f>garage!D123</f>
        <v>47</v>
      </c>
      <c r="E123" s="8">
        <f>garage!E123</f>
        <v>31</v>
      </c>
      <c r="F123" s="8" t="str">
        <f>garage!F123</f>
        <v>--</v>
      </c>
      <c r="G123" s="8" t="str">
        <f>garage!G123</f>
        <v>N</v>
      </c>
      <c r="H123" s="8" t="str">
        <f>garage!H123</f>
        <v>N</v>
      </c>
      <c r="I123" s="8" t="str">
        <f>garage!I123</f>
        <v>N</v>
      </c>
      <c r="J123" s="8" t="str">
        <f>garage!J163</f>
        <v>N</v>
      </c>
      <c r="K123" s="8" t="str">
        <f>garage!K123</f>
        <v>B</v>
      </c>
      <c r="L123" s="9" t="str">
        <f>garage!L123</f>
        <v>Apollo</v>
      </c>
      <c r="M123" s="9" t="str">
        <f>garage!M123</f>
        <v>EVO</v>
      </c>
      <c r="O123" s="53">
        <v>335</v>
      </c>
      <c r="P123" s="53">
        <v>75.7</v>
      </c>
      <c r="Q123" s="53">
        <v>43.93</v>
      </c>
      <c r="R123" s="53">
        <v>45.17</v>
      </c>
      <c r="S123" s="55">
        <f t="shared" si="5"/>
        <v>124.95</v>
      </c>
      <c r="U123" s="53">
        <v>355</v>
      </c>
      <c r="V123" s="53">
        <v>85.46</v>
      </c>
      <c r="W123" s="53">
        <v>70.34</v>
      </c>
      <c r="X123" s="53">
        <v>65.790000000000006</v>
      </c>
      <c r="Y123" s="55">
        <f t="shared" si="4"/>
        <v>144.14749999999998</v>
      </c>
      <c r="AA123" s="8">
        <v>46</v>
      </c>
      <c r="AC123" s="2" t="str">
        <f t="shared" si="6"/>
        <v>None</v>
      </c>
    </row>
    <row r="124" spans="2:29" ht="18" customHeight="1" x14ac:dyDescent="0.2">
      <c r="B124" s="10">
        <f>garage!B124</f>
        <v>124</v>
      </c>
      <c r="C124" s="10">
        <f>garage!C124</f>
        <v>3</v>
      </c>
      <c r="D124" s="10">
        <f>garage!D124</f>
        <v>48</v>
      </c>
      <c r="E124" s="10">
        <f>garage!E124</f>
        <v>10</v>
      </c>
      <c r="F124" s="10" t="str">
        <f>garage!F124</f>
        <v>--</v>
      </c>
      <c r="G124" s="10" t="str">
        <f>garage!G124</f>
        <v>O</v>
      </c>
      <c r="H124" s="10" t="str">
        <f>garage!H124</f>
        <v>N</v>
      </c>
      <c r="I124" s="10" t="str">
        <f>garage!I124</f>
        <v>N</v>
      </c>
      <c r="J124" s="10" t="str">
        <f>garage!J164</f>
        <v>N</v>
      </c>
      <c r="K124" s="10" t="str">
        <f>garage!K124</f>
        <v>B</v>
      </c>
      <c r="L124" s="11" t="str">
        <f>garage!L124</f>
        <v>Lotus</v>
      </c>
      <c r="M124" s="11" t="str">
        <f>garage!M124</f>
        <v>Evija</v>
      </c>
      <c r="O124" s="54">
        <v>350</v>
      </c>
      <c r="P124" s="54">
        <v>73</v>
      </c>
      <c r="Q124" s="54">
        <v>45.33</v>
      </c>
      <c r="R124" s="54">
        <v>42.53</v>
      </c>
      <c r="S124" s="56">
        <f t="shared" si="5"/>
        <v>127.715</v>
      </c>
      <c r="U124" s="54">
        <v>368.1</v>
      </c>
      <c r="V124" s="54">
        <v>81.14</v>
      </c>
      <c r="W124" s="54">
        <v>65.02</v>
      </c>
      <c r="X124" s="54">
        <v>63.31</v>
      </c>
      <c r="Y124" s="56">
        <f t="shared" si="4"/>
        <v>144.39249999999998</v>
      </c>
      <c r="AA124" s="10">
        <v>47</v>
      </c>
      <c r="AC124" s="2" t="str">
        <f t="shared" si="6"/>
        <v>None</v>
      </c>
    </row>
    <row r="125" spans="2:29" ht="18" customHeight="1" x14ac:dyDescent="0.2">
      <c r="B125" s="8">
        <f>garage!B125</f>
        <v>125</v>
      </c>
      <c r="C125" s="8">
        <f>garage!C125</f>
        <v>3</v>
      </c>
      <c r="D125" s="8">
        <f>garage!D125</f>
        <v>49</v>
      </c>
      <c r="E125" s="8">
        <f>garage!E125</f>
        <v>0</v>
      </c>
      <c r="F125" s="8" t="str">
        <f>garage!F125</f>
        <v>M</v>
      </c>
      <c r="G125" s="8" t="str">
        <f>garage!G125</f>
        <v>O</v>
      </c>
      <c r="H125" s="8" t="str">
        <f>garage!H125</f>
        <v>O</v>
      </c>
      <c r="I125" s="8" t="str">
        <f>garage!I125</f>
        <v>N</v>
      </c>
      <c r="J125" s="8" t="str">
        <f>garage!J165</f>
        <v>N</v>
      </c>
      <c r="K125" s="8" t="str">
        <f>garage!K125</f>
        <v>B</v>
      </c>
      <c r="L125" s="9" t="str">
        <f>garage!L125</f>
        <v>McLaren</v>
      </c>
      <c r="M125" s="9" t="str">
        <f>garage!M125</f>
        <v>F1 LM</v>
      </c>
      <c r="O125" s="53">
        <v>362</v>
      </c>
      <c r="P125" s="53">
        <v>64.900000000000006</v>
      </c>
      <c r="Q125" s="53">
        <v>50.37</v>
      </c>
      <c r="R125" s="53">
        <v>51.94</v>
      </c>
      <c r="S125" s="55">
        <f t="shared" si="5"/>
        <v>132.30250000000001</v>
      </c>
      <c r="U125" s="53">
        <v>377.6</v>
      </c>
      <c r="V125" s="53">
        <v>74.66</v>
      </c>
      <c r="W125" s="53">
        <v>66.099999999999994</v>
      </c>
      <c r="X125" s="53">
        <v>73.12</v>
      </c>
      <c r="Y125" s="55">
        <f t="shared" si="4"/>
        <v>147.87</v>
      </c>
      <c r="AA125" s="8">
        <v>48</v>
      </c>
      <c r="AC125" s="2" t="str">
        <f t="shared" si="6"/>
        <v>Done</v>
      </c>
    </row>
    <row r="126" spans="2:29" ht="18" customHeight="1" x14ac:dyDescent="0.2">
      <c r="B126" s="10">
        <f>garage!B126</f>
        <v>126</v>
      </c>
      <c r="C126" s="10">
        <f>garage!C126</f>
        <v>3</v>
      </c>
      <c r="D126" s="10">
        <f>garage!D126</f>
        <v>50</v>
      </c>
      <c r="E126" s="10">
        <f>garage!E126</f>
        <v>19</v>
      </c>
      <c r="F126" s="10" t="str">
        <f>garage!F126</f>
        <v>--</v>
      </c>
      <c r="G126" s="10" t="str">
        <f>garage!G126</f>
        <v>O</v>
      </c>
      <c r="H126" s="10" t="str">
        <f>garage!H126</f>
        <v>O</v>
      </c>
      <c r="I126" s="10" t="str">
        <f>garage!I126</f>
        <v>O</v>
      </c>
      <c r="J126" s="10" t="str">
        <f>garage!J166</f>
        <v>N</v>
      </c>
      <c r="K126" s="10" t="str">
        <f>garage!K126</f>
        <v>B</v>
      </c>
      <c r="L126" s="11" t="str">
        <f>garage!L126</f>
        <v>Volkswagen</v>
      </c>
      <c r="M126" s="11" t="str">
        <f>garage!M126</f>
        <v>W12 Coupe</v>
      </c>
      <c r="O126" s="54">
        <v>357</v>
      </c>
      <c r="P126" s="54">
        <v>68.5</v>
      </c>
      <c r="Q126" s="54">
        <v>57.23</v>
      </c>
      <c r="R126" s="54">
        <v>30.21</v>
      </c>
      <c r="S126" s="56">
        <f t="shared" si="5"/>
        <v>128.23500000000001</v>
      </c>
      <c r="U126" s="54">
        <v>370.5</v>
      </c>
      <c r="V126" s="54">
        <v>79.08</v>
      </c>
      <c r="W126" s="54">
        <v>84.44</v>
      </c>
      <c r="X126" s="54">
        <v>54.64</v>
      </c>
      <c r="Y126" s="56">
        <f t="shared" si="4"/>
        <v>147.16499999999999</v>
      </c>
      <c r="AA126" s="10">
        <v>49</v>
      </c>
      <c r="AC126" s="2" t="str">
        <f t="shared" si="6"/>
        <v>Done</v>
      </c>
    </row>
    <row r="127" spans="2:29" ht="18" customHeight="1" x14ac:dyDescent="0.2">
      <c r="B127" s="8">
        <f>garage!B127</f>
        <v>127</v>
      </c>
      <c r="C127" s="8">
        <f>garage!C127</f>
        <v>3</v>
      </c>
      <c r="D127" s="8">
        <f>garage!D127</f>
        <v>51</v>
      </c>
      <c r="E127" s="8">
        <f>garage!E127</f>
        <v>26</v>
      </c>
      <c r="F127" s="8" t="str">
        <f>garage!F127</f>
        <v>--</v>
      </c>
      <c r="G127" s="8" t="str">
        <f>garage!G127</f>
        <v>N</v>
      </c>
      <c r="H127" s="8" t="str">
        <f>garage!H127</f>
        <v>N</v>
      </c>
      <c r="I127" s="8" t="str">
        <f>garage!I127</f>
        <v>N</v>
      </c>
      <c r="J127" s="8" t="str">
        <f>garage!J167</f>
        <v>N</v>
      </c>
      <c r="K127" s="8" t="str">
        <f>garage!K127</f>
        <v>B</v>
      </c>
      <c r="L127" s="9" t="str">
        <f>garage!L127</f>
        <v>Pagani</v>
      </c>
      <c r="M127" s="9" t="str">
        <f>garage!M127</f>
        <v>Huayra R</v>
      </c>
      <c r="O127" s="53">
        <v>360</v>
      </c>
      <c r="P127" s="53">
        <v>73</v>
      </c>
      <c r="Q127" s="53">
        <v>42.36</v>
      </c>
      <c r="R127" s="53">
        <v>43.41</v>
      </c>
      <c r="S127" s="55">
        <f t="shared" si="5"/>
        <v>129.6925</v>
      </c>
      <c r="U127" s="53">
        <v>376.6</v>
      </c>
      <c r="V127" s="53">
        <v>83.17</v>
      </c>
      <c r="W127" s="53">
        <v>58.41</v>
      </c>
      <c r="X127" s="53">
        <v>64.38</v>
      </c>
      <c r="Y127" s="55">
        <f t="shared" si="4"/>
        <v>145.64000000000001</v>
      </c>
      <c r="AA127" s="8">
        <v>50</v>
      </c>
      <c r="AC127" s="2" t="str">
        <f t="shared" si="6"/>
        <v>None</v>
      </c>
    </row>
    <row r="128" spans="2:29" ht="18" customHeight="1" x14ac:dyDescent="0.2">
      <c r="B128" s="10">
        <f>garage!B128</f>
        <v>128</v>
      </c>
      <c r="C128" s="10">
        <f>garage!C128</f>
        <v>3</v>
      </c>
      <c r="D128" s="10">
        <f>garage!D128</f>
        <v>52</v>
      </c>
      <c r="E128" s="10">
        <f>garage!E128</f>
        <v>30</v>
      </c>
      <c r="F128" s="10" t="str">
        <f>garage!F128</f>
        <v>L</v>
      </c>
      <c r="G128" s="10" t="str">
        <f>garage!G128</f>
        <v>O</v>
      </c>
      <c r="H128" s="10" t="str">
        <f>garage!H128</f>
        <v>N</v>
      </c>
      <c r="I128" s="10" t="str">
        <f>garage!I128</f>
        <v>N</v>
      </c>
      <c r="J128" s="10" t="str">
        <f>garage!J168</f>
        <v>N</v>
      </c>
      <c r="K128" s="10" t="str">
        <f>garage!K128</f>
        <v>B</v>
      </c>
      <c r="L128" s="11" t="str">
        <f>garage!L128</f>
        <v>Lamborghini</v>
      </c>
      <c r="M128" s="11" t="str">
        <f>garage!M128</f>
        <v>Revuelto</v>
      </c>
      <c r="O128" s="54">
        <v>350</v>
      </c>
      <c r="P128" s="54">
        <v>76.599999999999994</v>
      </c>
      <c r="Q128" s="54">
        <v>46.86</v>
      </c>
      <c r="R128" s="54">
        <v>16.02</v>
      </c>
      <c r="S128" s="56">
        <f t="shared" si="5"/>
        <v>122.37</v>
      </c>
      <c r="U128" s="54">
        <v>361.5</v>
      </c>
      <c r="V128" s="54">
        <v>86.36</v>
      </c>
      <c r="W128" s="54">
        <v>76.33</v>
      </c>
      <c r="X128" s="54">
        <v>54.22</v>
      </c>
      <c r="Y128" s="56">
        <f t="shared" si="4"/>
        <v>144.60250000000002</v>
      </c>
      <c r="AA128" s="10">
        <v>51</v>
      </c>
      <c r="AC128" s="2" t="str">
        <f>IF(Y128&gt;146,"Done","None")</f>
        <v>None</v>
      </c>
    </row>
    <row r="129" spans="2:29" ht="18" customHeight="1" x14ac:dyDescent="0.2">
      <c r="B129" s="8">
        <f>garage!B129</f>
        <v>129</v>
      </c>
      <c r="C129" s="8">
        <f>garage!C129</f>
        <v>4</v>
      </c>
      <c r="D129" s="8">
        <f>garage!D129</f>
        <v>1</v>
      </c>
      <c r="E129" s="8">
        <f>garage!E129</f>
        <v>0</v>
      </c>
      <c r="F129" s="8" t="str">
        <f>garage!F129</f>
        <v>AM</v>
      </c>
      <c r="G129" s="8" t="str">
        <f>garage!G129</f>
        <v>O</v>
      </c>
      <c r="H129" s="8" t="str">
        <f>garage!H129</f>
        <v>O</v>
      </c>
      <c r="I129" s="8" t="str">
        <f>garage!I129</f>
        <v>O</v>
      </c>
      <c r="J129" s="8" t="str">
        <f>garage!J169</f>
        <v>N</v>
      </c>
      <c r="K129" s="8" t="str">
        <f>garage!K129</f>
        <v>A</v>
      </c>
      <c r="L129" s="9" t="str">
        <f>garage!L129</f>
        <v>Aston Martin</v>
      </c>
      <c r="M129" s="9" t="str">
        <f>garage!M129</f>
        <v>Vulcan</v>
      </c>
      <c r="O129" s="53">
        <v>328</v>
      </c>
      <c r="P129" s="53">
        <v>73</v>
      </c>
      <c r="Q129" s="53">
        <v>36.630000000000003</v>
      </c>
      <c r="R129" s="53">
        <v>50.33</v>
      </c>
      <c r="S129" s="55">
        <f t="shared" si="5"/>
        <v>121.99</v>
      </c>
      <c r="U129" s="53">
        <v>343.5</v>
      </c>
      <c r="V129" s="53">
        <v>78.7</v>
      </c>
      <c r="W129" s="53">
        <v>47.8</v>
      </c>
      <c r="X129" s="53">
        <v>64.790000000000006</v>
      </c>
      <c r="Y129" s="55">
        <f t="shared" si="4"/>
        <v>133.69749999999999</v>
      </c>
      <c r="AA129" s="8">
        <v>1</v>
      </c>
      <c r="AC129" s="2" t="str">
        <f t="shared" ref="AC129:AC171" si="7">IF(Y129&gt;150,"Done","None")</f>
        <v>None</v>
      </c>
    </row>
    <row r="130" spans="2:29" ht="18" customHeight="1" x14ac:dyDescent="0.2">
      <c r="B130" s="10">
        <f>garage!B130</f>
        <v>130</v>
      </c>
      <c r="C130" s="10">
        <f>garage!C130</f>
        <v>4</v>
      </c>
      <c r="D130" s="10">
        <f>garage!D130</f>
        <v>2</v>
      </c>
      <c r="E130" s="10">
        <f>garage!E130</f>
        <v>0</v>
      </c>
      <c r="F130" s="10" t="str">
        <f>garage!F130</f>
        <v>--</v>
      </c>
      <c r="G130" s="10" t="str">
        <f>garage!G130</f>
        <v>O</v>
      </c>
      <c r="H130" s="10" t="str">
        <f>garage!H130</f>
        <v>O</v>
      </c>
      <c r="I130" s="10" t="str">
        <f>garage!I130</f>
        <v>O</v>
      </c>
      <c r="J130" s="10" t="str">
        <f>garage!J170</f>
        <v>N</v>
      </c>
      <c r="K130" s="10" t="str">
        <f>garage!K130</f>
        <v>A</v>
      </c>
      <c r="L130" s="11" t="str">
        <f>garage!L130</f>
        <v>Nissan</v>
      </c>
      <c r="M130" s="11" t="str">
        <f>garage!M130</f>
        <v>GT-R Nismo</v>
      </c>
      <c r="O130" s="54">
        <v>315</v>
      </c>
      <c r="P130" s="54">
        <v>77.5</v>
      </c>
      <c r="Q130" s="54">
        <v>48.8</v>
      </c>
      <c r="R130" s="54">
        <v>43.24</v>
      </c>
      <c r="S130" s="56">
        <f t="shared" si="5"/>
        <v>121.13500000000001</v>
      </c>
      <c r="U130" s="54">
        <v>329.7</v>
      </c>
      <c r="V130" s="54">
        <v>84.83</v>
      </c>
      <c r="W130" s="54">
        <v>60.69</v>
      </c>
      <c r="X130" s="54">
        <v>60.6</v>
      </c>
      <c r="Y130" s="56">
        <f t="shared" ref="Y130:Y193" si="8">AVERAGE(U130:X130)</f>
        <v>133.95499999999998</v>
      </c>
      <c r="AA130" s="10">
        <v>2</v>
      </c>
      <c r="AC130" s="2" t="str">
        <f t="shared" si="7"/>
        <v>None</v>
      </c>
    </row>
    <row r="131" spans="2:29" ht="18" customHeight="1" x14ac:dyDescent="0.2">
      <c r="B131" s="8">
        <f>garage!B131</f>
        <v>131</v>
      </c>
      <c r="C131" s="8">
        <f>garage!C131</f>
        <v>4</v>
      </c>
      <c r="D131" s="8">
        <f>garage!D131</f>
        <v>3</v>
      </c>
      <c r="E131" s="8">
        <f>garage!E131</f>
        <v>17</v>
      </c>
      <c r="F131" s="8" t="str">
        <f>garage!F131</f>
        <v>--</v>
      </c>
      <c r="G131" s="8" t="str">
        <f>garage!G131</f>
        <v>O</v>
      </c>
      <c r="H131" s="8" t="str">
        <f>garage!H131</f>
        <v>N</v>
      </c>
      <c r="I131" s="8" t="str">
        <f>garage!I131</f>
        <v>N</v>
      </c>
      <c r="J131" s="8" t="str">
        <f>garage!J171</f>
        <v>N</v>
      </c>
      <c r="K131" s="8" t="str">
        <f>garage!K131</f>
        <v>A</v>
      </c>
      <c r="L131" s="9" t="str">
        <f>garage!L131</f>
        <v>Nio</v>
      </c>
      <c r="M131" s="9" t="str">
        <f>garage!M131</f>
        <v>EP9</v>
      </c>
      <c r="O131" s="53">
        <v>313</v>
      </c>
      <c r="P131" s="53">
        <v>75.7</v>
      </c>
      <c r="Q131" s="53">
        <v>52.47</v>
      </c>
      <c r="R131" s="53">
        <v>49.64</v>
      </c>
      <c r="S131" s="55">
        <f t="shared" si="5"/>
        <v>122.70249999999999</v>
      </c>
      <c r="U131" s="53">
        <v>326.10000000000002</v>
      </c>
      <c r="V131" s="53">
        <v>83.03</v>
      </c>
      <c r="W131" s="53">
        <v>70.489999999999995</v>
      </c>
      <c r="X131" s="53">
        <v>68.680000000000007</v>
      </c>
      <c r="Y131" s="55">
        <f t="shared" si="8"/>
        <v>137.07499999999999</v>
      </c>
      <c r="AA131" s="8">
        <v>3</v>
      </c>
      <c r="AC131" s="2" t="str">
        <f t="shared" si="7"/>
        <v>None</v>
      </c>
    </row>
    <row r="132" spans="2:29" ht="18" customHeight="1" x14ac:dyDescent="0.2">
      <c r="B132" s="10">
        <f>garage!B132</f>
        <v>132</v>
      </c>
      <c r="C132" s="10">
        <f>garage!C132</f>
        <v>4</v>
      </c>
      <c r="D132" s="10">
        <f>garage!D132</f>
        <v>4</v>
      </c>
      <c r="E132" s="10">
        <f>garage!E132</f>
        <v>0</v>
      </c>
      <c r="F132" s="10" t="str">
        <f>garage!F132</f>
        <v>F</v>
      </c>
      <c r="G132" s="10" t="str">
        <f>garage!G132</f>
        <v>O</v>
      </c>
      <c r="H132" s="10" t="str">
        <f>garage!H132</f>
        <v>O</v>
      </c>
      <c r="I132" s="10" t="str">
        <f>garage!I132</f>
        <v>O</v>
      </c>
      <c r="J132" s="10" t="str">
        <f>garage!J172</f>
        <v>N</v>
      </c>
      <c r="K132" s="10" t="str">
        <f>garage!K132</f>
        <v>A</v>
      </c>
      <c r="L132" s="11" t="str">
        <f>garage!L132</f>
        <v>Ferrari</v>
      </c>
      <c r="M132" s="11" t="str">
        <f>garage!M132</f>
        <v>J50</v>
      </c>
      <c r="O132" s="54">
        <v>333</v>
      </c>
      <c r="P132" s="54">
        <v>73.900000000000006</v>
      </c>
      <c r="Q132" s="54">
        <v>42.27</v>
      </c>
      <c r="R132" s="54">
        <v>48.91</v>
      </c>
      <c r="S132" s="56">
        <f t="shared" ref="S132:S195" si="9">AVERAGE(O132:R132)</f>
        <v>124.51999999999998</v>
      </c>
      <c r="U132" s="54">
        <v>350.6</v>
      </c>
      <c r="V132" s="54">
        <v>80.41</v>
      </c>
      <c r="W132" s="54">
        <v>48.37</v>
      </c>
      <c r="X132" s="54">
        <v>64.650000000000006</v>
      </c>
      <c r="Y132" s="56">
        <f t="shared" si="8"/>
        <v>136.00749999999999</v>
      </c>
      <c r="AA132" s="10">
        <v>4</v>
      </c>
      <c r="AC132" s="2" t="str">
        <f t="shared" si="7"/>
        <v>None</v>
      </c>
    </row>
    <row r="133" spans="2:29" ht="18" customHeight="1" x14ac:dyDescent="0.2">
      <c r="B133" s="8">
        <f>garage!B133</f>
        <v>133</v>
      </c>
      <c r="C133" s="8">
        <f>garage!C133</f>
        <v>4</v>
      </c>
      <c r="D133" s="8">
        <f>garage!D133</f>
        <v>5</v>
      </c>
      <c r="E133" s="8">
        <f>garage!E133</f>
        <v>0</v>
      </c>
      <c r="F133" s="8" t="str">
        <f>garage!F133</f>
        <v>--</v>
      </c>
      <c r="G133" s="8" t="str">
        <f>garage!G133</f>
        <v>O</v>
      </c>
      <c r="H133" s="8" t="str">
        <f>garage!H133</f>
        <v>O</v>
      </c>
      <c r="I133" s="8" t="str">
        <f>garage!I133</f>
        <v>O</v>
      </c>
      <c r="J133" s="8" t="str">
        <f>garage!J173</f>
        <v>N</v>
      </c>
      <c r="K133" s="8" t="str">
        <f>garage!K133</f>
        <v>A</v>
      </c>
      <c r="L133" s="9" t="str">
        <f>garage!L133</f>
        <v>Dodge</v>
      </c>
      <c r="M133" s="9" t="str">
        <f>garage!M133</f>
        <v>Viper GTS</v>
      </c>
      <c r="O133" s="53">
        <v>340</v>
      </c>
      <c r="P133" s="53">
        <v>73</v>
      </c>
      <c r="Q133" s="53">
        <v>40.65</v>
      </c>
      <c r="R133" s="53">
        <v>56.62</v>
      </c>
      <c r="S133" s="55">
        <f t="shared" si="9"/>
        <v>127.5675</v>
      </c>
      <c r="U133" s="53">
        <v>353.5</v>
      </c>
      <c r="V133" s="53">
        <v>80.33</v>
      </c>
      <c r="W133" s="53">
        <v>45.29</v>
      </c>
      <c r="X133" s="53">
        <v>67.55</v>
      </c>
      <c r="Y133" s="55">
        <f t="shared" si="8"/>
        <v>136.66749999999999</v>
      </c>
      <c r="AA133" s="8">
        <v>5</v>
      </c>
      <c r="AC133" s="2" t="str">
        <f t="shared" si="7"/>
        <v>None</v>
      </c>
    </row>
    <row r="134" spans="2:29" ht="18" customHeight="1" x14ac:dyDescent="0.2">
      <c r="B134" s="10">
        <f>garage!B134</f>
        <v>134</v>
      </c>
      <c r="C134" s="10">
        <f>garage!C134</f>
        <v>4</v>
      </c>
      <c r="D134" s="10">
        <f>garage!D134</f>
        <v>6</v>
      </c>
      <c r="E134" s="10">
        <f>garage!E134</f>
        <v>26</v>
      </c>
      <c r="F134" s="10" t="str">
        <f>garage!F134</f>
        <v>--</v>
      </c>
      <c r="G134" s="10" t="str">
        <f>garage!G134</f>
        <v>N</v>
      </c>
      <c r="H134" s="10" t="str">
        <f>garage!H134</f>
        <v>N</v>
      </c>
      <c r="I134" s="10" t="str">
        <f>garage!I134</f>
        <v>N</v>
      </c>
      <c r="J134" s="10" t="str">
        <f>garage!J174</f>
        <v>N</v>
      </c>
      <c r="K134" s="10" t="str">
        <f>garage!K134</f>
        <v>A</v>
      </c>
      <c r="L134" s="11" t="str">
        <f>garage!L134</f>
        <v>Bentley</v>
      </c>
      <c r="M134" s="11" t="str">
        <f>garage!M134</f>
        <v>Continental GT Speed</v>
      </c>
      <c r="O134" s="54">
        <v>335</v>
      </c>
      <c r="P134" s="54">
        <v>67.599999999999994</v>
      </c>
      <c r="Q134" s="54">
        <v>58.75</v>
      </c>
      <c r="R134" s="54">
        <v>45.17</v>
      </c>
      <c r="S134" s="56">
        <f t="shared" si="9"/>
        <v>126.63000000000001</v>
      </c>
      <c r="U134" s="54">
        <v>348.3</v>
      </c>
      <c r="V134" s="54">
        <v>76.55</v>
      </c>
      <c r="W134" s="54">
        <v>74.23</v>
      </c>
      <c r="X134" s="54">
        <v>59.35</v>
      </c>
      <c r="Y134" s="56">
        <f t="shared" si="8"/>
        <v>139.60750000000002</v>
      </c>
      <c r="AA134" s="10">
        <v>6</v>
      </c>
      <c r="AC134" s="2" t="str">
        <f t="shared" si="7"/>
        <v>None</v>
      </c>
    </row>
    <row r="135" spans="2:29" ht="18" customHeight="1" x14ac:dyDescent="0.2">
      <c r="B135" s="8">
        <f>garage!B135</f>
        <v>135</v>
      </c>
      <c r="C135" s="8">
        <f>garage!C135</f>
        <v>4</v>
      </c>
      <c r="D135" s="8">
        <f>garage!D135</f>
        <v>7</v>
      </c>
      <c r="E135" s="8">
        <f>garage!E135</f>
        <v>0</v>
      </c>
      <c r="F135" s="8" t="str">
        <f>garage!F135</f>
        <v>F</v>
      </c>
      <c r="G135" s="8" t="str">
        <f>garage!G135</f>
        <v>O</v>
      </c>
      <c r="H135" s="8" t="str">
        <f>garage!H135</f>
        <v>O</v>
      </c>
      <c r="I135" s="8" t="str">
        <f>garage!I135</f>
        <v>O</v>
      </c>
      <c r="J135" s="8" t="str">
        <f>garage!J175</f>
        <v>N</v>
      </c>
      <c r="K135" s="8" t="str">
        <f>garage!K135</f>
        <v>A</v>
      </c>
      <c r="L135" s="9" t="str">
        <f>garage!L135</f>
        <v>Ferrari</v>
      </c>
      <c r="M135" s="9" t="str">
        <f>garage!M135</f>
        <v>LaFerrari</v>
      </c>
      <c r="O135" s="53">
        <v>350</v>
      </c>
      <c r="P135" s="53">
        <v>73</v>
      </c>
      <c r="Q135" s="53">
        <v>37.68</v>
      </c>
      <c r="R135" s="53">
        <v>62.91</v>
      </c>
      <c r="S135" s="55">
        <f t="shared" si="9"/>
        <v>130.89750000000001</v>
      </c>
      <c r="U135" s="53">
        <v>364.6</v>
      </c>
      <c r="V135" s="53">
        <v>80.23</v>
      </c>
      <c r="W135" s="53">
        <v>43.06</v>
      </c>
      <c r="X135" s="53">
        <v>71.400000000000006</v>
      </c>
      <c r="Y135" s="55">
        <f t="shared" si="8"/>
        <v>139.82250000000002</v>
      </c>
      <c r="AA135" s="8">
        <v>7</v>
      </c>
      <c r="AC135" s="2" t="str">
        <f t="shared" si="7"/>
        <v>None</v>
      </c>
    </row>
    <row r="136" spans="2:29" ht="18" customHeight="1" x14ac:dyDescent="0.2">
      <c r="B136" s="10">
        <f>garage!B136</f>
        <v>136</v>
      </c>
      <c r="C136" s="10">
        <f>garage!C136</f>
        <v>4</v>
      </c>
      <c r="D136" s="10">
        <f>garage!D136</f>
        <v>8</v>
      </c>
      <c r="E136" s="10">
        <f>garage!E136</f>
        <v>0</v>
      </c>
      <c r="F136" s="10" t="str">
        <f>garage!F136</f>
        <v>M</v>
      </c>
      <c r="G136" s="10" t="str">
        <f>garage!G136</f>
        <v>O</v>
      </c>
      <c r="H136" s="10" t="str">
        <f>garage!H136</f>
        <v>O</v>
      </c>
      <c r="I136" s="10" t="str">
        <f>garage!I136</f>
        <v>O</v>
      </c>
      <c r="J136" s="10" t="str">
        <f>garage!J176</f>
        <v>N</v>
      </c>
      <c r="K136" s="10" t="str">
        <f>garage!K136</f>
        <v>A</v>
      </c>
      <c r="L136" s="11" t="str">
        <f>garage!L136</f>
        <v>McLaren</v>
      </c>
      <c r="M136" s="11" t="str">
        <f>garage!M136</f>
        <v>P1</v>
      </c>
      <c r="O136" s="54">
        <v>350</v>
      </c>
      <c r="P136" s="54">
        <v>74.8</v>
      </c>
      <c r="Q136" s="54">
        <v>39.97</v>
      </c>
      <c r="R136" s="54">
        <v>53.74</v>
      </c>
      <c r="S136" s="56">
        <f t="shared" si="9"/>
        <v>129.6275</v>
      </c>
      <c r="U136" s="54">
        <v>364.6</v>
      </c>
      <c r="V136" s="54">
        <v>83.64</v>
      </c>
      <c r="W136" s="54">
        <v>47.53</v>
      </c>
      <c r="X136" s="54">
        <v>62.89</v>
      </c>
      <c r="Y136" s="56">
        <f t="shared" si="8"/>
        <v>139.66499999999999</v>
      </c>
      <c r="AA136" s="10">
        <v>8</v>
      </c>
      <c r="AC136" s="2" t="str">
        <f t="shared" si="7"/>
        <v>None</v>
      </c>
    </row>
    <row r="137" spans="2:29" ht="18" customHeight="1" x14ac:dyDescent="0.2">
      <c r="B137" s="8">
        <f>garage!B137</f>
        <v>137</v>
      </c>
      <c r="C137" s="8">
        <f>garage!C137</f>
        <v>4</v>
      </c>
      <c r="D137" s="8">
        <f>garage!D137</f>
        <v>9</v>
      </c>
      <c r="E137" s="8">
        <f>garage!E137</f>
        <v>20</v>
      </c>
      <c r="F137" s="8" t="str">
        <f>garage!F137</f>
        <v>--</v>
      </c>
      <c r="G137" s="8" t="str">
        <f>garage!G137</f>
        <v>N</v>
      </c>
      <c r="H137" s="8" t="str">
        <f>garage!H137</f>
        <v>N</v>
      </c>
      <c r="I137" s="8" t="str">
        <f>garage!I137</f>
        <v>N</v>
      </c>
      <c r="J137" s="8" t="str">
        <f>garage!J177</f>
        <v>N</v>
      </c>
      <c r="K137" s="8" t="str">
        <f>garage!K137</f>
        <v>A</v>
      </c>
      <c r="L137" s="9" t="str">
        <f>garage!L137</f>
        <v>Pagani</v>
      </c>
      <c r="M137" s="9" t="str">
        <f>garage!M137</f>
        <v>Zonda HP Barchetta</v>
      </c>
      <c r="O137" s="53">
        <v>338</v>
      </c>
      <c r="P137" s="53">
        <v>73</v>
      </c>
      <c r="Q137" s="53">
        <v>51.67</v>
      </c>
      <c r="R137" s="53">
        <v>59.37</v>
      </c>
      <c r="S137" s="55">
        <f t="shared" si="9"/>
        <v>130.51</v>
      </c>
      <c r="U137" s="53">
        <v>350.1</v>
      </c>
      <c r="V137" s="53">
        <v>79.430000000000007</v>
      </c>
      <c r="W137" s="53">
        <v>73.540000000000006</v>
      </c>
      <c r="X137" s="53">
        <v>73.67</v>
      </c>
      <c r="Y137" s="55">
        <f t="shared" si="8"/>
        <v>144.185</v>
      </c>
      <c r="AA137" s="8">
        <v>9</v>
      </c>
      <c r="AC137" s="2" t="str">
        <f t="shared" si="7"/>
        <v>None</v>
      </c>
    </row>
    <row r="138" spans="2:29" ht="18" customHeight="1" x14ac:dyDescent="0.2">
      <c r="B138" s="10">
        <f>garage!B138</f>
        <v>138</v>
      </c>
      <c r="C138" s="10">
        <f>garage!C138</f>
        <v>4</v>
      </c>
      <c r="D138" s="10">
        <f>garage!D138</f>
        <v>10</v>
      </c>
      <c r="E138" s="10">
        <f>garage!E138</f>
        <v>0</v>
      </c>
      <c r="F138" s="10" t="str">
        <f>garage!F138</f>
        <v>L</v>
      </c>
      <c r="G138" s="10" t="str">
        <f>garage!G138</f>
        <v>O</v>
      </c>
      <c r="H138" s="10" t="str">
        <f>garage!H138</f>
        <v>O</v>
      </c>
      <c r="I138" s="10" t="str">
        <f>garage!I138</f>
        <v>O</v>
      </c>
      <c r="J138" s="10" t="str">
        <f>garage!J178</f>
        <v>N</v>
      </c>
      <c r="K138" s="10" t="str">
        <f>garage!K138</f>
        <v>A</v>
      </c>
      <c r="L138" s="11" t="str">
        <f>garage!L138</f>
        <v>Lamborghini</v>
      </c>
      <c r="M138" s="11" t="str">
        <f>garage!M138</f>
        <v>Aventador SV Coupé</v>
      </c>
      <c r="O138" s="54">
        <v>350</v>
      </c>
      <c r="P138" s="54">
        <v>74.8</v>
      </c>
      <c r="Q138" s="54">
        <v>41.5</v>
      </c>
      <c r="R138" s="54">
        <v>59.86</v>
      </c>
      <c r="S138" s="56">
        <f t="shared" si="9"/>
        <v>131.54</v>
      </c>
      <c r="U138" s="54">
        <v>367.9</v>
      </c>
      <c r="V138" s="54">
        <v>80.83</v>
      </c>
      <c r="W138" s="54">
        <v>50.14</v>
      </c>
      <c r="X138" s="54">
        <v>70.599999999999994</v>
      </c>
      <c r="Y138" s="56">
        <f t="shared" si="8"/>
        <v>142.36749999999998</v>
      </c>
      <c r="AA138" s="10">
        <v>10</v>
      </c>
      <c r="AC138" s="2" t="str">
        <f t="shared" si="7"/>
        <v>None</v>
      </c>
    </row>
    <row r="139" spans="2:29" ht="18" customHeight="1" x14ac:dyDescent="0.2">
      <c r="B139" s="8">
        <f>garage!B139</f>
        <v>139</v>
      </c>
      <c r="C139" s="8">
        <f>garage!C139</f>
        <v>4</v>
      </c>
      <c r="D139" s="8">
        <f>garage!D139</f>
        <v>11</v>
      </c>
      <c r="E139" s="8">
        <f>garage!E139</f>
        <v>6</v>
      </c>
      <c r="F139" s="8" t="str">
        <f>garage!F139</f>
        <v>F</v>
      </c>
      <c r="G139" s="8" t="str">
        <f>garage!G139</f>
        <v>O</v>
      </c>
      <c r="H139" s="8" t="str">
        <f>garage!H139</f>
        <v>O</v>
      </c>
      <c r="I139" s="8" t="str">
        <f>garage!I139</f>
        <v>O</v>
      </c>
      <c r="J139" s="8" t="str">
        <f>garage!J179</f>
        <v>N</v>
      </c>
      <c r="K139" s="8" t="str">
        <f>garage!K139</f>
        <v>A</v>
      </c>
      <c r="L139" s="9" t="str">
        <f>garage!L139</f>
        <v>Ferrari</v>
      </c>
      <c r="M139" s="9" t="str">
        <f>garage!M139</f>
        <v>812 Superfast</v>
      </c>
      <c r="O139" s="53">
        <v>340</v>
      </c>
      <c r="P139" s="53">
        <v>73.900000000000006</v>
      </c>
      <c r="Q139" s="53">
        <v>46.64</v>
      </c>
      <c r="R139" s="53">
        <v>60.62</v>
      </c>
      <c r="S139" s="55">
        <f t="shared" si="9"/>
        <v>130.29</v>
      </c>
      <c r="U139" s="53">
        <v>353.6</v>
      </c>
      <c r="V139" s="53">
        <v>81.13</v>
      </c>
      <c r="W139" s="53">
        <v>63.17</v>
      </c>
      <c r="X139" s="53">
        <v>74.36</v>
      </c>
      <c r="Y139" s="55">
        <f t="shared" si="8"/>
        <v>143.065</v>
      </c>
      <c r="AA139" s="8">
        <v>11</v>
      </c>
      <c r="AC139" s="2" t="str">
        <f t="shared" si="7"/>
        <v>None</v>
      </c>
    </row>
    <row r="140" spans="2:29" ht="18" customHeight="1" x14ac:dyDescent="0.2">
      <c r="B140" s="10">
        <f>garage!B140</f>
        <v>140</v>
      </c>
      <c r="C140" s="10">
        <f>garage!C140</f>
        <v>4</v>
      </c>
      <c r="D140" s="10">
        <f>garage!D140</f>
        <v>12</v>
      </c>
      <c r="E140" s="10">
        <f>garage!E140</f>
        <v>0</v>
      </c>
      <c r="F140" s="10" t="str">
        <f>garage!F140</f>
        <v>C</v>
      </c>
      <c r="G140" s="10" t="str">
        <f>garage!G140</f>
        <v>O</v>
      </c>
      <c r="H140" s="10" t="str">
        <f>garage!H140</f>
        <v>O</v>
      </c>
      <c r="I140" s="10" t="str">
        <f>garage!I140</f>
        <v>N</v>
      </c>
      <c r="J140" s="10" t="str">
        <f>garage!J180</f>
        <v>N</v>
      </c>
      <c r="K140" s="10" t="str">
        <f>garage!K140</f>
        <v>A</v>
      </c>
      <c r="L140" s="11" t="str">
        <f>garage!L140</f>
        <v>Chevrolet</v>
      </c>
      <c r="M140" s="11" t="str">
        <f>garage!M140</f>
        <v>Corvette ZR1</v>
      </c>
      <c r="O140" s="54">
        <v>341</v>
      </c>
      <c r="P140" s="54">
        <v>74.8</v>
      </c>
      <c r="Q140" s="54">
        <v>48.24</v>
      </c>
      <c r="R140" s="54">
        <v>59.75</v>
      </c>
      <c r="S140" s="56">
        <f t="shared" si="9"/>
        <v>130.94749999999999</v>
      </c>
      <c r="U140" s="54">
        <v>355.4</v>
      </c>
      <c r="V140" s="54">
        <v>82.03</v>
      </c>
      <c r="W140" s="54">
        <v>60.09</v>
      </c>
      <c r="X140" s="54">
        <v>76.33</v>
      </c>
      <c r="Y140" s="56">
        <f t="shared" si="8"/>
        <v>143.46250000000001</v>
      </c>
      <c r="AA140" s="10">
        <v>12</v>
      </c>
      <c r="AC140" s="2" t="str">
        <f t="shared" si="7"/>
        <v>None</v>
      </c>
    </row>
    <row r="141" spans="2:29" ht="18" customHeight="1" x14ac:dyDescent="0.2">
      <c r="B141" s="8">
        <f>garage!B141</f>
        <v>141</v>
      </c>
      <c r="C141" s="8">
        <f>garage!C141</f>
        <v>4</v>
      </c>
      <c r="D141" s="8">
        <f>garage!D141</f>
        <v>13</v>
      </c>
      <c r="E141" s="8">
        <f>garage!E141</f>
        <v>14</v>
      </c>
      <c r="F141" s="8" t="str">
        <f>garage!F141</f>
        <v>--</v>
      </c>
      <c r="G141" s="8" t="str">
        <f>garage!G141</f>
        <v>O</v>
      </c>
      <c r="H141" s="8" t="str">
        <f>garage!H141</f>
        <v>N</v>
      </c>
      <c r="I141" s="8" t="str">
        <f>garage!I141</f>
        <v>N</v>
      </c>
      <c r="J141" s="8" t="str">
        <f>garage!J181</f>
        <v>N</v>
      </c>
      <c r="K141" s="8" t="str">
        <f>garage!K141</f>
        <v>A</v>
      </c>
      <c r="L141" s="9" t="str">
        <f>garage!L141</f>
        <v>Jaguar</v>
      </c>
      <c r="M141" s="9" t="str">
        <f>garage!M141</f>
        <v>C-X75</v>
      </c>
      <c r="O141" s="53">
        <v>354</v>
      </c>
      <c r="P141" s="53">
        <v>66.7</v>
      </c>
      <c r="Q141" s="53">
        <v>57.27</v>
      </c>
      <c r="R141" s="53">
        <v>57.27</v>
      </c>
      <c r="S141" s="55">
        <f t="shared" si="9"/>
        <v>133.81</v>
      </c>
      <c r="U141" s="53">
        <v>369.2</v>
      </c>
      <c r="V141" s="53">
        <v>75.540000000000006</v>
      </c>
      <c r="W141" s="53">
        <v>73.17</v>
      </c>
      <c r="X141" s="53">
        <v>74.12</v>
      </c>
      <c r="Y141" s="55">
        <f t="shared" si="8"/>
        <v>148.00749999999999</v>
      </c>
      <c r="AA141" s="8">
        <v>13</v>
      </c>
      <c r="AC141" s="2" t="str">
        <f t="shared" si="7"/>
        <v>None</v>
      </c>
    </row>
    <row r="142" spans="2:29" ht="18" customHeight="1" x14ac:dyDescent="0.2">
      <c r="B142" s="10">
        <f>garage!B142</f>
        <v>142</v>
      </c>
      <c r="C142" s="10">
        <f>garage!C142</f>
        <v>4</v>
      </c>
      <c r="D142" s="10">
        <f>garage!D142</f>
        <v>14</v>
      </c>
      <c r="E142" s="10">
        <f>garage!E142</f>
        <v>0</v>
      </c>
      <c r="F142" s="10" t="str">
        <f>garage!F142</f>
        <v>--</v>
      </c>
      <c r="G142" s="10" t="str">
        <f>garage!G142</f>
        <v>O</v>
      </c>
      <c r="H142" s="10" t="str">
        <f>garage!H142</f>
        <v>O</v>
      </c>
      <c r="I142" s="10" t="str">
        <f>garage!I142</f>
        <v>O</v>
      </c>
      <c r="J142" s="10" t="str">
        <f>garage!J182</f>
        <v>N</v>
      </c>
      <c r="K142" s="10" t="str">
        <f>garage!K142</f>
        <v>A</v>
      </c>
      <c r="L142" s="11" t="str">
        <f>garage!L142</f>
        <v>VLF</v>
      </c>
      <c r="M142" s="11" t="str">
        <f>garage!M142</f>
        <v>Force 1 V10</v>
      </c>
      <c r="O142" s="54">
        <v>350</v>
      </c>
      <c r="P142" s="54">
        <v>73.900000000000006</v>
      </c>
      <c r="Q142" s="54">
        <v>43.04</v>
      </c>
      <c r="R142" s="54">
        <v>60.87</v>
      </c>
      <c r="S142" s="56">
        <f t="shared" si="9"/>
        <v>131.95249999999999</v>
      </c>
      <c r="U142" s="54">
        <v>368.8</v>
      </c>
      <c r="V142" s="54">
        <v>80.33</v>
      </c>
      <c r="W142" s="54">
        <v>54.68</v>
      </c>
      <c r="X142" s="54">
        <v>74.62</v>
      </c>
      <c r="Y142" s="56">
        <f t="shared" si="8"/>
        <v>144.60750000000002</v>
      </c>
      <c r="AA142" s="10">
        <v>14</v>
      </c>
      <c r="AC142" s="2" t="str">
        <f t="shared" si="7"/>
        <v>None</v>
      </c>
    </row>
    <row r="143" spans="2:29" ht="18" customHeight="1" x14ac:dyDescent="0.2">
      <c r="B143" s="8">
        <f>garage!B143</f>
        <v>143</v>
      </c>
      <c r="C143" s="8">
        <f>garage!C143</f>
        <v>4</v>
      </c>
      <c r="D143" s="8">
        <f>garage!D143</f>
        <v>15</v>
      </c>
      <c r="E143" s="8">
        <f>garage!E143</f>
        <v>23</v>
      </c>
      <c r="F143" s="8" t="str">
        <f>garage!F143</f>
        <v>M</v>
      </c>
      <c r="G143" s="8" t="str">
        <f>garage!G143</f>
        <v>O</v>
      </c>
      <c r="H143" s="8" t="str">
        <f>garage!H143</f>
        <v>N</v>
      </c>
      <c r="I143" s="8" t="str">
        <f>garage!I143</f>
        <v>N</v>
      </c>
      <c r="J143" s="8" t="str">
        <f>garage!J183</f>
        <v>N</v>
      </c>
      <c r="K143" s="8" t="str">
        <f>garage!K143</f>
        <v>A</v>
      </c>
      <c r="L143" s="9" t="str">
        <f>garage!L143</f>
        <v>McLaren</v>
      </c>
      <c r="M143" s="9" t="str">
        <f>garage!M143</f>
        <v>Senna GTR</v>
      </c>
      <c r="O143" s="53">
        <v>335</v>
      </c>
      <c r="P143" s="53">
        <v>74.8</v>
      </c>
      <c r="Q143" s="53">
        <v>51.34</v>
      </c>
      <c r="R143" s="53">
        <v>66.900000000000006</v>
      </c>
      <c r="S143" s="55">
        <f t="shared" si="9"/>
        <v>132.01</v>
      </c>
      <c r="U143" s="53">
        <v>358</v>
      </c>
      <c r="V143" s="53">
        <v>82.03</v>
      </c>
      <c r="W143" s="53">
        <v>60.84</v>
      </c>
      <c r="X143" s="53">
        <v>77.62</v>
      </c>
      <c r="Y143" s="55">
        <f t="shared" si="8"/>
        <v>144.6225</v>
      </c>
      <c r="AA143" s="8">
        <v>15</v>
      </c>
      <c r="AC143" s="2" t="str">
        <f t="shared" si="7"/>
        <v>None</v>
      </c>
    </row>
    <row r="144" spans="2:29" ht="18" customHeight="1" x14ac:dyDescent="0.2">
      <c r="B144" s="10">
        <f>garage!B144</f>
        <v>144</v>
      </c>
      <c r="C144" s="10">
        <f>garage!C144</f>
        <v>4</v>
      </c>
      <c r="D144" s="10">
        <f>garage!D144</f>
        <v>16</v>
      </c>
      <c r="E144" s="10">
        <f>garage!E144</f>
        <v>20</v>
      </c>
      <c r="F144" s="10" t="str">
        <f>garage!F144</f>
        <v>L</v>
      </c>
      <c r="G144" s="10" t="str">
        <f>garage!G144</f>
        <v>N</v>
      </c>
      <c r="H144" s="10" t="str">
        <f>garage!H144</f>
        <v>N</v>
      </c>
      <c r="I144" s="10" t="str">
        <f>garage!I144</f>
        <v>N</v>
      </c>
      <c r="J144" s="10" t="str">
        <f>garage!J184</f>
        <v>N</v>
      </c>
      <c r="K144" s="10" t="str">
        <f>garage!K144</f>
        <v>A</v>
      </c>
      <c r="L144" s="11" t="str">
        <f>garage!L144</f>
        <v>Lamborghini</v>
      </c>
      <c r="M144" s="11" t="str">
        <f>garage!M144</f>
        <v>Aventador SVJ Roadster</v>
      </c>
      <c r="O144" s="54">
        <v>351</v>
      </c>
      <c r="P144" s="54">
        <v>73.900000000000006</v>
      </c>
      <c r="Q144" s="54">
        <v>40.83</v>
      </c>
      <c r="R144" s="54">
        <v>42.62</v>
      </c>
      <c r="S144" s="56">
        <f t="shared" si="9"/>
        <v>127.08749999999999</v>
      </c>
      <c r="U144" s="54">
        <v>364.7</v>
      </c>
      <c r="V144" s="54">
        <v>81.13</v>
      </c>
      <c r="W144" s="54">
        <v>73.73</v>
      </c>
      <c r="X144" s="54">
        <v>73.930000000000007</v>
      </c>
      <c r="Y144" s="56">
        <f t="shared" si="8"/>
        <v>148.3725</v>
      </c>
      <c r="AA144" s="10">
        <v>16</v>
      </c>
      <c r="AC144" s="2" t="str">
        <f t="shared" si="7"/>
        <v>None</v>
      </c>
    </row>
    <row r="145" spans="2:29" ht="18" customHeight="1" x14ac:dyDescent="0.2">
      <c r="B145" s="8">
        <f>garage!B145</f>
        <v>145</v>
      </c>
      <c r="C145" s="8">
        <f>garage!C145</f>
        <v>4</v>
      </c>
      <c r="D145" s="8">
        <f>garage!D145</f>
        <v>17</v>
      </c>
      <c r="E145" s="8">
        <f>garage!E145</f>
        <v>8</v>
      </c>
      <c r="F145" s="8" t="str">
        <f>garage!F145</f>
        <v>--</v>
      </c>
      <c r="G145" s="8" t="str">
        <f>garage!G145</f>
        <v>O</v>
      </c>
      <c r="H145" s="8" t="str">
        <f>garage!H145</f>
        <v>O</v>
      </c>
      <c r="I145" s="8" t="str">
        <f>garage!I145</f>
        <v>O</v>
      </c>
      <c r="J145" s="8" t="str">
        <f>garage!J185</f>
        <v>N</v>
      </c>
      <c r="K145" s="8" t="str">
        <f>garage!K145</f>
        <v>A</v>
      </c>
      <c r="L145" s="9" t="str">
        <f>garage!L145</f>
        <v>Vanda Electrics</v>
      </c>
      <c r="M145" s="9" t="str">
        <f>garage!M145</f>
        <v>Dendrobium</v>
      </c>
      <c r="O145" s="53">
        <v>320</v>
      </c>
      <c r="P145" s="53">
        <v>76.599999999999994</v>
      </c>
      <c r="Q145" s="53">
        <v>53.29</v>
      </c>
      <c r="R145" s="53">
        <v>59.03</v>
      </c>
      <c r="S145" s="55">
        <f t="shared" si="9"/>
        <v>127.23000000000002</v>
      </c>
      <c r="U145" s="53">
        <v>339.9</v>
      </c>
      <c r="V145" s="53">
        <v>86.24</v>
      </c>
      <c r="W145" s="53">
        <v>95.92</v>
      </c>
      <c r="X145" s="53">
        <v>84.9</v>
      </c>
      <c r="Y145" s="55">
        <f t="shared" si="8"/>
        <v>151.73999999999998</v>
      </c>
      <c r="AA145" s="8">
        <v>17</v>
      </c>
      <c r="AC145" s="2" t="str">
        <f t="shared" si="7"/>
        <v>Done</v>
      </c>
    </row>
    <row r="146" spans="2:29" ht="18" customHeight="1" x14ac:dyDescent="0.2">
      <c r="B146" s="10">
        <f>garage!B146</f>
        <v>146</v>
      </c>
      <c r="C146" s="10">
        <f>garage!C146</f>
        <v>4</v>
      </c>
      <c r="D146" s="10">
        <f>garage!D146</f>
        <v>18</v>
      </c>
      <c r="E146" s="10">
        <f>garage!E146</f>
        <v>0</v>
      </c>
      <c r="F146" s="10" t="str">
        <f>garage!F146</f>
        <v>P</v>
      </c>
      <c r="G146" s="10" t="str">
        <f>garage!G146</f>
        <v>O</v>
      </c>
      <c r="H146" s="10" t="str">
        <f>garage!H146</f>
        <v>O</v>
      </c>
      <c r="I146" s="10" t="str">
        <f>garage!I146</f>
        <v>O</v>
      </c>
      <c r="J146" s="10" t="str">
        <f>garage!J186</f>
        <v>N</v>
      </c>
      <c r="K146" s="10" t="str">
        <f>garage!K146</f>
        <v>A</v>
      </c>
      <c r="L146" s="11" t="str">
        <f>garage!L146</f>
        <v>Porsche</v>
      </c>
      <c r="M146" s="11" t="str">
        <f>garage!M146</f>
        <v>918 Spyder</v>
      </c>
      <c r="O146" s="54">
        <v>345</v>
      </c>
      <c r="P146" s="54">
        <v>76.59</v>
      </c>
      <c r="Q146" s="54">
        <v>41.83</v>
      </c>
      <c r="R146" s="54">
        <v>66.3</v>
      </c>
      <c r="S146" s="56">
        <f t="shared" si="9"/>
        <v>132.43</v>
      </c>
      <c r="U146" s="54">
        <v>362.4</v>
      </c>
      <c r="V146" s="54">
        <v>83.02</v>
      </c>
      <c r="W146" s="54">
        <v>51.79</v>
      </c>
      <c r="X146" s="54">
        <v>79.959999999999994</v>
      </c>
      <c r="Y146" s="56">
        <f t="shared" si="8"/>
        <v>144.29249999999999</v>
      </c>
      <c r="AA146" s="10">
        <v>18</v>
      </c>
      <c r="AC146" s="2" t="str">
        <f t="shared" si="7"/>
        <v>None</v>
      </c>
    </row>
    <row r="147" spans="2:29" ht="18" customHeight="1" x14ac:dyDescent="0.2">
      <c r="B147" s="8">
        <f>garage!B147</f>
        <v>147</v>
      </c>
      <c r="C147" s="8">
        <f>garage!C147</f>
        <v>4</v>
      </c>
      <c r="D147" s="8">
        <f>garage!D147</f>
        <v>19</v>
      </c>
      <c r="E147" s="8">
        <f>garage!E147</f>
        <v>28</v>
      </c>
      <c r="F147" s="8" t="str">
        <f>garage!F147</f>
        <v>--</v>
      </c>
      <c r="G147" s="8" t="str">
        <f>garage!G147</f>
        <v>N</v>
      </c>
      <c r="H147" s="8" t="str">
        <f>garage!H147</f>
        <v>N</v>
      </c>
      <c r="I147" s="8" t="str">
        <f>garage!I147</f>
        <v>N</v>
      </c>
      <c r="J147" s="8" t="str">
        <f>garage!J187</f>
        <v>N</v>
      </c>
      <c r="K147" s="8" t="str">
        <f>garage!K147</f>
        <v>A</v>
      </c>
      <c r="L147" s="9" t="str">
        <f>garage!L147</f>
        <v>Peugeot</v>
      </c>
      <c r="M147" s="9" t="str">
        <f>garage!M147</f>
        <v>9X8</v>
      </c>
      <c r="O147" s="53">
        <v>330</v>
      </c>
      <c r="P147" s="53">
        <v>82</v>
      </c>
      <c r="Q147" s="53">
        <v>61.79</v>
      </c>
      <c r="R147" s="53">
        <v>48.59</v>
      </c>
      <c r="S147" s="55">
        <f t="shared" si="9"/>
        <v>130.595</v>
      </c>
      <c r="U147" s="53">
        <v>344.3</v>
      </c>
      <c r="V147" s="53">
        <v>90.03</v>
      </c>
      <c r="W147" s="53">
        <v>94.15</v>
      </c>
      <c r="X147" s="53">
        <v>69.94</v>
      </c>
      <c r="Y147" s="55">
        <f t="shared" si="8"/>
        <v>149.60500000000002</v>
      </c>
      <c r="AA147" s="8">
        <v>19</v>
      </c>
      <c r="AC147" s="2" t="str">
        <f t="shared" si="7"/>
        <v>None</v>
      </c>
    </row>
    <row r="148" spans="2:29" ht="18" customHeight="1" x14ac:dyDescent="0.2">
      <c r="B148" s="10">
        <f>garage!B148</f>
        <v>148</v>
      </c>
      <c r="C148" s="10">
        <f>garage!C148</f>
        <v>4</v>
      </c>
      <c r="D148" s="10">
        <f>garage!D148</f>
        <v>20</v>
      </c>
      <c r="E148" s="10">
        <f>garage!E148</f>
        <v>0</v>
      </c>
      <c r="F148" s="10" t="str">
        <f>garage!F148</f>
        <v>M</v>
      </c>
      <c r="G148" s="10" t="str">
        <f>garage!G148</f>
        <v>O</v>
      </c>
      <c r="H148" s="10" t="str">
        <f>garage!H148</f>
        <v>O</v>
      </c>
      <c r="I148" s="10" t="str">
        <f>garage!I148</f>
        <v>O</v>
      </c>
      <c r="J148" s="10" t="str">
        <f>garage!J188</f>
        <v>N</v>
      </c>
      <c r="K148" s="10" t="str">
        <f>garage!K148</f>
        <v>A</v>
      </c>
      <c r="L148" s="11" t="str">
        <f>garage!L148</f>
        <v>McLaren</v>
      </c>
      <c r="M148" s="11" t="str">
        <f>garage!M148</f>
        <v>570S Spider</v>
      </c>
      <c r="O148" s="54">
        <v>356</v>
      </c>
      <c r="P148" s="54">
        <v>71.2</v>
      </c>
      <c r="Q148" s="54">
        <v>46.08</v>
      </c>
      <c r="R148" s="54">
        <v>47.38</v>
      </c>
      <c r="S148" s="56">
        <f t="shared" si="9"/>
        <v>130.16499999999999</v>
      </c>
      <c r="U148" s="54">
        <v>377.2</v>
      </c>
      <c r="V148" s="54">
        <v>79.23</v>
      </c>
      <c r="W148" s="54">
        <v>66.06</v>
      </c>
      <c r="X148" s="54">
        <v>64.75</v>
      </c>
      <c r="Y148" s="56">
        <f t="shared" si="8"/>
        <v>146.81</v>
      </c>
      <c r="AA148" s="10">
        <v>20</v>
      </c>
      <c r="AC148" s="2" t="str">
        <f t="shared" si="7"/>
        <v>None</v>
      </c>
    </row>
    <row r="149" spans="2:29" ht="18" customHeight="1" x14ac:dyDescent="0.2">
      <c r="B149" s="8">
        <f>garage!B149</f>
        <v>149</v>
      </c>
      <c r="C149" s="8">
        <f>garage!C149</f>
        <v>4</v>
      </c>
      <c r="D149" s="8">
        <f>garage!D149</f>
        <v>21</v>
      </c>
      <c r="E149" s="8">
        <f>garage!E149</f>
        <v>0</v>
      </c>
      <c r="F149" s="8" t="str">
        <f>garage!F149</f>
        <v>L</v>
      </c>
      <c r="G149" s="8" t="str">
        <f>garage!G149</f>
        <v>O</v>
      </c>
      <c r="H149" s="8" t="str">
        <f>garage!H149</f>
        <v>O</v>
      </c>
      <c r="I149" s="8" t="str">
        <f>garage!I149</f>
        <v>O</v>
      </c>
      <c r="J149" s="8" t="str">
        <f>garage!J189</f>
        <v>N</v>
      </c>
      <c r="K149" s="8" t="str">
        <f>garage!K149</f>
        <v>A</v>
      </c>
      <c r="L149" s="9" t="str">
        <f>garage!L149</f>
        <v>Lamborghini</v>
      </c>
      <c r="M149" s="9" t="str">
        <f>garage!M149</f>
        <v>Aventador J</v>
      </c>
      <c r="O149" s="53">
        <v>350</v>
      </c>
      <c r="P149" s="53">
        <v>73</v>
      </c>
      <c r="Q149" s="53">
        <v>49.16</v>
      </c>
      <c r="R149" s="53">
        <v>62.92</v>
      </c>
      <c r="S149" s="55">
        <f t="shared" si="9"/>
        <v>133.76999999999998</v>
      </c>
      <c r="U149" s="53">
        <v>363.8</v>
      </c>
      <c r="V149" s="53">
        <v>79.83</v>
      </c>
      <c r="W149" s="53">
        <v>73.099999999999994</v>
      </c>
      <c r="X149" s="53">
        <v>77.86</v>
      </c>
      <c r="Y149" s="55">
        <f t="shared" si="8"/>
        <v>148.64750000000001</v>
      </c>
      <c r="AA149" s="8">
        <v>21</v>
      </c>
      <c r="AC149" s="2" t="str">
        <f t="shared" si="7"/>
        <v>None</v>
      </c>
    </row>
    <row r="150" spans="2:29" ht="18" customHeight="1" x14ac:dyDescent="0.2">
      <c r="B150" s="10">
        <f>garage!B150</f>
        <v>150</v>
      </c>
      <c r="C150" s="10">
        <f>garage!C150</f>
        <v>4</v>
      </c>
      <c r="D150" s="10">
        <f>garage!D150</f>
        <v>22</v>
      </c>
      <c r="E150" s="10">
        <f>garage!E150</f>
        <v>16</v>
      </c>
      <c r="F150" s="10" t="str">
        <f>garage!F150</f>
        <v>--</v>
      </c>
      <c r="G150" s="10" t="str">
        <f>garage!G150</f>
        <v>O</v>
      </c>
      <c r="H150" s="10" t="str">
        <f>garage!H150</f>
        <v>N</v>
      </c>
      <c r="I150" s="10" t="str">
        <f>garage!I150</f>
        <v>N</v>
      </c>
      <c r="J150" s="10" t="str">
        <f>garage!J190</f>
        <v>N</v>
      </c>
      <c r="K150" s="10" t="str">
        <f>garage!K150</f>
        <v>A</v>
      </c>
      <c r="L150" s="11" t="str">
        <f>garage!L150</f>
        <v>Peugeot</v>
      </c>
      <c r="M150" s="11" t="str">
        <f>garage!M150</f>
        <v>Onyx</v>
      </c>
      <c r="O150" s="54">
        <v>360</v>
      </c>
      <c r="P150" s="54">
        <v>73.900000000000006</v>
      </c>
      <c r="Q150" s="54">
        <v>63.83</v>
      </c>
      <c r="R150" s="54">
        <v>35.08</v>
      </c>
      <c r="S150" s="56">
        <f t="shared" si="9"/>
        <v>133.20249999999999</v>
      </c>
      <c r="U150" s="54">
        <v>370.6</v>
      </c>
      <c r="V150" s="54">
        <v>81.93</v>
      </c>
      <c r="W150" s="54">
        <v>84.82</v>
      </c>
      <c r="X150" s="54">
        <v>59.61</v>
      </c>
      <c r="Y150" s="56">
        <f t="shared" si="8"/>
        <v>149.24</v>
      </c>
      <c r="AA150" s="10">
        <v>22</v>
      </c>
      <c r="AC150" s="2" t="str">
        <f t="shared" si="7"/>
        <v>None</v>
      </c>
    </row>
    <row r="151" spans="2:29" ht="18" customHeight="1" x14ac:dyDescent="0.2">
      <c r="B151" s="8">
        <f>garage!B151</f>
        <v>151</v>
      </c>
      <c r="C151" s="8">
        <f>garage!C151</f>
        <v>4</v>
      </c>
      <c r="D151" s="8">
        <f>garage!D151</f>
        <v>23</v>
      </c>
      <c r="E151" s="8">
        <f>garage!E151</f>
        <v>22</v>
      </c>
      <c r="F151" s="8" t="str">
        <f>garage!F151</f>
        <v>--</v>
      </c>
      <c r="G151" s="8" t="str">
        <f>garage!G151</f>
        <v>N</v>
      </c>
      <c r="H151" s="8" t="str">
        <f>garage!H151</f>
        <v>N</v>
      </c>
      <c r="I151" s="8" t="str">
        <f>garage!I151</f>
        <v>N</v>
      </c>
      <c r="J151" s="8" t="str">
        <f>garage!J191</f>
        <v>N</v>
      </c>
      <c r="K151" s="8" t="str">
        <f>garage!K151</f>
        <v>A</v>
      </c>
      <c r="L151" s="9" t="str">
        <f>garage!L151</f>
        <v>Pagani</v>
      </c>
      <c r="M151" s="9" t="str">
        <f>garage!M151</f>
        <v>Zonda R</v>
      </c>
      <c r="O151" s="53">
        <v>353</v>
      </c>
      <c r="P151" s="53">
        <v>75.7</v>
      </c>
      <c r="Q151" s="53">
        <v>41.77</v>
      </c>
      <c r="R151" s="53">
        <v>48.95</v>
      </c>
      <c r="S151" s="55">
        <f t="shared" si="9"/>
        <v>129.85499999999999</v>
      </c>
      <c r="U151" s="53">
        <v>368.3</v>
      </c>
      <c r="V151" s="53">
        <v>84.54</v>
      </c>
      <c r="W151" s="53">
        <v>57.29</v>
      </c>
      <c r="X151" s="53">
        <v>67.540000000000006</v>
      </c>
      <c r="Y151" s="55">
        <f t="shared" si="8"/>
        <v>144.41750000000002</v>
      </c>
      <c r="AA151" s="8">
        <v>23</v>
      </c>
      <c r="AC151" s="2" t="str">
        <f t="shared" si="7"/>
        <v>None</v>
      </c>
    </row>
    <row r="152" spans="2:29" ht="18" customHeight="1" x14ac:dyDescent="0.2">
      <c r="B152" s="10">
        <f>garage!B152</f>
        <v>152</v>
      </c>
      <c r="C152" s="10">
        <f>garage!C152</f>
        <v>4</v>
      </c>
      <c r="D152" s="10">
        <f>garage!D152</f>
        <v>24</v>
      </c>
      <c r="E152" s="10">
        <f>garage!E152</f>
        <v>22</v>
      </c>
      <c r="F152" s="10" t="str">
        <f>garage!F152</f>
        <v>--</v>
      </c>
      <c r="G152" s="10" t="str">
        <f>garage!G152</f>
        <v>N</v>
      </c>
      <c r="H152" s="10" t="str">
        <f>garage!H152</f>
        <v>N</v>
      </c>
      <c r="I152" s="10" t="str">
        <f>garage!I152</f>
        <v>N</v>
      </c>
      <c r="J152" s="10" t="str">
        <f>garage!J192</f>
        <v>N</v>
      </c>
      <c r="K152" s="10" t="str">
        <f>garage!K152</f>
        <v>A</v>
      </c>
      <c r="L152" s="11" t="str">
        <f>garage!L152</f>
        <v>Glickhaus</v>
      </c>
      <c r="M152" s="11" t="str">
        <f>garage!M152</f>
        <v>007S</v>
      </c>
      <c r="O152" s="54">
        <v>340</v>
      </c>
      <c r="P152" s="54">
        <v>82.9</v>
      </c>
      <c r="Q152" s="54">
        <v>59.38</v>
      </c>
      <c r="R152" s="54">
        <v>61.67</v>
      </c>
      <c r="S152" s="56">
        <f t="shared" si="9"/>
        <v>135.98749999999998</v>
      </c>
      <c r="U152" s="54">
        <v>358.6</v>
      </c>
      <c r="V152" s="54">
        <v>89.33</v>
      </c>
      <c r="W152" s="54">
        <v>82.63</v>
      </c>
      <c r="X152" s="54">
        <v>55.24</v>
      </c>
      <c r="Y152" s="56">
        <f t="shared" si="8"/>
        <v>146.44999999999999</v>
      </c>
      <c r="AA152" s="10">
        <v>24</v>
      </c>
      <c r="AC152" s="2" t="str">
        <f t="shared" si="7"/>
        <v>None</v>
      </c>
    </row>
    <row r="153" spans="2:29" ht="18" customHeight="1" x14ac:dyDescent="0.2">
      <c r="B153" s="8">
        <f>garage!B153</f>
        <v>153</v>
      </c>
      <c r="C153" s="8">
        <f>garage!C153</f>
        <v>4</v>
      </c>
      <c r="D153" s="8">
        <f>garage!D153</f>
        <v>25</v>
      </c>
      <c r="E153" s="8">
        <f>garage!E153</f>
        <v>16</v>
      </c>
      <c r="F153" s="8" t="str">
        <f>garage!F153</f>
        <v>--</v>
      </c>
      <c r="G153" s="8" t="str">
        <f>garage!G153</f>
        <v>O</v>
      </c>
      <c r="H153" s="8" t="str">
        <f>garage!H153</f>
        <v>N</v>
      </c>
      <c r="I153" s="8" t="str">
        <f>garage!I153</f>
        <v>N</v>
      </c>
      <c r="J153" s="8" t="str">
        <f>garage!J193</f>
        <v>N</v>
      </c>
      <c r="K153" s="8" t="str">
        <f>garage!K153</f>
        <v>A</v>
      </c>
      <c r="L153" s="9" t="str">
        <f>garage!L153</f>
        <v>Citroen</v>
      </c>
      <c r="M153" s="9" t="str">
        <f>garage!M153</f>
        <v>GT by Citroen</v>
      </c>
      <c r="O153" s="53">
        <v>375</v>
      </c>
      <c r="P153" s="53">
        <v>68.5</v>
      </c>
      <c r="Q153" s="53">
        <v>55.71</v>
      </c>
      <c r="R153" s="53">
        <v>50.08</v>
      </c>
      <c r="S153" s="55">
        <f t="shared" si="9"/>
        <v>137.32249999999999</v>
      </c>
      <c r="U153" s="53">
        <v>388.7</v>
      </c>
      <c r="V153" s="53">
        <v>76.53</v>
      </c>
      <c r="W153" s="53">
        <v>64.61</v>
      </c>
      <c r="X153" s="53">
        <v>67.2</v>
      </c>
      <c r="Y153" s="55">
        <f t="shared" si="8"/>
        <v>149.26000000000002</v>
      </c>
      <c r="AA153" s="8">
        <v>25</v>
      </c>
      <c r="AC153" s="2" t="str">
        <f t="shared" si="7"/>
        <v>None</v>
      </c>
    </row>
    <row r="154" spans="2:29" ht="18" customHeight="1" x14ac:dyDescent="0.2">
      <c r="B154" s="10">
        <f>garage!B154</f>
        <v>154</v>
      </c>
      <c r="C154" s="10">
        <f>garage!C154</f>
        <v>4</v>
      </c>
      <c r="D154" s="10">
        <f>garage!D154</f>
        <v>26</v>
      </c>
      <c r="E154" s="10">
        <f>garage!E154</f>
        <v>31</v>
      </c>
      <c r="F154" s="10" t="str">
        <f>garage!F154</f>
        <v>--</v>
      </c>
      <c r="G154" s="10" t="str">
        <f>garage!G154</f>
        <v>N</v>
      </c>
      <c r="H154" s="10" t="str">
        <f>garage!H154</f>
        <v>N</v>
      </c>
      <c r="I154" s="10" t="str">
        <f>garage!I154</f>
        <v>N</v>
      </c>
      <c r="J154" s="10" t="str">
        <f>garage!J194</f>
        <v>N</v>
      </c>
      <c r="K154" s="10" t="str">
        <f>garage!K154</f>
        <v>A</v>
      </c>
      <c r="L154" s="11" t="str">
        <f>garage!L154</f>
        <v>Porsche</v>
      </c>
      <c r="M154" s="11" t="str">
        <f>garage!M154</f>
        <v>935 (2019)</v>
      </c>
      <c r="O154" s="54">
        <v>340</v>
      </c>
      <c r="P154" s="54">
        <v>75.7</v>
      </c>
      <c r="Q154" s="54">
        <v>55.63</v>
      </c>
      <c r="R154" s="54">
        <v>55.63</v>
      </c>
      <c r="S154" s="56">
        <f t="shared" si="9"/>
        <v>131.74</v>
      </c>
      <c r="U154" s="54">
        <v>352</v>
      </c>
      <c r="V154" s="54">
        <v>84.94</v>
      </c>
      <c r="W154" s="54">
        <v>87.96</v>
      </c>
      <c r="X154" s="54">
        <v>72.61</v>
      </c>
      <c r="Y154" s="56">
        <f t="shared" si="8"/>
        <v>149.3775</v>
      </c>
      <c r="AA154" s="10">
        <v>26</v>
      </c>
      <c r="AC154" s="2" t="str">
        <f t="shared" si="7"/>
        <v>None</v>
      </c>
    </row>
    <row r="155" spans="2:29" ht="18" customHeight="1" x14ac:dyDescent="0.2">
      <c r="B155" s="8">
        <f>garage!B155</f>
        <v>155</v>
      </c>
      <c r="C155" s="8">
        <f>garage!C155</f>
        <v>4</v>
      </c>
      <c r="D155" s="8">
        <f>garage!D155</f>
        <v>27</v>
      </c>
      <c r="E155" s="8">
        <f>garage!E155</f>
        <v>19</v>
      </c>
      <c r="F155" s="8" t="str">
        <f>garage!F155</f>
        <v>AM</v>
      </c>
      <c r="G155" s="8" t="str">
        <f>garage!G155</f>
        <v>O</v>
      </c>
      <c r="H155" s="8" t="str">
        <f>garage!H155</f>
        <v>N</v>
      </c>
      <c r="I155" s="8" t="str">
        <f>garage!I155</f>
        <v>N</v>
      </c>
      <c r="J155" s="8" t="str">
        <f>garage!J195</f>
        <v>N</v>
      </c>
      <c r="K155" s="8" t="str">
        <f>garage!K155</f>
        <v>A</v>
      </c>
      <c r="L155" s="9" t="str">
        <f>garage!L155</f>
        <v>Aston Martin</v>
      </c>
      <c r="M155" s="9" t="str">
        <f>garage!M155</f>
        <v>Victor</v>
      </c>
      <c r="O155" s="53">
        <v>360</v>
      </c>
      <c r="P155" s="53">
        <v>70.3</v>
      </c>
      <c r="Q155" s="53">
        <v>54.85</v>
      </c>
      <c r="R155" s="53">
        <v>47.57</v>
      </c>
      <c r="S155" s="55">
        <f t="shared" si="9"/>
        <v>133.18</v>
      </c>
      <c r="U155" s="53">
        <v>371.4</v>
      </c>
      <c r="V155" s="53">
        <v>78.33</v>
      </c>
      <c r="W155" s="53">
        <v>76.84</v>
      </c>
      <c r="X155" s="53">
        <v>69.63</v>
      </c>
      <c r="Y155" s="55">
        <f t="shared" si="8"/>
        <v>149.04999999999998</v>
      </c>
      <c r="AA155" s="8">
        <v>27</v>
      </c>
      <c r="AC155" s="2" t="str">
        <f t="shared" si="7"/>
        <v>None</v>
      </c>
    </row>
    <row r="156" spans="2:29" ht="18" customHeight="1" x14ac:dyDescent="0.2">
      <c r="B156" s="10">
        <f>garage!B156</f>
        <v>156</v>
      </c>
      <c r="C156" s="10">
        <f>garage!C156</f>
        <v>4</v>
      </c>
      <c r="D156" s="10">
        <f>garage!D156</f>
        <v>28</v>
      </c>
      <c r="E156" s="10">
        <f>garage!E156</f>
        <v>11</v>
      </c>
      <c r="F156" s="10" t="str">
        <f>garage!F156</f>
        <v>P</v>
      </c>
      <c r="G156" s="10" t="str">
        <f>garage!G156</f>
        <v>O</v>
      </c>
      <c r="H156" s="10" t="str">
        <f>garage!H156</f>
        <v>O</v>
      </c>
      <c r="I156" s="10" t="str">
        <f>garage!I156</f>
        <v>N</v>
      </c>
      <c r="J156" s="10" t="str">
        <f>garage!J196</f>
        <v>N</v>
      </c>
      <c r="K156" s="10" t="str">
        <f>garage!K156</f>
        <v>A</v>
      </c>
      <c r="L156" s="11" t="str">
        <f>garage!L156</f>
        <v>Porsche</v>
      </c>
      <c r="M156" s="11" t="str">
        <f>garage!M156</f>
        <v>911 GT2 RS Clubsport</v>
      </c>
      <c r="O156" s="54">
        <v>340</v>
      </c>
      <c r="P156" s="54">
        <v>74.8</v>
      </c>
      <c r="Q156" s="54">
        <v>55.63</v>
      </c>
      <c r="R156" s="54">
        <v>49.64</v>
      </c>
      <c r="S156" s="56">
        <f t="shared" si="9"/>
        <v>130.01750000000001</v>
      </c>
      <c r="U156" s="54">
        <v>356.9</v>
      </c>
      <c r="V156" s="54">
        <v>83.64</v>
      </c>
      <c r="W156" s="54">
        <v>85.42</v>
      </c>
      <c r="X156" s="54">
        <v>73.650000000000006</v>
      </c>
      <c r="Y156" s="56">
        <f t="shared" si="8"/>
        <v>149.90249999999997</v>
      </c>
      <c r="AA156" s="10">
        <v>28</v>
      </c>
      <c r="AC156" s="2" t="str">
        <f t="shared" si="7"/>
        <v>None</v>
      </c>
    </row>
    <row r="157" spans="2:29" ht="18" customHeight="1" x14ac:dyDescent="0.2">
      <c r="B157" s="8">
        <f>garage!B157</f>
        <v>157</v>
      </c>
      <c r="C157" s="8">
        <f>garage!C157</f>
        <v>4</v>
      </c>
      <c r="D157" s="8">
        <f>garage!D157</f>
        <v>29</v>
      </c>
      <c r="E157" s="8">
        <f>garage!E157</f>
        <v>0</v>
      </c>
      <c r="F157" s="8" t="str">
        <f>garage!F157</f>
        <v>--</v>
      </c>
      <c r="G157" s="8" t="str">
        <f>garage!G157</f>
        <v>O</v>
      </c>
      <c r="H157" s="8" t="str">
        <f>garage!H157</f>
        <v>O</v>
      </c>
      <c r="I157" s="8" t="str">
        <f>garage!I157</f>
        <v>O</v>
      </c>
      <c r="J157" s="8" t="str">
        <f>garage!J197</f>
        <v>N</v>
      </c>
      <c r="K157" s="8" t="str">
        <f>garage!K157</f>
        <v>A</v>
      </c>
      <c r="L157" s="9" t="str">
        <f>garage!L157</f>
        <v>Pagani</v>
      </c>
      <c r="M157" s="9" t="str">
        <f>garage!M157</f>
        <v>Huayra BC</v>
      </c>
      <c r="O157" s="53">
        <v>350</v>
      </c>
      <c r="P157" s="53">
        <v>71.2</v>
      </c>
      <c r="Q157" s="53">
        <v>46.1</v>
      </c>
      <c r="R157" s="53">
        <v>73.11</v>
      </c>
      <c r="S157" s="55">
        <f t="shared" si="9"/>
        <v>135.10249999999999</v>
      </c>
      <c r="U157" s="53">
        <v>365.4</v>
      </c>
      <c r="V157" s="53">
        <v>80.040000000000006</v>
      </c>
      <c r="W157" s="53">
        <v>63.11</v>
      </c>
      <c r="X157" s="53">
        <v>86.75</v>
      </c>
      <c r="Y157" s="55">
        <f t="shared" si="8"/>
        <v>148.82499999999999</v>
      </c>
      <c r="AA157" s="8">
        <v>29</v>
      </c>
      <c r="AC157" s="2" t="str">
        <f t="shared" si="7"/>
        <v>None</v>
      </c>
    </row>
    <row r="158" spans="2:29" ht="18" customHeight="1" x14ac:dyDescent="0.2">
      <c r="B158" s="10">
        <f>garage!B158</f>
        <v>158</v>
      </c>
      <c r="C158" s="10">
        <f>garage!C158</f>
        <v>4</v>
      </c>
      <c r="D158" s="10">
        <f>garage!D158</f>
        <v>30</v>
      </c>
      <c r="E158" s="10">
        <f>garage!E158</f>
        <v>28</v>
      </c>
      <c r="F158" s="10" t="str">
        <f>garage!F158</f>
        <v>M</v>
      </c>
      <c r="G158" s="10" t="str">
        <f>garage!G158</f>
        <v>N</v>
      </c>
      <c r="H158" s="10" t="str">
        <f>garage!H158</f>
        <v>N</v>
      </c>
      <c r="I158" s="10" t="str">
        <f>garage!I158</f>
        <v>N</v>
      </c>
      <c r="J158" s="10" t="str">
        <f>garage!J198</f>
        <v>N</v>
      </c>
      <c r="K158" s="10" t="str">
        <f>garage!K158</f>
        <v>A</v>
      </c>
      <c r="L158" s="11" t="str">
        <f>garage!L158</f>
        <v>McLaren</v>
      </c>
      <c r="M158" s="11" t="str">
        <f>garage!M158</f>
        <v>650S GT3</v>
      </c>
      <c r="O158" s="54">
        <v>340</v>
      </c>
      <c r="P158" s="54">
        <v>73.900000000000006</v>
      </c>
      <c r="Q158" s="54">
        <v>59.38</v>
      </c>
      <c r="R158" s="54">
        <v>57.63</v>
      </c>
      <c r="S158" s="56">
        <f t="shared" si="9"/>
        <v>132.72749999999999</v>
      </c>
      <c r="U158" s="54">
        <v>357</v>
      </c>
      <c r="V158" s="54">
        <v>84.34</v>
      </c>
      <c r="W158" s="54">
        <v>85.82</v>
      </c>
      <c r="X158" s="54">
        <v>78.22</v>
      </c>
      <c r="Y158" s="56">
        <f t="shared" si="8"/>
        <v>151.34500000000003</v>
      </c>
      <c r="AA158" s="10">
        <v>30</v>
      </c>
      <c r="AC158" s="2" t="str">
        <f t="shared" si="7"/>
        <v>Done</v>
      </c>
    </row>
    <row r="159" spans="2:29" ht="18" customHeight="1" x14ac:dyDescent="0.2">
      <c r="B159" s="8">
        <f>garage!B159</f>
        <v>159</v>
      </c>
      <c r="C159" s="8">
        <f>garage!C159</f>
        <v>4</v>
      </c>
      <c r="D159" s="8">
        <f>garage!D159</f>
        <v>31</v>
      </c>
      <c r="E159" s="8">
        <f>garage!E159</f>
        <v>12</v>
      </c>
      <c r="F159" s="8" t="str">
        <f>garage!F159</f>
        <v>L</v>
      </c>
      <c r="G159" s="8" t="str">
        <f>garage!G159</f>
        <v>O</v>
      </c>
      <c r="H159" s="8" t="str">
        <f>garage!H159</f>
        <v>N</v>
      </c>
      <c r="I159" s="8" t="str">
        <f>garage!I159</f>
        <v>N</v>
      </c>
      <c r="J159" s="8" t="str">
        <f>garage!J199</f>
        <v>N</v>
      </c>
      <c r="K159" s="8" t="str">
        <f>garage!K159</f>
        <v>A</v>
      </c>
      <c r="L159" s="9" t="str">
        <f>garage!L159</f>
        <v>Lamborghini</v>
      </c>
      <c r="M159" s="9" t="str">
        <f>garage!M159</f>
        <v>SC18</v>
      </c>
      <c r="O159" s="53">
        <v>350</v>
      </c>
      <c r="P159" s="53">
        <v>74.8</v>
      </c>
      <c r="Q159" s="53">
        <v>45.33</v>
      </c>
      <c r="R159" s="53">
        <v>64.959999999999994</v>
      </c>
      <c r="S159" s="55">
        <f t="shared" si="9"/>
        <v>133.77250000000001</v>
      </c>
      <c r="U159" s="53">
        <v>362.1</v>
      </c>
      <c r="V159" s="53">
        <v>82.03</v>
      </c>
      <c r="W159" s="53">
        <v>64</v>
      </c>
      <c r="X159" s="53">
        <v>82.48</v>
      </c>
      <c r="Y159" s="55">
        <f t="shared" si="8"/>
        <v>147.6525</v>
      </c>
      <c r="AA159" s="8">
        <v>31</v>
      </c>
      <c r="AC159" s="2" t="str">
        <f t="shared" si="7"/>
        <v>None</v>
      </c>
    </row>
    <row r="160" spans="2:29" ht="18" customHeight="1" x14ac:dyDescent="0.2">
      <c r="B160" s="10">
        <f>garage!B160</f>
        <v>160</v>
      </c>
      <c r="C160" s="10">
        <f>garage!C160</f>
        <v>4</v>
      </c>
      <c r="D160" s="10">
        <f>garage!D160</f>
        <v>32</v>
      </c>
      <c r="E160" s="10">
        <f>garage!E160</f>
        <v>6</v>
      </c>
      <c r="F160" s="10" t="str">
        <f>garage!F160</f>
        <v>F</v>
      </c>
      <c r="G160" s="10" t="str">
        <f>garage!G160</f>
        <v>O</v>
      </c>
      <c r="H160" s="10" t="str">
        <f>garage!H160</f>
        <v>O</v>
      </c>
      <c r="I160" s="10" t="str">
        <f>garage!I160</f>
        <v>O</v>
      </c>
      <c r="J160" s="10" t="str">
        <f>garage!J200</f>
        <v>N</v>
      </c>
      <c r="K160" s="10" t="str">
        <f>garage!K160</f>
        <v>A</v>
      </c>
      <c r="L160" s="11" t="str">
        <f>garage!L160</f>
        <v>Ferrari</v>
      </c>
      <c r="M160" s="11" t="str">
        <f>garage!M160</f>
        <v>LaFerrari Aperta</v>
      </c>
      <c r="O160" s="54">
        <v>350</v>
      </c>
      <c r="P160" s="54">
        <v>73</v>
      </c>
      <c r="Q160" s="54">
        <v>60.62</v>
      </c>
      <c r="R160" s="54">
        <v>48.65</v>
      </c>
      <c r="S160" s="56">
        <f t="shared" si="9"/>
        <v>133.0675</v>
      </c>
      <c r="U160" s="54">
        <v>366.2</v>
      </c>
      <c r="V160" s="54">
        <v>81.03</v>
      </c>
      <c r="W160" s="54">
        <v>82.48</v>
      </c>
      <c r="X160" s="54">
        <v>70.099999999999994</v>
      </c>
      <c r="Y160" s="56">
        <f t="shared" si="8"/>
        <v>149.95250000000001</v>
      </c>
      <c r="AA160" s="10">
        <v>32</v>
      </c>
      <c r="AC160" s="2" t="str">
        <f t="shared" si="7"/>
        <v>None</v>
      </c>
    </row>
    <row r="161" spans="2:29" ht="18" customHeight="1" x14ac:dyDescent="0.2">
      <c r="B161" s="8">
        <f>garage!B161</f>
        <v>161</v>
      </c>
      <c r="C161" s="8">
        <f>garage!C161</f>
        <v>4</v>
      </c>
      <c r="D161" s="8">
        <f>garage!D161</f>
        <v>33</v>
      </c>
      <c r="E161" s="8">
        <f>garage!E161</f>
        <v>15</v>
      </c>
      <c r="F161" s="8" t="str">
        <f>garage!F161</f>
        <v>F</v>
      </c>
      <c r="G161" s="8" t="str">
        <f>garage!G161</f>
        <v>N</v>
      </c>
      <c r="H161" s="8" t="str">
        <f>garage!H161</f>
        <v>N</v>
      </c>
      <c r="I161" s="8" t="str">
        <f>garage!I161</f>
        <v>N</v>
      </c>
      <c r="J161" s="8" t="str">
        <f>garage!J201</f>
        <v>N</v>
      </c>
      <c r="K161" s="8" t="str">
        <f>garage!K161</f>
        <v>A</v>
      </c>
      <c r="L161" s="9" t="str">
        <f>garage!L161</f>
        <v>Ferrari</v>
      </c>
      <c r="M161" s="9" t="str">
        <f>garage!M161</f>
        <v>F8 Tributo</v>
      </c>
      <c r="O161" s="53">
        <v>340</v>
      </c>
      <c r="P161" s="53">
        <v>73.900000000000006</v>
      </c>
      <c r="Q161" s="53">
        <v>66.86</v>
      </c>
      <c r="R161" s="53">
        <v>43.65</v>
      </c>
      <c r="S161" s="55">
        <f t="shared" si="9"/>
        <v>131.10249999999999</v>
      </c>
      <c r="U161" s="53">
        <v>360.2</v>
      </c>
      <c r="V161" s="53">
        <v>83.14</v>
      </c>
      <c r="W161" s="53">
        <v>94.22</v>
      </c>
      <c r="X161" s="53">
        <v>69.790000000000006</v>
      </c>
      <c r="Y161" s="55">
        <f t="shared" si="8"/>
        <v>151.83749999999998</v>
      </c>
      <c r="AA161" s="8">
        <v>33</v>
      </c>
      <c r="AC161" s="2" t="str">
        <f t="shared" si="7"/>
        <v>Done</v>
      </c>
    </row>
    <row r="162" spans="2:29" ht="18" customHeight="1" x14ac:dyDescent="0.2">
      <c r="B162" s="10">
        <f>garage!B162</f>
        <v>162</v>
      </c>
      <c r="C162" s="10">
        <f>garage!C162</f>
        <v>4</v>
      </c>
      <c r="D162" s="10">
        <f>garage!D162</f>
        <v>34</v>
      </c>
      <c r="E162" s="10">
        <f>garage!E162</f>
        <v>20</v>
      </c>
      <c r="F162" s="10" t="str">
        <f>garage!F162</f>
        <v>L</v>
      </c>
      <c r="G162" s="10" t="str">
        <f>garage!G162</f>
        <v>N</v>
      </c>
      <c r="H162" s="10" t="str">
        <f>garage!H162</f>
        <v>N</v>
      </c>
      <c r="I162" s="10" t="str">
        <f>garage!I162</f>
        <v>N</v>
      </c>
      <c r="J162" s="10" t="str">
        <f>garage!J202</f>
        <v>N</v>
      </c>
      <c r="K162" s="10" t="str">
        <f>garage!K162</f>
        <v>A</v>
      </c>
      <c r="L162" s="11" t="str">
        <f>garage!L162</f>
        <v>Lamborghini</v>
      </c>
      <c r="M162" s="11" t="str">
        <f>garage!M162</f>
        <v>SC20</v>
      </c>
      <c r="O162" s="54">
        <v>353.4</v>
      </c>
      <c r="P162" s="54">
        <v>73.63</v>
      </c>
      <c r="Q162" s="54">
        <v>51.04</v>
      </c>
      <c r="R162" s="54">
        <v>40.770000000000003</v>
      </c>
      <c r="S162" s="56">
        <f t="shared" si="9"/>
        <v>129.71</v>
      </c>
      <c r="U162" s="54">
        <v>370.7</v>
      </c>
      <c r="V162" s="54">
        <v>81.900000000000006</v>
      </c>
      <c r="W162" s="54">
        <v>72.510000000000005</v>
      </c>
      <c r="X162" s="54">
        <v>68.900000000000006</v>
      </c>
      <c r="Y162" s="56">
        <f t="shared" si="8"/>
        <v>148.5025</v>
      </c>
      <c r="AA162" s="10">
        <v>34</v>
      </c>
      <c r="AC162" s="2" t="str">
        <f t="shared" si="7"/>
        <v>None</v>
      </c>
    </row>
    <row r="163" spans="2:29" ht="18" customHeight="1" x14ac:dyDescent="0.2">
      <c r="B163" s="8">
        <f>garage!B163</f>
        <v>163</v>
      </c>
      <c r="C163" s="8">
        <f>garage!C163</f>
        <v>4</v>
      </c>
      <c r="D163" s="8">
        <f>garage!D163</f>
        <v>35</v>
      </c>
      <c r="E163" s="8">
        <f>garage!E163</f>
        <v>0</v>
      </c>
      <c r="F163" s="8" t="str">
        <f>garage!F163</f>
        <v>--</v>
      </c>
      <c r="G163" s="8" t="str">
        <f>garage!G163</f>
        <v>O</v>
      </c>
      <c r="H163" s="8" t="str">
        <f>garage!H163</f>
        <v>O</v>
      </c>
      <c r="I163" s="8" t="str">
        <f>garage!I163</f>
        <v>O</v>
      </c>
      <c r="J163" s="8" t="str">
        <f>garage!J203</f>
        <v>N</v>
      </c>
      <c r="K163" s="8" t="str">
        <f>garage!K163</f>
        <v>A</v>
      </c>
      <c r="L163" s="9" t="str">
        <f>garage!L163</f>
        <v>Genty</v>
      </c>
      <c r="M163" s="9" t="str">
        <f>garage!M163</f>
        <v>Akylone</v>
      </c>
      <c r="O163" s="53">
        <v>354</v>
      </c>
      <c r="P163" s="53">
        <v>75.7</v>
      </c>
      <c r="Q163" s="53">
        <v>49.56</v>
      </c>
      <c r="R163" s="53">
        <v>53.16</v>
      </c>
      <c r="S163" s="55">
        <f t="shared" si="9"/>
        <v>133.10499999999999</v>
      </c>
      <c r="U163" s="53">
        <v>371.7</v>
      </c>
      <c r="V163" s="53">
        <v>82.93</v>
      </c>
      <c r="W163" s="53">
        <v>67.81</v>
      </c>
      <c r="X163" s="53">
        <v>70.349999999999994</v>
      </c>
      <c r="Y163" s="55">
        <f t="shared" si="8"/>
        <v>148.19750000000002</v>
      </c>
      <c r="AA163" s="8">
        <v>35</v>
      </c>
      <c r="AC163" s="2" t="str">
        <f t="shared" si="7"/>
        <v>None</v>
      </c>
    </row>
    <row r="164" spans="2:29" ht="18" customHeight="1" x14ac:dyDescent="0.2">
      <c r="B164" s="10">
        <f>garage!B164</f>
        <v>164</v>
      </c>
      <c r="C164" s="10">
        <f>garage!C164</f>
        <v>4</v>
      </c>
      <c r="D164" s="10">
        <f>garage!D164</f>
        <v>36</v>
      </c>
      <c r="E164" s="10">
        <f>garage!E164</f>
        <v>0</v>
      </c>
      <c r="F164" s="10" t="str">
        <f>garage!F164</f>
        <v>--</v>
      </c>
      <c r="G164" s="10" t="str">
        <f>garage!G164</f>
        <v>O</v>
      </c>
      <c r="H164" s="10" t="str">
        <f>garage!H164</f>
        <v>N</v>
      </c>
      <c r="I164" s="10" t="str">
        <f>garage!I164</f>
        <v>N</v>
      </c>
      <c r="J164" s="10" t="str">
        <f>garage!J204</f>
        <v>N</v>
      </c>
      <c r="K164" s="10" t="str">
        <f>garage!K164</f>
        <v>A</v>
      </c>
      <c r="L164" s="11" t="str">
        <f>garage!L164</f>
        <v>Techrules</v>
      </c>
      <c r="M164" s="11" t="str">
        <f>garage!M164</f>
        <v>AT96 track version</v>
      </c>
      <c r="O164" s="54">
        <v>350</v>
      </c>
      <c r="P164" s="54">
        <v>77.5</v>
      </c>
      <c r="Q164" s="54">
        <v>52.98</v>
      </c>
      <c r="R164" s="54">
        <v>46.61</v>
      </c>
      <c r="S164" s="56">
        <f t="shared" si="9"/>
        <v>131.77250000000001</v>
      </c>
      <c r="U164" s="54">
        <v>364.6</v>
      </c>
      <c r="V164" s="54">
        <v>85.53</v>
      </c>
      <c r="W164" s="54">
        <v>75.739999999999995</v>
      </c>
      <c r="X164" s="54">
        <v>69.650000000000006</v>
      </c>
      <c r="Y164" s="56">
        <f t="shared" si="8"/>
        <v>148.88</v>
      </c>
      <c r="AA164" s="10">
        <v>36</v>
      </c>
      <c r="AC164" s="2" t="str">
        <f t="shared" si="7"/>
        <v>None</v>
      </c>
    </row>
    <row r="165" spans="2:29" ht="18" customHeight="1" x14ac:dyDescent="0.2">
      <c r="B165" s="10">
        <f>garage!B165</f>
        <v>165</v>
      </c>
      <c r="C165" s="10">
        <f>garage!C165</f>
        <v>4</v>
      </c>
      <c r="D165" s="10">
        <f>garage!D165</f>
        <v>37</v>
      </c>
      <c r="E165" s="10">
        <f>garage!E165</f>
        <v>32</v>
      </c>
      <c r="F165" s="10" t="str">
        <f>garage!F165</f>
        <v>--</v>
      </c>
      <c r="G165" s="10" t="str">
        <f>garage!G165</f>
        <v>N</v>
      </c>
      <c r="H165" s="10" t="str">
        <f>garage!H165</f>
        <v>N</v>
      </c>
      <c r="I165" s="10" t="str">
        <f>garage!I165</f>
        <v>N</v>
      </c>
      <c r="J165" s="10" t="str">
        <f>garage!J205</f>
        <v>N</v>
      </c>
      <c r="K165" s="10" t="str">
        <f>garage!K165</f>
        <v>A</v>
      </c>
      <c r="L165" s="11" t="str">
        <f>garage!L165</f>
        <v>Noble</v>
      </c>
      <c r="M165" s="11" t="str">
        <f>garage!M165</f>
        <v>M600 Speedster</v>
      </c>
      <c r="O165" s="54">
        <v>361</v>
      </c>
      <c r="P165" s="54">
        <v>73</v>
      </c>
      <c r="Q165" s="54">
        <v>62</v>
      </c>
      <c r="R165" s="54">
        <v>30.98</v>
      </c>
      <c r="S165" s="56">
        <f t="shared" si="9"/>
        <v>131.745</v>
      </c>
      <c r="U165" s="54">
        <v>375.7</v>
      </c>
      <c r="V165" s="54">
        <v>81.3</v>
      </c>
      <c r="W165" s="54">
        <v>58.47</v>
      </c>
      <c r="X165" s="54">
        <v>61.71</v>
      </c>
      <c r="Y165" s="56">
        <f t="shared" si="8"/>
        <v>144.29500000000002</v>
      </c>
      <c r="AA165" s="10"/>
      <c r="AC165" s="2" t="str">
        <f t="shared" si="7"/>
        <v>None</v>
      </c>
    </row>
    <row r="166" spans="2:29" ht="18" customHeight="1" x14ac:dyDescent="0.2">
      <c r="B166" s="8">
        <f>garage!B166</f>
        <v>166</v>
      </c>
      <c r="C166" s="8">
        <f>garage!C166</f>
        <v>4</v>
      </c>
      <c r="D166" s="8">
        <f>garage!D166</f>
        <v>38</v>
      </c>
      <c r="E166" s="8">
        <f>garage!E166</f>
        <v>21</v>
      </c>
      <c r="F166" s="8" t="str">
        <f>garage!F166</f>
        <v>--</v>
      </c>
      <c r="G166" s="8" t="str">
        <f>garage!G166</f>
        <v>O</v>
      </c>
      <c r="H166" s="8" t="str">
        <f>garage!H166</f>
        <v>N</v>
      </c>
      <c r="I166" s="8" t="str">
        <f>garage!I166</f>
        <v>N</v>
      </c>
      <c r="J166" s="8" t="str">
        <f>garage!J206</f>
        <v>N</v>
      </c>
      <c r="K166" s="8" t="str">
        <f>garage!K166</f>
        <v>A</v>
      </c>
      <c r="L166" s="9" t="str">
        <f>garage!L166</f>
        <v>Rimac</v>
      </c>
      <c r="M166" s="9" t="str">
        <f>garage!M166</f>
        <v>Concept_One</v>
      </c>
      <c r="O166" s="53">
        <v>355</v>
      </c>
      <c r="P166" s="53">
        <v>77.5</v>
      </c>
      <c r="Q166" s="53">
        <v>59.7</v>
      </c>
      <c r="R166" s="53">
        <v>33.700000000000003</v>
      </c>
      <c r="S166" s="55">
        <f t="shared" si="9"/>
        <v>131.47499999999999</v>
      </c>
      <c r="U166" s="53">
        <v>368.5</v>
      </c>
      <c r="V166" s="53">
        <v>86.34</v>
      </c>
      <c r="W166" s="53">
        <v>84.08</v>
      </c>
      <c r="X166" s="53">
        <v>54.53</v>
      </c>
      <c r="Y166" s="55">
        <f t="shared" si="8"/>
        <v>148.36250000000001</v>
      </c>
      <c r="AA166" s="8">
        <v>37</v>
      </c>
      <c r="AC166" s="2" t="str">
        <f t="shared" si="7"/>
        <v>None</v>
      </c>
    </row>
    <row r="167" spans="2:29" ht="18" customHeight="1" x14ac:dyDescent="0.2">
      <c r="B167" s="10">
        <f>garage!B167</f>
        <v>167</v>
      </c>
      <c r="C167" s="10">
        <f>garage!C167</f>
        <v>4</v>
      </c>
      <c r="D167" s="10">
        <f>garage!D167</f>
        <v>39</v>
      </c>
      <c r="E167" s="10">
        <f>garage!E167</f>
        <v>14</v>
      </c>
      <c r="F167" s="10" t="str">
        <f>garage!F167</f>
        <v>AM</v>
      </c>
      <c r="G167" s="10" t="str">
        <f>garage!G167</f>
        <v>O</v>
      </c>
      <c r="H167" s="10" t="str">
        <f>garage!H167</f>
        <v>O</v>
      </c>
      <c r="I167" s="10" t="str">
        <f>garage!I167</f>
        <v>N</v>
      </c>
      <c r="J167" s="10" t="str">
        <f>garage!J207</f>
        <v>N</v>
      </c>
      <c r="K167" s="10" t="str">
        <f>garage!K167</f>
        <v>A</v>
      </c>
      <c r="L167" s="11" t="str">
        <f>garage!L167</f>
        <v>Aston Martin</v>
      </c>
      <c r="M167" s="11" t="str">
        <f>garage!M167</f>
        <v>Valhalla Concept Car</v>
      </c>
      <c r="O167" s="54">
        <v>354</v>
      </c>
      <c r="P167" s="54">
        <v>77.41</v>
      </c>
      <c r="Q167" s="54">
        <v>57.27</v>
      </c>
      <c r="R167" s="54">
        <v>43.91</v>
      </c>
      <c r="S167" s="56">
        <f t="shared" si="9"/>
        <v>133.14749999999998</v>
      </c>
      <c r="U167" s="54">
        <v>377.4</v>
      </c>
      <c r="V167" s="54">
        <v>82.23</v>
      </c>
      <c r="W167" s="54">
        <v>81.760000000000005</v>
      </c>
      <c r="X167" s="54">
        <v>59.55</v>
      </c>
      <c r="Y167" s="56">
        <f t="shared" si="8"/>
        <v>150.23499999999999</v>
      </c>
      <c r="AA167" s="10">
        <v>38</v>
      </c>
      <c r="AC167" s="2" t="str">
        <f t="shared" si="7"/>
        <v>Done</v>
      </c>
    </row>
    <row r="168" spans="2:29" ht="18" customHeight="1" x14ac:dyDescent="0.2">
      <c r="B168" s="8">
        <f>garage!B168</f>
        <v>168</v>
      </c>
      <c r="C168" s="8">
        <f>garage!C168</f>
        <v>4</v>
      </c>
      <c r="D168" s="8">
        <f>garage!D168</f>
        <v>40</v>
      </c>
      <c r="E168" s="8">
        <f>garage!E168</f>
        <v>18</v>
      </c>
      <c r="F168" s="8" t="str">
        <f>garage!F168</f>
        <v>--</v>
      </c>
      <c r="G168" s="8" t="str">
        <f>garage!G168</f>
        <v>O</v>
      </c>
      <c r="H168" s="8" t="str">
        <f>garage!H168</f>
        <v>N</v>
      </c>
      <c r="I168" s="8" t="str">
        <f>garage!I168</f>
        <v>N</v>
      </c>
      <c r="J168" s="8" t="str">
        <f>garage!J208</f>
        <v>N</v>
      </c>
      <c r="K168" s="8" t="str">
        <f>garage!K168</f>
        <v>A</v>
      </c>
      <c r="L168" s="9" t="str">
        <f>garage!L168</f>
        <v>Pagani</v>
      </c>
      <c r="M168" s="9" t="str">
        <f>garage!M168</f>
        <v>Imola</v>
      </c>
      <c r="O168" s="53">
        <v>360</v>
      </c>
      <c r="P168" s="53">
        <v>73</v>
      </c>
      <c r="Q168" s="53">
        <v>47.83</v>
      </c>
      <c r="R168" s="53">
        <v>51.73</v>
      </c>
      <c r="S168" s="55">
        <f t="shared" si="9"/>
        <v>133.13999999999999</v>
      </c>
      <c r="U168" s="53">
        <v>378.9</v>
      </c>
      <c r="V168" s="53">
        <v>80.23</v>
      </c>
      <c r="W168" s="53">
        <v>72.17</v>
      </c>
      <c r="X168" s="53">
        <v>71.14</v>
      </c>
      <c r="Y168" s="55">
        <f t="shared" si="8"/>
        <v>150.60999999999999</v>
      </c>
      <c r="AA168" s="8">
        <v>39</v>
      </c>
      <c r="AC168" s="2" t="str">
        <f t="shared" si="7"/>
        <v>Done</v>
      </c>
    </row>
    <row r="169" spans="2:29" ht="18" customHeight="1" x14ac:dyDescent="0.2">
      <c r="B169" s="10">
        <f>garage!B169</f>
        <v>169</v>
      </c>
      <c r="C169" s="10">
        <f>garage!C169</f>
        <v>4</v>
      </c>
      <c r="D169" s="10">
        <f>garage!D169</f>
        <v>41</v>
      </c>
      <c r="E169" s="10">
        <f>garage!E169</f>
        <v>30</v>
      </c>
      <c r="F169" s="10" t="str">
        <f>garage!F169</f>
        <v>--</v>
      </c>
      <c r="G169" s="10" t="str">
        <f>garage!G169</f>
        <v>N</v>
      </c>
      <c r="H169" s="10" t="str">
        <f>garage!H169</f>
        <v>N</v>
      </c>
      <c r="I169" s="10" t="str">
        <f>garage!I169</f>
        <v>N</v>
      </c>
      <c r="J169" s="10" t="str">
        <f>garage!J209</f>
        <v>N</v>
      </c>
      <c r="K169" s="10" t="str">
        <f>garage!K169</f>
        <v>A</v>
      </c>
      <c r="L169" s="11" t="str">
        <f>garage!L169</f>
        <v>Jaguar</v>
      </c>
      <c r="M169" s="11" t="str">
        <f>garage!M169</f>
        <v>XJR-9</v>
      </c>
      <c r="O169" s="54">
        <v>394</v>
      </c>
      <c r="P169" s="54">
        <v>60.4</v>
      </c>
      <c r="Q169" s="54">
        <v>53.61</v>
      </c>
      <c r="R169" s="54">
        <v>64.180000000000007</v>
      </c>
      <c r="S169" s="56">
        <f t="shared" si="9"/>
        <v>143.04750000000001</v>
      </c>
      <c r="U169" s="54">
        <v>412.3</v>
      </c>
      <c r="V169" s="54">
        <v>69.239999999999995</v>
      </c>
      <c r="W169" s="54">
        <v>59.33</v>
      </c>
      <c r="X169" s="54">
        <v>84.95</v>
      </c>
      <c r="Y169" s="56">
        <f t="shared" si="8"/>
        <v>156.45500000000001</v>
      </c>
      <c r="AA169" s="10">
        <v>40</v>
      </c>
      <c r="AC169" s="2" t="str">
        <f t="shared" si="7"/>
        <v>Done</v>
      </c>
    </row>
    <row r="170" spans="2:29" ht="18" customHeight="1" x14ac:dyDescent="0.2">
      <c r="B170" s="8">
        <f>garage!B170</f>
        <v>170</v>
      </c>
      <c r="C170" s="8">
        <f>garage!C170</f>
        <v>4</v>
      </c>
      <c r="D170" s="8">
        <f>garage!D170</f>
        <v>42</v>
      </c>
      <c r="E170" s="8">
        <f>garage!E170</f>
        <v>25</v>
      </c>
      <c r="F170" s="8" t="str">
        <f>garage!F170</f>
        <v>L</v>
      </c>
      <c r="G170" s="8" t="str">
        <f>garage!G170</f>
        <v>N</v>
      </c>
      <c r="H170" s="8" t="str">
        <f>garage!H170</f>
        <v>N</v>
      </c>
      <c r="I170" s="8" t="str">
        <f>garage!I170</f>
        <v>N</v>
      </c>
      <c r="J170" s="8" t="str">
        <f>garage!J210</f>
        <v>N</v>
      </c>
      <c r="K170" s="8" t="str">
        <f>garage!K170</f>
        <v>A</v>
      </c>
      <c r="L170" s="9" t="str">
        <f>garage!L170</f>
        <v>Lamborghini</v>
      </c>
      <c r="M170" s="9" t="str">
        <f>garage!M170</f>
        <v>Countach LPI 800-4</v>
      </c>
      <c r="O170" s="53">
        <v>355</v>
      </c>
      <c r="P170" s="53">
        <v>74.8</v>
      </c>
      <c r="Q170" s="53">
        <v>55.84</v>
      </c>
      <c r="R170" s="53">
        <v>52.24</v>
      </c>
      <c r="S170" s="55">
        <f t="shared" si="9"/>
        <v>134.47</v>
      </c>
      <c r="U170" s="53">
        <v>373.4</v>
      </c>
      <c r="V170" s="53">
        <v>81.23</v>
      </c>
      <c r="W170" s="53">
        <v>85.96</v>
      </c>
      <c r="X170" s="53">
        <v>72.400000000000006</v>
      </c>
      <c r="Y170" s="55">
        <f t="shared" si="8"/>
        <v>153.2475</v>
      </c>
      <c r="AA170" s="8">
        <v>41</v>
      </c>
      <c r="AC170" s="2" t="str">
        <f t="shared" si="7"/>
        <v>Done</v>
      </c>
    </row>
    <row r="171" spans="2:29" ht="18" customHeight="1" x14ac:dyDescent="0.2">
      <c r="B171" s="10">
        <f>garage!B171</f>
        <v>171</v>
      </c>
      <c r="C171" s="10">
        <f>garage!C171</f>
        <v>4</v>
      </c>
      <c r="D171" s="10">
        <f>garage!D171</f>
        <v>43</v>
      </c>
      <c r="E171" s="10">
        <f>garage!E171</f>
        <v>31</v>
      </c>
      <c r="F171" s="10" t="str">
        <f>garage!F171</f>
        <v>--</v>
      </c>
      <c r="G171" s="10" t="str">
        <f>garage!G171</f>
        <v>N</v>
      </c>
      <c r="H171" s="10" t="str">
        <f>garage!H171</f>
        <v>N</v>
      </c>
      <c r="I171" s="10" t="str">
        <f>garage!I171</f>
        <v>N</v>
      </c>
      <c r="J171" s="10" t="str">
        <f>garage!J211</f>
        <v>N</v>
      </c>
      <c r="K171" s="10" t="str">
        <f>garage!K171</f>
        <v>A</v>
      </c>
      <c r="L171" s="11" t="str">
        <f>garage!L171</f>
        <v>De Tomaso</v>
      </c>
      <c r="M171" s="11" t="str">
        <f>garage!M171</f>
        <v>P72</v>
      </c>
      <c r="O171" s="54">
        <v>360</v>
      </c>
      <c r="P171" s="54">
        <v>73.900000000000006</v>
      </c>
      <c r="Q171" s="54">
        <v>54.07</v>
      </c>
      <c r="R171" s="54">
        <v>47.57</v>
      </c>
      <c r="S171" s="56">
        <f t="shared" si="9"/>
        <v>133.88499999999999</v>
      </c>
      <c r="U171" s="54">
        <v>375.6</v>
      </c>
      <c r="V171" s="54">
        <v>82.74</v>
      </c>
      <c r="W171" s="54">
        <v>75.239999999999995</v>
      </c>
      <c r="X171" s="54">
        <v>71.180000000000007</v>
      </c>
      <c r="Y171" s="56">
        <f t="shared" si="8"/>
        <v>151.19</v>
      </c>
      <c r="AA171" s="10">
        <v>42</v>
      </c>
      <c r="AC171" s="2" t="str">
        <f t="shared" si="7"/>
        <v>Done</v>
      </c>
    </row>
    <row r="172" spans="2:29" ht="18" customHeight="1" x14ac:dyDescent="0.2">
      <c r="B172" s="8">
        <f>garage!B172</f>
        <v>172</v>
      </c>
      <c r="C172" s="8">
        <f>garage!C172</f>
        <v>4</v>
      </c>
      <c r="D172" s="8">
        <f>garage!D172</f>
        <v>99</v>
      </c>
      <c r="E172" s="8">
        <f>garage!E172</f>
        <v>20</v>
      </c>
      <c r="F172" s="8" t="str">
        <f>garage!F172</f>
        <v>--</v>
      </c>
      <c r="G172" s="8" t="str">
        <f>garage!G172</f>
        <v>N</v>
      </c>
      <c r="H172" s="8" t="str">
        <f>garage!H172</f>
        <v>N</v>
      </c>
      <c r="I172" s="8" t="str">
        <f>garage!I172</f>
        <v>N</v>
      </c>
      <c r="J172" s="8" t="str">
        <f>garage!J212</f>
        <v>N</v>
      </c>
      <c r="K172" s="8" t="str">
        <f>garage!K172</f>
        <v>A</v>
      </c>
      <c r="L172" s="9" t="str">
        <f>garage!L172</f>
        <v>Lego Technic McLaren</v>
      </c>
      <c r="M172" s="9" t="str">
        <f>garage!M172</f>
        <v>Senna GTR</v>
      </c>
      <c r="O172" s="53">
        <v>335</v>
      </c>
      <c r="P172" s="53">
        <v>74.8</v>
      </c>
      <c r="Q172" s="53">
        <v>57.64</v>
      </c>
      <c r="R172" s="53">
        <v>49.12</v>
      </c>
      <c r="S172" s="55">
        <f t="shared" si="9"/>
        <v>129.13999999999999</v>
      </c>
      <c r="U172" s="53">
        <v>349.8</v>
      </c>
      <c r="V172" s="53">
        <v>82.43</v>
      </c>
      <c r="W172" s="53">
        <v>79.319999999999993</v>
      </c>
      <c r="X172" s="53">
        <v>65.28</v>
      </c>
      <c r="Y172" s="55">
        <f t="shared" si="8"/>
        <v>144.20750000000001</v>
      </c>
      <c r="AA172" s="8">
        <v>99</v>
      </c>
      <c r="AC172" s="2" t="str">
        <f>IF(Y172&gt;150,"Done","None")</f>
        <v>None</v>
      </c>
    </row>
    <row r="173" spans="2:29" ht="18" customHeight="1" x14ac:dyDescent="0.2">
      <c r="B173" s="10">
        <f>garage!B173</f>
        <v>173</v>
      </c>
      <c r="C173" s="10">
        <f>garage!C173</f>
        <v>5</v>
      </c>
      <c r="D173" s="10">
        <f>garage!D173</f>
        <v>1</v>
      </c>
      <c r="E173" s="10">
        <f>garage!E173</f>
        <v>0</v>
      </c>
      <c r="F173" s="10" t="str">
        <f>garage!F173</f>
        <v>L</v>
      </c>
      <c r="G173" s="10" t="str">
        <f>garage!G173</f>
        <v>O</v>
      </c>
      <c r="H173" s="10" t="str">
        <f>garage!H173</f>
        <v>O</v>
      </c>
      <c r="I173" s="10" t="str">
        <f>garage!I173</f>
        <v>O</v>
      </c>
      <c r="J173" s="10" t="str">
        <f>garage!J213</f>
        <v>N</v>
      </c>
      <c r="K173" s="10" t="str">
        <f>garage!K173</f>
        <v>S</v>
      </c>
      <c r="L173" s="11" t="str">
        <f>garage!L173</f>
        <v>Lamborghini</v>
      </c>
      <c r="M173" s="11" t="str">
        <f>garage!M173</f>
        <v>Centenario</v>
      </c>
      <c r="O173" s="54">
        <v>350</v>
      </c>
      <c r="P173" s="54">
        <v>74.8</v>
      </c>
      <c r="Q173" s="54">
        <v>39.22</v>
      </c>
      <c r="R173" s="54">
        <v>61.9</v>
      </c>
      <c r="S173" s="56">
        <f t="shared" si="9"/>
        <v>131.47999999999999</v>
      </c>
      <c r="U173" s="54">
        <v>363.9</v>
      </c>
      <c r="V173" s="54">
        <v>80.48</v>
      </c>
      <c r="W173" s="54">
        <v>47.46</v>
      </c>
      <c r="X173" s="54">
        <v>70.31</v>
      </c>
      <c r="Y173" s="56">
        <f t="shared" si="8"/>
        <v>140.53749999999999</v>
      </c>
      <c r="AA173" s="10">
        <v>1</v>
      </c>
      <c r="AC173" s="2" t="str">
        <f>IF(Y173&gt;159,"Done","None")</f>
        <v>None</v>
      </c>
    </row>
    <row r="174" spans="2:29" ht="18" customHeight="1" x14ac:dyDescent="0.2">
      <c r="B174" s="8">
        <f>garage!B174</f>
        <v>174</v>
      </c>
      <c r="C174" s="8">
        <f>garage!C174</f>
        <v>5</v>
      </c>
      <c r="D174" s="8">
        <f>garage!D174</f>
        <v>2</v>
      </c>
      <c r="E174" s="8">
        <f>garage!E174</f>
        <v>0</v>
      </c>
      <c r="F174" s="8" t="str">
        <f>garage!F174</f>
        <v>F</v>
      </c>
      <c r="G174" s="8" t="str">
        <f>garage!G174</f>
        <v>O</v>
      </c>
      <c r="H174" s="8" t="str">
        <f>garage!H174</f>
        <v>O</v>
      </c>
      <c r="I174" s="8" t="str">
        <f>garage!I174</f>
        <v>O</v>
      </c>
      <c r="J174" s="8" t="str">
        <f>garage!J214</f>
        <v>N</v>
      </c>
      <c r="K174" s="8" t="str">
        <f>garage!K174</f>
        <v>S</v>
      </c>
      <c r="L174" s="9" t="str">
        <f>garage!L174</f>
        <v>Ferrari</v>
      </c>
      <c r="M174" s="9" t="str">
        <f>garage!M174</f>
        <v>FXX K</v>
      </c>
      <c r="O174" s="53">
        <v>350</v>
      </c>
      <c r="P174" s="53">
        <v>76.59</v>
      </c>
      <c r="Q174" s="53">
        <v>38.450000000000003</v>
      </c>
      <c r="R174" s="53">
        <v>64.95</v>
      </c>
      <c r="S174" s="55">
        <f t="shared" si="9"/>
        <v>132.4975</v>
      </c>
      <c r="U174" s="53">
        <v>363.1</v>
      </c>
      <c r="V174" s="53">
        <v>83.9</v>
      </c>
      <c r="W174" s="53">
        <v>43.75</v>
      </c>
      <c r="X174" s="53">
        <v>72.39</v>
      </c>
      <c r="Y174" s="55">
        <f t="shared" si="8"/>
        <v>140.785</v>
      </c>
      <c r="AA174" s="8">
        <v>2</v>
      </c>
      <c r="AC174" s="2" t="str">
        <f t="shared" ref="AC174:AC223" si="10">IF(Y174&gt;159,"Done","None")</f>
        <v>None</v>
      </c>
    </row>
    <row r="175" spans="2:29" ht="18" customHeight="1" x14ac:dyDescent="0.2">
      <c r="B175" s="10">
        <f>garage!B175</f>
        <v>175</v>
      </c>
      <c r="C175" s="10">
        <f>garage!C175</f>
        <v>5</v>
      </c>
      <c r="D175" s="10">
        <f>garage!D175</f>
        <v>3</v>
      </c>
      <c r="E175" s="10">
        <f>garage!E175</f>
        <v>0</v>
      </c>
      <c r="F175" s="10" t="str">
        <f>garage!F175</f>
        <v>--</v>
      </c>
      <c r="G175" s="10" t="str">
        <f>garage!G175</f>
        <v>O</v>
      </c>
      <c r="H175" s="10" t="str">
        <f>garage!H175</f>
        <v>O</v>
      </c>
      <c r="I175" s="10" t="str">
        <f>garage!I175</f>
        <v>O</v>
      </c>
      <c r="J175" s="10" t="str">
        <f>garage!J215</f>
        <v>N</v>
      </c>
      <c r="K175" s="10" t="str">
        <f>garage!K175</f>
        <v>S</v>
      </c>
      <c r="L175" s="11" t="str">
        <f>garage!L175</f>
        <v>Icona</v>
      </c>
      <c r="M175" s="11" t="str">
        <f>garage!M175</f>
        <v>Vulcano Titanium</v>
      </c>
      <c r="O175" s="54">
        <v>370</v>
      </c>
      <c r="P175" s="54">
        <v>75.7</v>
      </c>
      <c r="Q175" s="54">
        <v>35.26</v>
      </c>
      <c r="R175" s="54">
        <v>53.84</v>
      </c>
      <c r="S175" s="56">
        <f t="shared" si="9"/>
        <v>133.69999999999999</v>
      </c>
      <c r="U175" s="54">
        <v>381.7</v>
      </c>
      <c r="V175" s="54">
        <v>81.38</v>
      </c>
      <c r="W175" s="54">
        <v>43.38</v>
      </c>
      <c r="X175" s="54">
        <v>65.89</v>
      </c>
      <c r="Y175" s="56">
        <f t="shared" si="8"/>
        <v>143.08750000000001</v>
      </c>
      <c r="AA175" s="10">
        <v>3</v>
      </c>
      <c r="AC175" s="2" t="str">
        <f t="shared" si="10"/>
        <v>None</v>
      </c>
    </row>
    <row r="176" spans="2:29" ht="18" customHeight="1" x14ac:dyDescent="0.2">
      <c r="B176" s="8">
        <f>garage!B176</f>
        <v>176</v>
      </c>
      <c r="C176" s="8">
        <f>garage!C176</f>
        <v>5</v>
      </c>
      <c r="D176" s="8">
        <f>garage!D176</f>
        <v>4</v>
      </c>
      <c r="E176" s="8">
        <f>garage!E176</f>
        <v>0</v>
      </c>
      <c r="F176" s="8" t="str">
        <f>garage!F176</f>
        <v>--</v>
      </c>
      <c r="G176" s="8" t="str">
        <f>garage!G176</f>
        <v>O</v>
      </c>
      <c r="H176" s="8" t="str">
        <f>garage!H176</f>
        <v>O</v>
      </c>
      <c r="I176" s="8" t="str">
        <f>garage!I176</f>
        <v>O</v>
      </c>
      <c r="J176" s="8" t="str">
        <f>garage!J216</f>
        <v>N</v>
      </c>
      <c r="K176" s="8" t="str">
        <f>garage!K176</f>
        <v>S</v>
      </c>
      <c r="L176" s="9" t="str">
        <f>garage!L176</f>
        <v>W Motors</v>
      </c>
      <c r="M176" s="9" t="str">
        <f>garage!M176</f>
        <v>Lykan Hypersport</v>
      </c>
      <c r="O176" s="53">
        <v>395</v>
      </c>
      <c r="P176" s="53">
        <v>74.8</v>
      </c>
      <c r="Q176" s="53">
        <v>37</v>
      </c>
      <c r="R176" s="53">
        <v>39.79</v>
      </c>
      <c r="S176" s="55">
        <f t="shared" si="9"/>
        <v>136.64750000000001</v>
      </c>
      <c r="U176" s="53">
        <v>407.5</v>
      </c>
      <c r="V176" s="53">
        <v>80.48</v>
      </c>
      <c r="W176" s="53">
        <v>40.97</v>
      </c>
      <c r="X176" s="53">
        <v>58.26</v>
      </c>
      <c r="Y176" s="55">
        <f t="shared" si="8"/>
        <v>146.80250000000001</v>
      </c>
      <c r="AA176" s="8">
        <v>4</v>
      </c>
      <c r="AC176" s="2" t="str">
        <f t="shared" si="10"/>
        <v>None</v>
      </c>
    </row>
    <row r="177" spans="2:29" ht="18" customHeight="1" x14ac:dyDescent="0.2">
      <c r="B177" s="10">
        <f>garage!B177</f>
        <v>177</v>
      </c>
      <c r="C177" s="10">
        <f>garage!C177</f>
        <v>5</v>
      </c>
      <c r="D177" s="10">
        <f>garage!D177</f>
        <v>5</v>
      </c>
      <c r="E177" s="10">
        <f>garage!E177</f>
        <v>21</v>
      </c>
      <c r="F177" s="10" t="str">
        <f>garage!F177</f>
        <v>--</v>
      </c>
      <c r="G177" s="10" t="str">
        <f>garage!G177</f>
        <v>N</v>
      </c>
      <c r="H177" s="10" t="str">
        <f>garage!H177</f>
        <v>N</v>
      </c>
      <c r="I177" s="10" t="str">
        <f>garage!I177</f>
        <v>N</v>
      </c>
      <c r="J177" s="10" t="str">
        <f>garage!J217</f>
        <v>N</v>
      </c>
      <c r="K177" s="10" t="str">
        <f>garage!K177</f>
        <v>S</v>
      </c>
      <c r="L177" s="11" t="str">
        <f>garage!L177</f>
        <v>Raesr</v>
      </c>
      <c r="M177" s="11" t="str">
        <f>garage!M177</f>
        <v>Tachyon Speed</v>
      </c>
      <c r="O177" s="54">
        <v>389</v>
      </c>
      <c r="P177" s="54">
        <v>73.45</v>
      </c>
      <c r="Q177" s="54">
        <v>44.85</v>
      </c>
      <c r="R177" s="54">
        <v>43.75</v>
      </c>
      <c r="S177" s="56">
        <f t="shared" si="9"/>
        <v>137.76249999999999</v>
      </c>
      <c r="U177" s="54">
        <v>400.3</v>
      </c>
      <c r="V177" s="54">
        <v>77.91</v>
      </c>
      <c r="W177" s="54">
        <v>53.44</v>
      </c>
      <c r="X177" s="54">
        <v>59.94</v>
      </c>
      <c r="Y177" s="56">
        <f t="shared" si="8"/>
        <v>147.89750000000004</v>
      </c>
      <c r="AA177" s="10">
        <v>5</v>
      </c>
      <c r="AC177" s="2" t="str">
        <f t="shared" si="10"/>
        <v>None</v>
      </c>
    </row>
    <row r="178" spans="2:29" ht="18" customHeight="1" x14ac:dyDescent="0.2">
      <c r="B178" s="8">
        <f>garage!B178</f>
        <v>178</v>
      </c>
      <c r="C178" s="8">
        <f>garage!C178</f>
        <v>5</v>
      </c>
      <c r="D178" s="8">
        <f>garage!D178</f>
        <v>6</v>
      </c>
      <c r="E178" s="8">
        <f>garage!E178</f>
        <v>12</v>
      </c>
      <c r="F178" s="8" t="str">
        <f>garage!F178</f>
        <v>L</v>
      </c>
      <c r="G178" s="8" t="str">
        <f>garage!G178</f>
        <v>O</v>
      </c>
      <c r="H178" s="8" t="str">
        <f>garage!H178</f>
        <v>O</v>
      </c>
      <c r="I178" s="8" t="str">
        <f>garage!I178</f>
        <v>O</v>
      </c>
      <c r="J178" s="8" t="str">
        <f>garage!J218</f>
        <v>N</v>
      </c>
      <c r="K178" s="8" t="str">
        <f>garage!K178</f>
        <v>S</v>
      </c>
      <c r="L178" s="9" t="str">
        <f>garage!L178</f>
        <v>Lamborghini</v>
      </c>
      <c r="M178" s="9" t="str">
        <f>garage!M178</f>
        <v>Veneno</v>
      </c>
      <c r="O178" s="53">
        <v>355</v>
      </c>
      <c r="P178" s="53">
        <v>73.900000000000006</v>
      </c>
      <c r="Q178" s="53">
        <v>53.52</v>
      </c>
      <c r="R178" s="53">
        <v>61.51</v>
      </c>
      <c r="S178" s="55">
        <f t="shared" si="9"/>
        <v>135.98249999999999</v>
      </c>
      <c r="U178" s="53">
        <v>370.2</v>
      </c>
      <c r="V178" s="53">
        <v>81.2</v>
      </c>
      <c r="W178" s="53">
        <v>62.39</v>
      </c>
      <c r="X178" s="53">
        <v>78.790000000000006</v>
      </c>
      <c r="Y178" s="55">
        <f t="shared" si="8"/>
        <v>148.14499999999998</v>
      </c>
      <c r="AA178" s="8">
        <v>6</v>
      </c>
      <c r="AC178" s="2" t="str">
        <f t="shared" si="10"/>
        <v>None</v>
      </c>
    </row>
    <row r="179" spans="2:29" ht="18" customHeight="1" x14ac:dyDescent="0.2">
      <c r="B179" s="10">
        <f>garage!B179</f>
        <v>179</v>
      </c>
      <c r="C179" s="10">
        <f>garage!C179</f>
        <v>5</v>
      </c>
      <c r="D179" s="10">
        <f>garage!D179</f>
        <v>7</v>
      </c>
      <c r="E179" s="10">
        <f>garage!E179</f>
        <v>23</v>
      </c>
      <c r="F179" s="10" t="str">
        <f>garage!F179</f>
        <v>--</v>
      </c>
      <c r="G179" s="10" t="str">
        <f>garage!G179</f>
        <v>N</v>
      </c>
      <c r="H179" s="10" t="str">
        <f>garage!H179</f>
        <v>N</v>
      </c>
      <c r="I179" s="10" t="str">
        <f>garage!I179</f>
        <v>N</v>
      </c>
      <c r="J179" s="10" t="str">
        <f>garage!J219</f>
        <v>N</v>
      </c>
      <c r="K179" s="10" t="str">
        <f>garage!K179</f>
        <v>S</v>
      </c>
      <c r="L179" s="11" t="str">
        <f>garage!L179</f>
        <v>Jaguar</v>
      </c>
      <c r="M179" s="11" t="str">
        <f>garage!M179</f>
        <v>XJ220S TWR</v>
      </c>
      <c r="O179" s="54">
        <v>368</v>
      </c>
      <c r="P179" s="54">
        <v>70.3</v>
      </c>
      <c r="Q179" s="54">
        <v>50.19</v>
      </c>
      <c r="R179" s="54">
        <v>67.37</v>
      </c>
      <c r="S179" s="56">
        <f t="shared" si="9"/>
        <v>138.965</v>
      </c>
      <c r="U179" s="54">
        <v>383.2</v>
      </c>
      <c r="V179" s="54">
        <v>75.17</v>
      </c>
      <c r="W179" s="54">
        <v>60.57</v>
      </c>
      <c r="X179" s="54">
        <v>82.21</v>
      </c>
      <c r="Y179" s="56">
        <f t="shared" si="8"/>
        <v>150.28750000000002</v>
      </c>
      <c r="AA179" s="10">
        <v>7</v>
      </c>
      <c r="AC179" s="2" t="str">
        <f t="shared" si="10"/>
        <v>None</v>
      </c>
    </row>
    <row r="180" spans="2:29" ht="18" customHeight="1" x14ac:dyDescent="0.2">
      <c r="B180" s="8">
        <f>garage!B180</f>
        <v>180</v>
      </c>
      <c r="C180" s="8">
        <f>garage!C180</f>
        <v>5</v>
      </c>
      <c r="D180" s="8">
        <f>garage!D180</f>
        <v>8</v>
      </c>
      <c r="E180" s="8">
        <f>garage!E180</f>
        <v>0</v>
      </c>
      <c r="F180" s="8" t="str">
        <f>garage!F180</f>
        <v>L</v>
      </c>
      <c r="G180" s="8" t="str">
        <f>garage!G180</f>
        <v>O</v>
      </c>
      <c r="H180" s="8" t="str">
        <f>garage!H180</f>
        <v>O</v>
      </c>
      <c r="I180" s="8" t="str">
        <f>garage!I180</f>
        <v>O</v>
      </c>
      <c r="J180" s="8" t="str">
        <f>garage!J220</f>
        <v>N</v>
      </c>
      <c r="K180" s="8" t="str">
        <f>garage!K180</f>
        <v>S</v>
      </c>
      <c r="L180" s="9" t="str">
        <f>garage!L180</f>
        <v>Lamborghini</v>
      </c>
      <c r="M180" s="9" t="str">
        <f>garage!M180</f>
        <v>Egoista</v>
      </c>
      <c r="O180" s="53">
        <v>350</v>
      </c>
      <c r="P180" s="53">
        <v>78.400000000000006</v>
      </c>
      <c r="Q180" s="53">
        <v>49.16</v>
      </c>
      <c r="R180" s="53">
        <v>65.97</v>
      </c>
      <c r="S180" s="55">
        <f t="shared" si="9"/>
        <v>135.88249999999999</v>
      </c>
      <c r="U180" s="53">
        <v>366.4</v>
      </c>
      <c r="V180" s="53">
        <v>84.48</v>
      </c>
      <c r="W180" s="53">
        <v>61.54</v>
      </c>
      <c r="X180" s="53">
        <v>72.02</v>
      </c>
      <c r="Y180" s="55">
        <f t="shared" si="8"/>
        <v>146.10999999999999</v>
      </c>
      <c r="AA180" s="8">
        <v>8</v>
      </c>
      <c r="AC180" s="2" t="str">
        <f t="shared" si="10"/>
        <v>None</v>
      </c>
    </row>
    <row r="181" spans="2:29" ht="18" customHeight="1" x14ac:dyDescent="0.2">
      <c r="B181" s="10">
        <f>garage!B181</f>
        <v>181</v>
      </c>
      <c r="C181" s="10">
        <f>garage!C181</f>
        <v>5</v>
      </c>
      <c r="D181" s="10">
        <f>garage!D181</f>
        <v>9</v>
      </c>
      <c r="E181" s="10">
        <f>garage!E181</f>
        <v>28</v>
      </c>
      <c r="F181" s="10" t="str">
        <f>garage!F181</f>
        <v>--</v>
      </c>
      <c r="G181" s="10" t="str">
        <f>garage!G181</f>
        <v>N</v>
      </c>
      <c r="H181" s="10" t="str">
        <f>garage!H181</f>
        <v>N</v>
      </c>
      <c r="I181" s="10" t="str">
        <f>garage!I181</f>
        <v>N</v>
      </c>
      <c r="J181" s="10" t="str">
        <f>garage!J221</f>
        <v>N</v>
      </c>
      <c r="K181" s="10" t="str">
        <f>garage!K181</f>
        <v>S</v>
      </c>
      <c r="L181" s="11" t="str">
        <f>garage!L181</f>
        <v>Chrysler</v>
      </c>
      <c r="M181" s="11" t="str">
        <f>garage!M181</f>
        <v>ME412</v>
      </c>
      <c r="O181" s="54">
        <v>385.8</v>
      </c>
      <c r="P181" s="54">
        <v>67.599999999999994</v>
      </c>
      <c r="Q181" s="54">
        <v>54.84</v>
      </c>
      <c r="R181" s="54">
        <v>48.95</v>
      </c>
      <c r="S181" s="56">
        <f t="shared" si="9"/>
        <v>139.29750000000001</v>
      </c>
      <c r="U181" s="54">
        <v>399.1</v>
      </c>
      <c r="V181" s="54">
        <v>74.900000000000006</v>
      </c>
      <c r="W181" s="54">
        <v>66.52</v>
      </c>
      <c r="X181" s="54">
        <v>63.39</v>
      </c>
      <c r="Y181" s="56">
        <f t="shared" si="8"/>
        <v>150.97749999999999</v>
      </c>
      <c r="AA181" s="10">
        <v>9</v>
      </c>
      <c r="AC181" s="2" t="str">
        <f t="shared" si="10"/>
        <v>None</v>
      </c>
    </row>
    <row r="182" spans="2:29" ht="18" customHeight="1" x14ac:dyDescent="0.2">
      <c r="B182" s="8">
        <f>garage!B182</f>
        <v>182</v>
      </c>
      <c r="C182" s="8">
        <f>garage!C182</f>
        <v>5</v>
      </c>
      <c r="D182" s="8">
        <f>garage!D182</f>
        <v>10</v>
      </c>
      <c r="E182" s="8">
        <f>garage!E182</f>
        <v>0</v>
      </c>
      <c r="F182" s="8" t="str">
        <f>garage!F182</f>
        <v>--</v>
      </c>
      <c r="G182" s="8" t="str">
        <f>garage!G182</f>
        <v>O</v>
      </c>
      <c r="H182" s="8" t="str">
        <f>garage!H182</f>
        <v>O</v>
      </c>
      <c r="I182" s="8" t="str">
        <f>garage!I182</f>
        <v>O</v>
      </c>
      <c r="J182" s="8" t="str">
        <f>garage!J222</f>
        <v>N</v>
      </c>
      <c r="K182" s="8" t="str">
        <f>garage!K182</f>
        <v>S</v>
      </c>
      <c r="L182" s="9" t="str">
        <f>garage!L182</f>
        <v>Trion</v>
      </c>
      <c r="M182" s="9" t="str">
        <f>garage!M182</f>
        <v>Nemesis</v>
      </c>
      <c r="O182" s="53">
        <v>434</v>
      </c>
      <c r="P182" s="53">
        <v>73.900000000000006</v>
      </c>
      <c r="Q182" s="53">
        <v>39.450000000000003</v>
      </c>
      <c r="R182" s="53">
        <v>35.92</v>
      </c>
      <c r="S182" s="55">
        <f t="shared" si="9"/>
        <v>145.8175</v>
      </c>
      <c r="U182" s="53">
        <v>450.7</v>
      </c>
      <c r="V182" s="53">
        <v>79.98</v>
      </c>
      <c r="W182" s="53">
        <v>48.49</v>
      </c>
      <c r="X182" s="53">
        <v>44.79</v>
      </c>
      <c r="Y182" s="55">
        <f t="shared" si="8"/>
        <v>155.98999999999998</v>
      </c>
      <c r="AA182" s="8">
        <v>10</v>
      </c>
      <c r="AC182" s="2" t="str">
        <f t="shared" si="10"/>
        <v>None</v>
      </c>
    </row>
    <row r="183" spans="2:29" ht="18" customHeight="1" x14ac:dyDescent="0.2">
      <c r="B183" s="10">
        <f>garage!B183</f>
        <v>183</v>
      </c>
      <c r="C183" s="10">
        <f>garage!C183</f>
        <v>5</v>
      </c>
      <c r="D183" s="10">
        <f>garage!D183</f>
        <v>11</v>
      </c>
      <c r="E183" s="10">
        <f>garage!E183</f>
        <v>29</v>
      </c>
      <c r="F183" s="10" t="str">
        <f>garage!F183</f>
        <v>--</v>
      </c>
      <c r="G183" s="10" t="str">
        <f>garage!G183</f>
        <v>N</v>
      </c>
      <c r="H183" s="10" t="str">
        <f>garage!H183</f>
        <v>N</v>
      </c>
      <c r="I183" s="10" t="str">
        <f>garage!I183</f>
        <v>N</v>
      </c>
      <c r="J183" s="10" t="str">
        <f>garage!J223</f>
        <v>N</v>
      </c>
      <c r="K183" s="10" t="str">
        <f>garage!K183</f>
        <v>S</v>
      </c>
      <c r="L183" s="11" t="str">
        <f>garage!L183</f>
        <v>Spania GTA</v>
      </c>
      <c r="M183" s="11" t="str">
        <f>garage!M183</f>
        <v>2015 GTA Spano</v>
      </c>
      <c r="O183" s="54">
        <v>373</v>
      </c>
      <c r="P183" s="54">
        <v>73.900000000000006</v>
      </c>
      <c r="Q183" s="54">
        <v>49.08</v>
      </c>
      <c r="R183" s="54">
        <v>53.09</v>
      </c>
      <c r="S183" s="56">
        <f t="shared" si="9"/>
        <v>137.26749999999998</v>
      </c>
      <c r="U183" s="54">
        <v>383.7</v>
      </c>
      <c r="V183" s="54">
        <v>81.2</v>
      </c>
      <c r="W183" s="54">
        <v>59.72</v>
      </c>
      <c r="X183" s="54">
        <v>69.97</v>
      </c>
      <c r="Y183" s="56">
        <f t="shared" si="8"/>
        <v>148.64750000000001</v>
      </c>
      <c r="AA183" s="10">
        <v>11</v>
      </c>
      <c r="AC183" s="2" t="str">
        <f t="shared" si="10"/>
        <v>None</v>
      </c>
    </row>
    <row r="184" spans="2:29" ht="18" customHeight="1" x14ac:dyDescent="0.2">
      <c r="B184" s="8">
        <f>garage!B184</f>
        <v>184</v>
      </c>
      <c r="C184" s="8">
        <f>garage!C184</f>
        <v>5</v>
      </c>
      <c r="D184" s="8">
        <f>garage!D184</f>
        <v>12</v>
      </c>
      <c r="E184" s="8">
        <f>garage!E184</f>
        <v>15</v>
      </c>
      <c r="F184" s="8" t="str">
        <f>garage!F184</f>
        <v>F</v>
      </c>
      <c r="G184" s="8" t="str">
        <f>garage!G184</f>
        <v>O</v>
      </c>
      <c r="H184" s="8" t="str">
        <f>garage!H184</f>
        <v>N</v>
      </c>
      <c r="I184" s="8" t="str">
        <f>garage!I184</f>
        <v>N</v>
      </c>
      <c r="J184" s="8">
        <f>garage!J224</f>
        <v>0</v>
      </c>
      <c r="K184" s="8" t="str">
        <f>garage!K184</f>
        <v>S</v>
      </c>
      <c r="L184" s="9" t="str">
        <f>garage!L184</f>
        <v>Ferrari</v>
      </c>
      <c r="M184" s="9" t="str">
        <f>garage!M184</f>
        <v>SF90 Stradale</v>
      </c>
      <c r="O184" s="53">
        <v>340</v>
      </c>
      <c r="P184" s="53">
        <v>77.5</v>
      </c>
      <c r="Q184" s="53">
        <v>66.86</v>
      </c>
      <c r="R184" s="53">
        <v>51.64</v>
      </c>
      <c r="S184" s="55">
        <f t="shared" si="9"/>
        <v>134</v>
      </c>
      <c r="U184" s="53">
        <v>355.4</v>
      </c>
      <c r="V184" s="53">
        <v>86.83</v>
      </c>
      <c r="W184" s="53">
        <v>93.51</v>
      </c>
      <c r="X184" s="53">
        <v>71.959999999999994</v>
      </c>
      <c r="Y184" s="55">
        <f t="shared" si="8"/>
        <v>151.92500000000001</v>
      </c>
      <c r="AA184" s="8">
        <v>12</v>
      </c>
      <c r="AC184" s="2" t="str">
        <f t="shared" si="10"/>
        <v>None</v>
      </c>
    </row>
    <row r="185" spans="2:29" ht="18" customHeight="1" x14ac:dyDescent="0.2">
      <c r="B185" s="10">
        <f>garage!B185</f>
        <v>185</v>
      </c>
      <c r="C185" s="10">
        <f>garage!C185</f>
        <v>5</v>
      </c>
      <c r="D185" s="10">
        <f>garage!D185</f>
        <v>13</v>
      </c>
      <c r="E185" s="10">
        <f>garage!E185</f>
        <v>30</v>
      </c>
      <c r="F185" s="10" t="str">
        <f>garage!F185</f>
        <v>--</v>
      </c>
      <c r="G185" s="10" t="str">
        <f>garage!G185</f>
        <v>N</v>
      </c>
      <c r="H185" s="10" t="str">
        <f>garage!H185</f>
        <v>N</v>
      </c>
      <c r="I185" s="10" t="str">
        <f>garage!I185</f>
        <v>N</v>
      </c>
      <c r="J185" s="10">
        <f>garage!J225</f>
        <v>0</v>
      </c>
      <c r="K185" s="10" t="str">
        <f>garage!K185</f>
        <v>S</v>
      </c>
      <c r="L185" s="11" t="str">
        <f>garage!L185</f>
        <v>FV Frangivento</v>
      </c>
      <c r="M185" s="11" t="str">
        <f>garage!M185</f>
        <v>Sorpasso GT3</v>
      </c>
      <c r="O185" s="54">
        <v>382.2</v>
      </c>
      <c r="P185" s="54">
        <v>78.400000000000006</v>
      </c>
      <c r="Q185" s="54">
        <v>48.34</v>
      </c>
      <c r="R185" s="54">
        <v>17.079999999999998</v>
      </c>
      <c r="S185" s="56">
        <f t="shared" si="9"/>
        <v>131.50500000000002</v>
      </c>
      <c r="U185" s="54">
        <v>391.3</v>
      </c>
      <c r="V185" s="54">
        <v>85.7</v>
      </c>
      <c r="W185" s="54">
        <v>56.68</v>
      </c>
      <c r="X185" s="54">
        <v>47.35</v>
      </c>
      <c r="Y185" s="56">
        <f t="shared" si="8"/>
        <v>145.25749999999999</v>
      </c>
      <c r="AA185" s="10">
        <v>13</v>
      </c>
      <c r="AC185" s="2" t="str">
        <f t="shared" si="10"/>
        <v>None</v>
      </c>
    </row>
    <row r="186" spans="2:29" ht="18" customHeight="1" x14ac:dyDescent="0.2">
      <c r="B186" s="8">
        <f>garage!B186</f>
        <v>186</v>
      </c>
      <c r="C186" s="8">
        <f>garage!C186</f>
        <v>5</v>
      </c>
      <c r="D186" s="8">
        <f>garage!D186</f>
        <v>14</v>
      </c>
      <c r="E186" s="8">
        <f>garage!E186</f>
        <v>7</v>
      </c>
      <c r="F186" s="8" t="str">
        <f>garage!F186</f>
        <v>M</v>
      </c>
      <c r="G186" s="8" t="str">
        <f>garage!G186</f>
        <v>O</v>
      </c>
      <c r="H186" s="8" t="str">
        <f>garage!H186</f>
        <v>N</v>
      </c>
      <c r="I186" s="8" t="str">
        <f>garage!I186</f>
        <v>N</v>
      </c>
      <c r="J186" s="8">
        <f>garage!J226</f>
        <v>0</v>
      </c>
      <c r="K186" s="8" t="str">
        <f>garage!K186</f>
        <v>S</v>
      </c>
      <c r="L186" s="9" t="str">
        <f>garage!L186</f>
        <v>McLaren</v>
      </c>
      <c r="M186" s="9" t="str">
        <f>garage!M186</f>
        <v>Senna</v>
      </c>
      <c r="O186" s="53">
        <v>335</v>
      </c>
      <c r="P186" s="53">
        <v>74.8</v>
      </c>
      <c r="Q186" s="53">
        <v>73.569999999999993</v>
      </c>
      <c r="R186" s="53">
        <v>53.07</v>
      </c>
      <c r="S186" s="55">
        <f t="shared" si="9"/>
        <v>134.11000000000001</v>
      </c>
      <c r="U186" s="53">
        <v>358.3</v>
      </c>
      <c r="V186" s="53">
        <v>82.91</v>
      </c>
      <c r="W186" s="53">
        <v>101.81</v>
      </c>
      <c r="X186" s="53">
        <v>78.25</v>
      </c>
      <c r="Y186" s="55">
        <f t="shared" si="8"/>
        <v>155.3175</v>
      </c>
      <c r="AA186" s="8">
        <v>14</v>
      </c>
      <c r="AC186" s="2" t="str">
        <f t="shared" si="10"/>
        <v>None</v>
      </c>
    </row>
    <row r="187" spans="2:29" ht="18" customHeight="1" x14ac:dyDescent="0.2">
      <c r="B187" s="10">
        <f>garage!B187</f>
        <v>187</v>
      </c>
      <c r="C187" s="10">
        <f>garage!C187</f>
        <v>5</v>
      </c>
      <c r="D187" s="10">
        <f>garage!D187</f>
        <v>15</v>
      </c>
      <c r="E187" s="10">
        <f>garage!E187</f>
        <v>20</v>
      </c>
      <c r="F187" s="10" t="str">
        <f>garage!F187</f>
        <v>B</v>
      </c>
      <c r="G187" s="10" t="str">
        <f>garage!G187</f>
        <v>N</v>
      </c>
      <c r="H187" s="10" t="str">
        <f>garage!H187</f>
        <v>N</v>
      </c>
      <c r="I187" s="10" t="str">
        <f>garage!I187</f>
        <v>N</v>
      </c>
      <c r="J187" s="10">
        <f>garage!J227</f>
        <v>0</v>
      </c>
      <c r="K187" s="10" t="str">
        <f>garage!K187</f>
        <v>S</v>
      </c>
      <c r="L187" s="11" t="str">
        <f>garage!L187</f>
        <v>Bugatti</v>
      </c>
      <c r="M187" s="11" t="str">
        <f>garage!M187</f>
        <v>Veyron 16.4 Grand Sport Vitesse</v>
      </c>
      <c r="O187" s="54">
        <v>410</v>
      </c>
      <c r="P187" s="54">
        <v>76.599999999999994</v>
      </c>
      <c r="Q187" s="54">
        <v>40.200000000000003</v>
      </c>
      <c r="R187" s="54">
        <v>37</v>
      </c>
      <c r="S187" s="56">
        <f t="shared" si="9"/>
        <v>140.95000000000002</v>
      </c>
      <c r="U187" s="54">
        <v>419</v>
      </c>
      <c r="V187" s="54">
        <v>81.06</v>
      </c>
      <c r="W187" s="54">
        <v>49.15</v>
      </c>
      <c r="X187" s="54">
        <v>50.72</v>
      </c>
      <c r="Y187" s="56">
        <f t="shared" si="8"/>
        <v>149.98250000000002</v>
      </c>
      <c r="AA187" s="10">
        <v>15</v>
      </c>
      <c r="AC187" s="2" t="str">
        <f t="shared" si="10"/>
        <v>None</v>
      </c>
    </row>
    <row r="188" spans="2:29" ht="18" customHeight="1" x14ac:dyDescent="0.2">
      <c r="B188" s="8">
        <f>garage!B188</f>
        <v>188</v>
      </c>
      <c r="C188" s="8">
        <f>garage!C188</f>
        <v>5</v>
      </c>
      <c r="D188" s="8">
        <f>garage!D188</f>
        <v>16</v>
      </c>
      <c r="E188" s="8">
        <f>garage!E188</f>
        <v>0</v>
      </c>
      <c r="F188" s="8" t="str">
        <f>garage!F188</f>
        <v>L</v>
      </c>
      <c r="G188" s="8" t="str">
        <f>garage!G188</f>
        <v>O</v>
      </c>
      <c r="H188" s="8" t="str">
        <f>garage!H188</f>
        <v>O</v>
      </c>
      <c r="I188" s="8" t="str">
        <f>garage!I188</f>
        <v>O</v>
      </c>
      <c r="J188" s="8">
        <f>garage!J228</f>
        <v>0</v>
      </c>
      <c r="K188" s="8" t="str">
        <f>garage!K188</f>
        <v>S</v>
      </c>
      <c r="L188" s="9" t="str">
        <f>garage!L188</f>
        <v>Lamborghini</v>
      </c>
      <c r="M188" s="9" t="str">
        <f>garage!M188</f>
        <v>Terzo Millennio</v>
      </c>
      <c r="O188" s="53">
        <v>380.8</v>
      </c>
      <c r="P188" s="53">
        <v>78.19</v>
      </c>
      <c r="Q188" s="53">
        <v>45.16</v>
      </c>
      <c r="R188" s="53">
        <v>54.79</v>
      </c>
      <c r="S188" s="55">
        <f t="shared" si="9"/>
        <v>139.73499999999999</v>
      </c>
      <c r="U188" s="53">
        <v>394.3</v>
      </c>
      <c r="V188" s="53">
        <v>82.77</v>
      </c>
      <c r="W188" s="53">
        <v>52.84</v>
      </c>
      <c r="X188" s="53">
        <v>69.290000000000006</v>
      </c>
      <c r="Y188" s="55">
        <f t="shared" si="8"/>
        <v>149.79999999999998</v>
      </c>
      <c r="AA188" s="8">
        <v>16</v>
      </c>
      <c r="AC188" s="2" t="str">
        <f t="shared" si="10"/>
        <v>None</v>
      </c>
    </row>
    <row r="189" spans="2:29" ht="18" customHeight="1" x14ac:dyDescent="0.2">
      <c r="B189" s="10">
        <f>garage!B189</f>
        <v>189</v>
      </c>
      <c r="C189" s="10">
        <f>garage!C189</f>
        <v>5</v>
      </c>
      <c r="D189" s="10">
        <f>garage!D189</f>
        <v>17</v>
      </c>
      <c r="E189" s="10">
        <f>garage!E189</f>
        <v>24</v>
      </c>
      <c r="F189" s="10" t="str">
        <f>garage!F189</f>
        <v>--</v>
      </c>
      <c r="G189" s="10" t="str">
        <f>garage!G189</f>
        <v>O</v>
      </c>
      <c r="H189" s="10" t="str">
        <f>garage!H189</f>
        <v>N</v>
      </c>
      <c r="I189" s="10" t="str">
        <f>garage!I189</f>
        <v>N</v>
      </c>
      <c r="J189" s="10">
        <f>garage!J229</f>
        <v>0</v>
      </c>
      <c r="K189" s="10" t="str">
        <f>garage!K189</f>
        <v>S</v>
      </c>
      <c r="L189" s="11" t="str">
        <f>garage!L189</f>
        <v>Vision</v>
      </c>
      <c r="M189" s="11">
        <f>garage!M189</f>
        <v>1789</v>
      </c>
      <c r="O189" s="54">
        <v>380</v>
      </c>
      <c r="P189" s="54">
        <v>74.8</v>
      </c>
      <c r="Q189" s="54">
        <v>44.08</v>
      </c>
      <c r="R189" s="54">
        <v>47.32</v>
      </c>
      <c r="S189" s="56">
        <f t="shared" si="9"/>
        <v>136.55000000000001</v>
      </c>
      <c r="U189" s="54">
        <v>390.2</v>
      </c>
      <c r="V189" s="54">
        <v>81.290000000000006</v>
      </c>
      <c r="W189" s="54">
        <v>59.91</v>
      </c>
      <c r="X189" s="54">
        <v>72.19</v>
      </c>
      <c r="Y189" s="56">
        <f t="shared" si="8"/>
        <v>150.89749999999998</v>
      </c>
      <c r="AA189" s="10">
        <v>17</v>
      </c>
      <c r="AC189" s="2" t="str">
        <f t="shared" si="10"/>
        <v>None</v>
      </c>
    </row>
    <row r="190" spans="2:29" ht="18" customHeight="1" x14ac:dyDescent="0.2">
      <c r="B190" s="8">
        <f>garage!B190</f>
        <v>190</v>
      </c>
      <c r="C190" s="8">
        <f>garage!C190</f>
        <v>5</v>
      </c>
      <c r="D190" s="8">
        <f>garage!D190</f>
        <v>18</v>
      </c>
      <c r="E190" s="8">
        <f>garage!E190</f>
        <v>0</v>
      </c>
      <c r="F190" s="8" t="str">
        <f>garage!F190</f>
        <v>--</v>
      </c>
      <c r="G190" s="8" t="str">
        <f>garage!G190</f>
        <v>O</v>
      </c>
      <c r="H190" s="8" t="str">
        <f>garage!H190</f>
        <v>O</v>
      </c>
      <c r="I190" s="8" t="str">
        <f>garage!I190</f>
        <v>N</v>
      </c>
      <c r="J190" s="8">
        <f>garage!J230</f>
        <v>0</v>
      </c>
      <c r="K190" s="8" t="str">
        <f>garage!K190</f>
        <v>S</v>
      </c>
      <c r="L190" s="9" t="str">
        <f>garage!L190</f>
        <v>W Motors</v>
      </c>
      <c r="M190" s="9" t="str">
        <f>garage!M190</f>
        <v>Fenyr Supersport</v>
      </c>
      <c r="O190" s="53">
        <v>405</v>
      </c>
      <c r="P190" s="53">
        <v>75.7</v>
      </c>
      <c r="Q190" s="53">
        <v>37.700000000000003</v>
      </c>
      <c r="R190" s="53">
        <v>60.97</v>
      </c>
      <c r="S190" s="55">
        <f t="shared" si="9"/>
        <v>144.8425</v>
      </c>
      <c r="U190" s="53">
        <v>416.9</v>
      </c>
      <c r="V190" s="53">
        <v>82.19</v>
      </c>
      <c r="W190" s="53">
        <v>43.24</v>
      </c>
      <c r="X190" s="53">
        <v>68.599999999999994</v>
      </c>
      <c r="Y190" s="55">
        <f t="shared" si="8"/>
        <v>152.73249999999999</v>
      </c>
      <c r="AA190" s="8">
        <v>18</v>
      </c>
      <c r="AC190" s="2" t="str">
        <f t="shared" si="10"/>
        <v>None</v>
      </c>
    </row>
    <row r="191" spans="2:29" ht="18" customHeight="1" x14ac:dyDescent="0.2">
      <c r="B191" s="10">
        <f>garage!B191</f>
        <v>191</v>
      </c>
      <c r="C191" s="10">
        <f>garage!C191</f>
        <v>5</v>
      </c>
      <c r="D191" s="10">
        <f>garage!D191</f>
        <v>19</v>
      </c>
      <c r="E191" s="10">
        <f>garage!E191</f>
        <v>19</v>
      </c>
      <c r="F191" s="10" t="str">
        <f>garage!F191</f>
        <v>AM</v>
      </c>
      <c r="G191" s="10" t="str">
        <f>garage!G191</f>
        <v>N</v>
      </c>
      <c r="H191" s="10" t="str">
        <f>garage!H191</f>
        <v>N</v>
      </c>
      <c r="I191" s="10" t="str">
        <f>garage!I191</f>
        <v>N</v>
      </c>
      <c r="J191" s="10">
        <f>garage!J231</f>
        <v>0</v>
      </c>
      <c r="K191" s="10" t="str">
        <f>garage!K191</f>
        <v>S</v>
      </c>
      <c r="L191" s="11" t="str">
        <f>garage!L191</f>
        <v>Aston Martin</v>
      </c>
      <c r="M191" s="11" t="str">
        <f>garage!M191</f>
        <v>Valkyrie</v>
      </c>
      <c r="O191" s="54">
        <v>360</v>
      </c>
      <c r="P191" s="54">
        <v>73</v>
      </c>
      <c r="Q191" s="54">
        <v>52.9</v>
      </c>
      <c r="R191" s="54">
        <v>57.97</v>
      </c>
      <c r="S191" s="56">
        <f t="shared" si="9"/>
        <v>135.9675</v>
      </c>
      <c r="U191" s="54">
        <v>378.2</v>
      </c>
      <c r="V191" s="54">
        <v>80.3</v>
      </c>
      <c r="W191" s="54">
        <v>77.91</v>
      </c>
      <c r="X191" s="54">
        <v>76.7</v>
      </c>
      <c r="Y191" s="56">
        <f t="shared" si="8"/>
        <v>153.2775</v>
      </c>
      <c r="AA191" s="10">
        <v>19</v>
      </c>
      <c r="AC191" s="2" t="str">
        <f t="shared" si="10"/>
        <v>None</v>
      </c>
    </row>
    <row r="192" spans="2:29" ht="18" customHeight="1" x14ac:dyDescent="0.2">
      <c r="B192" s="8">
        <f>garage!B192</f>
        <v>192</v>
      </c>
      <c r="C192" s="8">
        <f>garage!C192</f>
        <v>5</v>
      </c>
      <c r="D192" s="8">
        <f>garage!D192</f>
        <v>20</v>
      </c>
      <c r="E192" s="8">
        <f>garage!E192</f>
        <v>0</v>
      </c>
      <c r="F192" s="8" t="str">
        <f>garage!F192</f>
        <v>--</v>
      </c>
      <c r="G192" s="8" t="str">
        <f>garage!G192</f>
        <v>O</v>
      </c>
      <c r="H192" s="8" t="str">
        <f>garage!H192</f>
        <v>O</v>
      </c>
      <c r="I192" s="8" t="str">
        <f>garage!I192</f>
        <v>N</v>
      </c>
      <c r="J192" s="8">
        <f>garage!J232</f>
        <v>0</v>
      </c>
      <c r="K192" s="8" t="str">
        <f>garage!K192</f>
        <v>S</v>
      </c>
      <c r="L192" s="9" t="str">
        <f>garage!L192</f>
        <v>Zenvo</v>
      </c>
      <c r="M192" s="9" t="str">
        <f>garage!M192</f>
        <v>TS1 GT Anniversary</v>
      </c>
      <c r="O192" s="53">
        <v>402</v>
      </c>
      <c r="P192" s="53">
        <v>74.8</v>
      </c>
      <c r="Q192" s="53">
        <v>37.49</v>
      </c>
      <c r="R192" s="53">
        <v>47.09</v>
      </c>
      <c r="S192" s="55">
        <f t="shared" si="9"/>
        <v>140.345</v>
      </c>
      <c r="U192" s="53">
        <v>418.2</v>
      </c>
      <c r="V192" s="53">
        <v>81.290000000000006</v>
      </c>
      <c r="W192" s="53">
        <v>46.66</v>
      </c>
      <c r="X192" s="53">
        <v>63.43</v>
      </c>
      <c r="Y192" s="55">
        <f t="shared" si="8"/>
        <v>152.39499999999998</v>
      </c>
      <c r="AA192" s="8">
        <v>20</v>
      </c>
      <c r="AC192" s="2" t="str">
        <f t="shared" si="10"/>
        <v>None</v>
      </c>
    </row>
    <row r="193" spans="2:29" ht="18" customHeight="1" x14ac:dyDescent="0.2">
      <c r="B193" s="10">
        <f>garage!B193</f>
        <v>193</v>
      </c>
      <c r="C193" s="10">
        <f>garage!C193</f>
        <v>5</v>
      </c>
      <c r="D193" s="10">
        <f>garage!D193</f>
        <v>21</v>
      </c>
      <c r="E193" s="10">
        <f>garage!E193</f>
        <v>8</v>
      </c>
      <c r="F193" s="10" t="str">
        <f>garage!F193</f>
        <v>--</v>
      </c>
      <c r="G193" s="10" t="str">
        <f>garage!G193</f>
        <v>O</v>
      </c>
      <c r="H193" s="10" t="str">
        <f>garage!H193</f>
        <v>N</v>
      </c>
      <c r="I193" s="10" t="str">
        <f>garage!I193</f>
        <v>N</v>
      </c>
      <c r="J193" s="10">
        <f>garage!J233</f>
        <v>0</v>
      </c>
      <c r="K193" s="10" t="str">
        <f>garage!K193</f>
        <v>S</v>
      </c>
      <c r="L193" s="11" t="str">
        <f>garage!L193</f>
        <v>Automobili Pininfarina</v>
      </c>
      <c r="M193" s="11" t="str">
        <f>garage!M193</f>
        <v>Battista</v>
      </c>
      <c r="O193" s="54">
        <v>350</v>
      </c>
      <c r="P193" s="54">
        <v>82</v>
      </c>
      <c r="Q193" s="54">
        <v>56.8</v>
      </c>
      <c r="R193" s="54">
        <v>54.76</v>
      </c>
      <c r="S193" s="56">
        <f t="shared" si="9"/>
        <v>135.89000000000001</v>
      </c>
      <c r="U193" s="54">
        <v>368.5</v>
      </c>
      <c r="V193" s="54">
        <v>88.49</v>
      </c>
      <c r="W193" s="54">
        <v>80.45</v>
      </c>
      <c r="X193" s="54">
        <v>78.260000000000005</v>
      </c>
      <c r="Y193" s="56">
        <f t="shared" si="8"/>
        <v>153.92500000000001</v>
      </c>
      <c r="AA193" s="10">
        <v>21</v>
      </c>
      <c r="AC193" s="2" t="str">
        <f t="shared" si="10"/>
        <v>None</v>
      </c>
    </row>
    <row r="194" spans="2:29" ht="18" customHeight="1" x14ac:dyDescent="0.2">
      <c r="B194" s="8">
        <f>garage!B194</f>
        <v>194</v>
      </c>
      <c r="C194" s="8">
        <f>garage!C194</f>
        <v>5</v>
      </c>
      <c r="D194" s="8">
        <f>garage!D194</f>
        <v>22</v>
      </c>
      <c r="E194" s="8">
        <f>garage!E194</f>
        <v>22</v>
      </c>
      <c r="F194" s="8" t="str">
        <f>garage!F194</f>
        <v>--</v>
      </c>
      <c r="G194" s="8" t="str">
        <f>garage!G194</f>
        <v>N</v>
      </c>
      <c r="H194" s="8" t="str">
        <f>garage!H194</f>
        <v>N</v>
      </c>
      <c r="I194" s="8" t="str">
        <f>garage!I194</f>
        <v>N</v>
      </c>
      <c r="J194" s="8">
        <f>garage!J234</f>
        <v>0</v>
      </c>
      <c r="K194" s="8" t="str">
        <f>garage!K194</f>
        <v>S</v>
      </c>
      <c r="L194" s="9" t="str">
        <f>garage!L194</f>
        <v>Naran</v>
      </c>
      <c r="M194" s="9" t="str">
        <f>garage!M194</f>
        <v>Hyper Coupé</v>
      </c>
      <c r="O194" s="53">
        <v>370</v>
      </c>
      <c r="P194" s="53">
        <v>79.3</v>
      </c>
      <c r="Q194" s="53">
        <v>51.18</v>
      </c>
      <c r="R194" s="53">
        <v>48.53</v>
      </c>
      <c r="S194" s="55">
        <f t="shared" si="9"/>
        <v>137.2525</v>
      </c>
      <c r="U194" s="53">
        <v>383.4</v>
      </c>
      <c r="V194" s="53">
        <v>85.79</v>
      </c>
      <c r="W194" s="53">
        <v>67.31</v>
      </c>
      <c r="X194" s="53">
        <v>65.58</v>
      </c>
      <c r="Y194" s="55">
        <f t="shared" ref="Y194:Y221" si="11">AVERAGE(U194:X194)</f>
        <v>150.52000000000001</v>
      </c>
      <c r="AA194" s="8">
        <v>22</v>
      </c>
      <c r="AC194" s="2" t="str">
        <f t="shared" si="10"/>
        <v>None</v>
      </c>
    </row>
    <row r="195" spans="2:29" ht="18" customHeight="1" x14ac:dyDescent="0.2">
      <c r="B195" s="10">
        <f>garage!B195</f>
        <v>195</v>
      </c>
      <c r="C195" s="10">
        <f>garage!C195</f>
        <v>5</v>
      </c>
      <c r="D195" s="10">
        <f>garage!D195</f>
        <v>23</v>
      </c>
      <c r="E195" s="10">
        <f>garage!E195</f>
        <v>14</v>
      </c>
      <c r="F195" s="10" t="str">
        <f>garage!F195</f>
        <v>M</v>
      </c>
      <c r="G195" s="10" t="str">
        <f>garage!G195</f>
        <v>O</v>
      </c>
      <c r="H195" s="10" t="str">
        <f>garage!H195</f>
        <v>N</v>
      </c>
      <c r="I195" s="10" t="str">
        <f>garage!I195</f>
        <v>N</v>
      </c>
      <c r="J195" s="10">
        <f>garage!J235</f>
        <v>0</v>
      </c>
      <c r="K195" s="10" t="str">
        <f>garage!K195</f>
        <v>S</v>
      </c>
      <c r="L195" s="11" t="str">
        <f>garage!L195</f>
        <v>McLaren</v>
      </c>
      <c r="M195" s="11" t="str">
        <f>garage!M195</f>
        <v>Speedtail</v>
      </c>
      <c r="O195" s="54">
        <v>403</v>
      </c>
      <c r="P195" s="54">
        <v>73</v>
      </c>
      <c r="Q195" s="54">
        <v>46.04</v>
      </c>
      <c r="R195" s="54">
        <v>53.96</v>
      </c>
      <c r="S195" s="56">
        <f t="shared" si="9"/>
        <v>144</v>
      </c>
      <c r="U195" s="54">
        <v>416.7</v>
      </c>
      <c r="V195" s="54">
        <v>81.11</v>
      </c>
      <c r="W195" s="54">
        <v>56.65</v>
      </c>
      <c r="X195" s="54">
        <v>74.2</v>
      </c>
      <c r="Y195" s="56">
        <f t="shared" si="11"/>
        <v>157.16500000000002</v>
      </c>
      <c r="AA195" s="10">
        <v>23</v>
      </c>
      <c r="AC195" s="2" t="str">
        <f t="shared" si="10"/>
        <v>None</v>
      </c>
    </row>
    <row r="196" spans="2:29" ht="18" customHeight="1" x14ac:dyDescent="0.2">
      <c r="B196" s="8">
        <f>garage!B196</f>
        <v>196</v>
      </c>
      <c r="C196" s="8">
        <f>garage!C196</f>
        <v>5</v>
      </c>
      <c r="D196" s="8">
        <f>garage!D196</f>
        <v>24</v>
      </c>
      <c r="E196" s="8">
        <f>garage!E196</f>
        <v>28</v>
      </c>
      <c r="F196" s="8" t="str">
        <f>garage!F196</f>
        <v>--</v>
      </c>
      <c r="G196" s="8" t="str">
        <f>garage!G196</f>
        <v>N</v>
      </c>
      <c r="H196" s="8" t="str">
        <f>garage!H196</f>
        <v>N</v>
      </c>
      <c r="I196" s="8" t="str">
        <f>garage!I196</f>
        <v>N</v>
      </c>
      <c r="J196" s="8">
        <f>garage!J236</f>
        <v>0</v>
      </c>
      <c r="K196" s="8" t="str">
        <f>garage!K196</f>
        <v>S</v>
      </c>
      <c r="L196" s="9" t="str">
        <f>garage!L196</f>
        <v>Faraday</v>
      </c>
      <c r="M196" s="9" t="str">
        <f>garage!M196</f>
        <v>FFZero1</v>
      </c>
      <c r="O196" s="53">
        <v>403</v>
      </c>
      <c r="P196" s="53">
        <v>82</v>
      </c>
      <c r="Q196" s="53">
        <v>37.56</v>
      </c>
      <c r="R196" s="53">
        <v>33.6</v>
      </c>
      <c r="S196" s="55">
        <f t="shared" ref="S196:S221" si="12">AVERAGE(O196:R196)</f>
        <v>139.04</v>
      </c>
      <c r="U196" s="53">
        <v>423</v>
      </c>
      <c r="V196" s="53">
        <v>86.06</v>
      </c>
      <c r="W196" s="53">
        <v>42.83</v>
      </c>
      <c r="X196" s="53">
        <v>51.7</v>
      </c>
      <c r="Y196" s="55">
        <f t="shared" si="11"/>
        <v>150.89750000000001</v>
      </c>
      <c r="AA196" s="8">
        <v>24</v>
      </c>
      <c r="AC196" s="2" t="str">
        <f t="shared" si="10"/>
        <v>None</v>
      </c>
    </row>
    <row r="197" spans="2:29" ht="18" customHeight="1" x14ac:dyDescent="0.2">
      <c r="B197" s="10">
        <f>garage!B197</f>
        <v>197</v>
      </c>
      <c r="C197" s="10">
        <f>garage!C197</f>
        <v>5</v>
      </c>
      <c r="D197" s="10">
        <f>garage!D197</f>
        <v>25</v>
      </c>
      <c r="E197" s="10">
        <f>garage!E197</f>
        <v>0</v>
      </c>
      <c r="F197" s="10" t="str">
        <f>garage!F197</f>
        <v>--</v>
      </c>
      <c r="G197" s="10" t="str">
        <f>garage!G197</f>
        <v>O</v>
      </c>
      <c r="H197" s="10" t="str">
        <f>garage!H197</f>
        <v>O</v>
      </c>
      <c r="I197" s="10" t="str">
        <f>garage!I197</f>
        <v>O</v>
      </c>
      <c r="J197" s="10">
        <f>garage!J237</f>
        <v>0</v>
      </c>
      <c r="K197" s="10" t="str">
        <f>garage!K197</f>
        <v>S</v>
      </c>
      <c r="L197" s="11" t="str">
        <f>garage!L197</f>
        <v>Koenigsegg</v>
      </c>
      <c r="M197" s="11" t="str">
        <f>garage!M197</f>
        <v>Regera</v>
      </c>
      <c r="O197" s="54">
        <v>440</v>
      </c>
      <c r="P197" s="54">
        <v>74.8</v>
      </c>
      <c r="Q197" s="54">
        <v>39.74</v>
      </c>
      <c r="R197" s="54">
        <v>42.73</v>
      </c>
      <c r="S197" s="56">
        <f t="shared" si="12"/>
        <v>149.3175</v>
      </c>
      <c r="U197" s="54">
        <v>457.1</v>
      </c>
      <c r="V197" s="54">
        <v>80.88</v>
      </c>
      <c r="W197" s="54">
        <v>48.75</v>
      </c>
      <c r="X197" s="54">
        <v>52.48</v>
      </c>
      <c r="Y197" s="56">
        <f t="shared" si="11"/>
        <v>159.80250000000001</v>
      </c>
      <c r="AA197" s="10">
        <v>25</v>
      </c>
      <c r="AC197" s="2" t="str">
        <f t="shared" si="10"/>
        <v>Done</v>
      </c>
    </row>
    <row r="198" spans="2:29" ht="18" customHeight="1" x14ac:dyDescent="0.2">
      <c r="B198" s="10">
        <f>garage!B198</f>
        <v>198</v>
      </c>
      <c r="C198" s="10">
        <f>garage!C198</f>
        <v>5</v>
      </c>
      <c r="D198" s="10">
        <f>garage!D198</f>
        <v>26</v>
      </c>
      <c r="E198" s="10">
        <f>garage!E198</f>
        <v>32</v>
      </c>
      <c r="F198" s="10" t="str">
        <f>garage!F198</f>
        <v>--</v>
      </c>
      <c r="G198" s="10" t="str">
        <f>garage!G198</f>
        <v>N</v>
      </c>
      <c r="H198" s="10" t="str">
        <f>garage!H198</f>
        <v>N</v>
      </c>
      <c r="I198" s="10" t="str">
        <f>garage!I198</f>
        <v>N</v>
      </c>
      <c r="J198" s="10">
        <f>garage!J238</f>
        <v>0</v>
      </c>
      <c r="K198" s="10" t="str">
        <f>garage!K198</f>
        <v>S</v>
      </c>
      <c r="L198" s="11" t="str">
        <f>garage!L198</f>
        <v>Saleen</v>
      </c>
      <c r="M198" s="11" t="str">
        <f>garage!M198</f>
        <v>S7 Twin Turbo</v>
      </c>
      <c r="O198" s="54">
        <v>402</v>
      </c>
      <c r="P198" s="54">
        <v>62.2</v>
      </c>
      <c r="Q198" s="54">
        <v>62.89</v>
      </c>
      <c r="R198" s="54">
        <v>60.64</v>
      </c>
      <c r="S198" s="56">
        <f t="shared" si="12"/>
        <v>146.9325</v>
      </c>
      <c r="U198" s="54">
        <v>429.9</v>
      </c>
      <c r="V198" s="54">
        <v>69.5</v>
      </c>
      <c r="W198" s="54">
        <v>68.97</v>
      </c>
      <c r="X198" s="54">
        <v>77.31</v>
      </c>
      <c r="Y198" s="56">
        <f t="shared" si="11"/>
        <v>161.42000000000002</v>
      </c>
      <c r="AA198" s="10"/>
      <c r="AC198" s="2" t="s">
        <v>450</v>
      </c>
    </row>
    <row r="199" spans="2:29" ht="18" customHeight="1" x14ac:dyDescent="0.2">
      <c r="B199" s="8">
        <f>garage!B199</f>
        <v>199</v>
      </c>
      <c r="C199" s="8">
        <f>garage!C199</f>
        <v>5</v>
      </c>
      <c r="D199" s="8">
        <f>garage!D199</f>
        <v>27</v>
      </c>
      <c r="E199" s="8">
        <f>garage!E199</f>
        <v>23</v>
      </c>
      <c r="F199" s="8" t="str">
        <f>garage!F199</f>
        <v>--</v>
      </c>
      <c r="G199" s="8" t="str">
        <f>garage!G199</f>
        <v>N</v>
      </c>
      <c r="H199" s="8" t="str">
        <f>garage!H199</f>
        <v>N</v>
      </c>
      <c r="I199" s="8" t="str">
        <f>garage!I199</f>
        <v>N</v>
      </c>
      <c r="J199" s="8">
        <f>garage!J239</f>
        <v>0</v>
      </c>
      <c r="K199" s="8" t="str">
        <f>garage!K199</f>
        <v>S</v>
      </c>
      <c r="L199" s="9" t="str">
        <f>garage!L199</f>
        <v>Ultima</v>
      </c>
      <c r="M199" s="9" t="str">
        <f>garage!M199</f>
        <v>RS</v>
      </c>
      <c r="O199" s="53">
        <v>402</v>
      </c>
      <c r="P199" s="53">
        <v>75.7</v>
      </c>
      <c r="Q199" s="53">
        <v>50.19</v>
      </c>
      <c r="R199" s="53">
        <v>47.09</v>
      </c>
      <c r="S199" s="55">
        <f t="shared" si="12"/>
        <v>143.745</v>
      </c>
      <c r="U199" s="53">
        <v>418.2</v>
      </c>
      <c r="V199" s="53">
        <v>81.38</v>
      </c>
      <c r="W199" s="53">
        <v>63.54</v>
      </c>
      <c r="X199" s="53">
        <v>63.24</v>
      </c>
      <c r="Y199" s="55">
        <f t="shared" si="11"/>
        <v>156.59</v>
      </c>
      <c r="AA199" s="8">
        <v>26</v>
      </c>
      <c r="AC199" s="2" t="str">
        <f t="shared" si="10"/>
        <v>None</v>
      </c>
    </row>
    <row r="200" spans="2:29" ht="18" customHeight="1" x14ac:dyDescent="0.2">
      <c r="B200" s="10">
        <f>garage!B200</f>
        <v>200</v>
      </c>
      <c r="C200" s="10">
        <f>garage!C200</f>
        <v>5</v>
      </c>
      <c r="D200" s="10">
        <f>garage!D200</f>
        <v>28</v>
      </c>
      <c r="E200" s="10">
        <f>garage!E200</f>
        <v>12</v>
      </c>
      <c r="F200" s="10" t="str">
        <f>garage!F200</f>
        <v>L</v>
      </c>
      <c r="G200" s="10" t="str">
        <f>garage!G200</f>
        <v>N</v>
      </c>
      <c r="H200" s="10" t="str">
        <f>garage!H200</f>
        <v>N</v>
      </c>
      <c r="I200" s="10" t="str">
        <f>garage!I200</f>
        <v>N</v>
      </c>
      <c r="J200" s="10">
        <f>garage!J240</f>
        <v>0</v>
      </c>
      <c r="K200" s="10" t="str">
        <f>garage!K200</f>
        <v>S</v>
      </c>
      <c r="L200" s="11" t="str">
        <f>garage!L200</f>
        <v>Lamborghini</v>
      </c>
      <c r="M200" s="11" t="str">
        <f>garage!M200</f>
        <v>Sián FKP 37</v>
      </c>
      <c r="O200" s="54">
        <v>350</v>
      </c>
      <c r="P200" s="54">
        <v>74.8</v>
      </c>
      <c r="Q200" s="54">
        <v>68.27</v>
      </c>
      <c r="R200" s="54">
        <v>69.040000000000006</v>
      </c>
      <c r="S200" s="56">
        <f t="shared" si="12"/>
        <v>140.5275</v>
      </c>
      <c r="U200" s="54">
        <v>368.1</v>
      </c>
      <c r="V200" s="54">
        <v>82.1</v>
      </c>
      <c r="W200" s="54">
        <v>92.35</v>
      </c>
      <c r="X200" s="54">
        <v>81.180000000000007</v>
      </c>
      <c r="Y200" s="56">
        <f t="shared" si="11"/>
        <v>155.9325</v>
      </c>
      <c r="AA200" s="10">
        <v>27</v>
      </c>
      <c r="AC200" s="2" t="str">
        <f t="shared" si="10"/>
        <v>None</v>
      </c>
    </row>
    <row r="201" spans="2:29" ht="18" customHeight="1" x14ac:dyDescent="0.2">
      <c r="B201" s="8">
        <f>garage!B201</f>
        <v>201</v>
      </c>
      <c r="C201" s="8">
        <f>garage!C201</f>
        <v>5</v>
      </c>
      <c r="D201" s="8">
        <f>garage!D201</f>
        <v>29</v>
      </c>
      <c r="E201" s="8">
        <f>garage!E201</f>
        <v>27</v>
      </c>
      <c r="F201" s="8" t="str">
        <f>garage!F201</f>
        <v>--</v>
      </c>
      <c r="G201" s="8" t="str">
        <f>garage!G201</f>
        <v>N</v>
      </c>
      <c r="H201" s="8" t="str">
        <f>garage!H201</f>
        <v>N</v>
      </c>
      <c r="I201" s="8" t="str">
        <f>garage!I201</f>
        <v>N</v>
      </c>
      <c r="J201" s="8">
        <f>garage!J241</f>
        <v>0</v>
      </c>
      <c r="K201" s="8" t="str">
        <f>garage!K201</f>
        <v>S</v>
      </c>
      <c r="L201" s="9" t="str">
        <f>garage!L201</f>
        <v>Ajlani</v>
      </c>
      <c r="M201" s="9" t="str">
        <f>garage!M201</f>
        <v>Drakuma</v>
      </c>
      <c r="O201" s="53">
        <v>419</v>
      </c>
      <c r="P201" s="53">
        <v>77.5</v>
      </c>
      <c r="Q201" s="53">
        <v>38.68</v>
      </c>
      <c r="R201" s="53">
        <v>46.25</v>
      </c>
      <c r="S201" s="55">
        <f t="shared" si="12"/>
        <v>145.35749999999999</v>
      </c>
      <c r="U201" s="53">
        <v>441</v>
      </c>
      <c r="V201" s="53">
        <v>81.56</v>
      </c>
      <c r="W201" s="53">
        <v>47.91</v>
      </c>
      <c r="X201" s="53">
        <v>60.58</v>
      </c>
      <c r="Y201" s="55">
        <f t="shared" si="11"/>
        <v>157.76249999999999</v>
      </c>
      <c r="AA201" s="8">
        <v>28</v>
      </c>
      <c r="AC201" s="2" t="str">
        <f t="shared" si="10"/>
        <v>None</v>
      </c>
    </row>
    <row r="202" spans="2:29" ht="18" customHeight="1" x14ac:dyDescent="0.2">
      <c r="B202" s="10">
        <f>garage!B202</f>
        <v>202</v>
      </c>
      <c r="C202" s="10">
        <f>garage!C202</f>
        <v>5</v>
      </c>
      <c r="D202" s="10">
        <f>garage!D202</f>
        <v>30</v>
      </c>
      <c r="E202" s="10">
        <f>garage!E202</f>
        <v>17</v>
      </c>
      <c r="F202" s="10" t="str">
        <f>garage!F202</f>
        <v>--</v>
      </c>
      <c r="G202" s="10" t="str">
        <f>garage!G202</f>
        <v>O</v>
      </c>
      <c r="H202" s="10" t="str">
        <f>garage!H202</f>
        <v>N</v>
      </c>
      <c r="I202" s="10" t="str">
        <f>garage!I202</f>
        <v>N</v>
      </c>
      <c r="J202" s="10">
        <f>garage!J242</f>
        <v>0</v>
      </c>
      <c r="K202" s="10" t="str">
        <f>garage!K202</f>
        <v>S</v>
      </c>
      <c r="L202" s="11" t="str">
        <f>garage!L202</f>
        <v>Inferno Automobili</v>
      </c>
      <c r="M202" s="11" t="str">
        <f>garage!M202</f>
        <v>Inferno</v>
      </c>
      <c r="O202" s="54">
        <v>395</v>
      </c>
      <c r="P202" s="54">
        <v>75.7</v>
      </c>
      <c r="Q202" s="54">
        <v>47.45</v>
      </c>
      <c r="R202" s="54">
        <v>62.07</v>
      </c>
      <c r="S202" s="56">
        <f t="shared" si="12"/>
        <v>145.05500000000001</v>
      </c>
      <c r="U202" s="54">
        <v>412.6</v>
      </c>
      <c r="V202" s="54">
        <v>83.05</v>
      </c>
      <c r="W202" s="54">
        <v>54.88</v>
      </c>
      <c r="X202" s="54">
        <v>76.62</v>
      </c>
      <c r="Y202" s="56">
        <f t="shared" si="11"/>
        <v>156.78750000000002</v>
      </c>
      <c r="AA202" s="10">
        <v>30</v>
      </c>
      <c r="AC202" s="2" t="str">
        <f t="shared" si="10"/>
        <v>None</v>
      </c>
    </row>
    <row r="203" spans="2:29" ht="18" customHeight="1" x14ac:dyDescent="0.2">
      <c r="B203" s="8">
        <f>garage!B203</f>
        <v>203</v>
      </c>
      <c r="C203" s="8">
        <f>garage!C203</f>
        <v>5</v>
      </c>
      <c r="D203" s="8">
        <f>garage!D203</f>
        <v>31</v>
      </c>
      <c r="E203" s="8">
        <f>garage!E203</f>
        <v>29</v>
      </c>
      <c r="F203" s="8" t="str">
        <f>garage!F203</f>
        <v>--</v>
      </c>
      <c r="G203" s="8" t="str">
        <f>garage!G203</f>
        <v>N</v>
      </c>
      <c r="H203" s="8" t="str">
        <f>garage!H203</f>
        <v>N</v>
      </c>
      <c r="I203" s="8" t="str">
        <f>garage!I203</f>
        <v>N</v>
      </c>
      <c r="J203" s="8">
        <f>garage!J243</f>
        <v>0</v>
      </c>
      <c r="K203" s="8" t="str">
        <f>garage!K203</f>
        <v>S</v>
      </c>
      <c r="L203" s="9" t="str">
        <f>garage!L203</f>
        <v>Torino Design</v>
      </c>
      <c r="M203" s="9" t="str">
        <f>garage!M203</f>
        <v>Super Sport</v>
      </c>
      <c r="O203" s="53">
        <v>389</v>
      </c>
      <c r="P203" s="53">
        <v>76.599999999999994</v>
      </c>
      <c r="Q203" s="53">
        <v>51.46</v>
      </c>
      <c r="R203" s="53">
        <v>63.57</v>
      </c>
      <c r="S203" s="55">
        <f t="shared" si="12"/>
        <v>145.15750000000003</v>
      </c>
      <c r="U203" s="53">
        <v>405.3</v>
      </c>
      <c r="V203" s="53">
        <v>82.28</v>
      </c>
      <c r="W203" s="53">
        <v>62.3</v>
      </c>
      <c r="X203" s="53">
        <v>75.81</v>
      </c>
      <c r="Y203" s="55">
        <f t="shared" si="11"/>
        <v>156.42250000000001</v>
      </c>
      <c r="AA203" s="8">
        <v>31</v>
      </c>
      <c r="AC203" s="2" t="str">
        <f t="shared" si="10"/>
        <v>None</v>
      </c>
    </row>
    <row r="204" spans="2:29" ht="18" customHeight="1" x14ac:dyDescent="0.2">
      <c r="B204" s="10">
        <f>garage!B204</f>
        <v>204</v>
      </c>
      <c r="C204" s="10">
        <f>garage!C204</f>
        <v>5</v>
      </c>
      <c r="D204" s="10">
        <f>garage!D204</f>
        <v>32</v>
      </c>
      <c r="E204" s="10">
        <f>garage!E204</f>
        <v>0</v>
      </c>
      <c r="F204" s="10" t="str">
        <f>garage!F204</f>
        <v>B</v>
      </c>
      <c r="G204" s="10" t="str">
        <f>garage!G204</f>
        <v>O</v>
      </c>
      <c r="H204" s="10" t="str">
        <f>garage!H204</f>
        <v>O</v>
      </c>
      <c r="I204" s="10" t="str">
        <f>garage!I204</f>
        <v>O</v>
      </c>
      <c r="J204" s="10">
        <f>garage!J244</f>
        <v>0</v>
      </c>
      <c r="K204" s="10" t="str">
        <f>garage!K204</f>
        <v>S</v>
      </c>
      <c r="L204" s="11" t="str">
        <f>garage!L204</f>
        <v>Bugatti</v>
      </c>
      <c r="M204" s="11" t="str">
        <f>garage!M204</f>
        <v>Chiron</v>
      </c>
      <c r="O204" s="54">
        <v>420</v>
      </c>
      <c r="P204" s="54">
        <v>77.5</v>
      </c>
      <c r="Q204" s="54">
        <v>38.75</v>
      </c>
      <c r="R204" s="54">
        <v>53.33</v>
      </c>
      <c r="S204" s="56">
        <f t="shared" si="12"/>
        <v>147.39500000000001</v>
      </c>
      <c r="U204" s="54">
        <v>443.4</v>
      </c>
      <c r="V204" s="54">
        <v>84.4</v>
      </c>
      <c r="W204" s="54">
        <v>45.62</v>
      </c>
      <c r="X204" s="54">
        <v>63.63</v>
      </c>
      <c r="Y204" s="56">
        <f t="shared" si="11"/>
        <v>159.26249999999999</v>
      </c>
      <c r="AA204" s="10">
        <v>32</v>
      </c>
      <c r="AC204" s="2" t="str">
        <f t="shared" si="10"/>
        <v>Done</v>
      </c>
    </row>
    <row r="205" spans="2:29" ht="18" customHeight="1" x14ac:dyDescent="0.2">
      <c r="B205" s="8">
        <f>garage!B205</f>
        <v>205</v>
      </c>
      <c r="C205" s="8">
        <f>garage!C205</f>
        <v>5</v>
      </c>
      <c r="D205" s="8">
        <f>garage!D205</f>
        <v>33</v>
      </c>
      <c r="E205" s="8">
        <f>garage!E205</f>
        <v>13</v>
      </c>
      <c r="F205" s="8" t="str">
        <f>garage!F205</f>
        <v>--</v>
      </c>
      <c r="G205" s="8" t="str">
        <f>garage!G205</f>
        <v>O</v>
      </c>
      <c r="H205" s="8" t="str">
        <f>garage!H205</f>
        <v>O</v>
      </c>
      <c r="I205" s="8" t="str">
        <f>garage!I205</f>
        <v>N</v>
      </c>
      <c r="J205" s="8">
        <f>garage!J245</f>
        <v>0</v>
      </c>
      <c r="K205" s="8" t="str">
        <f>garage!K205</f>
        <v>S</v>
      </c>
      <c r="L205" s="9" t="str">
        <f>garage!L205</f>
        <v>BXR</v>
      </c>
      <c r="M205" s="9" t="str">
        <f>garage!M205</f>
        <v>Bailey Blade GT1</v>
      </c>
      <c r="O205" s="53">
        <v>434</v>
      </c>
      <c r="P205" s="53">
        <v>74.8</v>
      </c>
      <c r="Q205" s="53">
        <v>40.340000000000003</v>
      </c>
      <c r="R205" s="53">
        <v>54.29</v>
      </c>
      <c r="S205" s="55">
        <f t="shared" si="12"/>
        <v>150.85749999999999</v>
      </c>
      <c r="U205" s="53">
        <v>449.5</v>
      </c>
      <c r="V205" s="53">
        <v>80.48</v>
      </c>
      <c r="W205" s="53">
        <v>46.87</v>
      </c>
      <c r="X205" s="53">
        <v>70.66</v>
      </c>
      <c r="Y205" s="55">
        <f t="shared" si="11"/>
        <v>161.8775</v>
      </c>
      <c r="AA205" s="8">
        <v>33</v>
      </c>
      <c r="AC205" s="2" t="str">
        <f t="shared" si="10"/>
        <v>Done</v>
      </c>
    </row>
    <row r="206" spans="2:29" ht="18" customHeight="1" x14ac:dyDescent="0.2">
      <c r="B206" s="10">
        <f>garage!B206</f>
        <v>206</v>
      </c>
      <c r="C206" s="10">
        <f>garage!C206</f>
        <v>5</v>
      </c>
      <c r="D206" s="10">
        <f>garage!D206</f>
        <v>34</v>
      </c>
      <c r="E206" s="10">
        <f>garage!E206</f>
        <v>16</v>
      </c>
      <c r="F206" s="10" t="str">
        <f>garage!F206</f>
        <v>B</v>
      </c>
      <c r="G206" s="10" t="str">
        <f>garage!G206</f>
        <v>N</v>
      </c>
      <c r="H206" s="10" t="str">
        <f>garage!H206</f>
        <v>N</v>
      </c>
      <c r="I206" s="10" t="str">
        <f>garage!I206</f>
        <v>N</v>
      </c>
      <c r="J206" s="10">
        <f>garage!J246</f>
        <v>0</v>
      </c>
      <c r="K206" s="10" t="str">
        <f>garage!K206</f>
        <v>S</v>
      </c>
      <c r="L206" s="11" t="str">
        <f>garage!L206</f>
        <v>Bugatti</v>
      </c>
      <c r="M206" s="11" t="str">
        <f>garage!M206</f>
        <v>Divo</v>
      </c>
      <c r="O206" s="54">
        <v>380</v>
      </c>
      <c r="P206" s="54">
        <v>78.400000000000006</v>
      </c>
      <c r="Q206" s="54">
        <v>52.2</v>
      </c>
      <c r="R206" s="54">
        <v>57.07</v>
      </c>
      <c r="S206" s="56">
        <f t="shared" si="12"/>
        <v>141.91749999999999</v>
      </c>
      <c r="U206" s="54">
        <v>396</v>
      </c>
      <c r="V206" s="54">
        <v>85.7</v>
      </c>
      <c r="W206" s="54">
        <v>61.48</v>
      </c>
      <c r="X206" s="54">
        <v>73.989999999999995</v>
      </c>
      <c r="Y206" s="56">
        <f t="shared" si="11"/>
        <v>154.29249999999999</v>
      </c>
      <c r="AA206" s="10">
        <v>34</v>
      </c>
      <c r="AC206" s="2" t="str">
        <f t="shared" si="10"/>
        <v>None</v>
      </c>
    </row>
    <row r="207" spans="2:29" ht="18" customHeight="1" x14ac:dyDescent="0.2">
      <c r="B207" s="8">
        <f>garage!B207</f>
        <v>207</v>
      </c>
      <c r="C207" s="8">
        <f>garage!C207</f>
        <v>5</v>
      </c>
      <c r="D207" s="8">
        <f>garage!D207</f>
        <v>35</v>
      </c>
      <c r="E207" s="8">
        <f>garage!E207</f>
        <v>24</v>
      </c>
      <c r="F207" s="8" t="str">
        <f>garage!F207</f>
        <v>--</v>
      </c>
      <c r="G207" s="8" t="str">
        <f>garage!G207</f>
        <v>N</v>
      </c>
      <c r="H207" s="8" t="str">
        <f>garage!H207</f>
        <v>N</v>
      </c>
      <c r="I207" s="8" t="str">
        <f>garage!I207</f>
        <v>N</v>
      </c>
      <c r="J207" s="8">
        <f>garage!J247</f>
        <v>0</v>
      </c>
      <c r="K207" s="8" t="str">
        <f>garage!K207</f>
        <v>S</v>
      </c>
      <c r="L207" s="9" t="str">
        <f>garage!L207</f>
        <v>Tushek</v>
      </c>
      <c r="M207" s="9" t="str">
        <f>garage!M207</f>
        <v>TS 900 Racer Pro</v>
      </c>
      <c r="O207" s="53">
        <v>380</v>
      </c>
      <c r="P207" s="53">
        <v>79.3</v>
      </c>
      <c r="Q207" s="53">
        <v>55.44</v>
      </c>
      <c r="R207" s="53">
        <v>44.08</v>
      </c>
      <c r="S207" s="55">
        <f t="shared" si="12"/>
        <v>139.70500000000001</v>
      </c>
      <c r="U207" s="53">
        <v>395.2</v>
      </c>
      <c r="V207" s="53">
        <v>86</v>
      </c>
      <c r="W207" s="53">
        <v>73.709999999999994</v>
      </c>
      <c r="X207" s="53">
        <v>61.51</v>
      </c>
      <c r="Y207" s="55">
        <f t="shared" si="11"/>
        <v>154.10499999999999</v>
      </c>
      <c r="AA207" s="8">
        <v>35</v>
      </c>
      <c r="AC207" s="2" t="str">
        <f t="shared" si="10"/>
        <v>None</v>
      </c>
    </row>
    <row r="208" spans="2:29" ht="18" customHeight="1" x14ac:dyDescent="0.2">
      <c r="B208" s="10">
        <f>garage!B208</f>
        <v>208</v>
      </c>
      <c r="C208" s="10">
        <f>garage!C208</f>
        <v>5</v>
      </c>
      <c r="D208" s="10">
        <f>garage!D208</f>
        <v>36</v>
      </c>
      <c r="E208" s="10">
        <f>garage!E208</f>
        <v>18</v>
      </c>
      <c r="F208" s="10" t="str">
        <f>garage!F208</f>
        <v>--</v>
      </c>
      <c r="G208" s="10" t="str">
        <f>garage!G208</f>
        <v>N</v>
      </c>
      <c r="H208" s="10" t="str">
        <f>garage!H208</f>
        <v>N</v>
      </c>
      <c r="I208" s="10" t="str">
        <f>garage!I208</f>
        <v>N</v>
      </c>
      <c r="J208" s="10">
        <f>garage!J248</f>
        <v>0</v>
      </c>
      <c r="K208" s="10" t="str">
        <f>garage!K208</f>
        <v>S</v>
      </c>
      <c r="L208" s="11" t="str">
        <f>garage!L208</f>
        <v>Mazzanti</v>
      </c>
      <c r="M208" s="11" t="str">
        <f>garage!M208</f>
        <v>Evantra Millecavalli</v>
      </c>
      <c r="O208" s="54">
        <v>403</v>
      </c>
      <c r="P208" s="54">
        <v>75.7</v>
      </c>
      <c r="Q208" s="54">
        <v>52.41</v>
      </c>
      <c r="R208" s="54">
        <v>49.44</v>
      </c>
      <c r="S208" s="56">
        <f t="shared" si="12"/>
        <v>145.13749999999999</v>
      </c>
      <c r="U208" s="54">
        <v>412.5</v>
      </c>
      <c r="V208" s="54">
        <v>82.6</v>
      </c>
      <c r="W208" s="54">
        <v>63.86</v>
      </c>
      <c r="X208" s="54">
        <v>64.86</v>
      </c>
      <c r="Y208" s="56">
        <f t="shared" si="11"/>
        <v>155.95500000000001</v>
      </c>
      <c r="AA208" s="10">
        <v>36</v>
      </c>
      <c r="AC208" s="2" t="str">
        <f t="shared" si="10"/>
        <v>None</v>
      </c>
    </row>
    <row r="209" spans="2:29" ht="18" customHeight="1" x14ac:dyDescent="0.2">
      <c r="B209" s="8">
        <f>garage!B209</f>
        <v>209</v>
      </c>
      <c r="C209" s="8">
        <f>garage!C209</f>
        <v>5</v>
      </c>
      <c r="D209" s="8">
        <f>garage!D209</f>
        <v>37</v>
      </c>
      <c r="E209" s="8">
        <f>garage!E209</f>
        <v>21</v>
      </c>
      <c r="F209" s="8" t="str">
        <f>garage!F209</f>
        <v>TD</v>
      </c>
      <c r="G209" s="8" t="str">
        <f>garage!G209</f>
        <v>N</v>
      </c>
      <c r="H209" s="8" t="str">
        <f>garage!H209</f>
        <v>N</v>
      </c>
      <c r="I209" s="8" t="str">
        <f>garage!I209</f>
        <v>N</v>
      </c>
      <c r="J209" s="8">
        <f>garage!J249</f>
        <v>0</v>
      </c>
      <c r="K209" s="8" t="str">
        <f>garage!K209</f>
        <v>S</v>
      </c>
      <c r="L209" s="9" t="str">
        <f>garage!L209</f>
        <v>Toroidion</v>
      </c>
      <c r="M209" s="9" t="str">
        <f>garage!M209</f>
        <v>1MW</v>
      </c>
      <c r="O209" s="53">
        <v>451</v>
      </c>
      <c r="P209" s="53">
        <v>74.8</v>
      </c>
      <c r="Q209" s="53">
        <v>44.84</v>
      </c>
      <c r="R209" s="53">
        <v>36.04</v>
      </c>
      <c r="S209" s="55">
        <f t="shared" si="12"/>
        <v>151.66999999999999</v>
      </c>
      <c r="U209" s="53">
        <v>460.6</v>
      </c>
      <c r="V209" s="53">
        <v>81.290000000000006</v>
      </c>
      <c r="W209" s="53">
        <v>60.32</v>
      </c>
      <c r="X209" s="53">
        <v>54.19</v>
      </c>
      <c r="Y209" s="55">
        <f t="shared" si="11"/>
        <v>164.10000000000002</v>
      </c>
      <c r="AA209" s="8">
        <v>37</v>
      </c>
      <c r="AC209" s="2" t="str">
        <f t="shared" si="10"/>
        <v>Done</v>
      </c>
    </row>
    <row r="210" spans="2:29" ht="18" customHeight="1" x14ac:dyDescent="0.2">
      <c r="B210" s="10">
        <f>garage!B210</f>
        <v>210</v>
      </c>
      <c r="C210" s="10">
        <f>garage!C210</f>
        <v>5</v>
      </c>
      <c r="D210" s="10">
        <f>garage!D210</f>
        <v>38</v>
      </c>
      <c r="E210" s="10">
        <f>garage!E210</f>
        <v>27</v>
      </c>
      <c r="F210" s="10" t="str">
        <f>garage!F210</f>
        <v>--</v>
      </c>
      <c r="G210" s="10" t="str">
        <f>garage!G210</f>
        <v>N</v>
      </c>
      <c r="H210" s="10" t="str">
        <f>garage!H210</f>
        <v>N</v>
      </c>
      <c r="I210" s="10" t="str">
        <f>garage!I210</f>
        <v>N</v>
      </c>
      <c r="J210" s="10">
        <f>garage!J250</f>
        <v>0</v>
      </c>
      <c r="K210" s="10" t="str">
        <f>garage!K210</f>
        <v>S</v>
      </c>
      <c r="L210" s="11" t="str">
        <f>garage!L210</f>
        <v>Inferno Automobili</v>
      </c>
      <c r="M210" s="11" t="str">
        <f>garage!M210</f>
        <v>Settimo Cerchio</v>
      </c>
      <c r="O210" s="54">
        <v>410</v>
      </c>
      <c r="P210" s="54">
        <v>81.099999999999994</v>
      </c>
      <c r="Q210" s="54">
        <v>46.64</v>
      </c>
      <c r="R210" s="54">
        <v>23.73</v>
      </c>
      <c r="S210" s="56">
        <f t="shared" si="12"/>
        <v>140.36750000000001</v>
      </c>
      <c r="U210" s="54">
        <v>447.1</v>
      </c>
      <c r="V210" s="54">
        <v>84.34</v>
      </c>
      <c r="W210" s="54">
        <v>61.43</v>
      </c>
      <c r="X210" s="54">
        <v>39.21</v>
      </c>
      <c r="Y210" s="56">
        <f t="shared" si="11"/>
        <v>158.02000000000001</v>
      </c>
      <c r="AA210" s="10">
        <v>38</v>
      </c>
      <c r="AC210" s="2" t="str">
        <f t="shared" si="10"/>
        <v>None</v>
      </c>
    </row>
    <row r="211" spans="2:29" ht="18" customHeight="1" x14ac:dyDescent="0.2">
      <c r="B211" s="8">
        <f>garage!B211</f>
        <v>211</v>
      </c>
      <c r="C211" s="8">
        <f>garage!C211</f>
        <v>5</v>
      </c>
      <c r="D211" s="8">
        <f>garage!D211</f>
        <v>39</v>
      </c>
      <c r="E211" s="8">
        <f>garage!E211</f>
        <v>6</v>
      </c>
      <c r="F211" s="8" t="str">
        <f>garage!F211</f>
        <v>--</v>
      </c>
      <c r="G211" s="8" t="str">
        <f>garage!G211</f>
        <v>N</v>
      </c>
      <c r="H211" s="8" t="str">
        <f>garage!H211</f>
        <v>O</v>
      </c>
      <c r="I211" s="8" t="str">
        <f>garage!I211</f>
        <v>N</v>
      </c>
      <c r="J211" s="8">
        <f>garage!J251</f>
        <v>0</v>
      </c>
      <c r="K211" s="8" t="str">
        <f>garage!K211</f>
        <v>S</v>
      </c>
      <c r="L211" s="9" t="str">
        <f>garage!L211</f>
        <v>Koenigsegg</v>
      </c>
      <c r="M211" s="9" t="str">
        <f>garage!M211</f>
        <v>Jesko</v>
      </c>
      <c r="O211" s="53">
        <v>484</v>
      </c>
      <c r="P211" s="53">
        <v>74.8</v>
      </c>
      <c r="Q211" s="53">
        <v>41.93</v>
      </c>
      <c r="R211" s="53">
        <v>42.56</v>
      </c>
      <c r="S211" s="55">
        <f t="shared" si="12"/>
        <v>160.82249999999999</v>
      </c>
      <c r="U211" s="53">
        <v>496.6</v>
      </c>
      <c r="V211" s="53">
        <v>80.069999999999993</v>
      </c>
      <c r="W211" s="53">
        <v>48.19</v>
      </c>
      <c r="X211" s="53">
        <v>58.23</v>
      </c>
      <c r="Y211" s="55">
        <f t="shared" si="11"/>
        <v>170.77250000000004</v>
      </c>
      <c r="AA211" s="8">
        <v>39</v>
      </c>
      <c r="AC211" s="2" t="str">
        <f t="shared" si="10"/>
        <v>Done</v>
      </c>
    </row>
    <row r="212" spans="2:29" ht="18" customHeight="1" x14ac:dyDescent="0.2">
      <c r="B212" s="10">
        <f>garage!B212</f>
        <v>212</v>
      </c>
      <c r="C212" s="10">
        <f>garage!C212</f>
        <v>5</v>
      </c>
      <c r="D212" s="10">
        <f>garage!D212</f>
        <v>40</v>
      </c>
      <c r="E212" s="10">
        <f>garage!E212</f>
        <v>26</v>
      </c>
      <c r="F212" s="10" t="str">
        <f>garage!F212</f>
        <v>B</v>
      </c>
      <c r="G212" s="10" t="str">
        <f>garage!G212</f>
        <v>N</v>
      </c>
      <c r="H212" s="10" t="str">
        <f>garage!H212</f>
        <v>N</v>
      </c>
      <c r="I212" s="10" t="str">
        <f>garage!I212</f>
        <v>N</v>
      </c>
      <c r="J212" s="10">
        <f>garage!J252</f>
        <v>0</v>
      </c>
      <c r="K212" s="10" t="str">
        <f>garage!K212</f>
        <v>S</v>
      </c>
      <c r="L212" s="11" t="str">
        <f>garage!L212</f>
        <v>Bugatti</v>
      </c>
      <c r="M212" s="11" t="str">
        <f>garage!M212</f>
        <v>Centodieci</v>
      </c>
      <c r="O212" s="54">
        <v>380</v>
      </c>
      <c r="P212" s="54">
        <v>78.569999999999993</v>
      </c>
      <c r="Q212" s="54">
        <v>56.39</v>
      </c>
      <c r="R212" s="54">
        <v>58.54</v>
      </c>
      <c r="S212" s="56">
        <f t="shared" si="12"/>
        <v>143.375</v>
      </c>
      <c r="U212" s="54">
        <v>402.7</v>
      </c>
      <c r="V212" s="54">
        <v>86.51</v>
      </c>
      <c r="W212" s="54">
        <v>52.58</v>
      </c>
      <c r="X212" s="54">
        <v>77.09</v>
      </c>
      <c r="Y212" s="56">
        <f t="shared" si="11"/>
        <v>154.72</v>
      </c>
      <c r="AA212" s="10">
        <v>40</v>
      </c>
      <c r="AC212" s="2" t="str">
        <f t="shared" si="10"/>
        <v>None</v>
      </c>
    </row>
    <row r="213" spans="2:29" ht="18" customHeight="1" x14ac:dyDescent="0.2">
      <c r="B213" s="8">
        <f>garage!B213</f>
        <v>213</v>
      </c>
      <c r="C213" s="8">
        <f>garage!C213</f>
        <v>5</v>
      </c>
      <c r="D213" s="8">
        <f>garage!D213</f>
        <v>41</v>
      </c>
      <c r="E213" s="8">
        <f>garage!E213</f>
        <v>17</v>
      </c>
      <c r="F213" s="8" t="str">
        <f>garage!F213</f>
        <v>--</v>
      </c>
      <c r="G213" s="8" t="str">
        <f>garage!G213</f>
        <v>N</v>
      </c>
      <c r="H213" s="8" t="str">
        <f>garage!H213</f>
        <v>N</v>
      </c>
      <c r="I213" s="8" t="str">
        <f>garage!I213</f>
        <v>N</v>
      </c>
      <c r="J213" s="8">
        <f>garage!J253</f>
        <v>0</v>
      </c>
      <c r="K213" s="8" t="str">
        <f>garage!K213</f>
        <v>S</v>
      </c>
      <c r="L213" s="9" t="str">
        <f>garage!L213</f>
        <v>Aspark</v>
      </c>
      <c r="M213" s="9" t="str">
        <f>garage!M213</f>
        <v>Owl</v>
      </c>
      <c r="O213" s="53">
        <v>400</v>
      </c>
      <c r="P213" s="53">
        <v>82.99</v>
      </c>
      <c r="Q213" s="53">
        <v>45.79</v>
      </c>
      <c r="R213" s="53">
        <v>35.67</v>
      </c>
      <c r="S213" s="55">
        <f t="shared" si="12"/>
        <v>141.11249999999998</v>
      </c>
      <c r="U213" s="53">
        <v>414.7</v>
      </c>
      <c r="V213" s="53">
        <v>89.4</v>
      </c>
      <c r="W213" s="53">
        <v>51.75</v>
      </c>
      <c r="X213" s="53">
        <v>51.27</v>
      </c>
      <c r="Y213" s="55">
        <f t="shared" si="11"/>
        <v>151.78</v>
      </c>
      <c r="AA213" s="8">
        <v>41</v>
      </c>
      <c r="AC213" s="2" t="str">
        <f t="shared" si="10"/>
        <v>None</v>
      </c>
    </row>
    <row r="214" spans="2:29" ht="18" customHeight="1" x14ac:dyDescent="0.2">
      <c r="B214" s="10">
        <f>garage!B214</f>
        <v>214</v>
      </c>
      <c r="C214" s="10">
        <f>garage!C214</f>
        <v>5</v>
      </c>
      <c r="D214" s="10">
        <f>garage!D214</f>
        <v>42</v>
      </c>
      <c r="E214" s="10">
        <f>garage!E214</f>
        <v>0</v>
      </c>
      <c r="F214" s="10" t="str">
        <f>garage!F214</f>
        <v>--</v>
      </c>
      <c r="G214" s="10" t="str">
        <f>garage!G214</f>
        <v>N</v>
      </c>
      <c r="H214" s="10" t="str">
        <f>garage!H214</f>
        <v>N</v>
      </c>
      <c r="I214" s="10" t="str">
        <f>garage!I214</f>
        <v>N</v>
      </c>
      <c r="J214" s="10">
        <f>garage!J254</f>
        <v>0</v>
      </c>
      <c r="K214" s="10" t="str">
        <f>garage!K214</f>
        <v>S</v>
      </c>
      <c r="L214" s="11" t="str">
        <f>garage!L214</f>
        <v>Rimac</v>
      </c>
      <c r="M214" s="11" t="str">
        <f>garage!M214</f>
        <v>Nevera</v>
      </c>
      <c r="O214" s="54">
        <v>412</v>
      </c>
      <c r="P214" s="54">
        <v>82.27</v>
      </c>
      <c r="Q214" s="54">
        <v>41.64</v>
      </c>
      <c r="R214" s="54">
        <v>37.619999999999997</v>
      </c>
      <c r="S214" s="56">
        <f t="shared" si="12"/>
        <v>143.38249999999999</v>
      </c>
      <c r="U214" s="54">
        <v>421.6</v>
      </c>
      <c r="V214" s="54">
        <v>87.71</v>
      </c>
      <c r="W214" s="54">
        <v>51.33</v>
      </c>
      <c r="X214" s="54">
        <v>56.51</v>
      </c>
      <c r="Y214" s="56">
        <f t="shared" si="11"/>
        <v>154.28749999999999</v>
      </c>
      <c r="AA214" s="10">
        <v>42</v>
      </c>
      <c r="AC214" s="2" t="str">
        <f t="shared" si="10"/>
        <v>None</v>
      </c>
    </row>
    <row r="215" spans="2:29" ht="18" customHeight="1" x14ac:dyDescent="0.2">
      <c r="B215" s="8">
        <f>garage!B215</f>
        <v>215</v>
      </c>
      <c r="C215" s="8">
        <f>garage!C215</f>
        <v>5</v>
      </c>
      <c r="D215" s="8">
        <f>garage!D215</f>
        <v>43</v>
      </c>
      <c r="E215" s="8">
        <f>garage!E215</f>
        <v>27</v>
      </c>
      <c r="F215" s="8" t="str">
        <f>garage!F215</f>
        <v>--</v>
      </c>
      <c r="G215" s="8" t="str">
        <f>garage!G215</f>
        <v>N</v>
      </c>
      <c r="H215" s="8" t="str">
        <f>garage!H215</f>
        <v>N</v>
      </c>
      <c r="I215" s="8" t="str">
        <f>garage!I215</f>
        <v>N</v>
      </c>
      <c r="J215" s="8">
        <f>garage!J255</f>
        <v>0</v>
      </c>
      <c r="K215" s="8" t="str">
        <f>garage!K215</f>
        <v>S</v>
      </c>
      <c r="L215" s="9" t="str">
        <f>garage!L215</f>
        <v>Koenigsegg</v>
      </c>
      <c r="M215" s="9" t="str">
        <f>garage!M215</f>
        <v>Agera RS</v>
      </c>
      <c r="O215" s="53">
        <v>447.2</v>
      </c>
      <c r="P215" s="53">
        <v>74.8</v>
      </c>
      <c r="Q215" s="53">
        <v>49.16</v>
      </c>
      <c r="R215" s="53">
        <v>43.12</v>
      </c>
      <c r="S215" s="55">
        <f t="shared" si="12"/>
        <v>153.57</v>
      </c>
      <c r="U215" s="53">
        <v>484.8</v>
      </c>
      <c r="V215" s="53">
        <v>79.67</v>
      </c>
      <c r="W215" s="53">
        <v>60.03</v>
      </c>
      <c r="X215" s="53">
        <v>58.86</v>
      </c>
      <c r="Y215" s="55">
        <f t="shared" si="11"/>
        <v>170.84</v>
      </c>
      <c r="AA215" s="8">
        <v>43</v>
      </c>
      <c r="AC215" s="2" t="str">
        <f t="shared" si="10"/>
        <v>Done</v>
      </c>
    </row>
    <row r="216" spans="2:29" ht="18" customHeight="1" x14ac:dyDescent="0.2">
      <c r="B216" s="10">
        <f>garage!B216</f>
        <v>216</v>
      </c>
      <c r="C216" s="10">
        <f>garage!C216</f>
        <v>5</v>
      </c>
      <c r="D216" s="10">
        <f>garage!D216</f>
        <v>44</v>
      </c>
      <c r="E216" s="10">
        <f>garage!E216</f>
        <v>13</v>
      </c>
      <c r="F216" s="10" t="str">
        <f>garage!F216</f>
        <v>--</v>
      </c>
      <c r="G216" s="10" t="str">
        <f>garage!G216</f>
        <v>N</v>
      </c>
      <c r="H216" s="10" t="str">
        <f>garage!H216</f>
        <v>O</v>
      </c>
      <c r="I216" s="10" t="str">
        <f>garage!I216</f>
        <v>N</v>
      </c>
      <c r="J216" s="10">
        <f>garage!J256</f>
        <v>0</v>
      </c>
      <c r="K216" s="10" t="str">
        <f>garage!K216</f>
        <v>S</v>
      </c>
      <c r="L216" s="11" t="str">
        <f>garage!L216</f>
        <v>SSC</v>
      </c>
      <c r="M216" s="11" t="str">
        <f>garage!M216</f>
        <v>Tuatara</v>
      </c>
      <c r="O216" s="54">
        <v>482.8</v>
      </c>
      <c r="P216" s="54">
        <v>74.8</v>
      </c>
      <c r="Q216" s="54">
        <v>42.34</v>
      </c>
      <c r="R216" s="54">
        <v>38.72</v>
      </c>
      <c r="S216" s="56">
        <f t="shared" si="12"/>
        <v>159.66500000000002</v>
      </c>
      <c r="U216" s="54">
        <v>490.6</v>
      </c>
      <c r="V216" s="54">
        <v>82.51</v>
      </c>
      <c r="W216" s="54">
        <v>48.77</v>
      </c>
      <c r="X216" s="54">
        <v>62.04</v>
      </c>
      <c r="Y216" s="56">
        <f t="shared" si="11"/>
        <v>170.98</v>
      </c>
      <c r="AA216" s="10">
        <v>44</v>
      </c>
      <c r="AC216" s="2" t="str">
        <f t="shared" si="10"/>
        <v>Done</v>
      </c>
    </row>
    <row r="217" spans="2:29" ht="18" customHeight="1" x14ac:dyDescent="0.2">
      <c r="B217" s="8">
        <f>garage!B217</f>
        <v>217</v>
      </c>
      <c r="C217" s="8">
        <f>garage!C217</f>
        <v>5</v>
      </c>
      <c r="D217" s="8">
        <f>garage!D217</f>
        <v>45</v>
      </c>
      <c r="E217" s="8">
        <f>garage!E217</f>
        <v>30</v>
      </c>
      <c r="F217" s="8" t="str">
        <f>garage!F217</f>
        <v>--</v>
      </c>
      <c r="G217" s="8" t="str">
        <f>garage!G217</f>
        <v>N</v>
      </c>
      <c r="H217" s="8" t="str">
        <f>garage!H217</f>
        <v>N</v>
      </c>
      <c r="I217" s="8" t="str">
        <f>garage!I217</f>
        <v>N</v>
      </c>
      <c r="J217" s="8">
        <f>garage!J257</f>
        <v>0</v>
      </c>
      <c r="K217" s="8" t="str">
        <f>garage!K217</f>
        <v>S</v>
      </c>
      <c r="L217" s="9" t="str">
        <f>garage!L217</f>
        <v>Koenigsegg</v>
      </c>
      <c r="M217" s="9" t="str">
        <f>garage!M217</f>
        <v>CCXR</v>
      </c>
      <c r="O217" s="53">
        <v>400</v>
      </c>
      <c r="P217" s="53">
        <v>72.099999999999994</v>
      </c>
      <c r="Q217" s="53">
        <v>56.75</v>
      </c>
      <c r="R217" s="53">
        <v>53.66</v>
      </c>
      <c r="S217" s="55">
        <f t="shared" si="12"/>
        <v>145.6275</v>
      </c>
      <c r="U217" s="53">
        <v>412.2</v>
      </c>
      <c r="V217" s="53">
        <v>79.400000000000006</v>
      </c>
      <c r="W217" s="53">
        <v>79.09</v>
      </c>
      <c r="X217" s="53">
        <v>71.510000000000005</v>
      </c>
      <c r="Y217" s="55">
        <f t="shared" si="11"/>
        <v>160.55000000000001</v>
      </c>
      <c r="AA217" s="8">
        <v>45</v>
      </c>
      <c r="AC217" s="2" t="str">
        <f t="shared" si="10"/>
        <v>Done</v>
      </c>
    </row>
    <row r="218" spans="2:29" ht="18" customHeight="1" x14ac:dyDescent="0.2">
      <c r="B218" s="10">
        <f>garage!B218</f>
        <v>218</v>
      </c>
      <c r="C218" s="10">
        <f>garage!C218</f>
        <v>5</v>
      </c>
      <c r="D218" s="10">
        <f>garage!D218</f>
        <v>46</v>
      </c>
      <c r="E218" s="10">
        <f>garage!E218</f>
        <v>16</v>
      </c>
      <c r="F218" s="10" t="str">
        <f>garage!F218</f>
        <v>B</v>
      </c>
      <c r="G218" s="10" t="str">
        <f>garage!G218</f>
        <v>N</v>
      </c>
      <c r="H218" s="10" t="str">
        <f>garage!H218</f>
        <v>N</v>
      </c>
      <c r="I218" s="10" t="str">
        <f>garage!I218</f>
        <v>N</v>
      </c>
      <c r="J218" s="10">
        <f>garage!J258</f>
        <v>0</v>
      </c>
      <c r="K218" s="10" t="str">
        <f>garage!K218</f>
        <v>S</v>
      </c>
      <c r="L218" s="11" t="str">
        <f>garage!L218</f>
        <v>Bugatti</v>
      </c>
      <c r="M218" s="11" t="str">
        <f>garage!M218</f>
        <v>La Voiture Noire</v>
      </c>
      <c r="O218" s="54">
        <v>420</v>
      </c>
      <c r="P218" s="54">
        <v>78.400000000000006</v>
      </c>
      <c r="Q218" s="54">
        <v>47.5</v>
      </c>
      <c r="R218" s="54">
        <v>44</v>
      </c>
      <c r="S218" s="56">
        <f t="shared" si="12"/>
        <v>147.47499999999999</v>
      </c>
      <c r="U218" s="54">
        <v>443.4</v>
      </c>
      <c r="V218" s="54">
        <v>84.89</v>
      </c>
      <c r="W218" s="54">
        <v>54.63</v>
      </c>
      <c r="X218" s="54">
        <v>63.79</v>
      </c>
      <c r="Y218" s="56">
        <f t="shared" si="11"/>
        <v>161.67749999999998</v>
      </c>
      <c r="AA218" s="10">
        <v>46</v>
      </c>
      <c r="AC218" s="2" t="str">
        <f t="shared" si="10"/>
        <v>Done</v>
      </c>
    </row>
    <row r="219" spans="2:29" ht="18" customHeight="1" x14ac:dyDescent="0.2">
      <c r="B219" s="8">
        <f>garage!B219</f>
        <v>219</v>
      </c>
      <c r="C219" s="8">
        <f>garage!C219</f>
        <v>5</v>
      </c>
      <c r="D219" s="8">
        <f>garage!D219</f>
        <v>47</v>
      </c>
      <c r="E219" s="8">
        <f>garage!E219</f>
        <v>22</v>
      </c>
      <c r="F219" s="8" t="str">
        <f>garage!F219</f>
        <v>--</v>
      </c>
      <c r="G219" s="8" t="str">
        <f>garage!G219</f>
        <v>N</v>
      </c>
      <c r="H219" s="8" t="str">
        <f>garage!H219</f>
        <v>N</v>
      </c>
      <c r="I219" s="8" t="str">
        <f>garage!I219</f>
        <v>N</v>
      </c>
      <c r="J219" s="8">
        <f>garage!J259</f>
        <v>0</v>
      </c>
      <c r="K219" s="8" t="str">
        <f>garage!K219</f>
        <v>S</v>
      </c>
      <c r="L219" s="9" t="str">
        <f>garage!L219</f>
        <v>Koenigsegg</v>
      </c>
      <c r="M219" s="9" t="str">
        <f>garage!M219</f>
        <v>Gemera</v>
      </c>
      <c r="O219" s="53">
        <v>400</v>
      </c>
      <c r="P219" s="53">
        <v>82.9</v>
      </c>
      <c r="Q219" s="53">
        <v>50.01</v>
      </c>
      <c r="R219" s="53">
        <v>28.93</v>
      </c>
      <c r="S219" s="55">
        <f t="shared" si="12"/>
        <v>140.45999999999998</v>
      </c>
      <c r="U219" s="53">
        <v>413.1</v>
      </c>
      <c r="V219" s="53">
        <v>88.58</v>
      </c>
      <c r="W219" s="53">
        <v>66.06</v>
      </c>
      <c r="X219" s="53">
        <v>48.36</v>
      </c>
      <c r="Y219" s="55">
        <f t="shared" si="11"/>
        <v>154.02500000000001</v>
      </c>
      <c r="AA219" s="8">
        <v>47</v>
      </c>
      <c r="AC219" s="2" t="str">
        <f t="shared" si="10"/>
        <v>None</v>
      </c>
    </row>
    <row r="220" spans="2:29" ht="18" customHeight="1" x14ac:dyDescent="0.2">
      <c r="B220" s="10">
        <f>garage!B220</f>
        <v>220</v>
      </c>
      <c r="C220" s="10">
        <f>garage!C220</f>
        <v>5</v>
      </c>
      <c r="D220" s="10">
        <f>garage!D220</f>
        <v>48</v>
      </c>
      <c r="E220" s="10">
        <f>garage!E220</f>
        <v>20</v>
      </c>
      <c r="F220" s="10" t="str">
        <f>garage!F220</f>
        <v>TD</v>
      </c>
      <c r="G220" s="10" t="str">
        <f>garage!G220</f>
        <v>N</v>
      </c>
      <c r="H220" s="10" t="str">
        <f>garage!H220</f>
        <v>N</v>
      </c>
      <c r="I220" s="10" t="str">
        <f>garage!I220</f>
        <v>N</v>
      </c>
      <c r="J220" s="10">
        <f>garage!J260</f>
        <v>0</v>
      </c>
      <c r="K220" s="10" t="str">
        <f>garage!K220</f>
        <v>S</v>
      </c>
      <c r="L220" s="11" t="str">
        <f>garage!L220</f>
        <v>Hennessey</v>
      </c>
      <c r="M220" s="11" t="str">
        <f>garage!M220</f>
        <v>Venom F5</v>
      </c>
      <c r="O220" s="54">
        <v>500</v>
      </c>
      <c r="P220" s="54">
        <v>76.599999999999994</v>
      </c>
      <c r="Q220" s="54">
        <v>41.76</v>
      </c>
      <c r="R220" s="54">
        <v>27.93</v>
      </c>
      <c r="S220" s="56">
        <f t="shared" si="12"/>
        <v>161.57249999999999</v>
      </c>
      <c r="U220" s="54">
        <v>512.29999999999995</v>
      </c>
      <c r="V220" s="54">
        <v>80.66</v>
      </c>
      <c r="W220" s="54">
        <v>49.07</v>
      </c>
      <c r="X220" s="54">
        <v>49.53</v>
      </c>
      <c r="Y220" s="56">
        <f t="shared" si="11"/>
        <v>172.89</v>
      </c>
      <c r="AA220" s="10">
        <v>48</v>
      </c>
      <c r="AC220" s="2" t="str">
        <f t="shared" si="10"/>
        <v>Done</v>
      </c>
    </row>
    <row r="221" spans="2:29" ht="18" customHeight="1" x14ac:dyDescent="0.2">
      <c r="B221" s="10">
        <f>garage!B221</f>
        <v>221</v>
      </c>
      <c r="C221" s="10">
        <f>garage!C221</f>
        <v>5</v>
      </c>
      <c r="D221" s="10">
        <f>garage!D221</f>
        <v>49</v>
      </c>
      <c r="E221" s="10">
        <f>garage!E221</f>
        <v>32</v>
      </c>
      <c r="F221" s="10" t="str">
        <f>garage!F221</f>
        <v>--</v>
      </c>
      <c r="G221" s="10" t="str">
        <f>garage!G221</f>
        <v>N</v>
      </c>
      <c r="H221" s="10" t="str">
        <f>garage!H221</f>
        <v>N</v>
      </c>
      <c r="I221" s="10" t="str">
        <f>garage!I221</f>
        <v>N</v>
      </c>
      <c r="J221" s="10">
        <f>garage!J261</f>
        <v>0</v>
      </c>
      <c r="K221" s="10" t="str">
        <f>garage!K221</f>
        <v>S</v>
      </c>
      <c r="L221" s="11" t="str">
        <f>garage!L221</f>
        <v>Koenigsegg</v>
      </c>
      <c r="M221" s="11" t="str">
        <f>garage!M221</f>
        <v>CC850</v>
      </c>
      <c r="O221" s="54">
        <v>465</v>
      </c>
      <c r="P221" s="54">
        <v>77.5</v>
      </c>
      <c r="Q221" s="54">
        <v>40.99</v>
      </c>
      <c r="R221" s="54">
        <v>24.33</v>
      </c>
      <c r="S221" s="56">
        <f t="shared" si="12"/>
        <v>151.95500000000001</v>
      </c>
      <c r="U221" s="54">
        <v>478.3</v>
      </c>
      <c r="V221" s="54">
        <v>82.37</v>
      </c>
      <c r="W221" s="54">
        <v>54.39</v>
      </c>
      <c r="X221" s="54">
        <v>37.44</v>
      </c>
      <c r="Y221" s="56">
        <f t="shared" si="11"/>
        <v>163.125</v>
      </c>
      <c r="AA221" s="10"/>
      <c r="AC221" s="2" t="s">
        <v>450</v>
      </c>
    </row>
    <row r="222" spans="2:29" ht="18" customHeight="1" x14ac:dyDescent="0.2">
      <c r="B222" s="8">
        <f>garage!B222</f>
        <v>222</v>
      </c>
      <c r="C222" s="8">
        <f>garage!C222</f>
        <v>5</v>
      </c>
      <c r="D222" s="8">
        <f>garage!D222</f>
        <v>50</v>
      </c>
      <c r="E222" s="8">
        <f>garage!E222</f>
        <v>28</v>
      </c>
      <c r="F222" s="8" t="str">
        <f>garage!F222</f>
        <v>B</v>
      </c>
      <c r="G222" s="8" t="str">
        <f>garage!G222</f>
        <v>N</v>
      </c>
      <c r="H222" s="8" t="str">
        <f>garage!H222</f>
        <v>N</v>
      </c>
      <c r="I222" s="8" t="str">
        <f>garage!I222</f>
        <v>N</v>
      </c>
      <c r="J222" s="8">
        <f>garage!J262</f>
        <v>0</v>
      </c>
      <c r="K222" s="8" t="str">
        <f>garage!K222</f>
        <v>S</v>
      </c>
      <c r="L222" s="9" t="str">
        <f>garage!L222</f>
        <v>Bugatti</v>
      </c>
      <c r="M222" s="9" t="str">
        <f>garage!M222</f>
        <v>Bolide</v>
      </c>
      <c r="O222" s="53">
        <v>489</v>
      </c>
      <c r="P222" s="53">
        <v>80.47</v>
      </c>
      <c r="Q222" s="53">
        <v>40.270000000000003</v>
      </c>
      <c r="R222" s="53">
        <v>12.34</v>
      </c>
      <c r="S222" s="55">
        <f t="shared" ref="S222:S223" si="13">AVERAGE(O222:R222)</f>
        <v>155.52000000000001</v>
      </c>
      <c r="U222" s="53">
        <v>497.1</v>
      </c>
      <c r="V222" s="53">
        <v>84.69</v>
      </c>
      <c r="W222" s="53">
        <v>51.07</v>
      </c>
      <c r="X222" s="53">
        <v>21.71</v>
      </c>
      <c r="Y222" s="55">
        <f t="shared" ref="Y222:Y223" si="14">AVERAGE(U222:X222)</f>
        <v>163.64250000000001</v>
      </c>
      <c r="AA222" s="8">
        <v>49</v>
      </c>
      <c r="AC222" s="2" t="str">
        <f t="shared" si="10"/>
        <v>Done</v>
      </c>
    </row>
    <row r="223" spans="2:29" ht="18" customHeight="1" x14ac:dyDescent="0.2">
      <c r="B223" s="10">
        <f>garage!B223</f>
        <v>223</v>
      </c>
      <c r="C223" s="10">
        <f>garage!C223</f>
        <v>5</v>
      </c>
      <c r="D223" s="10">
        <f>garage!D223</f>
        <v>99</v>
      </c>
      <c r="E223" s="10">
        <f>garage!E223</f>
        <v>0</v>
      </c>
      <c r="F223" s="10" t="str">
        <f>garage!F223</f>
        <v>--</v>
      </c>
      <c r="G223" s="10" t="str">
        <f>garage!G223</f>
        <v>N</v>
      </c>
      <c r="H223" s="10" t="str">
        <f>garage!H223</f>
        <v>N</v>
      </c>
      <c r="I223" s="10" t="str">
        <f>garage!I223</f>
        <v>N</v>
      </c>
      <c r="J223" s="10">
        <f>garage!J263</f>
        <v>0</v>
      </c>
      <c r="K223" s="10" t="str">
        <f>garage!K223</f>
        <v>S</v>
      </c>
      <c r="L223" s="11" t="str">
        <f>garage!L223</f>
        <v>Rimac</v>
      </c>
      <c r="M223" s="11" t="str">
        <f>garage!M223</f>
        <v>C TWO</v>
      </c>
      <c r="O223" s="54">
        <v>412</v>
      </c>
      <c r="P223" s="54">
        <v>82.27</v>
      </c>
      <c r="Q223" s="54">
        <v>41.64</v>
      </c>
      <c r="R223" s="54">
        <v>37.619999999999997</v>
      </c>
      <c r="S223" s="56">
        <f t="shared" si="13"/>
        <v>143.38249999999999</v>
      </c>
      <c r="U223" s="54">
        <v>421.6</v>
      </c>
      <c r="V223" s="54">
        <v>87.71</v>
      </c>
      <c r="W223" s="54">
        <v>51.33</v>
      </c>
      <c r="X223" s="54">
        <v>56.51</v>
      </c>
      <c r="Y223" s="56">
        <f t="shared" si="14"/>
        <v>154.28749999999999</v>
      </c>
      <c r="AA223" s="10">
        <v>99</v>
      </c>
      <c r="AC223" s="2" t="str">
        <f t="shared" si="10"/>
        <v>None</v>
      </c>
    </row>
  </sheetData>
  <autoFilter ref="E1:L223"/>
  <sortState ref="C2:Y217">
    <sortCondition ref="C2:C217"/>
    <sortCondition ref="D2:D217"/>
    <sortCondition descending="1" ref="Y2:Y217"/>
  </sortState>
  <conditionalFormatting sqref="AC1:AC1048576">
    <cfRule type="cellIs" dxfId="9" priority="1" operator="equal">
      <formula>"Done"</formula>
    </cfRule>
    <cfRule type="cellIs" dxfId="8" priority="2" operator="equal">
      <formula>"None"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B1:P97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0" defaultColWidth="3.7109375" defaultRowHeight="18" customHeight="1" x14ac:dyDescent="0.2"/>
  <cols>
    <col min="2" max="2" width="6" style="2" bestFit="1" customWidth="1"/>
    <col min="3" max="9" width="20.7109375" style="1" customWidth="1"/>
    <col min="10" max="11" width="10.7109375" style="12" customWidth="1"/>
    <col min="12" max="12" width="8" style="2" bestFit="1" customWidth="1"/>
    <col min="14" max="16" width="15.7109375" customWidth="1"/>
  </cols>
  <sheetData>
    <row r="1" spans="2:16" ht="50.1" customHeight="1" thickBot="1" x14ac:dyDescent="0.25">
      <c r="B1" s="75" t="s">
        <v>467</v>
      </c>
      <c r="C1" s="77" t="s">
        <v>452</v>
      </c>
      <c r="D1" s="77" t="s">
        <v>451</v>
      </c>
      <c r="E1" s="77" t="s">
        <v>10</v>
      </c>
      <c r="F1" s="77" t="s">
        <v>468</v>
      </c>
      <c r="G1" s="77" t="s">
        <v>469</v>
      </c>
      <c r="H1" s="77" t="s">
        <v>470</v>
      </c>
      <c r="I1" s="77" t="s">
        <v>471</v>
      </c>
      <c r="J1" s="76" t="s">
        <v>472</v>
      </c>
      <c r="K1" s="76" t="s">
        <v>450</v>
      </c>
      <c r="L1" s="75" t="s">
        <v>473</v>
      </c>
      <c r="N1" s="119" t="s">
        <v>474</v>
      </c>
      <c r="O1" s="119"/>
      <c r="P1" s="119"/>
    </row>
    <row r="2" spans="2:16" ht="18" customHeight="1" x14ac:dyDescent="0.2">
      <c r="B2" s="87">
        <v>1</v>
      </c>
      <c r="C2" s="74"/>
      <c r="D2" s="74"/>
      <c r="E2" s="74"/>
      <c r="F2" s="74"/>
      <c r="G2" s="74" t="s">
        <v>475</v>
      </c>
      <c r="H2" s="74" t="s">
        <v>476</v>
      </c>
      <c r="I2" s="74"/>
      <c r="J2" s="73">
        <v>20</v>
      </c>
      <c r="K2" s="73">
        <v>20</v>
      </c>
      <c r="L2" s="72">
        <f t="shared" ref="L2:L33" si="0">K2/J2</f>
        <v>1</v>
      </c>
      <c r="N2" t="s">
        <v>477</v>
      </c>
      <c r="O2" t="s">
        <v>478</v>
      </c>
      <c r="P2" t="s">
        <v>464</v>
      </c>
    </row>
    <row r="3" spans="2:16" ht="18" customHeight="1" x14ac:dyDescent="0.2">
      <c r="B3" s="88">
        <v>1</v>
      </c>
      <c r="C3" s="71" t="s">
        <v>479</v>
      </c>
      <c r="D3" s="71"/>
      <c r="E3" s="71"/>
      <c r="F3" s="71"/>
      <c r="G3" s="86"/>
      <c r="H3" s="86" t="s">
        <v>480</v>
      </c>
      <c r="I3" s="71"/>
      <c r="J3" s="70">
        <v>3</v>
      </c>
      <c r="K3" s="70">
        <v>3</v>
      </c>
      <c r="L3" s="78">
        <f t="shared" si="0"/>
        <v>1</v>
      </c>
      <c r="N3" t="s">
        <v>481</v>
      </c>
      <c r="O3" t="s">
        <v>482</v>
      </c>
      <c r="P3" t="s">
        <v>466</v>
      </c>
    </row>
    <row r="4" spans="2:16" ht="18" customHeight="1" x14ac:dyDescent="0.2">
      <c r="B4" s="88">
        <v>1</v>
      </c>
      <c r="C4" s="71"/>
      <c r="D4" s="71"/>
      <c r="E4" s="71"/>
      <c r="F4" s="71"/>
      <c r="G4" s="71" t="s">
        <v>483</v>
      </c>
      <c r="H4" s="71" t="s">
        <v>484</v>
      </c>
      <c r="I4" s="71"/>
      <c r="J4" s="70">
        <v>5</v>
      </c>
      <c r="K4" s="70">
        <v>5</v>
      </c>
      <c r="L4" s="78">
        <f t="shared" si="0"/>
        <v>1</v>
      </c>
      <c r="N4" t="s">
        <v>485</v>
      </c>
      <c r="O4" t="s">
        <v>486</v>
      </c>
      <c r="P4" t="s">
        <v>457</v>
      </c>
    </row>
    <row r="5" spans="2:16" ht="18" customHeight="1" x14ac:dyDescent="0.2">
      <c r="B5" s="88">
        <v>1</v>
      </c>
      <c r="C5" s="71"/>
      <c r="D5" s="71"/>
      <c r="E5" s="71"/>
      <c r="F5" s="71"/>
      <c r="H5" s="1" t="s">
        <v>487</v>
      </c>
      <c r="I5" s="71"/>
      <c r="J5" s="70">
        <v>1</v>
      </c>
      <c r="K5" s="70">
        <v>1</v>
      </c>
      <c r="L5" s="78">
        <f t="shared" si="0"/>
        <v>1</v>
      </c>
      <c r="N5" t="s">
        <v>483</v>
      </c>
      <c r="O5" t="s">
        <v>488</v>
      </c>
      <c r="P5" t="s">
        <v>465</v>
      </c>
    </row>
    <row r="6" spans="2:16" ht="18" customHeight="1" x14ac:dyDescent="0.2">
      <c r="B6" s="88">
        <v>1</v>
      </c>
      <c r="C6" s="71"/>
      <c r="D6" s="71"/>
      <c r="E6" s="71"/>
      <c r="F6" s="71"/>
      <c r="G6" s="71" t="s">
        <v>477</v>
      </c>
      <c r="H6" s="71" t="s">
        <v>489</v>
      </c>
      <c r="I6" s="71"/>
      <c r="J6" s="70">
        <v>10</v>
      </c>
      <c r="K6" s="70">
        <v>10</v>
      </c>
      <c r="L6" s="78">
        <f t="shared" si="0"/>
        <v>1</v>
      </c>
      <c r="N6" t="s">
        <v>475</v>
      </c>
      <c r="O6" t="s">
        <v>490</v>
      </c>
      <c r="P6" t="s">
        <v>456</v>
      </c>
    </row>
    <row r="7" spans="2:16" ht="18" customHeight="1" x14ac:dyDescent="0.2">
      <c r="B7" s="88">
        <v>1</v>
      </c>
      <c r="C7" s="71"/>
      <c r="D7" s="71"/>
      <c r="E7" s="71" t="s">
        <v>125</v>
      </c>
      <c r="F7" s="71"/>
      <c r="G7" s="86"/>
      <c r="H7" s="86" t="s">
        <v>491</v>
      </c>
      <c r="I7" s="71" t="s">
        <v>492</v>
      </c>
      <c r="J7" s="70">
        <v>1</v>
      </c>
      <c r="K7" s="70">
        <v>1</v>
      </c>
      <c r="L7" s="78">
        <f t="shared" si="0"/>
        <v>1</v>
      </c>
      <c r="N7" t="s">
        <v>493</v>
      </c>
      <c r="O7" t="s">
        <v>487</v>
      </c>
      <c r="P7" t="s">
        <v>461</v>
      </c>
    </row>
    <row r="8" spans="2:16" ht="18" customHeight="1" x14ac:dyDescent="0.2">
      <c r="B8" s="88">
        <v>1</v>
      </c>
      <c r="C8" s="71"/>
      <c r="D8" s="71"/>
      <c r="E8" s="71"/>
      <c r="F8" s="71"/>
      <c r="G8" s="71"/>
      <c r="H8" s="71" t="s">
        <v>494</v>
      </c>
      <c r="I8" s="71"/>
      <c r="J8" s="70">
        <v>4</v>
      </c>
      <c r="K8" s="70">
        <v>4</v>
      </c>
      <c r="L8" s="78">
        <f t="shared" si="0"/>
        <v>1</v>
      </c>
      <c r="N8" t="s">
        <v>495</v>
      </c>
      <c r="O8" t="s">
        <v>476</v>
      </c>
      <c r="P8" t="s">
        <v>462</v>
      </c>
    </row>
    <row r="9" spans="2:16" ht="18" customHeight="1" x14ac:dyDescent="0.2">
      <c r="B9" s="88">
        <v>1</v>
      </c>
      <c r="C9" s="71"/>
      <c r="D9" s="71"/>
      <c r="E9" s="71" t="s">
        <v>109</v>
      </c>
      <c r="F9" s="71"/>
      <c r="H9" s="1" t="s">
        <v>14</v>
      </c>
      <c r="I9" s="71" t="s">
        <v>496</v>
      </c>
      <c r="J9" s="70">
        <v>1</v>
      </c>
      <c r="K9" s="70">
        <v>1</v>
      </c>
      <c r="L9" s="78">
        <f t="shared" si="0"/>
        <v>1</v>
      </c>
      <c r="O9" t="s">
        <v>494</v>
      </c>
      <c r="P9" t="s">
        <v>460</v>
      </c>
    </row>
    <row r="10" spans="2:16" ht="18" customHeight="1" x14ac:dyDescent="0.2">
      <c r="B10" s="88">
        <v>1</v>
      </c>
      <c r="C10" s="71"/>
      <c r="D10" s="71"/>
      <c r="E10" s="71"/>
      <c r="F10" s="71"/>
      <c r="G10" s="71"/>
      <c r="H10" s="71" t="s">
        <v>488</v>
      </c>
      <c r="I10" s="71"/>
      <c r="J10" s="70">
        <v>10000</v>
      </c>
      <c r="K10" s="70">
        <v>10000</v>
      </c>
      <c r="L10" s="78">
        <f t="shared" si="0"/>
        <v>1</v>
      </c>
      <c r="O10" t="s">
        <v>489</v>
      </c>
      <c r="P10" t="s">
        <v>459</v>
      </c>
    </row>
    <row r="11" spans="2:16" ht="18" customHeight="1" x14ac:dyDescent="0.2">
      <c r="B11" s="88">
        <v>1</v>
      </c>
      <c r="C11" s="71"/>
      <c r="D11" s="71"/>
      <c r="E11" s="71"/>
      <c r="F11" s="71"/>
      <c r="G11" s="71"/>
      <c r="H11" s="71" t="s">
        <v>486</v>
      </c>
      <c r="I11" s="71"/>
      <c r="J11" s="70">
        <v>25</v>
      </c>
      <c r="K11" s="70">
        <v>25</v>
      </c>
      <c r="L11" s="78">
        <f t="shared" si="0"/>
        <v>1</v>
      </c>
      <c r="O11" t="s">
        <v>14</v>
      </c>
      <c r="P11" t="s">
        <v>454</v>
      </c>
    </row>
    <row r="12" spans="2:16" ht="18" customHeight="1" x14ac:dyDescent="0.2">
      <c r="B12" s="88">
        <v>1</v>
      </c>
      <c r="C12" s="71"/>
      <c r="D12" s="71"/>
      <c r="E12" s="71"/>
      <c r="F12" s="71"/>
      <c r="G12" s="71"/>
      <c r="H12" s="71" t="s">
        <v>497</v>
      </c>
      <c r="I12" s="71" t="s">
        <v>498</v>
      </c>
      <c r="J12" s="70">
        <v>1</v>
      </c>
      <c r="K12" s="70">
        <v>1</v>
      </c>
      <c r="L12" s="78">
        <f t="shared" si="0"/>
        <v>1</v>
      </c>
      <c r="O12" t="s">
        <v>499</v>
      </c>
      <c r="P12" t="s">
        <v>455</v>
      </c>
    </row>
    <row r="13" spans="2:16" ht="18" customHeight="1" thickBot="1" x14ac:dyDescent="0.25">
      <c r="B13" s="88">
        <v>1</v>
      </c>
      <c r="C13" s="69"/>
      <c r="D13" s="69"/>
      <c r="E13" s="69"/>
      <c r="F13" s="69"/>
      <c r="G13" s="69" t="s">
        <v>493</v>
      </c>
      <c r="H13" s="69" t="s">
        <v>476</v>
      </c>
      <c r="I13" s="69"/>
      <c r="J13" s="68">
        <v>5</v>
      </c>
      <c r="K13" s="68">
        <v>5</v>
      </c>
      <c r="L13" s="79">
        <f t="shared" si="0"/>
        <v>1</v>
      </c>
      <c r="O13" t="s">
        <v>500</v>
      </c>
      <c r="P13" t="s">
        <v>453</v>
      </c>
    </row>
    <row r="14" spans="2:16" ht="18" customHeight="1" x14ac:dyDescent="0.2">
      <c r="B14" s="87">
        <v>2</v>
      </c>
      <c r="C14" s="71"/>
      <c r="D14" s="71"/>
      <c r="E14" s="71"/>
      <c r="F14" s="71"/>
      <c r="G14" s="71"/>
      <c r="H14" s="86" t="s">
        <v>488</v>
      </c>
      <c r="I14" s="71">
        <v>750</v>
      </c>
      <c r="J14" s="70">
        <v>1</v>
      </c>
      <c r="K14" s="73">
        <v>1</v>
      </c>
      <c r="L14" s="72">
        <f t="shared" si="0"/>
        <v>1</v>
      </c>
      <c r="O14" t="s">
        <v>501</v>
      </c>
      <c r="P14" t="s">
        <v>463</v>
      </c>
    </row>
    <row r="15" spans="2:16" ht="18" customHeight="1" x14ac:dyDescent="0.2">
      <c r="B15" s="88">
        <v>2</v>
      </c>
      <c r="C15" s="71"/>
      <c r="D15" s="71"/>
      <c r="E15" s="71"/>
      <c r="F15" s="71"/>
      <c r="G15" s="71" t="s">
        <v>475</v>
      </c>
      <c r="H15" s="1" t="s">
        <v>14</v>
      </c>
      <c r="I15" s="71"/>
      <c r="J15" s="70">
        <v>60</v>
      </c>
      <c r="K15" s="70">
        <v>60</v>
      </c>
      <c r="L15" s="78">
        <f t="shared" si="0"/>
        <v>1</v>
      </c>
      <c r="O15" t="s">
        <v>502</v>
      </c>
      <c r="P15" t="s">
        <v>458</v>
      </c>
    </row>
    <row r="16" spans="2:16" ht="18" customHeight="1" x14ac:dyDescent="0.2">
      <c r="B16" s="88">
        <v>2</v>
      </c>
      <c r="C16" s="71" t="s">
        <v>503</v>
      </c>
      <c r="D16" s="71"/>
      <c r="E16" s="71"/>
      <c r="F16" s="71"/>
      <c r="G16" s="71"/>
      <c r="H16" s="71" t="s">
        <v>476</v>
      </c>
      <c r="I16" s="71"/>
      <c r="J16" s="70">
        <v>3</v>
      </c>
      <c r="K16" s="70">
        <v>3</v>
      </c>
      <c r="L16" s="78">
        <f t="shared" si="0"/>
        <v>1</v>
      </c>
      <c r="O16" t="s">
        <v>504</v>
      </c>
    </row>
    <row r="17" spans="2:15" ht="18" customHeight="1" x14ac:dyDescent="0.2">
      <c r="B17" s="88">
        <v>2</v>
      </c>
      <c r="C17" s="71"/>
      <c r="D17" s="71"/>
      <c r="E17" s="71" t="s">
        <v>109</v>
      </c>
      <c r="F17" s="71"/>
      <c r="G17" s="71"/>
      <c r="H17" s="71" t="s">
        <v>486</v>
      </c>
      <c r="I17" s="71" t="s">
        <v>505</v>
      </c>
      <c r="J17" s="70">
        <v>1</v>
      </c>
      <c r="K17" s="70">
        <v>1</v>
      </c>
      <c r="L17" s="78">
        <f t="shared" si="0"/>
        <v>1</v>
      </c>
      <c r="O17" t="s">
        <v>491</v>
      </c>
    </row>
    <row r="18" spans="2:15" ht="18" customHeight="1" x14ac:dyDescent="0.2">
      <c r="B18" s="88">
        <v>2</v>
      </c>
      <c r="C18" s="71"/>
      <c r="D18" s="71"/>
      <c r="E18" s="71"/>
      <c r="F18" s="71"/>
      <c r="G18" s="71" t="s">
        <v>483</v>
      </c>
      <c r="H18" s="1" t="s">
        <v>480</v>
      </c>
      <c r="I18" s="71"/>
      <c r="J18" s="70">
        <v>5</v>
      </c>
      <c r="K18" s="70">
        <v>5</v>
      </c>
      <c r="L18" s="78">
        <f t="shared" si="0"/>
        <v>1</v>
      </c>
      <c r="O18" t="s">
        <v>497</v>
      </c>
    </row>
    <row r="19" spans="2:15" ht="18" customHeight="1" x14ac:dyDescent="0.2">
      <c r="B19" s="88">
        <v>2</v>
      </c>
      <c r="C19" s="71" t="s">
        <v>506</v>
      </c>
      <c r="D19" s="71"/>
      <c r="E19" s="71"/>
      <c r="F19" s="71"/>
      <c r="G19" s="71"/>
      <c r="H19" s="71" t="s">
        <v>482</v>
      </c>
      <c r="I19" s="71" t="s">
        <v>507</v>
      </c>
      <c r="J19" s="70">
        <v>1</v>
      </c>
      <c r="K19" s="70">
        <v>1</v>
      </c>
      <c r="L19" s="78">
        <f t="shared" si="0"/>
        <v>1</v>
      </c>
      <c r="O19" t="s">
        <v>508</v>
      </c>
    </row>
    <row r="20" spans="2:15" ht="18" customHeight="1" x14ac:dyDescent="0.2">
      <c r="B20" s="88">
        <v>2</v>
      </c>
      <c r="C20" s="71"/>
      <c r="D20" s="71"/>
      <c r="E20" s="71"/>
      <c r="F20" s="71"/>
      <c r="G20" s="71"/>
      <c r="H20" s="71" t="s">
        <v>504</v>
      </c>
      <c r="I20" s="71"/>
      <c r="J20" s="70">
        <v>2500</v>
      </c>
      <c r="K20" s="70">
        <v>2500</v>
      </c>
      <c r="L20" s="78">
        <f t="shared" si="0"/>
        <v>1</v>
      </c>
      <c r="O20" t="s">
        <v>509</v>
      </c>
    </row>
    <row r="21" spans="2:15" ht="18" customHeight="1" x14ac:dyDescent="0.2">
      <c r="B21" s="88">
        <v>2</v>
      </c>
      <c r="C21" s="71"/>
      <c r="D21" s="71"/>
      <c r="E21" s="71"/>
      <c r="F21" s="71"/>
      <c r="G21" s="71"/>
      <c r="H21" s="71" t="s">
        <v>490</v>
      </c>
      <c r="I21" s="71" t="s">
        <v>501</v>
      </c>
      <c r="J21" s="70">
        <v>10</v>
      </c>
      <c r="K21" s="70">
        <v>10</v>
      </c>
      <c r="L21" s="78">
        <f t="shared" si="0"/>
        <v>1</v>
      </c>
      <c r="O21" t="s">
        <v>480</v>
      </c>
    </row>
    <row r="22" spans="2:15" ht="18" customHeight="1" x14ac:dyDescent="0.2">
      <c r="B22" s="88">
        <v>2</v>
      </c>
      <c r="C22" s="71"/>
      <c r="D22" s="71"/>
      <c r="E22" s="71"/>
      <c r="F22" s="71"/>
      <c r="G22" s="71" t="s">
        <v>481</v>
      </c>
      <c r="H22" s="71" t="s">
        <v>509</v>
      </c>
      <c r="I22" s="71" t="s">
        <v>510</v>
      </c>
      <c r="J22" s="70">
        <v>1</v>
      </c>
      <c r="K22" s="70">
        <v>1</v>
      </c>
      <c r="L22" s="78">
        <f t="shared" si="0"/>
        <v>1</v>
      </c>
      <c r="O22" t="s">
        <v>484</v>
      </c>
    </row>
    <row r="23" spans="2:15" ht="18" customHeight="1" x14ac:dyDescent="0.2">
      <c r="B23" s="88">
        <v>2</v>
      </c>
      <c r="C23" s="71" t="s">
        <v>511</v>
      </c>
      <c r="D23" s="71"/>
      <c r="E23" s="71"/>
      <c r="F23" s="71"/>
      <c r="G23" s="71"/>
      <c r="H23" s="71" t="s">
        <v>484</v>
      </c>
      <c r="I23" s="71"/>
      <c r="J23" s="70">
        <v>3</v>
      </c>
      <c r="K23" s="70">
        <v>3</v>
      </c>
      <c r="L23" s="78">
        <f t="shared" si="0"/>
        <v>1</v>
      </c>
    </row>
    <row r="24" spans="2:15" ht="18" customHeight="1" x14ac:dyDescent="0.2">
      <c r="B24" s="88">
        <v>2</v>
      </c>
      <c r="C24" s="71" t="s">
        <v>512</v>
      </c>
      <c r="D24" s="71"/>
      <c r="E24" s="71"/>
      <c r="F24" s="71"/>
      <c r="G24" s="71"/>
      <c r="H24" s="71" t="s">
        <v>476</v>
      </c>
      <c r="I24" s="71"/>
      <c r="J24" s="70">
        <v>30000</v>
      </c>
      <c r="K24" s="70">
        <v>10000</v>
      </c>
      <c r="L24" s="78">
        <f t="shared" si="0"/>
        <v>0.33333333333333331</v>
      </c>
    </row>
    <row r="25" spans="2:15" ht="18" customHeight="1" thickBot="1" x14ac:dyDescent="0.25">
      <c r="B25" s="89">
        <v>2</v>
      </c>
      <c r="C25" s="69"/>
      <c r="D25" s="69"/>
      <c r="E25" s="69"/>
      <c r="F25" s="69"/>
      <c r="G25" s="69"/>
      <c r="H25" s="69" t="s">
        <v>502</v>
      </c>
      <c r="I25" s="69"/>
      <c r="J25" s="68">
        <v>50</v>
      </c>
      <c r="K25" s="68">
        <v>50</v>
      </c>
      <c r="L25" s="79">
        <f t="shared" si="0"/>
        <v>1</v>
      </c>
    </row>
    <row r="26" spans="2:15" ht="18" customHeight="1" x14ac:dyDescent="0.2">
      <c r="B26" s="87">
        <v>3</v>
      </c>
      <c r="C26" s="74"/>
      <c r="D26" s="74"/>
      <c r="E26" s="74"/>
      <c r="F26" s="74"/>
      <c r="G26" s="74"/>
      <c r="H26" s="102"/>
      <c r="I26" s="74"/>
      <c r="J26" s="73">
        <v>1</v>
      </c>
      <c r="K26" s="73">
        <v>0</v>
      </c>
      <c r="L26" s="72">
        <f t="shared" si="0"/>
        <v>0</v>
      </c>
    </row>
    <row r="27" spans="2:15" ht="18" customHeight="1" x14ac:dyDescent="0.2">
      <c r="B27" s="88">
        <v>3</v>
      </c>
      <c r="C27" s="71"/>
      <c r="D27" s="71"/>
      <c r="E27" s="71"/>
      <c r="F27" s="71"/>
      <c r="G27" s="71"/>
      <c r="H27" s="71"/>
      <c r="I27" s="71"/>
      <c r="J27" s="70">
        <v>1</v>
      </c>
      <c r="K27" s="70">
        <v>0</v>
      </c>
      <c r="L27" s="78">
        <f t="shared" si="0"/>
        <v>0</v>
      </c>
    </row>
    <row r="28" spans="2:15" ht="18" customHeight="1" x14ac:dyDescent="0.2">
      <c r="B28" s="88">
        <v>3</v>
      </c>
      <c r="C28" s="71"/>
      <c r="D28" s="71"/>
      <c r="E28" s="71"/>
      <c r="F28" s="71"/>
      <c r="G28" s="71"/>
      <c r="H28" s="86"/>
      <c r="I28" s="71"/>
      <c r="J28" s="70">
        <v>1</v>
      </c>
      <c r="K28" s="70">
        <v>0</v>
      </c>
      <c r="L28" s="78">
        <f t="shared" si="0"/>
        <v>0</v>
      </c>
    </row>
    <row r="29" spans="2:15" ht="18" customHeight="1" x14ac:dyDescent="0.2">
      <c r="B29" s="88">
        <v>3</v>
      </c>
      <c r="C29" s="71"/>
      <c r="D29" s="71"/>
      <c r="E29" s="71"/>
      <c r="F29" s="71"/>
      <c r="G29" s="71"/>
      <c r="H29" s="71"/>
      <c r="I29" s="71"/>
      <c r="J29" s="70">
        <v>1</v>
      </c>
      <c r="K29" s="70">
        <v>0</v>
      </c>
      <c r="L29" s="78">
        <f t="shared" si="0"/>
        <v>0</v>
      </c>
    </row>
    <row r="30" spans="2:15" ht="18" customHeight="1" x14ac:dyDescent="0.2">
      <c r="B30" s="88">
        <v>3</v>
      </c>
      <c r="C30" s="71"/>
      <c r="D30" s="71"/>
      <c r="E30" s="71"/>
      <c r="F30" s="71"/>
      <c r="G30" s="71"/>
      <c r="H30" s="71"/>
      <c r="I30" s="71"/>
      <c r="J30" s="70">
        <v>1</v>
      </c>
      <c r="K30" s="70">
        <v>0</v>
      </c>
      <c r="L30" s="78">
        <f t="shared" si="0"/>
        <v>0</v>
      </c>
    </row>
    <row r="31" spans="2:15" ht="18" customHeight="1" x14ac:dyDescent="0.2">
      <c r="B31" s="88">
        <v>3</v>
      </c>
      <c r="C31" s="71"/>
      <c r="D31" s="71"/>
      <c r="E31" s="71"/>
      <c r="F31" s="71"/>
      <c r="G31" s="71"/>
      <c r="H31" s="71"/>
      <c r="I31" s="71"/>
      <c r="J31" s="70">
        <v>1</v>
      </c>
      <c r="K31" s="70">
        <v>0</v>
      </c>
      <c r="L31" s="78">
        <f t="shared" si="0"/>
        <v>0</v>
      </c>
    </row>
    <row r="32" spans="2:15" ht="18" customHeight="1" x14ac:dyDescent="0.2">
      <c r="B32" s="88">
        <v>3</v>
      </c>
      <c r="C32" s="71"/>
      <c r="D32" s="71"/>
      <c r="E32" s="71"/>
      <c r="F32" s="71"/>
      <c r="G32" s="71"/>
      <c r="H32" s="71"/>
      <c r="I32" s="71"/>
      <c r="J32" s="70">
        <v>1</v>
      </c>
      <c r="K32" s="70">
        <v>0</v>
      </c>
      <c r="L32" s="78">
        <f t="shared" si="0"/>
        <v>0</v>
      </c>
    </row>
    <row r="33" spans="2:12" ht="18" customHeight="1" x14ac:dyDescent="0.2">
      <c r="B33" s="88">
        <v>3</v>
      </c>
      <c r="C33" s="71"/>
      <c r="D33" s="71"/>
      <c r="E33" s="71"/>
      <c r="F33" s="71"/>
      <c r="G33" s="71"/>
      <c r="H33" s="71"/>
      <c r="I33" s="71"/>
      <c r="J33" s="70">
        <v>1</v>
      </c>
      <c r="K33" s="70">
        <v>0</v>
      </c>
      <c r="L33" s="78">
        <f t="shared" si="0"/>
        <v>0</v>
      </c>
    </row>
    <row r="34" spans="2:12" ht="18" customHeight="1" x14ac:dyDescent="0.2">
      <c r="B34" s="88">
        <v>3</v>
      </c>
      <c r="C34" s="71"/>
      <c r="D34" s="71"/>
      <c r="E34" s="71"/>
      <c r="F34" s="71"/>
      <c r="G34" s="71"/>
      <c r="H34" s="71"/>
      <c r="I34" s="71"/>
      <c r="J34" s="70">
        <v>1</v>
      </c>
      <c r="K34" s="70">
        <v>0</v>
      </c>
      <c r="L34" s="78">
        <f t="shared" ref="L34:L65" si="1">K34/J34</f>
        <v>0</v>
      </c>
    </row>
    <row r="35" spans="2:12" ht="18" customHeight="1" x14ac:dyDescent="0.2">
      <c r="B35" s="88">
        <v>3</v>
      </c>
      <c r="C35" s="71"/>
      <c r="D35" s="71"/>
      <c r="E35" s="71"/>
      <c r="F35" s="71"/>
      <c r="G35" s="71"/>
      <c r="H35" s="71"/>
      <c r="I35" s="71"/>
      <c r="J35" s="70">
        <v>1</v>
      </c>
      <c r="K35" s="70">
        <v>0</v>
      </c>
      <c r="L35" s="78">
        <f t="shared" si="1"/>
        <v>0</v>
      </c>
    </row>
    <row r="36" spans="2:12" ht="18" customHeight="1" x14ac:dyDescent="0.2">
      <c r="B36" s="88">
        <v>3</v>
      </c>
      <c r="C36" s="71"/>
      <c r="D36" s="71"/>
      <c r="E36" s="71"/>
      <c r="F36" s="71"/>
      <c r="G36" s="71"/>
      <c r="H36" s="71"/>
      <c r="I36" s="71"/>
      <c r="J36" s="70">
        <v>1</v>
      </c>
      <c r="K36" s="70">
        <v>0</v>
      </c>
      <c r="L36" s="78">
        <f t="shared" si="1"/>
        <v>0</v>
      </c>
    </row>
    <row r="37" spans="2:12" ht="18" customHeight="1" thickBot="1" x14ac:dyDescent="0.25">
      <c r="B37" s="89">
        <v>3</v>
      </c>
      <c r="C37" s="69"/>
      <c r="D37" s="69"/>
      <c r="E37" s="69"/>
      <c r="F37" s="69"/>
      <c r="G37" s="69"/>
      <c r="H37" s="69"/>
      <c r="I37" s="69"/>
      <c r="J37" s="68">
        <v>1</v>
      </c>
      <c r="K37" s="68">
        <v>0</v>
      </c>
      <c r="L37" s="79">
        <f t="shared" si="1"/>
        <v>0</v>
      </c>
    </row>
    <row r="38" spans="2:12" ht="18" customHeight="1" x14ac:dyDescent="0.2">
      <c r="B38" s="87">
        <v>4</v>
      </c>
      <c r="C38" s="74"/>
      <c r="D38" s="74"/>
      <c r="E38" s="74"/>
      <c r="F38" s="74"/>
      <c r="G38" s="74"/>
      <c r="H38" s="74"/>
      <c r="I38" s="74"/>
      <c r="J38" s="73">
        <v>1</v>
      </c>
      <c r="K38" s="73">
        <v>0</v>
      </c>
      <c r="L38" s="72">
        <f t="shared" si="1"/>
        <v>0</v>
      </c>
    </row>
    <row r="39" spans="2:12" ht="18" customHeight="1" x14ac:dyDescent="0.2">
      <c r="B39" s="88">
        <v>4</v>
      </c>
      <c r="C39" s="71"/>
      <c r="D39" s="71"/>
      <c r="E39" s="71"/>
      <c r="F39" s="71"/>
      <c r="G39" s="71"/>
      <c r="H39" s="71"/>
      <c r="I39" s="71"/>
      <c r="J39" s="70">
        <v>1</v>
      </c>
      <c r="K39" s="70">
        <v>0</v>
      </c>
      <c r="L39" s="78">
        <f t="shared" si="1"/>
        <v>0</v>
      </c>
    </row>
    <row r="40" spans="2:12" ht="18" customHeight="1" x14ac:dyDescent="0.2">
      <c r="B40" s="88">
        <v>4</v>
      </c>
      <c r="C40" s="71"/>
      <c r="D40" s="71"/>
      <c r="E40" s="71"/>
      <c r="F40" s="71"/>
      <c r="G40" s="71"/>
      <c r="H40" s="71"/>
      <c r="I40" s="71"/>
      <c r="J40" s="70">
        <v>1</v>
      </c>
      <c r="K40" s="70">
        <v>0</v>
      </c>
      <c r="L40" s="78">
        <f t="shared" si="1"/>
        <v>0</v>
      </c>
    </row>
    <row r="41" spans="2:12" ht="18" customHeight="1" x14ac:dyDescent="0.2">
      <c r="B41" s="88">
        <v>4</v>
      </c>
      <c r="C41" s="71"/>
      <c r="D41" s="71"/>
      <c r="E41" s="71"/>
      <c r="F41" s="71"/>
      <c r="G41" s="71"/>
      <c r="H41" s="71"/>
      <c r="I41" s="71"/>
      <c r="J41" s="70">
        <v>1</v>
      </c>
      <c r="K41" s="70">
        <v>0</v>
      </c>
      <c r="L41" s="78">
        <f t="shared" si="1"/>
        <v>0</v>
      </c>
    </row>
    <row r="42" spans="2:12" ht="18" customHeight="1" x14ac:dyDescent="0.2">
      <c r="B42" s="88">
        <v>4</v>
      </c>
      <c r="C42" s="71"/>
      <c r="D42" s="71"/>
      <c r="E42" s="71"/>
      <c r="F42" s="71"/>
      <c r="G42" s="71"/>
      <c r="H42" s="71"/>
      <c r="I42" s="71"/>
      <c r="J42" s="70">
        <v>1</v>
      </c>
      <c r="K42" s="70">
        <v>0</v>
      </c>
      <c r="L42" s="78">
        <f t="shared" si="1"/>
        <v>0</v>
      </c>
    </row>
    <row r="43" spans="2:12" ht="18" customHeight="1" x14ac:dyDescent="0.2">
      <c r="B43" s="88">
        <v>4</v>
      </c>
      <c r="C43" s="71"/>
      <c r="D43" s="71"/>
      <c r="E43" s="71"/>
      <c r="F43" s="71"/>
      <c r="G43" s="71"/>
      <c r="H43" s="71"/>
      <c r="I43" s="71"/>
      <c r="J43" s="70">
        <v>1</v>
      </c>
      <c r="K43" s="70">
        <v>0</v>
      </c>
      <c r="L43" s="78">
        <f t="shared" si="1"/>
        <v>0</v>
      </c>
    </row>
    <row r="44" spans="2:12" ht="18" customHeight="1" x14ac:dyDescent="0.2">
      <c r="B44" s="88">
        <v>4</v>
      </c>
      <c r="C44" s="71"/>
      <c r="D44" s="71"/>
      <c r="E44" s="71"/>
      <c r="F44" s="71"/>
      <c r="G44" s="71"/>
      <c r="H44" s="71"/>
      <c r="I44" s="71"/>
      <c r="J44" s="70">
        <v>1</v>
      </c>
      <c r="K44" s="70">
        <v>0</v>
      </c>
      <c r="L44" s="78">
        <f t="shared" si="1"/>
        <v>0</v>
      </c>
    </row>
    <row r="45" spans="2:12" ht="18" customHeight="1" x14ac:dyDescent="0.2">
      <c r="B45" s="88">
        <v>4</v>
      </c>
      <c r="C45" s="71"/>
      <c r="D45" s="71"/>
      <c r="E45" s="71"/>
      <c r="F45" s="71"/>
      <c r="G45" s="71"/>
      <c r="H45" s="86"/>
      <c r="I45" s="71"/>
      <c r="J45" s="70">
        <v>1</v>
      </c>
      <c r="K45" s="70">
        <v>0</v>
      </c>
      <c r="L45" s="78">
        <f t="shared" si="1"/>
        <v>0</v>
      </c>
    </row>
    <row r="46" spans="2:12" ht="18" customHeight="1" x14ac:dyDescent="0.2">
      <c r="B46" s="88">
        <v>4</v>
      </c>
      <c r="C46" s="71"/>
      <c r="D46" s="71"/>
      <c r="E46" s="71"/>
      <c r="F46" s="71"/>
      <c r="G46" s="71"/>
      <c r="H46" s="71"/>
      <c r="I46" s="71"/>
      <c r="J46" s="70">
        <v>1</v>
      </c>
      <c r="K46" s="70">
        <v>0</v>
      </c>
      <c r="L46" s="78">
        <f t="shared" si="1"/>
        <v>0</v>
      </c>
    </row>
    <row r="47" spans="2:12" ht="18" customHeight="1" x14ac:dyDescent="0.2">
      <c r="B47" s="88">
        <v>4</v>
      </c>
      <c r="C47" s="71"/>
      <c r="D47" s="71"/>
      <c r="E47" s="71"/>
      <c r="F47" s="71"/>
      <c r="G47" s="86"/>
      <c r="H47" s="71"/>
      <c r="I47" s="71"/>
      <c r="J47" s="70">
        <v>1</v>
      </c>
      <c r="K47" s="70">
        <v>0</v>
      </c>
      <c r="L47" s="78">
        <f t="shared" si="1"/>
        <v>0</v>
      </c>
    </row>
    <row r="48" spans="2:12" ht="18" customHeight="1" x14ac:dyDescent="0.2">
      <c r="B48" s="88">
        <v>4</v>
      </c>
      <c r="C48" s="71"/>
      <c r="D48" s="71"/>
      <c r="E48" s="71"/>
      <c r="F48" s="71"/>
      <c r="G48" s="71"/>
      <c r="H48" s="71"/>
      <c r="I48" s="71"/>
      <c r="J48" s="70">
        <v>1</v>
      </c>
      <c r="K48" s="70">
        <v>0</v>
      </c>
      <c r="L48" s="78">
        <f t="shared" si="1"/>
        <v>0</v>
      </c>
    </row>
    <row r="49" spans="2:12" ht="18" customHeight="1" thickBot="1" x14ac:dyDescent="0.25">
      <c r="B49" s="89">
        <v>4</v>
      </c>
      <c r="C49" s="69"/>
      <c r="D49" s="69"/>
      <c r="E49" s="69"/>
      <c r="F49" s="69"/>
      <c r="G49" s="69"/>
      <c r="H49" s="69"/>
      <c r="I49" s="69"/>
      <c r="J49" s="68">
        <v>1</v>
      </c>
      <c r="K49" s="68">
        <v>0</v>
      </c>
      <c r="L49" s="79">
        <f t="shared" si="1"/>
        <v>0</v>
      </c>
    </row>
    <row r="50" spans="2:12" ht="18" customHeight="1" x14ac:dyDescent="0.2">
      <c r="B50" s="87">
        <v>5</v>
      </c>
      <c r="C50" s="74"/>
      <c r="D50" s="74"/>
      <c r="E50" s="74"/>
      <c r="F50" s="74"/>
      <c r="G50" s="74"/>
      <c r="H50" s="74"/>
      <c r="I50" s="74"/>
      <c r="J50" s="73">
        <v>1</v>
      </c>
      <c r="K50" s="73">
        <v>0</v>
      </c>
      <c r="L50" s="72">
        <f t="shared" si="1"/>
        <v>0</v>
      </c>
    </row>
    <row r="51" spans="2:12" ht="18" customHeight="1" x14ac:dyDescent="0.2">
      <c r="B51" s="88">
        <v>5</v>
      </c>
      <c r="C51" s="71"/>
      <c r="D51" s="71"/>
      <c r="E51" s="71"/>
      <c r="F51" s="71"/>
      <c r="G51" s="71"/>
      <c r="H51" s="71"/>
      <c r="I51" s="71"/>
      <c r="J51" s="70">
        <v>1</v>
      </c>
      <c r="K51" s="70">
        <v>0</v>
      </c>
      <c r="L51" s="78">
        <f t="shared" si="1"/>
        <v>0</v>
      </c>
    </row>
    <row r="52" spans="2:12" ht="18" customHeight="1" x14ac:dyDescent="0.2">
      <c r="B52" s="88">
        <v>5</v>
      </c>
      <c r="C52" s="71"/>
      <c r="D52" s="71"/>
      <c r="E52" s="71"/>
      <c r="F52" s="71"/>
      <c r="G52" s="71"/>
      <c r="H52" s="71"/>
      <c r="I52" s="71"/>
      <c r="J52" s="70">
        <v>1</v>
      </c>
      <c r="K52" s="70">
        <v>0</v>
      </c>
      <c r="L52" s="78">
        <f t="shared" si="1"/>
        <v>0</v>
      </c>
    </row>
    <row r="53" spans="2:12" ht="18" customHeight="1" x14ac:dyDescent="0.2">
      <c r="B53" s="88">
        <v>5</v>
      </c>
      <c r="C53" s="71"/>
      <c r="D53" s="71"/>
      <c r="E53" s="71"/>
      <c r="F53" s="71"/>
      <c r="G53" s="71"/>
      <c r="H53" s="71"/>
      <c r="I53" s="71"/>
      <c r="J53" s="70">
        <v>1</v>
      </c>
      <c r="K53" s="70">
        <v>0</v>
      </c>
      <c r="L53" s="78">
        <f t="shared" si="1"/>
        <v>0</v>
      </c>
    </row>
    <row r="54" spans="2:12" ht="18" customHeight="1" x14ac:dyDescent="0.2">
      <c r="B54" s="88">
        <v>5</v>
      </c>
      <c r="C54" s="71"/>
      <c r="D54" s="71"/>
      <c r="E54" s="71"/>
      <c r="F54" s="71"/>
      <c r="G54" s="71"/>
      <c r="H54" s="71"/>
      <c r="I54" s="71"/>
      <c r="J54" s="70">
        <v>1</v>
      </c>
      <c r="K54" s="70">
        <v>0</v>
      </c>
      <c r="L54" s="78">
        <f t="shared" si="1"/>
        <v>0</v>
      </c>
    </row>
    <row r="55" spans="2:12" ht="18" customHeight="1" x14ac:dyDescent="0.2">
      <c r="B55" s="88">
        <v>5</v>
      </c>
      <c r="C55" s="71"/>
      <c r="D55" s="71"/>
      <c r="E55" s="71"/>
      <c r="F55" s="71"/>
      <c r="G55" s="71"/>
      <c r="H55" s="71"/>
      <c r="I55" s="71"/>
      <c r="J55" s="70">
        <v>1</v>
      </c>
      <c r="K55" s="70">
        <v>0</v>
      </c>
      <c r="L55" s="78">
        <f t="shared" si="1"/>
        <v>0</v>
      </c>
    </row>
    <row r="56" spans="2:12" ht="18" customHeight="1" x14ac:dyDescent="0.2">
      <c r="B56" s="88">
        <v>5</v>
      </c>
      <c r="C56" s="71"/>
      <c r="D56" s="71"/>
      <c r="E56" s="71"/>
      <c r="F56" s="71"/>
      <c r="G56" s="71"/>
      <c r="H56" s="71"/>
      <c r="I56" s="71"/>
      <c r="J56" s="70">
        <v>1</v>
      </c>
      <c r="K56" s="70">
        <v>0</v>
      </c>
      <c r="L56" s="78">
        <f t="shared" si="1"/>
        <v>0</v>
      </c>
    </row>
    <row r="57" spans="2:12" ht="18" customHeight="1" x14ac:dyDescent="0.2">
      <c r="B57" s="88">
        <v>5</v>
      </c>
      <c r="C57" s="71"/>
      <c r="D57" s="71"/>
      <c r="E57" s="71"/>
      <c r="F57" s="71"/>
      <c r="G57" s="71"/>
      <c r="H57" s="71"/>
      <c r="I57" s="71"/>
      <c r="J57" s="70">
        <v>1</v>
      </c>
      <c r="K57" s="70">
        <v>0</v>
      </c>
      <c r="L57" s="78">
        <f t="shared" si="1"/>
        <v>0</v>
      </c>
    </row>
    <row r="58" spans="2:12" ht="18" customHeight="1" x14ac:dyDescent="0.2">
      <c r="B58" s="88">
        <v>5</v>
      </c>
      <c r="C58" s="71"/>
      <c r="D58" s="71"/>
      <c r="E58" s="71"/>
      <c r="F58" s="71"/>
      <c r="G58" s="71"/>
      <c r="H58" s="71"/>
      <c r="I58" s="71"/>
      <c r="J58" s="70">
        <v>1</v>
      </c>
      <c r="K58" s="70">
        <v>0</v>
      </c>
      <c r="L58" s="78">
        <f t="shared" si="1"/>
        <v>0</v>
      </c>
    </row>
    <row r="59" spans="2:12" ht="18" customHeight="1" x14ac:dyDescent="0.2">
      <c r="B59" s="88">
        <v>5</v>
      </c>
      <c r="C59" s="71"/>
      <c r="D59" s="71"/>
      <c r="E59" s="71"/>
      <c r="F59" s="71"/>
      <c r="G59" s="71"/>
      <c r="H59" s="71"/>
      <c r="I59" s="71"/>
      <c r="J59" s="70">
        <v>1</v>
      </c>
      <c r="K59" s="70">
        <v>0</v>
      </c>
      <c r="L59" s="78">
        <f t="shared" si="1"/>
        <v>0</v>
      </c>
    </row>
    <row r="60" spans="2:12" ht="18" customHeight="1" x14ac:dyDescent="0.2">
      <c r="B60" s="88">
        <v>5</v>
      </c>
      <c r="C60" s="71"/>
      <c r="D60" s="71"/>
      <c r="E60" s="71"/>
      <c r="F60" s="71"/>
      <c r="G60" s="71"/>
      <c r="H60" s="71"/>
      <c r="I60" s="71"/>
      <c r="J60" s="70">
        <v>1</v>
      </c>
      <c r="K60" s="70">
        <v>0</v>
      </c>
      <c r="L60" s="78">
        <f t="shared" si="1"/>
        <v>0</v>
      </c>
    </row>
    <row r="61" spans="2:12" ht="18" customHeight="1" thickBot="1" x14ac:dyDescent="0.25">
      <c r="B61" s="89">
        <v>5</v>
      </c>
      <c r="C61" s="69"/>
      <c r="D61" s="69"/>
      <c r="E61" s="69"/>
      <c r="F61" s="69"/>
      <c r="G61" s="69"/>
      <c r="H61" s="69"/>
      <c r="I61" s="69"/>
      <c r="J61" s="68">
        <v>1</v>
      </c>
      <c r="K61" s="68">
        <v>0</v>
      </c>
      <c r="L61" s="79">
        <f t="shared" si="1"/>
        <v>0</v>
      </c>
    </row>
    <row r="62" spans="2:12" ht="18" customHeight="1" x14ac:dyDescent="0.2">
      <c r="B62" s="87">
        <v>6</v>
      </c>
      <c r="C62" s="74"/>
      <c r="D62" s="74"/>
      <c r="E62" s="74"/>
      <c r="F62" s="74"/>
      <c r="G62" s="74"/>
      <c r="H62" s="74"/>
      <c r="I62" s="74"/>
      <c r="J62" s="73">
        <v>1</v>
      </c>
      <c r="K62" s="73">
        <v>0</v>
      </c>
      <c r="L62" s="72">
        <f t="shared" si="1"/>
        <v>0</v>
      </c>
    </row>
    <row r="63" spans="2:12" ht="18" customHeight="1" x14ac:dyDescent="0.2">
      <c r="B63" s="88">
        <v>6</v>
      </c>
      <c r="C63" s="71"/>
      <c r="D63" s="71"/>
      <c r="E63" s="71"/>
      <c r="F63" s="71"/>
      <c r="G63" s="71"/>
      <c r="H63" s="71"/>
      <c r="I63" s="71"/>
      <c r="J63" s="70">
        <v>1</v>
      </c>
      <c r="K63" s="70">
        <v>0</v>
      </c>
      <c r="L63" s="78">
        <f t="shared" si="1"/>
        <v>0</v>
      </c>
    </row>
    <row r="64" spans="2:12" ht="18" customHeight="1" x14ac:dyDescent="0.2">
      <c r="B64" s="88">
        <v>6</v>
      </c>
      <c r="C64" s="71"/>
      <c r="D64" s="71"/>
      <c r="E64" s="71"/>
      <c r="F64" s="71"/>
      <c r="G64" s="71"/>
      <c r="H64" s="71"/>
      <c r="I64" s="71"/>
      <c r="J64" s="70">
        <v>1</v>
      </c>
      <c r="K64" s="70">
        <v>0</v>
      </c>
      <c r="L64" s="78">
        <f t="shared" si="1"/>
        <v>0</v>
      </c>
    </row>
    <row r="65" spans="2:12" ht="18" customHeight="1" x14ac:dyDescent="0.2">
      <c r="B65" s="88">
        <v>6</v>
      </c>
      <c r="C65" s="71"/>
      <c r="D65" s="71"/>
      <c r="E65" s="71"/>
      <c r="F65" s="71"/>
      <c r="G65" s="71"/>
      <c r="H65" s="71"/>
      <c r="I65" s="71"/>
      <c r="J65" s="70">
        <v>1</v>
      </c>
      <c r="K65" s="70">
        <v>0</v>
      </c>
      <c r="L65" s="78">
        <f t="shared" si="1"/>
        <v>0</v>
      </c>
    </row>
    <row r="66" spans="2:12" ht="18" customHeight="1" x14ac:dyDescent="0.2">
      <c r="B66" s="88">
        <v>6</v>
      </c>
      <c r="C66" s="71"/>
      <c r="D66" s="71"/>
      <c r="E66" s="71"/>
      <c r="F66" s="71"/>
      <c r="G66" s="71"/>
      <c r="H66" s="71"/>
      <c r="I66" s="71"/>
      <c r="J66" s="70">
        <v>1</v>
      </c>
      <c r="K66" s="70">
        <v>0</v>
      </c>
      <c r="L66" s="78">
        <f t="shared" ref="L66:L97" si="2">K66/J66</f>
        <v>0</v>
      </c>
    </row>
    <row r="67" spans="2:12" ht="18" customHeight="1" x14ac:dyDescent="0.2">
      <c r="B67" s="88">
        <v>6</v>
      </c>
      <c r="C67" s="71"/>
      <c r="D67" s="71"/>
      <c r="E67" s="71"/>
      <c r="F67" s="71"/>
      <c r="G67" s="71"/>
      <c r="H67" s="71"/>
      <c r="I67" s="71"/>
      <c r="J67" s="70">
        <v>1</v>
      </c>
      <c r="K67" s="70">
        <v>0</v>
      </c>
      <c r="L67" s="78">
        <f t="shared" si="2"/>
        <v>0</v>
      </c>
    </row>
    <row r="68" spans="2:12" ht="18" customHeight="1" x14ac:dyDescent="0.2">
      <c r="B68" s="88">
        <v>6</v>
      </c>
      <c r="C68" s="71"/>
      <c r="D68" s="71"/>
      <c r="E68" s="71"/>
      <c r="F68" s="71"/>
      <c r="G68" s="71"/>
      <c r="H68" s="71"/>
      <c r="I68" s="71"/>
      <c r="J68" s="70">
        <v>1</v>
      </c>
      <c r="K68" s="70">
        <v>0</v>
      </c>
      <c r="L68" s="78">
        <f t="shared" si="2"/>
        <v>0</v>
      </c>
    </row>
    <row r="69" spans="2:12" ht="18" customHeight="1" x14ac:dyDescent="0.2">
      <c r="B69" s="88">
        <v>6</v>
      </c>
      <c r="C69" s="71"/>
      <c r="D69" s="71"/>
      <c r="E69" s="71"/>
      <c r="F69" s="71"/>
      <c r="G69" s="71"/>
      <c r="H69" s="71"/>
      <c r="I69" s="71"/>
      <c r="J69" s="70">
        <v>1</v>
      </c>
      <c r="K69" s="70">
        <v>0</v>
      </c>
      <c r="L69" s="78">
        <f t="shared" si="2"/>
        <v>0</v>
      </c>
    </row>
    <row r="70" spans="2:12" ht="18" customHeight="1" x14ac:dyDescent="0.2">
      <c r="B70" s="88">
        <v>6</v>
      </c>
      <c r="C70" s="71"/>
      <c r="D70" s="71"/>
      <c r="E70" s="71"/>
      <c r="F70" s="71"/>
      <c r="G70" s="71"/>
      <c r="H70" s="71"/>
      <c r="I70" s="71"/>
      <c r="J70" s="70">
        <v>1</v>
      </c>
      <c r="K70" s="70">
        <v>0</v>
      </c>
      <c r="L70" s="78">
        <f t="shared" si="2"/>
        <v>0</v>
      </c>
    </row>
    <row r="71" spans="2:12" ht="18" customHeight="1" x14ac:dyDescent="0.2">
      <c r="B71" s="88">
        <v>6</v>
      </c>
      <c r="C71" s="71"/>
      <c r="D71" s="71"/>
      <c r="E71" s="71"/>
      <c r="F71" s="71"/>
      <c r="G71" s="71"/>
      <c r="H71" s="71"/>
      <c r="I71" s="71"/>
      <c r="J71" s="70">
        <v>1</v>
      </c>
      <c r="K71" s="70">
        <v>0</v>
      </c>
      <c r="L71" s="78">
        <f t="shared" si="2"/>
        <v>0</v>
      </c>
    </row>
    <row r="72" spans="2:12" ht="18" customHeight="1" x14ac:dyDescent="0.2">
      <c r="B72" s="88">
        <v>6</v>
      </c>
      <c r="C72" s="71"/>
      <c r="D72" s="71"/>
      <c r="E72" s="71"/>
      <c r="F72" s="71"/>
      <c r="G72" s="71"/>
      <c r="H72" s="71"/>
      <c r="I72" s="71"/>
      <c r="J72" s="70">
        <v>1</v>
      </c>
      <c r="K72" s="70">
        <v>0</v>
      </c>
      <c r="L72" s="78">
        <f t="shared" si="2"/>
        <v>0</v>
      </c>
    </row>
    <row r="73" spans="2:12" ht="18" customHeight="1" thickBot="1" x14ac:dyDescent="0.25">
      <c r="B73" s="89">
        <v>6</v>
      </c>
      <c r="C73" s="69"/>
      <c r="D73" s="69"/>
      <c r="E73" s="69"/>
      <c r="F73" s="69"/>
      <c r="G73" s="69"/>
      <c r="H73" s="69"/>
      <c r="I73" s="69"/>
      <c r="J73" s="68">
        <v>1</v>
      </c>
      <c r="K73" s="68">
        <v>0</v>
      </c>
      <c r="L73" s="79">
        <f t="shared" si="2"/>
        <v>0</v>
      </c>
    </row>
    <row r="74" spans="2:12" ht="18" customHeight="1" x14ac:dyDescent="0.2">
      <c r="B74" s="87">
        <v>7</v>
      </c>
      <c r="C74" s="74"/>
      <c r="D74" s="74"/>
      <c r="E74" s="74"/>
      <c r="F74" s="71"/>
      <c r="G74" s="74"/>
      <c r="H74" s="74"/>
      <c r="I74" s="74"/>
      <c r="J74" s="73">
        <v>1</v>
      </c>
      <c r="K74" s="73">
        <v>0</v>
      </c>
      <c r="L74" s="72">
        <f t="shared" si="2"/>
        <v>0</v>
      </c>
    </row>
    <row r="75" spans="2:12" ht="18" customHeight="1" x14ac:dyDescent="0.2">
      <c r="B75" s="88">
        <v>7</v>
      </c>
      <c r="C75" s="71"/>
      <c r="D75" s="71"/>
      <c r="E75" s="71"/>
      <c r="F75" s="71"/>
      <c r="G75" s="71"/>
      <c r="H75" s="71"/>
      <c r="I75" s="71"/>
      <c r="J75" s="70">
        <v>1</v>
      </c>
      <c r="K75" s="70">
        <v>0</v>
      </c>
      <c r="L75" s="78">
        <f t="shared" si="2"/>
        <v>0</v>
      </c>
    </row>
    <row r="76" spans="2:12" ht="18" customHeight="1" x14ac:dyDescent="0.2">
      <c r="B76" s="88">
        <v>7</v>
      </c>
      <c r="C76" s="71"/>
      <c r="D76" s="71"/>
      <c r="E76" s="71"/>
      <c r="F76" s="71"/>
      <c r="G76" s="71"/>
      <c r="H76" s="71"/>
      <c r="I76" s="71"/>
      <c r="J76" s="70">
        <v>1</v>
      </c>
      <c r="K76" s="70">
        <v>0</v>
      </c>
      <c r="L76" s="78">
        <f t="shared" si="2"/>
        <v>0</v>
      </c>
    </row>
    <row r="77" spans="2:12" ht="18" customHeight="1" x14ac:dyDescent="0.2">
      <c r="B77" s="88">
        <v>7</v>
      </c>
      <c r="C77" s="71"/>
      <c r="D77" s="71"/>
      <c r="F77" s="71"/>
      <c r="G77" s="71"/>
      <c r="H77" s="71"/>
      <c r="I77" s="71"/>
      <c r="J77" s="70">
        <v>1</v>
      </c>
      <c r="K77" s="70">
        <v>0</v>
      </c>
      <c r="L77" s="78">
        <f t="shared" si="2"/>
        <v>0</v>
      </c>
    </row>
    <row r="78" spans="2:12" ht="18" customHeight="1" x14ac:dyDescent="0.2">
      <c r="B78" s="88">
        <v>7</v>
      </c>
      <c r="C78" s="71"/>
      <c r="D78" s="71"/>
      <c r="E78" s="71"/>
      <c r="F78" s="71"/>
      <c r="G78" s="71"/>
      <c r="H78" s="71"/>
      <c r="I78" s="71"/>
      <c r="J78" s="70">
        <v>1</v>
      </c>
      <c r="K78" s="70">
        <v>0</v>
      </c>
      <c r="L78" s="78">
        <f t="shared" si="2"/>
        <v>0</v>
      </c>
    </row>
    <row r="79" spans="2:12" ht="18" customHeight="1" x14ac:dyDescent="0.2">
      <c r="B79" s="88">
        <v>7</v>
      </c>
      <c r="C79" s="71"/>
      <c r="D79" s="71"/>
      <c r="E79" s="71"/>
      <c r="F79" s="71"/>
      <c r="G79" s="71"/>
      <c r="H79" s="71"/>
      <c r="I79" s="71"/>
      <c r="J79" s="70">
        <v>1</v>
      </c>
      <c r="K79" s="70">
        <v>0</v>
      </c>
      <c r="L79" s="78">
        <f t="shared" si="2"/>
        <v>0</v>
      </c>
    </row>
    <row r="80" spans="2:12" ht="18" customHeight="1" x14ac:dyDescent="0.2">
      <c r="B80" s="88">
        <v>7</v>
      </c>
      <c r="C80" s="71"/>
      <c r="D80" s="71"/>
      <c r="E80" s="71"/>
      <c r="F80" s="71"/>
      <c r="G80" s="71"/>
      <c r="H80" s="71"/>
      <c r="I80" s="71"/>
      <c r="J80" s="70">
        <v>1</v>
      </c>
      <c r="K80" s="70">
        <v>0</v>
      </c>
      <c r="L80" s="78">
        <f t="shared" si="2"/>
        <v>0</v>
      </c>
    </row>
    <row r="81" spans="2:12" ht="18" customHeight="1" x14ac:dyDescent="0.2">
      <c r="B81" s="88">
        <v>7</v>
      </c>
      <c r="C81" s="71"/>
      <c r="D81" s="71"/>
      <c r="E81" s="71"/>
      <c r="F81" s="71"/>
      <c r="G81" s="71"/>
      <c r="H81" s="71"/>
      <c r="I81" s="71"/>
      <c r="J81" s="70">
        <v>1</v>
      </c>
      <c r="K81" s="70">
        <v>0</v>
      </c>
      <c r="L81" s="78">
        <f t="shared" si="2"/>
        <v>0</v>
      </c>
    </row>
    <row r="82" spans="2:12" ht="18" customHeight="1" x14ac:dyDescent="0.2">
      <c r="B82" s="88">
        <v>7</v>
      </c>
      <c r="C82" s="71"/>
      <c r="D82" s="71"/>
      <c r="E82" s="71"/>
      <c r="F82" s="71"/>
      <c r="G82" s="71"/>
      <c r="H82" s="71"/>
      <c r="I82" s="71"/>
      <c r="J82" s="70">
        <v>1</v>
      </c>
      <c r="K82" s="70">
        <v>0</v>
      </c>
      <c r="L82" s="78">
        <f t="shared" si="2"/>
        <v>0</v>
      </c>
    </row>
    <row r="83" spans="2:12" ht="18" customHeight="1" x14ac:dyDescent="0.2">
      <c r="B83" s="88">
        <v>7</v>
      </c>
      <c r="C83" s="71"/>
      <c r="D83" s="71"/>
      <c r="E83" s="71"/>
      <c r="F83" s="71"/>
      <c r="G83" s="71"/>
      <c r="H83" s="71"/>
      <c r="I83" s="71"/>
      <c r="J83" s="70">
        <v>1</v>
      </c>
      <c r="K83" s="70">
        <v>0</v>
      </c>
      <c r="L83" s="78">
        <f t="shared" si="2"/>
        <v>0</v>
      </c>
    </row>
    <row r="84" spans="2:12" ht="18" customHeight="1" x14ac:dyDescent="0.2">
      <c r="B84" s="88">
        <v>7</v>
      </c>
      <c r="C84" s="71"/>
      <c r="D84" s="71"/>
      <c r="E84" s="71"/>
      <c r="F84" s="71"/>
      <c r="G84" s="71"/>
      <c r="H84" s="71"/>
      <c r="I84" s="71"/>
      <c r="J84" s="70">
        <v>1</v>
      </c>
      <c r="K84" s="70">
        <v>0</v>
      </c>
      <c r="L84" s="78">
        <f t="shared" si="2"/>
        <v>0</v>
      </c>
    </row>
    <row r="85" spans="2:12" ht="18" customHeight="1" thickBot="1" x14ac:dyDescent="0.25">
      <c r="B85" s="89">
        <v>7</v>
      </c>
      <c r="C85" s="69"/>
      <c r="D85" s="69"/>
      <c r="E85" s="69"/>
      <c r="F85" s="69"/>
      <c r="G85" s="69"/>
      <c r="H85" s="69"/>
      <c r="I85" s="69"/>
      <c r="J85" s="68">
        <v>1</v>
      </c>
      <c r="K85" s="68">
        <v>0</v>
      </c>
      <c r="L85" s="79">
        <f t="shared" si="2"/>
        <v>0</v>
      </c>
    </row>
    <row r="86" spans="2:12" ht="18" customHeight="1" x14ac:dyDescent="0.2">
      <c r="B86" s="87">
        <v>8</v>
      </c>
      <c r="C86" s="74"/>
      <c r="D86" s="74"/>
      <c r="E86" s="74"/>
      <c r="F86" s="74"/>
      <c r="G86" s="74"/>
      <c r="H86" s="74"/>
      <c r="I86" s="74"/>
      <c r="J86" s="73">
        <v>1</v>
      </c>
      <c r="K86" s="73">
        <v>0</v>
      </c>
      <c r="L86" s="72">
        <f t="shared" si="2"/>
        <v>0</v>
      </c>
    </row>
    <row r="87" spans="2:12" ht="18" customHeight="1" x14ac:dyDescent="0.2">
      <c r="B87" s="88">
        <v>8</v>
      </c>
      <c r="C87" s="71"/>
      <c r="D87" s="71"/>
      <c r="E87" s="71"/>
      <c r="F87" s="71"/>
      <c r="G87" s="71"/>
      <c r="H87" s="71"/>
      <c r="I87" s="71"/>
      <c r="J87" s="70">
        <v>1</v>
      </c>
      <c r="K87" s="70">
        <v>0</v>
      </c>
      <c r="L87" s="78">
        <f t="shared" si="2"/>
        <v>0</v>
      </c>
    </row>
    <row r="88" spans="2:12" ht="18" customHeight="1" x14ac:dyDescent="0.2">
      <c r="B88" s="88">
        <v>8</v>
      </c>
      <c r="C88" s="71"/>
      <c r="D88" s="71"/>
      <c r="E88" s="71"/>
      <c r="F88" s="71"/>
      <c r="G88" s="71"/>
      <c r="H88" s="71"/>
      <c r="I88" s="71"/>
      <c r="J88" s="70">
        <v>1</v>
      </c>
      <c r="K88" s="70">
        <v>0</v>
      </c>
      <c r="L88" s="78">
        <f t="shared" si="2"/>
        <v>0</v>
      </c>
    </row>
    <row r="89" spans="2:12" ht="18" customHeight="1" x14ac:dyDescent="0.2">
      <c r="B89" s="88">
        <v>8</v>
      </c>
      <c r="C89" s="71"/>
      <c r="D89" s="71"/>
      <c r="E89" s="71"/>
      <c r="F89" s="71"/>
      <c r="G89" s="71"/>
      <c r="H89" s="71"/>
      <c r="I89" s="71"/>
      <c r="J89" s="70">
        <v>1</v>
      </c>
      <c r="K89" s="70">
        <v>0</v>
      </c>
      <c r="L89" s="78">
        <f t="shared" si="2"/>
        <v>0</v>
      </c>
    </row>
    <row r="90" spans="2:12" ht="18" customHeight="1" x14ac:dyDescent="0.2">
      <c r="B90" s="88">
        <v>8</v>
      </c>
      <c r="C90" s="71"/>
      <c r="D90" s="71"/>
      <c r="E90" s="71"/>
      <c r="F90" s="71"/>
      <c r="G90" s="71"/>
      <c r="H90" s="71"/>
      <c r="I90" s="71"/>
      <c r="J90" s="70">
        <v>1</v>
      </c>
      <c r="K90" s="70">
        <v>0</v>
      </c>
      <c r="L90" s="78">
        <f t="shared" si="2"/>
        <v>0</v>
      </c>
    </row>
    <row r="91" spans="2:12" ht="18" customHeight="1" x14ac:dyDescent="0.2">
      <c r="B91" s="88">
        <v>8</v>
      </c>
      <c r="C91" s="71"/>
      <c r="D91" s="71"/>
      <c r="E91" s="71"/>
      <c r="F91" s="71"/>
      <c r="G91" s="71"/>
      <c r="H91" s="71"/>
      <c r="I91" s="71"/>
      <c r="J91" s="70">
        <v>1</v>
      </c>
      <c r="K91" s="70">
        <v>0</v>
      </c>
      <c r="L91" s="78">
        <f t="shared" si="2"/>
        <v>0</v>
      </c>
    </row>
    <row r="92" spans="2:12" ht="18" customHeight="1" x14ac:dyDescent="0.2">
      <c r="B92" s="88">
        <v>8</v>
      </c>
      <c r="C92" s="71"/>
      <c r="D92" s="71"/>
      <c r="E92" s="71"/>
      <c r="F92" s="71"/>
      <c r="G92" s="71"/>
      <c r="H92" s="71"/>
      <c r="I92" s="71"/>
      <c r="J92" s="70">
        <v>1</v>
      </c>
      <c r="K92" s="70">
        <v>0</v>
      </c>
      <c r="L92" s="78">
        <f t="shared" si="2"/>
        <v>0</v>
      </c>
    </row>
    <row r="93" spans="2:12" ht="18" customHeight="1" x14ac:dyDescent="0.2">
      <c r="B93" s="88">
        <v>8</v>
      </c>
      <c r="C93" s="71"/>
      <c r="D93" s="71"/>
      <c r="E93" s="71"/>
      <c r="F93" s="71"/>
      <c r="G93" s="71"/>
      <c r="H93" s="71"/>
      <c r="I93" s="71"/>
      <c r="J93" s="70">
        <v>1</v>
      </c>
      <c r="K93" s="70">
        <v>0</v>
      </c>
      <c r="L93" s="78">
        <f t="shared" si="2"/>
        <v>0</v>
      </c>
    </row>
    <row r="94" spans="2:12" ht="18" customHeight="1" x14ac:dyDescent="0.2">
      <c r="B94" s="88">
        <v>8</v>
      </c>
      <c r="C94" s="71"/>
      <c r="D94" s="71"/>
      <c r="E94" s="71"/>
      <c r="F94" s="71"/>
      <c r="G94" s="71"/>
      <c r="H94" s="71"/>
      <c r="I94" s="71"/>
      <c r="J94" s="70">
        <v>1</v>
      </c>
      <c r="K94" s="70">
        <v>0</v>
      </c>
      <c r="L94" s="78">
        <f t="shared" si="2"/>
        <v>0</v>
      </c>
    </row>
    <row r="95" spans="2:12" ht="18" customHeight="1" x14ac:dyDescent="0.2">
      <c r="B95" s="88">
        <v>8</v>
      </c>
      <c r="C95" s="71"/>
      <c r="D95" s="71"/>
      <c r="E95" s="71"/>
      <c r="F95" s="71"/>
      <c r="G95" s="71"/>
      <c r="H95" s="71"/>
      <c r="I95" s="71"/>
      <c r="J95" s="70">
        <v>1</v>
      </c>
      <c r="K95" s="70">
        <v>0</v>
      </c>
      <c r="L95" s="78">
        <f t="shared" si="2"/>
        <v>0</v>
      </c>
    </row>
    <row r="96" spans="2:12" ht="18" customHeight="1" x14ac:dyDescent="0.2">
      <c r="B96" s="88">
        <v>8</v>
      </c>
      <c r="C96" s="71"/>
      <c r="D96" s="71"/>
      <c r="E96" s="71"/>
      <c r="F96" s="71"/>
      <c r="G96" s="71"/>
      <c r="H96" s="71"/>
      <c r="I96" s="71"/>
      <c r="J96" s="70">
        <v>1</v>
      </c>
      <c r="K96" s="70">
        <v>0</v>
      </c>
      <c r="L96" s="78">
        <f t="shared" si="2"/>
        <v>0</v>
      </c>
    </row>
    <row r="97" spans="2:12" ht="18" customHeight="1" thickBot="1" x14ac:dyDescent="0.25">
      <c r="B97" s="89">
        <v>8</v>
      </c>
      <c r="C97" s="69"/>
      <c r="D97" s="69"/>
      <c r="E97" s="69"/>
      <c r="F97" s="69"/>
      <c r="G97" s="69"/>
      <c r="H97" s="69"/>
      <c r="I97" s="69"/>
      <c r="J97" s="68">
        <v>1</v>
      </c>
      <c r="K97" s="68">
        <v>0</v>
      </c>
      <c r="L97" s="79">
        <f t="shared" si="2"/>
        <v>0</v>
      </c>
    </row>
  </sheetData>
  <sortState ref="B2:L97">
    <sortCondition ref="B2:B97"/>
    <sortCondition ref="L2:L97"/>
    <sortCondition ref="G2:G97"/>
  </sortState>
  <mergeCells count="1">
    <mergeCell ref="N1:P1"/>
  </mergeCells>
  <conditionalFormatting sqref="L86:L97">
    <cfRule type="cellIs" dxfId="7" priority="21" operator="equal">
      <formula>1</formula>
    </cfRule>
  </conditionalFormatting>
  <conditionalFormatting sqref="L74:L85">
    <cfRule type="cellIs" dxfId="6" priority="14" operator="equal">
      <formula>1</formula>
    </cfRule>
  </conditionalFormatting>
  <conditionalFormatting sqref="L62:L73">
    <cfRule type="cellIs" dxfId="5" priority="13" operator="equal">
      <formula>1</formula>
    </cfRule>
  </conditionalFormatting>
  <conditionalFormatting sqref="L50:L61">
    <cfRule type="cellIs" dxfId="4" priority="6" operator="equal">
      <formula>1</formula>
    </cfRule>
  </conditionalFormatting>
  <conditionalFormatting sqref="L2:L13">
    <cfRule type="cellIs" dxfId="3" priority="4" operator="equal">
      <formula>1</formula>
    </cfRule>
  </conditionalFormatting>
  <conditionalFormatting sqref="L14:L25">
    <cfRule type="cellIs" dxfId="2" priority="3" operator="equal">
      <formula>1</formula>
    </cfRule>
  </conditionalFormatting>
  <conditionalFormatting sqref="L26:L37">
    <cfRule type="cellIs" dxfId="1" priority="2" operator="equal">
      <formula>1</formula>
    </cfRule>
  </conditionalFormatting>
  <conditionalFormatting sqref="L38:L49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25"/>
  <sheetViews>
    <sheetView showGridLines="0" workbookViewId="0">
      <pane ySplit="1" topLeftCell="A2" activePane="bottomLeft" state="frozenSplit"/>
      <selection activeCell="B1" sqref="B1:M1048576"/>
      <selection pane="bottomLeft" activeCell="A2" sqref="A2"/>
    </sheetView>
  </sheetViews>
  <sheetFormatPr baseColWidth="10" defaultColWidth="3.7109375" defaultRowHeight="18" customHeight="1" x14ac:dyDescent="0.2"/>
  <cols>
    <col min="2" max="11" width="3.7109375" style="2" customWidth="1"/>
    <col min="12" max="12" width="20.7109375" style="1" customWidth="1"/>
    <col min="13" max="13" width="30.7109375" style="1" customWidth="1"/>
  </cols>
  <sheetData>
    <row r="1" spans="2:13" s="2" customFormat="1" ht="50.1" customHeight="1" x14ac:dyDescent="0.2">
      <c r="B1" s="7" t="s">
        <v>94</v>
      </c>
      <c r="C1" s="7" t="s">
        <v>95</v>
      </c>
      <c r="D1" s="7" t="s">
        <v>96</v>
      </c>
      <c r="E1" s="7" t="s">
        <v>97</v>
      </c>
      <c r="F1" s="7" t="s">
        <v>98</v>
      </c>
      <c r="G1" s="7" t="s">
        <v>65</v>
      </c>
      <c r="H1" s="7" t="s">
        <v>66</v>
      </c>
      <c r="I1" s="7" t="s">
        <v>67</v>
      </c>
      <c r="J1" s="7" t="s">
        <v>99</v>
      </c>
      <c r="K1" s="6" t="s">
        <v>100</v>
      </c>
      <c r="L1" s="6" t="s">
        <v>101</v>
      </c>
      <c r="M1" s="6" t="s">
        <v>102</v>
      </c>
    </row>
    <row r="3" spans="2:13" ht="18" customHeight="1" x14ac:dyDescent="0.2">
      <c r="B3" s="8"/>
      <c r="C3" s="8">
        <v>2</v>
      </c>
      <c r="D3" s="8"/>
      <c r="E3" s="8"/>
      <c r="F3" s="8"/>
      <c r="G3" s="8"/>
      <c r="H3" s="8"/>
      <c r="I3" s="8"/>
      <c r="J3" s="8"/>
      <c r="K3" s="8" t="s">
        <v>109</v>
      </c>
      <c r="L3" s="9" t="s">
        <v>144</v>
      </c>
      <c r="M3" s="9" t="s">
        <v>264</v>
      </c>
    </row>
    <row r="4" spans="2:13" ht="18" customHeight="1" x14ac:dyDescent="0.2">
      <c r="B4" s="10"/>
      <c r="C4" s="10">
        <v>2</v>
      </c>
      <c r="D4" s="10"/>
      <c r="E4" s="10"/>
      <c r="F4" s="10"/>
      <c r="G4" s="10"/>
      <c r="H4" s="10"/>
      <c r="I4" s="10"/>
      <c r="J4" s="10"/>
      <c r="K4" s="10" t="s">
        <v>109</v>
      </c>
      <c r="L4" s="11" t="s">
        <v>113</v>
      </c>
      <c r="M4" s="11" t="s">
        <v>114</v>
      </c>
    </row>
    <row r="5" spans="2:13" ht="18" customHeight="1" x14ac:dyDescent="0.2">
      <c r="B5" s="8"/>
      <c r="C5" s="8">
        <v>2</v>
      </c>
      <c r="D5" s="8"/>
      <c r="E5" s="8"/>
      <c r="F5" s="8"/>
      <c r="G5" s="8"/>
      <c r="H5" s="8"/>
      <c r="I5" s="8"/>
      <c r="J5" s="8"/>
      <c r="K5" s="8" t="s">
        <v>109</v>
      </c>
      <c r="L5" s="9" t="s">
        <v>157</v>
      </c>
      <c r="M5" s="9" t="s">
        <v>265</v>
      </c>
    </row>
    <row r="6" spans="2:13" ht="18" customHeight="1" x14ac:dyDescent="0.2">
      <c r="B6" s="10"/>
      <c r="C6" s="10">
        <v>2</v>
      </c>
      <c r="D6" s="10"/>
      <c r="E6" s="10"/>
      <c r="F6" s="10"/>
      <c r="G6" s="10"/>
      <c r="H6" s="10"/>
      <c r="I6" s="10"/>
      <c r="J6" s="10"/>
      <c r="K6" s="10" t="s">
        <v>109</v>
      </c>
      <c r="L6" s="11" t="s">
        <v>130</v>
      </c>
      <c r="M6" s="11" t="s">
        <v>267</v>
      </c>
    </row>
    <row r="7" spans="2:13" ht="18" customHeight="1" x14ac:dyDescent="0.2">
      <c r="B7" s="8"/>
      <c r="C7" s="8">
        <v>2</v>
      </c>
      <c r="D7" s="8"/>
      <c r="E7" s="8"/>
      <c r="F7" s="8"/>
      <c r="G7" s="8"/>
      <c r="H7" s="8"/>
      <c r="I7" s="8"/>
      <c r="J7" s="8"/>
      <c r="K7" s="8" t="s">
        <v>109</v>
      </c>
      <c r="L7" s="9" t="s">
        <v>110</v>
      </c>
      <c r="M7" s="9" t="s">
        <v>268</v>
      </c>
    </row>
    <row r="9" spans="2:13" ht="18" customHeight="1" x14ac:dyDescent="0.2">
      <c r="B9" s="10"/>
      <c r="C9" s="10">
        <v>3</v>
      </c>
      <c r="D9" s="10"/>
      <c r="E9" s="10"/>
      <c r="F9" s="10"/>
      <c r="G9" s="10"/>
      <c r="H9" s="10"/>
      <c r="I9" s="10"/>
      <c r="J9" s="10"/>
      <c r="K9" s="10" t="s">
        <v>116</v>
      </c>
      <c r="L9" s="11" t="s">
        <v>191</v>
      </c>
      <c r="M9" s="11" t="s">
        <v>318</v>
      </c>
    </row>
    <row r="10" spans="2:13" ht="18" customHeight="1" x14ac:dyDescent="0.2">
      <c r="B10" s="8"/>
      <c r="C10" s="8">
        <v>3</v>
      </c>
      <c r="D10" s="8"/>
      <c r="E10" s="8"/>
      <c r="F10" s="8"/>
      <c r="G10" s="8"/>
      <c r="H10" s="8"/>
      <c r="I10" s="8"/>
      <c r="J10" s="8"/>
      <c r="K10" s="8" t="s">
        <v>116</v>
      </c>
      <c r="L10" s="9" t="s">
        <v>130</v>
      </c>
      <c r="M10" s="9" t="s">
        <v>319</v>
      </c>
    </row>
    <row r="11" spans="2:13" ht="18" customHeight="1" x14ac:dyDescent="0.2">
      <c r="B11" s="10"/>
      <c r="C11" s="10">
        <v>3</v>
      </c>
      <c r="D11" s="10"/>
      <c r="E11" s="10"/>
      <c r="F11" s="10"/>
      <c r="G11" s="10"/>
      <c r="H11" s="10"/>
      <c r="I11" s="10"/>
      <c r="J11" s="10"/>
      <c r="K11" s="10" t="s">
        <v>116</v>
      </c>
      <c r="L11" s="11" t="s">
        <v>175</v>
      </c>
      <c r="M11" s="11" t="s">
        <v>320</v>
      </c>
    </row>
    <row r="12" spans="2:13" ht="18" customHeight="1" x14ac:dyDescent="0.2">
      <c r="B12" s="8"/>
      <c r="C12" s="8">
        <v>3</v>
      </c>
      <c r="D12" s="8"/>
      <c r="E12" s="8"/>
      <c r="F12" s="8"/>
      <c r="G12" s="8"/>
      <c r="H12" s="8"/>
      <c r="I12" s="8"/>
      <c r="J12" s="8"/>
      <c r="K12" s="8" t="s">
        <v>116</v>
      </c>
      <c r="L12" s="9" t="s">
        <v>321</v>
      </c>
      <c r="M12" s="9" t="s">
        <v>322</v>
      </c>
    </row>
    <row r="13" spans="2:13" ht="18" customHeight="1" x14ac:dyDescent="0.2">
      <c r="B13" s="10"/>
      <c r="C13" s="10">
        <v>3</v>
      </c>
      <c r="D13" s="10"/>
      <c r="E13" s="10"/>
      <c r="F13" s="10"/>
      <c r="G13" s="10"/>
      <c r="H13" s="10"/>
      <c r="I13" s="10"/>
      <c r="J13" s="10"/>
      <c r="K13" s="10" t="s">
        <v>116</v>
      </c>
      <c r="L13" s="11" t="s">
        <v>157</v>
      </c>
      <c r="M13" s="11" t="s">
        <v>323</v>
      </c>
    </row>
    <row r="15" spans="2:13" ht="18" customHeight="1" x14ac:dyDescent="0.2">
      <c r="B15" s="8"/>
      <c r="C15" s="8">
        <v>4</v>
      </c>
      <c r="D15" s="8"/>
      <c r="E15" s="8"/>
      <c r="F15" s="8"/>
      <c r="G15" s="8"/>
      <c r="H15" s="8"/>
      <c r="I15" s="8"/>
      <c r="J15" s="8"/>
      <c r="K15" s="8" t="s">
        <v>121</v>
      </c>
      <c r="L15" s="9"/>
      <c r="M15" s="9"/>
    </row>
    <row r="16" spans="2:13" ht="18" customHeight="1" x14ac:dyDescent="0.2">
      <c r="B16" s="10"/>
      <c r="C16" s="10">
        <v>4</v>
      </c>
      <c r="D16" s="10"/>
      <c r="E16" s="10"/>
      <c r="F16" s="10"/>
      <c r="G16" s="10"/>
      <c r="H16" s="10"/>
      <c r="I16" s="10"/>
      <c r="J16" s="10"/>
      <c r="K16" s="10" t="s">
        <v>121</v>
      </c>
      <c r="L16" s="11"/>
      <c r="M16" s="11"/>
    </row>
    <row r="17" spans="2:13" ht="18" customHeight="1" x14ac:dyDescent="0.2">
      <c r="B17" s="8"/>
      <c r="C17" s="8">
        <v>4</v>
      </c>
      <c r="D17" s="8"/>
      <c r="E17" s="8"/>
      <c r="F17" s="8"/>
      <c r="G17" s="8"/>
      <c r="H17" s="8"/>
      <c r="I17" s="8"/>
      <c r="J17" s="8"/>
      <c r="K17" s="8" t="s">
        <v>121</v>
      </c>
      <c r="L17" s="9"/>
      <c r="M17" s="9"/>
    </row>
    <row r="18" spans="2:13" ht="18" customHeight="1" x14ac:dyDescent="0.2">
      <c r="B18" s="10"/>
      <c r="C18" s="10">
        <v>4</v>
      </c>
      <c r="D18" s="10"/>
      <c r="E18" s="10"/>
      <c r="F18" s="10"/>
      <c r="G18" s="10"/>
      <c r="H18" s="10"/>
      <c r="I18" s="10"/>
      <c r="J18" s="10"/>
      <c r="K18" s="10" t="s">
        <v>121</v>
      </c>
      <c r="L18" s="11"/>
      <c r="M18" s="11"/>
    </row>
    <row r="19" spans="2:13" ht="18" customHeight="1" x14ac:dyDescent="0.2">
      <c r="B19" s="8"/>
      <c r="C19" s="8">
        <v>4</v>
      </c>
      <c r="D19" s="8"/>
      <c r="E19" s="8"/>
      <c r="F19" s="8"/>
      <c r="G19" s="8"/>
      <c r="H19" s="8"/>
      <c r="I19" s="8"/>
      <c r="J19" s="8"/>
      <c r="K19" s="8" t="s">
        <v>121</v>
      </c>
      <c r="L19" s="9"/>
      <c r="M19" s="9"/>
    </row>
    <row r="21" spans="2:13" ht="18" customHeight="1" x14ac:dyDescent="0.2">
      <c r="B21" s="10"/>
      <c r="C21" s="10">
        <v>5</v>
      </c>
      <c r="D21" s="10"/>
      <c r="E21" s="10"/>
      <c r="F21" s="10"/>
      <c r="G21" s="10"/>
      <c r="H21" s="10"/>
      <c r="I21" s="10"/>
      <c r="J21" s="10"/>
      <c r="K21" s="10" t="s">
        <v>134</v>
      </c>
      <c r="L21" s="11"/>
      <c r="M21" s="11"/>
    </row>
    <row r="22" spans="2:13" ht="18" customHeight="1" x14ac:dyDescent="0.2">
      <c r="B22" s="8"/>
      <c r="C22" s="8">
        <v>5</v>
      </c>
      <c r="D22" s="8"/>
      <c r="E22" s="8"/>
      <c r="F22" s="8"/>
      <c r="G22" s="8"/>
      <c r="H22" s="8"/>
      <c r="I22" s="8"/>
      <c r="J22" s="8"/>
      <c r="K22" s="8" t="s">
        <v>134</v>
      </c>
      <c r="L22" s="9"/>
      <c r="M22" s="9"/>
    </row>
    <row r="23" spans="2:13" ht="18" customHeight="1" x14ac:dyDescent="0.2">
      <c r="B23" s="10"/>
      <c r="C23" s="10">
        <v>5</v>
      </c>
      <c r="D23" s="10"/>
      <c r="E23" s="10"/>
      <c r="F23" s="10"/>
      <c r="G23" s="10"/>
      <c r="H23" s="10"/>
      <c r="I23" s="10"/>
      <c r="J23" s="10"/>
      <c r="K23" s="10" t="s">
        <v>134</v>
      </c>
      <c r="L23" s="11"/>
      <c r="M23" s="11"/>
    </row>
    <row r="24" spans="2:13" ht="18" customHeight="1" x14ac:dyDescent="0.2">
      <c r="B24" s="8"/>
      <c r="C24" s="8">
        <v>5</v>
      </c>
      <c r="D24" s="8"/>
      <c r="E24" s="8"/>
      <c r="F24" s="8"/>
      <c r="G24" s="8"/>
      <c r="H24" s="8"/>
      <c r="I24" s="8"/>
      <c r="J24" s="8"/>
      <c r="K24" s="8" t="s">
        <v>134</v>
      </c>
      <c r="L24" s="9"/>
      <c r="M24" s="9"/>
    </row>
    <row r="25" spans="2:13" ht="18" customHeight="1" x14ac:dyDescent="0.2">
      <c r="B25" s="10"/>
      <c r="C25" s="10">
        <v>5</v>
      </c>
      <c r="D25" s="10"/>
      <c r="E25" s="10"/>
      <c r="F25" s="10"/>
      <c r="G25" s="10"/>
      <c r="H25" s="10"/>
      <c r="I25" s="10"/>
      <c r="J25" s="10"/>
      <c r="K25" s="10" t="s">
        <v>134</v>
      </c>
      <c r="L25" s="11"/>
      <c r="M25" s="11"/>
    </row>
  </sheetData>
  <autoFilter ref="E1:L25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Crédits</vt:lpstr>
      <vt:lpstr>Cars</vt:lpstr>
      <vt:lpstr>Resume</vt:lpstr>
      <vt:lpstr>|</vt:lpstr>
      <vt:lpstr>garage</vt:lpstr>
      <vt:lpstr>blueprint</vt:lpstr>
      <vt:lpstr>upgrade</vt:lpstr>
      <vt:lpstr>rank</vt:lpstr>
      <vt:lpstr>stats</vt:lpstr>
      <vt:lpstr>missions</vt:lpstr>
      <vt:lpstr>events token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Giancarlo PALUMBO</dc:creator>
  <cp:keywords/>
  <dc:description/>
  <cp:lastModifiedBy>Giancarlo PALUMBO</cp:lastModifiedBy>
  <cp:revision/>
  <dcterms:created xsi:type="dcterms:W3CDTF">2020-09-24T18:33:55Z</dcterms:created>
  <dcterms:modified xsi:type="dcterms:W3CDTF">2025-01-15T14:09:02Z</dcterms:modified>
  <cp:category/>
  <cp:contentStatus/>
</cp:coreProperties>
</file>