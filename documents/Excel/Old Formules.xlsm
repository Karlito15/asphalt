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Symfony\Asphalt\documents\Excel\"/>
    </mc:Choice>
  </mc:AlternateContent>
  <bookViews>
    <workbookView xWindow="0" yWindow="0" windowWidth="2160" windowHeight="0" tabRatio="612" activeTab="9"/>
  </bookViews>
  <sheets>
    <sheet name="Cars" sheetId="8" r:id="rId1"/>
    <sheet name="Resume" sheetId="50" r:id="rId2"/>
    <sheet name="|" sheetId="10" r:id="rId3"/>
    <sheet name="garage" sheetId="15" r:id="rId4"/>
    <sheet name="blueprint" sheetId="14" r:id="rId5"/>
    <sheet name="upgrade" sheetId="12" r:id="rId6"/>
    <sheet name="rank" sheetId="49" r:id="rId7"/>
    <sheet name="stat max" sheetId="47" r:id="rId8"/>
    <sheet name="stat min" sheetId="48" r:id="rId9"/>
    <sheet name="upg-form" sheetId="57" r:id="rId10"/>
  </sheets>
  <definedNames>
    <definedName name="_xlnm._FilterDatabase" localSheetId="2" hidden="1">'|'!#REF!</definedName>
    <definedName name="_xlnm._FilterDatabase" localSheetId="4" hidden="1">blueprint!$E$1:$L$210</definedName>
    <definedName name="_xlnm._FilterDatabase" localSheetId="3" hidden="1">garage!$E$1:$L$210</definedName>
    <definedName name="_xlnm._FilterDatabase" localSheetId="6" hidden="1">rank!$E$1:$L$210</definedName>
    <definedName name="_xlnm._FilterDatabase" localSheetId="7" hidden="1">'stat max'!$E$1:$L$210</definedName>
    <definedName name="_xlnm._FilterDatabase" localSheetId="8" hidden="1">'stat min'!$E$1:$L$210</definedName>
    <definedName name="_xlnm._FilterDatabase" localSheetId="5" hidden="1">upgrade!$E$1:$L$210</definedName>
    <definedName name="Régions">#REF!</definedName>
    <definedName name="Tasks">#REF!</definedName>
    <definedName name="Type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75" i="14" l="1"/>
  <c r="U175" i="14"/>
  <c r="AJ198" i="14"/>
  <c r="AI198" i="14"/>
  <c r="AH198" i="14"/>
  <c r="AG198" i="14"/>
  <c r="AF198" i="14"/>
  <c r="AJ191" i="14"/>
  <c r="AI191" i="14"/>
  <c r="AH191" i="14"/>
  <c r="AG191" i="14"/>
  <c r="AF191" i="14"/>
  <c r="AE191" i="14"/>
  <c r="AJ160" i="14"/>
  <c r="AI160" i="14"/>
  <c r="AH160" i="14"/>
  <c r="AG160" i="14"/>
  <c r="AF160" i="14"/>
  <c r="AE160" i="14"/>
  <c r="AJ175" i="14"/>
  <c r="AI175" i="14"/>
  <c r="AH175" i="14"/>
  <c r="AG175" i="14"/>
  <c r="AF175" i="14"/>
  <c r="AE175" i="14"/>
  <c r="AI59" i="14"/>
  <c r="AH59" i="14"/>
  <c r="AG59" i="14"/>
  <c r="AF59" i="14"/>
  <c r="U59" i="14"/>
  <c r="AK59" i="14" l="1"/>
  <c r="AK198" i="14"/>
  <c r="AK160" i="14"/>
  <c r="AK175" i="14"/>
  <c r="AK191" i="14"/>
  <c r="AF186" i="14"/>
  <c r="AE186" i="14"/>
  <c r="S59" i="47" l="1"/>
  <c r="S7" i="47" l="1"/>
  <c r="AG7" i="14" l="1"/>
  <c r="AF7" i="14"/>
  <c r="AK7" i="14" l="1"/>
  <c r="S121" i="47" l="1"/>
  <c r="S88" i="47"/>
  <c r="S175" i="47" l="1"/>
  <c r="S160" i="47"/>
  <c r="AJ88" i="14" l="1"/>
  <c r="AI88" i="14"/>
  <c r="AH88" i="14"/>
  <c r="AG88" i="14"/>
  <c r="AF88" i="14"/>
  <c r="AE88" i="14"/>
  <c r="AK88" i="14" l="1"/>
  <c r="I168" i="14" l="1"/>
  <c r="AC121" i="14" l="1"/>
  <c r="U121" i="14"/>
  <c r="AJ121" i="14"/>
  <c r="AI121" i="14"/>
  <c r="AH121" i="14"/>
  <c r="AG121" i="14"/>
  <c r="AF121" i="14"/>
  <c r="AK121" i="14" l="1"/>
  <c r="I121" i="48" s="1"/>
  <c r="S210" i="48"/>
  <c r="S209" i="48"/>
  <c r="S208" i="48"/>
  <c r="S207" i="48"/>
  <c r="S206" i="48"/>
  <c r="S205" i="48"/>
  <c r="S204" i="48"/>
  <c r="S203" i="48"/>
  <c r="S202" i="48"/>
  <c r="S201" i="48"/>
  <c r="S200" i="48"/>
  <c r="S199" i="48"/>
  <c r="S198" i="48"/>
  <c r="S197" i="48"/>
  <c r="S196" i="48"/>
  <c r="S195" i="48"/>
  <c r="S194" i="48"/>
  <c r="S193" i="48"/>
  <c r="S192" i="48"/>
  <c r="S191" i="48"/>
  <c r="S190" i="48"/>
  <c r="S189" i="48"/>
  <c r="S188" i="48"/>
  <c r="S187" i="48"/>
  <c r="S186" i="48"/>
  <c r="S185" i="48"/>
  <c r="S184" i="48"/>
  <c r="S183" i="48"/>
  <c r="S182" i="48"/>
  <c r="S181" i="48"/>
  <c r="S180" i="48"/>
  <c r="S179" i="48"/>
  <c r="S178" i="48"/>
  <c r="S177" i="48"/>
  <c r="S176" i="48"/>
  <c r="S175" i="48"/>
  <c r="S173" i="48"/>
  <c r="S172" i="48"/>
  <c r="S171" i="48"/>
  <c r="S170" i="48"/>
  <c r="S169" i="48"/>
  <c r="S168" i="48"/>
  <c r="S167" i="48"/>
  <c r="S166" i="48"/>
  <c r="S165" i="48"/>
  <c r="S164" i="48"/>
  <c r="S163" i="48"/>
  <c r="S162" i="48"/>
  <c r="S161" i="48"/>
  <c r="S160" i="48"/>
  <c r="S159" i="48"/>
  <c r="S158" i="48"/>
  <c r="S157" i="48"/>
  <c r="S156" i="48"/>
  <c r="S155" i="48"/>
  <c r="S154" i="48"/>
  <c r="S153" i="48"/>
  <c r="S152" i="48"/>
  <c r="S151" i="48"/>
  <c r="S150" i="48"/>
  <c r="S149" i="48"/>
  <c r="S148" i="48"/>
  <c r="S147" i="48"/>
  <c r="S146" i="48"/>
  <c r="S145" i="48"/>
  <c r="S144" i="48"/>
  <c r="S143" i="48"/>
  <c r="S142" i="48"/>
  <c r="S141" i="48"/>
  <c r="S140" i="48"/>
  <c r="S139" i="48"/>
  <c r="S138" i="48"/>
  <c r="S137" i="48"/>
  <c r="S136" i="48"/>
  <c r="S135" i="48"/>
  <c r="S134" i="48"/>
  <c r="S133" i="48"/>
  <c r="S132" i="48"/>
  <c r="S131" i="48"/>
  <c r="S130" i="48"/>
  <c r="S129" i="48"/>
  <c r="S128" i="48"/>
  <c r="S127" i="48"/>
  <c r="S126" i="48"/>
  <c r="S125" i="48"/>
  <c r="S124" i="48"/>
  <c r="S123" i="48"/>
  <c r="S122" i="48"/>
  <c r="S121" i="48"/>
  <c r="S120" i="48"/>
  <c r="S119" i="48"/>
  <c r="S118" i="48"/>
  <c r="S117" i="48"/>
  <c r="S116" i="48"/>
  <c r="S115" i="48"/>
  <c r="S114" i="48"/>
  <c r="S113" i="48"/>
  <c r="S112" i="48"/>
  <c r="S111" i="48"/>
  <c r="S110" i="48"/>
  <c r="S109" i="48"/>
  <c r="S108" i="48"/>
  <c r="S107" i="48"/>
  <c r="S106" i="48"/>
  <c r="S105" i="48"/>
  <c r="S104" i="48"/>
  <c r="S103" i="48"/>
  <c r="S102" i="48"/>
  <c r="S101" i="48"/>
  <c r="S100" i="48"/>
  <c r="S99" i="48"/>
  <c r="S98" i="48"/>
  <c r="S97" i="48"/>
  <c r="S96" i="48"/>
  <c r="S95" i="48"/>
  <c r="S94" i="48"/>
  <c r="S93" i="48"/>
  <c r="S92" i="48"/>
  <c r="S91" i="48"/>
  <c r="S90" i="48"/>
  <c r="S89" i="48"/>
  <c r="S88" i="48"/>
  <c r="S87" i="48"/>
  <c r="S86" i="48"/>
  <c r="S85" i="48"/>
  <c r="S84" i="48"/>
  <c r="S83" i="48"/>
  <c r="S82" i="48"/>
  <c r="S81" i="48"/>
  <c r="S80" i="48"/>
  <c r="S79" i="48"/>
  <c r="S78" i="48"/>
  <c r="S77" i="48"/>
  <c r="S76" i="48"/>
  <c r="S75" i="48"/>
  <c r="S74" i="48"/>
  <c r="S73" i="48"/>
  <c r="S72" i="48"/>
  <c r="S71" i="48"/>
  <c r="S70" i="48"/>
  <c r="S69" i="48"/>
  <c r="S68" i="48"/>
  <c r="S67" i="48"/>
  <c r="S66" i="48"/>
  <c r="S65" i="48"/>
  <c r="S64" i="48"/>
  <c r="S63" i="48"/>
  <c r="S62" i="48"/>
  <c r="S61" i="48"/>
  <c r="S60" i="48"/>
  <c r="S59" i="48"/>
  <c r="S58" i="48"/>
  <c r="S57" i="48"/>
  <c r="S56" i="48"/>
  <c r="S55" i="48"/>
  <c r="S54" i="48"/>
  <c r="S53" i="48"/>
  <c r="S52" i="48"/>
  <c r="S51" i="48"/>
  <c r="S50" i="48"/>
  <c r="S49" i="48"/>
  <c r="S48" i="48"/>
  <c r="S47" i="48"/>
  <c r="S46" i="48"/>
  <c r="S45" i="48"/>
  <c r="S44" i="48"/>
  <c r="S43" i="48"/>
  <c r="S42" i="48"/>
  <c r="S41" i="48"/>
  <c r="S40" i="48"/>
  <c r="S39" i="48"/>
  <c r="S38" i="48"/>
  <c r="S37" i="48"/>
  <c r="S36" i="48"/>
  <c r="S35" i="48"/>
  <c r="S34" i="48"/>
  <c r="S33" i="48"/>
  <c r="S32" i="48"/>
  <c r="S31" i="48"/>
  <c r="S30" i="48"/>
  <c r="S29" i="48"/>
  <c r="S28" i="48"/>
  <c r="S27" i="48"/>
  <c r="S26" i="48"/>
  <c r="S25" i="48"/>
  <c r="S24" i="48"/>
  <c r="S23" i="48"/>
  <c r="S22" i="48"/>
  <c r="S21" i="48"/>
  <c r="S20" i="48"/>
  <c r="S19" i="48"/>
  <c r="S18" i="48"/>
  <c r="S17" i="48"/>
  <c r="S16" i="48"/>
  <c r="S15" i="48"/>
  <c r="S14" i="48"/>
  <c r="S13" i="48"/>
  <c r="S12" i="48"/>
  <c r="S11" i="48"/>
  <c r="S10" i="48"/>
  <c r="S9" i="48"/>
  <c r="S8" i="48"/>
  <c r="S7" i="48"/>
  <c r="S6" i="48"/>
  <c r="S5" i="48"/>
  <c r="S4" i="48"/>
  <c r="S3" i="48"/>
  <c r="S2" i="48"/>
  <c r="M210" i="48"/>
  <c r="L210" i="48"/>
  <c r="K210" i="48"/>
  <c r="J210" i="48"/>
  <c r="G210" i="48"/>
  <c r="F210" i="48"/>
  <c r="E210" i="48"/>
  <c r="D210" i="48"/>
  <c r="C210" i="48"/>
  <c r="B210" i="48"/>
  <c r="M209" i="48"/>
  <c r="L209" i="48"/>
  <c r="K209" i="48"/>
  <c r="J209" i="48"/>
  <c r="G209" i="48"/>
  <c r="F209" i="48"/>
  <c r="E209" i="48"/>
  <c r="D209" i="48"/>
  <c r="C209" i="48"/>
  <c r="B209" i="48"/>
  <c r="M208" i="48"/>
  <c r="L208" i="48"/>
  <c r="K208" i="48"/>
  <c r="J208" i="48"/>
  <c r="G208" i="48"/>
  <c r="F208" i="48"/>
  <c r="E208" i="48"/>
  <c r="D208" i="48"/>
  <c r="C208" i="48"/>
  <c r="B208" i="48"/>
  <c r="M207" i="48"/>
  <c r="L207" i="48"/>
  <c r="K207" i="48"/>
  <c r="J207" i="48"/>
  <c r="G207" i="48"/>
  <c r="F207" i="48"/>
  <c r="E207" i="48"/>
  <c r="D207" i="48"/>
  <c r="C207" i="48"/>
  <c r="B207" i="48"/>
  <c r="M206" i="48"/>
  <c r="L206" i="48"/>
  <c r="K206" i="48"/>
  <c r="J206" i="48"/>
  <c r="G206" i="48"/>
  <c r="F206" i="48"/>
  <c r="E206" i="48"/>
  <c r="D206" i="48"/>
  <c r="C206" i="48"/>
  <c r="B206" i="48"/>
  <c r="M205" i="48"/>
  <c r="L205" i="48"/>
  <c r="K205" i="48"/>
  <c r="J205" i="48"/>
  <c r="G205" i="48"/>
  <c r="F205" i="48"/>
  <c r="E205" i="48"/>
  <c r="D205" i="48"/>
  <c r="C205" i="48"/>
  <c r="B205" i="48"/>
  <c r="M204" i="48"/>
  <c r="L204" i="48"/>
  <c r="K204" i="48"/>
  <c r="J204" i="48"/>
  <c r="G204" i="48"/>
  <c r="F204" i="48"/>
  <c r="E204" i="48"/>
  <c r="D204" i="48"/>
  <c r="C204" i="48"/>
  <c r="B204" i="48"/>
  <c r="M203" i="48"/>
  <c r="L203" i="48"/>
  <c r="K203" i="48"/>
  <c r="J203" i="48"/>
  <c r="G203" i="48"/>
  <c r="F203" i="48"/>
  <c r="E203" i="48"/>
  <c r="D203" i="48"/>
  <c r="C203" i="48"/>
  <c r="B203" i="48"/>
  <c r="M202" i="48"/>
  <c r="L202" i="48"/>
  <c r="K202" i="48"/>
  <c r="J202" i="48"/>
  <c r="G202" i="48"/>
  <c r="F202" i="48"/>
  <c r="E202" i="48"/>
  <c r="D202" i="48"/>
  <c r="C202" i="48"/>
  <c r="B202" i="48"/>
  <c r="M201" i="48"/>
  <c r="L201" i="48"/>
  <c r="K201" i="48"/>
  <c r="J201" i="48"/>
  <c r="G201" i="48"/>
  <c r="F201" i="48"/>
  <c r="E201" i="48"/>
  <c r="D201" i="48"/>
  <c r="C201" i="48"/>
  <c r="B201" i="48"/>
  <c r="M200" i="48"/>
  <c r="L200" i="48"/>
  <c r="K200" i="48"/>
  <c r="J200" i="48"/>
  <c r="G200" i="48"/>
  <c r="F200" i="48"/>
  <c r="E200" i="48"/>
  <c r="D200" i="48"/>
  <c r="C200" i="48"/>
  <c r="B200" i="48"/>
  <c r="M199" i="48"/>
  <c r="L199" i="48"/>
  <c r="K199" i="48"/>
  <c r="J199" i="48"/>
  <c r="G199" i="48"/>
  <c r="F199" i="48"/>
  <c r="E199" i="48"/>
  <c r="D199" i="48"/>
  <c r="C199" i="48"/>
  <c r="B199" i="48"/>
  <c r="M198" i="48"/>
  <c r="L198" i="48"/>
  <c r="K198" i="48"/>
  <c r="J198" i="48"/>
  <c r="G198" i="48"/>
  <c r="F198" i="48"/>
  <c r="E198" i="48"/>
  <c r="D198" i="48"/>
  <c r="C198" i="48"/>
  <c r="B198" i="48"/>
  <c r="M197" i="48"/>
  <c r="L197" i="48"/>
  <c r="K197" i="48"/>
  <c r="J197" i="48"/>
  <c r="G197" i="48"/>
  <c r="F197" i="48"/>
  <c r="E197" i="48"/>
  <c r="D197" i="48"/>
  <c r="C197" i="48"/>
  <c r="B197" i="48"/>
  <c r="M196" i="48"/>
  <c r="L196" i="48"/>
  <c r="K196" i="48"/>
  <c r="J196" i="48"/>
  <c r="G196" i="48"/>
  <c r="F196" i="48"/>
  <c r="E196" i="48"/>
  <c r="D196" i="48"/>
  <c r="C196" i="48"/>
  <c r="B196" i="48"/>
  <c r="M195" i="48"/>
  <c r="L195" i="48"/>
  <c r="K195" i="48"/>
  <c r="J195" i="48"/>
  <c r="G195" i="48"/>
  <c r="F195" i="48"/>
  <c r="E195" i="48"/>
  <c r="D195" i="48"/>
  <c r="C195" i="48"/>
  <c r="B195" i="48"/>
  <c r="M194" i="48"/>
  <c r="L194" i="48"/>
  <c r="K194" i="48"/>
  <c r="J194" i="48"/>
  <c r="I194" i="48"/>
  <c r="G194" i="48"/>
  <c r="F194" i="48"/>
  <c r="E194" i="48"/>
  <c r="D194" i="48"/>
  <c r="C194" i="48"/>
  <c r="B194" i="48"/>
  <c r="M193" i="48"/>
  <c r="L193" i="48"/>
  <c r="K193" i="48"/>
  <c r="J193" i="48"/>
  <c r="I193" i="48"/>
  <c r="G193" i="48"/>
  <c r="F193" i="48"/>
  <c r="E193" i="48"/>
  <c r="D193" i="48"/>
  <c r="C193" i="48"/>
  <c r="B193" i="48"/>
  <c r="M192" i="48"/>
  <c r="L192" i="48"/>
  <c r="K192" i="48"/>
  <c r="J192" i="48"/>
  <c r="G192" i="48"/>
  <c r="F192" i="48"/>
  <c r="E192" i="48"/>
  <c r="D192" i="48"/>
  <c r="C192" i="48"/>
  <c r="B192" i="48"/>
  <c r="M191" i="48"/>
  <c r="L191" i="48"/>
  <c r="K191" i="48"/>
  <c r="J191" i="48"/>
  <c r="I191" i="48"/>
  <c r="H191" i="48"/>
  <c r="G191" i="48"/>
  <c r="F191" i="48"/>
  <c r="E191" i="48"/>
  <c r="D191" i="48"/>
  <c r="C191" i="48"/>
  <c r="B191" i="48"/>
  <c r="M190" i="48"/>
  <c r="L190" i="48"/>
  <c r="K190" i="48"/>
  <c r="J190" i="48"/>
  <c r="G190" i="48"/>
  <c r="F190" i="48"/>
  <c r="E190" i="48"/>
  <c r="D190" i="48"/>
  <c r="C190" i="48"/>
  <c r="B190" i="48"/>
  <c r="M189" i="48"/>
  <c r="L189" i="48"/>
  <c r="K189" i="48"/>
  <c r="J189" i="48"/>
  <c r="G189" i="48"/>
  <c r="F189" i="48"/>
  <c r="E189" i="48"/>
  <c r="D189" i="48"/>
  <c r="C189" i="48"/>
  <c r="B189" i="48"/>
  <c r="M188" i="48"/>
  <c r="L188" i="48"/>
  <c r="K188" i="48"/>
  <c r="J188" i="48"/>
  <c r="G188" i="48"/>
  <c r="F188" i="48"/>
  <c r="E188" i="48"/>
  <c r="D188" i="48"/>
  <c r="C188" i="48"/>
  <c r="B188" i="48"/>
  <c r="M187" i="48"/>
  <c r="L187" i="48"/>
  <c r="K187" i="48"/>
  <c r="J187" i="48"/>
  <c r="I187" i="48"/>
  <c r="G187" i="48"/>
  <c r="F187" i="48"/>
  <c r="E187" i="48"/>
  <c r="D187" i="48"/>
  <c r="C187" i="48"/>
  <c r="B187" i="48"/>
  <c r="M186" i="48"/>
  <c r="L186" i="48"/>
  <c r="K186" i="48"/>
  <c r="J186" i="48"/>
  <c r="G186" i="48"/>
  <c r="F186" i="48"/>
  <c r="E186" i="48"/>
  <c r="D186" i="48"/>
  <c r="C186" i="48"/>
  <c r="B186" i="48"/>
  <c r="M185" i="48"/>
  <c r="L185" i="48"/>
  <c r="K185" i="48"/>
  <c r="J185" i="48"/>
  <c r="G185" i="48"/>
  <c r="F185" i="48"/>
  <c r="E185" i="48"/>
  <c r="D185" i="48"/>
  <c r="C185" i="48"/>
  <c r="B185" i="48"/>
  <c r="M184" i="48"/>
  <c r="L184" i="48"/>
  <c r="K184" i="48"/>
  <c r="J184" i="48"/>
  <c r="G184" i="48"/>
  <c r="F184" i="48"/>
  <c r="E184" i="48"/>
  <c r="D184" i="48"/>
  <c r="C184" i="48"/>
  <c r="B184" i="48"/>
  <c r="M183" i="48"/>
  <c r="L183" i="48"/>
  <c r="K183" i="48"/>
  <c r="J183" i="48"/>
  <c r="G183" i="48"/>
  <c r="F183" i="48"/>
  <c r="E183" i="48"/>
  <c r="D183" i="48"/>
  <c r="C183" i="48"/>
  <c r="B183" i="48"/>
  <c r="M182" i="48"/>
  <c r="L182" i="48"/>
  <c r="K182" i="48"/>
  <c r="J182" i="48"/>
  <c r="I182" i="48"/>
  <c r="G182" i="48"/>
  <c r="F182" i="48"/>
  <c r="E182" i="48"/>
  <c r="D182" i="48"/>
  <c r="C182" i="48"/>
  <c r="B182" i="48"/>
  <c r="M181" i="48"/>
  <c r="L181" i="48"/>
  <c r="K181" i="48"/>
  <c r="J181" i="48"/>
  <c r="G181" i="48"/>
  <c r="F181" i="48"/>
  <c r="E181" i="48"/>
  <c r="D181" i="48"/>
  <c r="C181" i="48"/>
  <c r="B181" i="48"/>
  <c r="M180" i="48"/>
  <c r="L180" i="48"/>
  <c r="K180" i="48"/>
  <c r="J180" i="48"/>
  <c r="I180" i="48"/>
  <c r="G180" i="48"/>
  <c r="F180" i="48"/>
  <c r="E180" i="48"/>
  <c r="D180" i="48"/>
  <c r="C180" i="48"/>
  <c r="B180" i="48"/>
  <c r="M179" i="48"/>
  <c r="L179" i="48"/>
  <c r="K179" i="48"/>
  <c r="J179" i="48"/>
  <c r="G179" i="48"/>
  <c r="F179" i="48"/>
  <c r="E179" i="48"/>
  <c r="D179" i="48"/>
  <c r="C179" i="48"/>
  <c r="B179" i="48"/>
  <c r="M178" i="48"/>
  <c r="L178" i="48"/>
  <c r="K178" i="48"/>
  <c r="J178" i="48"/>
  <c r="I178" i="48"/>
  <c r="G178" i="48"/>
  <c r="F178" i="48"/>
  <c r="E178" i="48"/>
  <c r="D178" i="48"/>
  <c r="C178" i="48"/>
  <c r="B178" i="48"/>
  <c r="M177" i="48"/>
  <c r="L177" i="48"/>
  <c r="K177" i="48"/>
  <c r="J177" i="48"/>
  <c r="G177" i="48"/>
  <c r="F177" i="48"/>
  <c r="E177" i="48"/>
  <c r="D177" i="48"/>
  <c r="C177" i="48"/>
  <c r="B177" i="48"/>
  <c r="M176" i="48"/>
  <c r="L176" i="48"/>
  <c r="K176" i="48"/>
  <c r="J176" i="48"/>
  <c r="G176" i="48"/>
  <c r="F176" i="48"/>
  <c r="E176" i="48"/>
  <c r="D176" i="48"/>
  <c r="C176" i="48"/>
  <c r="B176" i="48"/>
  <c r="M175" i="48"/>
  <c r="L175" i="48"/>
  <c r="K175" i="48"/>
  <c r="J175" i="48"/>
  <c r="I175" i="48"/>
  <c r="H175" i="48"/>
  <c r="G175" i="48"/>
  <c r="F175" i="48"/>
  <c r="E175" i="48"/>
  <c r="D175" i="48"/>
  <c r="C175" i="48"/>
  <c r="B175" i="48"/>
  <c r="M174" i="48"/>
  <c r="L174" i="48"/>
  <c r="K174" i="48"/>
  <c r="J174" i="48"/>
  <c r="G174" i="48"/>
  <c r="F174" i="48"/>
  <c r="E174" i="48"/>
  <c r="D174" i="48"/>
  <c r="C174" i="48"/>
  <c r="B174" i="48"/>
  <c r="M173" i="48"/>
  <c r="L173" i="48"/>
  <c r="K173" i="48"/>
  <c r="J173" i="48"/>
  <c r="G173" i="48"/>
  <c r="F173" i="48"/>
  <c r="E173" i="48"/>
  <c r="D173" i="48"/>
  <c r="C173" i="48"/>
  <c r="B173" i="48"/>
  <c r="M172" i="48"/>
  <c r="L172" i="48"/>
  <c r="K172" i="48"/>
  <c r="J172" i="48"/>
  <c r="G172" i="48"/>
  <c r="F172" i="48"/>
  <c r="E172" i="48"/>
  <c r="D172" i="48"/>
  <c r="C172" i="48"/>
  <c r="B172" i="48"/>
  <c r="M171" i="48"/>
  <c r="L171" i="48"/>
  <c r="K171" i="48"/>
  <c r="J171" i="48"/>
  <c r="G171" i="48"/>
  <c r="F171" i="48"/>
  <c r="E171" i="48"/>
  <c r="D171" i="48"/>
  <c r="C171" i="48"/>
  <c r="B171" i="48"/>
  <c r="M170" i="48"/>
  <c r="L170" i="48"/>
  <c r="K170" i="48"/>
  <c r="J170" i="48"/>
  <c r="I170" i="48"/>
  <c r="G170" i="48"/>
  <c r="F170" i="48"/>
  <c r="E170" i="48"/>
  <c r="D170" i="48"/>
  <c r="C170" i="48"/>
  <c r="B170" i="48"/>
  <c r="M169" i="48"/>
  <c r="L169" i="48"/>
  <c r="K169" i="48"/>
  <c r="J169" i="48"/>
  <c r="G169" i="48"/>
  <c r="F169" i="48"/>
  <c r="E169" i="48"/>
  <c r="D169" i="48"/>
  <c r="C169" i="48"/>
  <c r="B169" i="48"/>
  <c r="M168" i="48"/>
  <c r="L168" i="48"/>
  <c r="K168" i="48"/>
  <c r="J168" i="48"/>
  <c r="I168" i="48"/>
  <c r="G168" i="48"/>
  <c r="F168" i="48"/>
  <c r="E168" i="48"/>
  <c r="D168" i="48"/>
  <c r="C168" i="48"/>
  <c r="B168" i="48"/>
  <c r="M167" i="48"/>
  <c r="L167" i="48"/>
  <c r="K167" i="48"/>
  <c r="J167" i="48"/>
  <c r="G167" i="48"/>
  <c r="F167" i="48"/>
  <c r="E167" i="48"/>
  <c r="D167" i="48"/>
  <c r="C167" i="48"/>
  <c r="B167" i="48"/>
  <c r="M166" i="48"/>
  <c r="L166" i="48"/>
  <c r="K166" i="48"/>
  <c r="J166" i="48"/>
  <c r="I166" i="48"/>
  <c r="G166" i="48"/>
  <c r="F166" i="48"/>
  <c r="E166" i="48"/>
  <c r="D166" i="48"/>
  <c r="C166" i="48"/>
  <c r="B166" i="48"/>
  <c r="M165" i="48"/>
  <c r="L165" i="48"/>
  <c r="K165" i="48"/>
  <c r="J165" i="48"/>
  <c r="I165" i="48"/>
  <c r="G165" i="48"/>
  <c r="F165" i="48"/>
  <c r="E165" i="48"/>
  <c r="D165" i="48"/>
  <c r="C165" i="48"/>
  <c r="B165" i="48"/>
  <c r="M164" i="48"/>
  <c r="L164" i="48"/>
  <c r="K164" i="48"/>
  <c r="J164" i="48"/>
  <c r="I164" i="48"/>
  <c r="G164" i="48"/>
  <c r="F164" i="48"/>
  <c r="E164" i="48"/>
  <c r="D164" i="48"/>
  <c r="C164" i="48"/>
  <c r="B164" i="48"/>
  <c r="M163" i="48"/>
  <c r="L163" i="48"/>
  <c r="K163" i="48"/>
  <c r="J163" i="48"/>
  <c r="I163" i="48"/>
  <c r="G163" i="48"/>
  <c r="F163" i="48"/>
  <c r="E163" i="48"/>
  <c r="D163" i="48"/>
  <c r="C163" i="48"/>
  <c r="B163" i="48"/>
  <c r="M162" i="48"/>
  <c r="L162" i="48"/>
  <c r="K162" i="48"/>
  <c r="J162" i="48"/>
  <c r="G162" i="48"/>
  <c r="F162" i="48"/>
  <c r="E162" i="48"/>
  <c r="D162" i="48"/>
  <c r="C162" i="48"/>
  <c r="B162" i="48"/>
  <c r="M161" i="48"/>
  <c r="L161" i="48"/>
  <c r="K161" i="48"/>
  <c r="J161" i="48"/>
  <c r="G161" i="48"/>
  <c r="F161" i="48"/>
  <c r="E161" i="48"/>
  <c r="D161" i="48"/>
  <c r="C161" i="48"/>
  <c r="B161" i="48"/>
  <c r="M160" i="48"/>
  <c r="L160" i="48"/>
  <c r="K160" i="48"/>
  <c r="J160" i="48"/>
  <c r="I160" i="48"/>
  <c r="H160" i="48"/>
  <c r="G160" i="48"/>
  <c r="F160" i="48"/>
  <c r="E160" i="48"/>
  <c r="D160" i="48"/>
  <c r="C160" i="48"/>
  <c r="B160" i="48"/>
  <c r="M159" i="48"/>
  <c r="L159" i="48"/>
  <c r="K159" i="48"/>
  <c r="J159" i="48"/>
  <c r="G159" i="48"/>
  <c r="F159" i="48"/>
  <c r="E159" i="48"/>
  <c r="D159" i="48"/>
  <c r="C159" i="48"/>
  <c r="B159" i="48"/>
  <c r="M158" i="48"/>
  <c r="L158" i="48"/>
  <c r="K158" i="48"/>
  <c r="J158" i="48"/>
  <c r="G158" i="48"/>
  <c r="F158" i="48"/>
  <c r="E158" i="48"/>
  <c r="D158" i="48"/>
  <c r="C158" i="48"/>
  <c r="B158" i="48"/>
  <c r="M157" i="48"/>
  <c r="L157" i="48"/>
  <c r="K157" i="48"/>
  <c r="J157" i="48"/>
  <c r="G157" i="48"/>
  <c r="F157" i="48"/>
  <c r="E157" i="48"/>
  <c r="D157" i="48"/>
  <c r="C157" i="48"/>
  <c r="B157" i="48"/>
  <c r="M156" i="48"/>
  <c r="L156" i="48"/>
  <c r="K156" i="48"/>
  <c r="J156" i="48"/>
  <c r="G156" i="48"/>
  <c r="F156" i="48"/>
  <c r="E156" i="48"/>
  <c r="D156" i="48"/>
  <c r="C156" i="48"/>
  <c r="B156" i="48"/>
  <c r="M155" i="48"/>
  <c r="L155" i="48"/>
  <c r="K155" i="48"/>
  <c r="J155" i="48"/>
  <c r="G155" i="48"/>
  <c r="F155" i="48"/>
  <c r="E155" i="48"/>
  <c r="D155" i="48"/>
  <c r="C155" i="48"/>
  <c r="B155" i="48"/>
  <c r="M154" i="48"/>
  <c r="L154" i="48"/>
  <c r="K154" i="48"/>
  <c r="J154" i="48"/>
  <c r="G154" i="48"/>
  <c r="F154" i="48"/>
  <c r="E154" i="48"/>
  <c r="D154" i="48"/>
  <c r="C154" i="48"/>
  <c r="B154" i="48"/>
  <c r="M153" i="48"/>
  <c r="L153" i="48"/>
  <c r="K153" i="48"/>
  <c r="J153" i="48"/>
  <c r="G153" i="48"/>
  <c r="F153" i="48"/>
  <c r="E153" i="48"/>
  <c r="D153" i="48"/>
  <c r="C153" i="48"/>
  <c r="B153" i="48"/>
  <c r="M152" i="48"/>
  <c r="L152" i="48"/>
  <c r="K152" i="48"/>
  <c r="J152" i="48"/>
  <c r="I152" i="48"/>
  <c r="G152" i="48"/>
  <c r="F152" i="48"/>
  <c r="E152" i="48"/>
  <c r="D152" i="48"/>
  <c r="C152" i="48"/>
  <c r="B152" i="48"/>
  <c r="M151" i="48"/>
  <c r="L151" i="48"/>
  <c r="K151" i="48"/>
  <c r="J151" i="48"/>
  <c r="G151" i="48"/>
  <c r="F151" i="48"/>
  <c r="E151" i="48"/>
  <c r="D151" i="48"/>
  <c r="C151" i="48"/>
  <c r="B151" i="48"/>
  <c r="M150" i="48"/>
  <c r="L150" i="48"/>
  <c r="K150" i="48"/>
  <c r="J150" i="48"/>
  <c r="G150" i="48"/>
  <c r="F150" i="48"/>
  <c r="E150" i="48"/>
  <c r="D150" i="48"/>
  <c r="C150" i="48"/>
  <c r="B150" i="48"/>
  <c r="M149" i="48"/>
  <c r="L149" i="48"/>
  <c r="K149" i="48"/>
  <c r="J149" i="48"/>
  <c r="G149" i="48"/>
  <c r="F149" i="48"/>
  <c r="E149" i="48"/>
  <c r="D149" i="48"/>
  <c r="C149" i="48"/>
  <c r="B149" i="48"/>
  <c r="M148" i="48"/>
  <c r="L148" i="48"/>
  <c r="K148" i="48"/>
  <c r="J148" i="48"/>
  <c r="G148" i="48"/>
  <c r="F148" i="48"/>
  <c r="E148" i="48"/>
  <c r="D148" i="48"/>
  <c r="C148" i="48"/>
  <c r="B148" i="48"/>
  <c r="M147" i="48"/>
  <c r="L147" i="48"/>
  <c r="K147" i="48"/>
  <c r="J147" i="48"/>
  <c r="G147" i="48"/>
  <c r="F147" i="48"/>
  <c r="E147" i="48"/>
  <c r="D147" i="48"/>
  <c r="C147" i="48"/>
  <c r="B147" i="48"/>
  <c r="M146" i="48"/>
  <c r="L146" i="48"/>
  <c r="K146" i="48"/>
  <c r="J146" i="48"/>
  <c r="G146" i="48"/>
  <c r="F146" i="48"/>
  <c r="E146" i="48"/>
  <c r="D146" i="48"/>
  <c r="C146" i="48"/>
  <c r="B146" i="48"/>
  <c r="M145" i="48"/>
  <c r="L145" i="48"/>
  <c r="K145" i="48"/>
  <c r="J145" i="48"/>
  <c r="G145" i="48"/>
  <c r="F145" i="48"/>
  <c r="E145" i="48"/>
  <c r="D145" i="48"/>
  <c r="C145" i="48"/>
  <c r="B145" i="48"/>
  <c r="M144" i="48"/>
  <c r="L144" i="48"/>
  <c r="K144" i="48"/>
  <c r="J144" i="48"/>
  <c r="G144" i="48"/>
  <c r="F144" i="48"/>
  <c r="E144" i="48"/>
  <c r="D144" i="48"/>
  <c r="C144" i="48"/>
  <c r="B144" i="48"/>
  <c r="M143" i="48"/>
  <c r="L143" i="48"/>
  <c r="K143" i="48"/>
  <c r="J143" i="48"/>
  <c r="G143" i="48"/>
  <c r="F143" i="48"/>
  <c r="E143" i="48"/>
  <c r="D143" i="48"/>
  <c r="C143" i="48"/>
  <c r="B143" i="48"/>
  <c r="M142" i="48"/>
  <c r="L142" i="48"/>
  <c r="K142" i="48"/>
  <c r="J142" i="48"/>
  <c r="I142" i="48"/>
  <c r="G142" i="48"/>
  <c r="F142" i="48"/>
  <c r="E142" i="48"/>
  <c r="D142" i="48"/>
  <c r="C142" i="48"/>
  <c r="B142" i="48"/>
  <c r="M141" i="48"/>
  <c r="L141" i="48"/>
  <c r="K141" i="48"/>
  <c r="J141" i="48"/>
  <c r="G141" i="48"/>
  <c r="F141" i="48"/>
  <c r="E141" i="48"/>
  <c r="D141" i="48"/>
  <c r="C141" i="48"/>
  <c r="B141" i="48"/>
  <c r="M140" i="48"/>
  <c r="L140" i="48"/>
  <c r="K140" i="48"/>
  <c r="J140" i="48"/>
  <c r="G140" i="48"/>
  <c r="F140" i="48"/>
  <c r="E140" i="48"/>
  <c r="D140" i="48"/>
  <c r="C140" i="48"/>
  <c r="B140" i="48"/>
  <c r="M139" i="48"/>
  <c r="L139" i="48"/>
  <c r="K139" i="48"/>
  <c r="J139" i="48"/>
  <c r="G139" i="48"/>
  <c r="F139" i="48"/>
  <c r="E139" i="48"/>
  <c r="D139" i="48"/>
  <c r="C139" i="48"/>
  <c r="B139" i="48"/>
  <c r="M138" i="48"/>
  <c r="L138" i="48"/>
  <c r="K138" i="48"/>
  <c r="J138" i="48"/>
  <c r="G138" i="48"/>
  <c r="F138" i="48"/>
  <c r="E138" i="48"/>
  <c r="D138" i="48"/>
  <c r="C138" i="48"/>
  <c r="B138" i="48"/>
  <c r="M137" i="48"/>
  <c r="L137" i="48"/>
  <c r="K137" i="48"/>
  <c r="J137" i="48"/>
  <c r="G137" i="48"/>
  <c r="F137" i="48"/>
  <c r="E137" i="48"/>
  <c r="D137" i="48"/>
  <c r="C137" i="48"/>
  <c r="B137" i="48"/>
  <c r="M136" i="48"/>
  <c r="L136" i="48"/>
  <c r="K136" i="48"/>
  <c r="J136" i="48"/>
  <c r="G136" i="48"/>
  <c r="F136" i="48"/>
  <c r="E136" i="48"/>
  <c r="D136" i="48"/>
  <c r="C136" i="48"/>
  <c r="B136" i="48"/>
  <c r="M135" i="48"/>
  <c r="L135" i="48"/>
  <c r="K135" i="48"/>
  <c r="J135" i="48"/>
  <c r="G135" i="48"/>
  <c r="F135" i="48"/>
  <c r="E135" i="48"/>
  <c r="D135" i="48"/>
  <c r="C135" i="48"/>
  <c r="B135" i="48"/>
  <c r="M134" i="48"/>
  <c r="L134" i="48"/>
  <c r="K134" i="48"/>
  <c r="J134" i="48"/>
  <c r="G134" i="48"/>
  <c r="F134" i="48"/>
  <c r="E134" i="48"/>
  <c r="D134" i="48"/>
  <c r="C134" i="48"/>
  <c r="B134" i="48"/>
  <c r="M133" i="48"/>
  <c r="L133" i="48"/>
  <c r="K133" i="48"/>
  <c r="J133" i="48"/>
  <c r="G133" i="48"/>
  <c r="F133" i="48"/>
  <c r="E133" i="48"/>
  <c r="D133" i="48"/>
  <c r="C133" i="48"/>
  <c r="B133" i="48"/>
  <c r="M132" i="48"/>
  <c r="L132" i="48"/>
  <c r="K132" i="48"/>
  <c r="J132" i="48"/>
  <c r="I132" i="48"/>
  <c r="G132" i="48"/>
  <c r="F132" i="48"/>
  <c r="E132" i="48"/>
  <c r="D132" i="48"/>
  <c r="C132" i="48"/>
  <c r="B132" i="48"/>
  <c r="M131" i="48"/>
  <c r="L131" i="48"/>
  <c r="K131" i="48"/>
  <c r="J131" i="48"/>
  <c r="I131" i="48"/>
  <c r="G131" i="48"/>
  <c r="F131" i="48"/>
  <c r="E131" i="48"/>
  <c r="D131" i="48"/>
  <c r="C131" i="48"/>
  <c r="B131" i="48"/>
  <c r="M130" i="48"/>
  <c r="L130" i="48"/>
  <c r="K130" i="48"/>
  <c r="J130" i="48"/>
  <c r="G130" i="48"/>
  <c r="F130" i="48"/>
  <c r="E130" i="48"/>
  <c r="D130" i="48"/>
  <c r="C130" i="48"/>
  <c r="B130" i="48"/>
  <c r="M129" i="48"/>
  <c r="L129" i="48"/>
  <c r="K129" i="48"/>
  <c r="J129" i="48"/>
  <c r="G129" i="48"/>
  <c r="F129" i="48"/>
  <c r="E129" i="48"/>
  <c r="D129" i="48"/>
  <c r="C129" i="48"/>
  <c r="B129" i="48"/>
  <c r="M128" i="48"/>
  <c r="L128" i="48"/>
  <c r="K128" i="48"/>
  <c r="J128" i="48"/>
  <c r="I128" i="48"/>
  <c r="G128" i="48"/>
  <c r="F128" i="48"/>
  <c r="E128" i="48"/>
  <c r="D128" i="48"/>
  <c r="C128" i="48"/>
  <c r="B128" i="48"/>
  <c r="M127" i="48"/>
  <c r="L127" i="48"/>
  <c r="K127" i="48"/>
  <c r="J127" i="48"/>
  <c r="G127" i="48"/>
  <c r="F127" i="48"/>
  <c r="E127" i="48"/>
  <c r="D127" i="48"/>
  <c r="C127" i="48"/>
  <c r="B127" i="48"/>
  <c r="M126" i="48"/>
  <c r="L126" i="48"/>
  <c r="K126" i="48"/>
  <c r="J126" i="48"/>
  <c r="G126" i="48"/>
  <c r="F126" i="48"/>
  <c r="E126" i="48"/>
  <c r="D126" i="48"/>
  <c r="C126" i="48"/>
  <c r="B126" i="48"/>
  <c r="M125" i="48"/>
  <c r="L125" i="48"/>
  <c r="K125" i="48"/>
  <c r="J125" i="48"/>
  <c r="I125" i="48"/>
  <c r="G125" i="48"/>
  <c r="F125" i="48"/>
  <c r="E125" i="48"/>
  <c r="D125" i="48"/>
  <c r="C125" i="48"/>
  <c r="B125" i="48"/>
  <c r="M124" i="48"/>
  <c r="L124" i="48"/>
  <c r="K124" i="48"/>
  <c r="J124" i="48"/>
  <c r="G124" i="48"/>
  <c r="F124" i="48"/>
  <c r="E124" i="48"/>
  <c r="D124" i="48"/>
  <c r="C124" i="48"/>
  <c r="B124" i="48"/>
  <c r="M123" i="48"/>
  <c r="L123" i="48"/>
  <c r="K123" i="48"/>
  <c r="J123" i="48"/>
  <c r="G123" i="48"/>
  <c r="F123" i="48"/>
  <c r="E123" i="48"/>
  <c r="D123" i="48"/>
  <c r="C123" i="48"/>
  <c r="B123" i="48"/>
  <c r="M122" i="48"/>
  <c r="L122" i="48"/>
  <c r="K122" i="48"/>
  <c r="J122" i="48"/>
  <c r="G122" i="48"/>
  <c r="F122" i="48"/>
  <c r="E122" i="48"/>
  <c r="D122" i="48"/>
  <c r="C122" i="48"/>
  <c r="B122" i="48"/>
  <c r="M121" i="48"/>
  <c r="L121" i="48"/>
  <c r="K121" i="48"/>
  <c r="J121" i="48"/>
  <c r="H121" i="48"/>
  <c r="G121" i="48"/>
  <c r="F121" i="48"/>
  <c r="E121" i="48"/>
  <c r="D121" i="48"/>
  <c r="C121" i="48"/>
  <c r="B121" i="48"/>
  <c r="M120" i="48"/>
  <c r="L120" i="48"/>
  <c r="K120" i="48"/>
  <c r="J120" i="48"/>
  <c r="G120" i="48"/>
  <c r="F120" i="48"/>
  <c r="E120" i="48"/>
  <c r="D120" i="48"/>
  <c r="C120" i="48"/>
  <c r="B120" i="48"/>
  <c r="M119" i="48"/>
  <c r="L119" i="48"/>
  <c r="K119" i="48"/>
  <c r="J119" i="48"/>
  <c r="I119" i="48"/>
  <c r="H119" i="48"/>
  <c r="G119" i="48"/>
  <c r="F119" i="48"/>
  <c r="E119" i="48"/>
  <c r="D119" i="48"/>
  <c r="C119" i="48"/>
  <c r="B119" i="48"/>
  <c r="M118" i="48"/>
  <c r="L118" i="48"/>
  <c r="K118" i="48"/>
  <c r="J118" i="48"/>
  <c r="I118" i="48"/>
  <c r="G118" i="48"/>
  <c r="F118" i="48"/>
  <c r="E118" i="48"/>
  <c r="D118" i="48"/>
  <c r="C118" i="48"/>
  <c r="B118" i="48"/>
  <c r="M117" i="48"/>
  <c r="L117" i="48"/>
  <c r="K117" i="48"/>
  <c r="J117" i="48"/>
  <c r="G117" i="48"/>
  <c r="F117" i="48"/>
  <c r="E117" i="48"/>
  <c r="D117" i="48"/>
  <c r="C117" i="48"/>
  <c r="B117" i="48"/>
  <c r="M116" i="48"/>
  <c r="L116" i="48"/>
  <c r="K116" i="48"/>
  <c r="J116" i="48"/>
  <c r="G116" i="48"/>
  <c r="F116" i="48"/>
  <c r="E116" i="48"/>
  <c r="D116" i="48"/>
  <c r="C116" i="48"/>
  <c r="B116" i="48"/>
  <c r="M115" i="48"/>
  <c r="L115" i="48"/>
  <c r="K115" i="48"/>
  <c r="J115" i="48"/>
  <c r="G115" i="48"/>
  <c r="F115" i="48"/>
  <c r="E115" i="48"/>
  <c r="D115" i="48"/>
  <c r="C115" i="48"/>
  <c r="B115" i="48"/>
  <c r="M114" i="48"/>
  <c r="L114" i="48"/>
  <c r="K114" i="48"/>
  <c r="J114" i="48"/>
  <c r="G114" i="48"/>
  <c r="F114" i="48"/>
  <c r="E114" i="48"/>
  <c r="D114" i="48"/>
  <c r="C114" i="48"/>
  <c r="B114" i="48"/>
  <c r="M113" i="48"/>
  <c r="L113" i="48"/>
  <c r="K113" i="48"/>
  <c r="J113" i="48"/>
  <c r="G113" i="48"/>
  <c r="F113" i="48"/>
  <c r="E113" i="48"/>
  <c r="D113" i="48"/>
  <c r="C113" i="48"/>
  <c r="B113" i="48"/>
  <c r="M112" i="48"/>
  <c r="L112" i="48"/>
  <c r="K112" i="48"/>
  <c r="J112" i="48"/>
  <c r="G112" i="48"/>
  <c r="F112" i="48"/>
  <c r="E112" i="48"/>
  <c r="D112" i="48"/>
  <c r="C112" i="48"/>
  <c r="B112" i="48"/>
  <c r="M111" i="48"/>
  <c r="L111" i="48"/>
  <c r="K111" i="48"/>
  <c r="J111" i="48"/>
  <c r="G111" i="48"/>
  <c r="F111" i="48"/>
  <c r="E111" i="48"/>
  <c r="D111" i="48"/>
  <c r="C111" i="48"/>
  <c r="B111" i="48"/>
  <c r="M110" i="48"/>
  <c r="L110" i="48"/>
  <c r="K110" i="48"/>
  <c r="J110" i="48"/>
  <c r="I110" i="48"/>
  <c r="G110" i="48"/>
  <c r="F110" i="48"/>
  <c r="E110" i="48"/>
  <c r="D110" i="48"/>
  <c r="C110" i="48"/>
  <c r="B110" i="48"/>
  <c r="M109" i="48"/>
  <c r="L109" i="48"/>
  <c r="K109" i="48"/>
  <c r="J109" i="48"/>
  <c r="G109" i="48"/>
  <c r="F109" i="48"/>
  <c r="E109" i="48"/>
  <c r="D109" i="48"/>
  <c r="C109" i="48"/>
  <c r="B109" i="48"/>
  <c r="M108" i="48"/>
  <c r="L108" i="48"/>
  <c r="K108" i="48"/>
  <c r="J108" i="48"/>
  <c r="H108" i="48"/>
  <c r="G108" i="48"/>
  <c r="F108" i="48"/>
  <c r="E108" i="48"/>
  <c r="D108" i="48"/>
  <c r="C108" i="48"/>
  <c r="B108" i="48"/>
  <c r="M107" i="48"/>
  <c r="L107" i="48"/>
  <c r="K107" i="48"/>
  <c r="J107" i="48"/>
  <c r="G107" i="48"/>
  <c r="F107" i="48"/>
  <c r="E107" i="48"/>
  <c r="D107" i="48"/>
  <c r="C107" i="48"/>
  <c r="B107" i="48"/>
  <c r="M106" i="48"/>
  <c r="L106" i="48"/>
  <c r="K106" i="48"/>
  <c r="J106" i="48"/>
  <c r="I106" i="48"/>
  <c r="G106" i="48"/>
  <c r="F106" i="48"/>
  <c r="E106" i="48"/>
  <c r="D106" i="48"/>
  <c r="C106" i="48"/>
  <c r="B106" i="48"/>
  <c r="M105" i="48"/>
  <c r="L105" i="48"/>
  <c r="K105" i="48"/>
  <c r="J105" i="48"/>
  <c r="I105" i="48"/>
  <c r="G105" i="48"/>
  <c r="F105" i="48"/>
  <c r="E105" i="48"/>
  <c r="D105" i="48"/>
  <c r="C105" i="48"/>
  <c r="B105" i="48"/>
  <c r="M104" i="48"/>
  <c r="L104" i="48"/>
  <c r="K104" i="48"/>
  <c r="J104" i="48"/>
  <c r="I104" i="48"/>
  <c r="G104" i="48"/>
  <c r="F104" i="48"/>
  <c r="E104" i="48"/>
  <c r="D104" i="48"/>
  <c r="C104" i="48"/>
  <c r="B104" i="48"/>
  <c r="M103" i="48"/>
  <c r="L103" i="48"/>
  <c r="K103" i="48"/>
  <c r="J103" i="48"/>
  <c r="G103" i="48"/>
  <c r="F103" i="48"/>
  <c r="E103" i="48"/>
  <c r="D103" i="48"/>
  <c r="C103" i="48"/>
  <c r="B103" i="48"/>
  <c r="M102" i="48"/>
  <c r="L102" i="48"/>
  <c r="K102" i="48"/>
  <c r="J102" i="48"/>
  <c r="I102" i="48"/>
  <c r="G102" i="48"/>
  <c r="F102" i="48"/>
  <c r="E102" i="48"/>
  <c r="D102" i="48"/>
  <c r="C102" i="48"/>
  <c r="B102" i="48"/>
  <c r="M101" i="48"/>
  <c r="L101" i="48"/>
  <c r="K101" i="48"/>
  <c r="J101" i="48"/>
  <c r="G101" i="48"/>
  <c r="F101" i="48"/>
  <c r="E101" i="48"/>
  <c r="D101" i="48"/>
  <c r="C101" i="48"/>
  <c r="B101" i="48"/>
  <c r="M100" i="48"/>
  <c r="L100" i="48"/>
  <c r="K100" i="48"/>
  <c r="J100" i="48"/>
  <c r="I100" i="48"/>
  <c r="G100" i="48"/>
  <c r="F100" i="48"/>
  <c r="E100" i="48"/>
  <c r="D100" i="48"/>
  <c r="C100" i="48"/>
  <c r="B100" i="48"/>
  <c r="M99" i="48"/>
  <c r="L99" i="48"/>
  <c r="K99" i="48"/>
  <c r="J99" i="48"/>
  <c r="G99" i="48"/>
  <c r="F99" i="48"/>
  <c r="E99" i="48"/>
  <c r="D99" i="48"/>
  <c r="C99" i="48"/>
  <c r="B99" i="48"/>
  <c r="M98" i="48"/>
  <c r="L98" i="48"/>
  <c r="K98" i="48"/>
  <c r="J98" i="48"/>
  <c r="I98" i="48"/>
  <c r="G98" i="48"/>
  <c r="F98" i="48"/>
  <c r="E98" i="48"/>
  <c r="D98" i="48"/>
  <c r="C98" i="48"/>
  <c r="B98" i="48"/>
  <c r="M97" i="48"/>
  <c r="L97" i="48"/>
  <c r="K97" i="48"/>
  <c r="J97" i="48"/>
  <c r="I97" i="48"/>
  <c r="G97" i="48"/>
  <c r="F97" i="48"/>
  <c r="E97" i="48"/>
  <c r="D97" i="48"/>
  <c r="C97" i="48"/>
  <c r="B97" i="48"/>
  <c r="M96" i="48"/>
  <c r="L96" i="48"/>
  <c r="K96" i="48"/>
  <c r="J96" i="48"/>
  <c r="I96" i="48"/>
  <c r="G96" i="48"/>
  <c r="F96" i="48"/>
  <c r="E96" i="48"/>
  <c r="D96" i="48"/>
  <c r="C96" i="48"/>
  <c r="B96" i="48"/>
  <c r="M95" i="48"/>
  <c r="L95" i="48"/>
  <c r="K95" i="48"/>
  <c r="J95" i="48"/>
  <c r="G95" i="48"/>
  <c r="F95" i="48"/>
  <c r="E95" i="48"/>
  <c r="D95" i="48"/>
  <c r="C95" i="48"/>
  <c r="B95" i="48"/>
  <c r="M94" i="48"/>
  <c r="L94" i="48"/>
  <c r="K94" i="48"/>
  <c r="J94" i="48"/>
  <c r="G94" i="48"/>
  <c r="F94" i="48"/>
  <c r="E94" i="48"/>
  <c r="D94" i="48"/>
  <c r="C94" i="48"/>
  <c r="B94" i="48"/>
  <c r="M93" i="48"/>
  <c r="L93" i="48"/>
  <c r="K93" i="48"/>
  <c r="J93" i="48"/>
  <c r="I93" i="48"/>
  <c r="G93" i="48"/>
  <c r="F93" i="48"/>
  <c r="E93" i="48"/>
  <c r="D93" i="48"/>
  <c r="C93" i="48"/>
  <c r="B93" i="48"/>
  <c r="M92" i="48"/>
  <c r="L92" i="48"/>
  <c r="K92" i="48"/>
  <c r="J92" i="48"/>
  <c r="G92" i="48"/>
  <c r="F92" i="48"/>
  <c r="E92" i="48"/>
  <c r="D92" i="48"/>
  <c r="C92" i="48"/>
  <c r="B92" i="48"/>
  <c r="M91" i="48"/>
  <c r="L91" i="48"/>
  <c r="K91" i="48"/>
  <c r="J91" i="48"/>
  <c r="G91" i="48"/>
  <c r="F91" i="48"/>
  <c r="E91" i="48"/>
  <c r="D91" i="48"/>
  <c r="C91" i="48"/>
  <c r="B91" i="48"/>
  <c r="M90" i="48"/>
  <c r="L90" i="48"/>
  <c r="K90" i="48"/>
  <c r="J90" i="48"/>
  <c r="I90" i="48"/>
  <c r="G90" i="48"/>
  <c r="F90" i="48"/>
  <c r="E90" i="48"/>
  <c r="D90" i="48"/>
  <c r="C90" i="48"/>
  <c r="B90" i="48"/>
  <c r="M89" i="48"/>
  <c r="L89" i="48"/>
  <c r="K89" i="48"/>
  <c r="J89" i="48"/>
  <c r="G89" i="48"/>
  <c r="F89" i="48"/>
  <c r="E89" i="48"/>
  <c r="D89" i="48"/>
  <c r="C89" i="48"/>
  <c r="B89" i="48"/>
  <c r="M88" i="48"/>
  <c r="L88" i="48"/>
  <c r="K88" i="48"/>
  <c r="J88" i="48"/>
  <c r="I88" i="48"/>
  <c r="H88" i="48"/>
  <c r="G88" i="48"/>
  <c r="F88" i="48"/>
  <c r="E88" i="48"/>
  <c r="D88" i="48"/>
  <c r="C88" i="48"/>
  <c r="B88" i="48"/>
  <c r="M87" i="48"/>
  <c r="L87" i="48"/>
  <c r="K87" i="48"/>
  <c r="J87" i="48"/>
  <c r="I87" i="48"/>
  <c r="G87" i="48"/>
  <c r="F87" i="48"/>
  <c r="E87" i="48"/>
  <c r="D87" i="48"/>
  <c r="C87" i="48"/>
  <c r="B87" i="48"/>
  <c r="M86" i="48"/>
  <c r="L86" i="48"/>
  <c r="K86" i="48"/>
  <c r="J86" i="48"/>
  <c r="G86" i="48"/>
  <c r="F86" i="48"/>
  <c r="E86" i="48"/>
  <c r="D86" i="48"/>
  <c r="C86" i="48"/>
  <c r="B86" i="48"/>
  <c r="M85" i="48"/>
  <c r="L85" i="48"/>
  <c r="K85" i="48"/>
  <c r="J85" i="48"/>
  <c r="I85" i="48"/>
  <c r="G85" i="48"/>
  <c r="F85" i="48"/>
  <c r="E85" i="48"/>
  <c r="D85" i="48"/>
  <c r="C85" i="48"/>
  <c r="B85" i="48"/>
  <c r="M84" i="48"/>
  <c r="L84" i="48"/>
  <c r="K84" i="48"/>
  <c r="J84" i="48"/>
  <c r="G84" i="48"/>
  <c r="F84" i="48"/>
  <c r="E84" i="48"/>
  <c r="D84" i="48"/>
  <c r="C84" i="48"/>
  <c r="B84" i="48"/>
  <c r="M83" i="48"/>
  <c r="L83" i="48"/>
  <c r="K83" i="48"/>
  <c r="J83" i="48"/>
  <c r="I83" i="48"/>
  <c r="G83" i="48"/>
  <c r="F83" i="48"/>
  <c r="E83" i="48"/>
  <c r="D83" i="48"/>
  <c r="C83" i="48"/>
  <c r="B83" i="48"/>
  <c r="M82" i="48"/>
  <c r="L82" i="48"/>
  <c r="K82" i="48"/>
  <c r="J82" i="48"/>
  <c r="I82" i="48"/>
  <c r="G82" i="48"/>
  <c r="F82" i="48"/>
  <c r="E82" i="48"/>
  <c r="D82" i="48"/>
  <c r="C82" i="48"/>
  <c r="B82" i="48"/>
  <c r="M81" i="48"/>
  <c r="L81" i="48"/>
  <c r="K81" i="48"/>
  <c r="J81" i="48"/>
  <c r="I81" i="48"/>
  <c r="G81" i="48"/>
  <c r="F81" i="48"/>
  <c r="E81" i="48"/>
  <c r="D81" i="48"/>
  <c r="C81" i="48"/>
  <c r="B81" i="48"/>
  <c r="M80" i="48"/>
  <c r="L80" i="48"/>
  <c r="K80" i="48"/>
  <c r="J80" i="48"/>
  <c r="I80" i="48"/>
  <c r="G80" i="48"/>
  <c r="F80" i="48"/>
  <c r="E80" i="48"/>
  <c r="D80" i="48"/>
  <c r="C80" i="48"/>
  <c r="B80" i="48"/>
  <c r="M79" i="48"/>
  <c r="L79" i="48"/>
  <c r="K79" i="48"/>
  <c r="J79" i="48"/>
  <c r="I79" i="48"/>
  <c r="G79" i="48"/>
  <c r="F79" i="48"/>
  <c r="E79" i="48"/>
  <c r="D79" i="48"/>
  <c r="C79" i="48"/>
  <c r="B79" i="48"/>
  <c r="M78" i="48"/>
  <c r="L78" i="48"/>
  <c r="K78" i="48"/>
  <c r="J78" i="48"/>
  <c r="I78" i="48"/>
  <c r="G78" i="48"/>
  <c r="F78" i="48"/>
  <c r="E78" i="48"/>
  <c r="D78" i="48"/>
  <c r="C78" i="48"/>
  <c r="B78" i="48"/>
  <c r="M77" i="48"/>
  <c r="L77" i="48"/>
  <c r="K77" i="48"/>
  <c r="J77" i="48"/>
  <c r="I77" i="48"/>
  <c r="G77" i="48"/>
  <c r="F77" i="48"/>
  <c r="E77" i="48"/>
  <c r="D77" i="48"/>
  <c r="C77" i="48"/>
  <c r="B77" i="48"/>
  <c r="M76" i="48"/>
  <c r="L76" i="48"/>
  <c r="K76" i="48"/>
  <c r="J76" i="48"/>
  <c r="H76" i="48"/>
  <c r="G76" i="48"/>
  <c r="F76" i="48"/>
  <c r="E76" i="48"/>
  <c r="D76" i="48"/>
  <c r="C76" i="48"/>
  <c r="B76" i="48"/>
  <c r="M75" i="48"/>
  <c r="L75" i="48"/>
  <c r="K75" i="48"/>
  <c r="J75" i="48"/>
  <c r="I75" i="48"/>
  <c r="G75" i="48"/>
  <c r="F75" i="48"/>
  <c r="E75" i="48"/>
  <c r="D75" i="48"/>
  <c r="C75" i="48"/>
  <c r="B75" i="48"/>
  <c r="M74" i="48"/>
  <c r="L74" i="48"/>
  <c r="K74" i="48"/>
  <c r="J74" i="48"/>
  <c r="I74" i="48"/>
  <c r="G74" i="48"/>
  <c r="F74" i="48"/>
  <c r="E74" i="48"/>
  <c r="D74" i="48"/>
  <c r="C74" i="48"/>
  <c r="B74" i="48"/>
  <c r="M73" i="48"/>
  <c r="L73" i="48"/>
  <c r="K73" i="48"/>
  <c r="J73" i="48"/>
  <c r="I73" i="48"/>
  <c r="G73" i="48"/>
  <c r="F73" i="48"/>
  <c r="E73" i="48"/>
  <c r="D73" i="48"/>
  <c r="C73" i="48"/>
  <c r="B73" i="48"/>
  <c r="M72" i="48"/>
  <c r="L72" i="48"/>
  <c r="K72" i="48"/>
  <c r="J72" i="48"/>
  <c r="H72" i="48"/>
  <c r="G72" i="48"/>
  <c r="F72" i="48"/>
  <c r="E72" i="48"/>
  <c r="D72" i="48"/>
  <c r="C72" i="48"/>
  <c r="B72" i="48"/>
  <c r="M71" i="48"/>
  <c r="L71" i="48"/>
  <c r="K71" i="48"/>
  <c r="J71" i="48"/>
  <c r="G71" i="48"/>
  <c r="F71" i="48"/>
  <c r="E71" i="48"/>
  <c r="D71" i="48"/>
  <c r="C71" i="48"/>
  <c r="B71" i="48"/>
  <c r="M70" i="48"/>
  <c r="L70" i="48"/>
  <c r="K70" i="48"/>
  <c r="J70" i="48"/>
  <c r="G70" i="48"/>
  <c r="F70" i="48"/>
  <c r="E70" i="48"/>
  <c r="D70" i="48"/>
  <c r="C70" i="48"/>
  <c r="B70" i="48"/>
  <c r="M69" i="48"/>
  <c r="L69" i="48"/>
  <c r="K69" i="48"/>
  <c r="J69" i="48"/>
  <c r="G69" i="48"/>
  <c r="F69" i="48"/>
  <c r="E69" i="48"/>
  <c r="D69" i="48"/>
  <c r="C69" i="48"/>
  <c r="B69" i="48"/>
  <c r="M68" i="48"/>
  <c r="L68" i="48"/>
  <c r="K68" i="48"/>
  <c r="J68" i="48"/>
  <c r="G68" i="48"/>
  <c r="F68" i="48"/>
  <c r="E68" i="48"/>
  <c r="D68" i="48"/>
  <c r="C68" i="48"/>
  <c r="B68" i="48"/>
  <c r="M67" i="48"/>
  <c r="L67" i="48"/>
  <c r="K67" i="48"/>
  <c r="J67" i="48"/>
  <c r="G67" i="48"/>
  <c r="F67" i="48"/>
  <c r="E67" i="48"/>
  <c r="D67" i="48"/>
  <c r="C67" i="48"/>
  <c r="B67" i="48"/>
  <c r="M66" i="48"/>
  <c r="L66" i="48"/>
  <c r="K66" i="48"/>
  <c r="J66" i="48"/>
  <c r="H66" i="48"/>
  <c r="G66" i="48"/>
  <c r="F66" i="48"/>
  <c r="E66" i="48"/>
  <c r="D66" i="48"/>
  <c r="C66" i="48"/>
  <c r="B66" i="48"/>
  <c r="M65" i="48"/>
  <c r="L65" i="48"/>
  <c r="K65" i="48"/>
  <c r="J65" i="48"/>
  <c r="I65" i="48"/>
  <c r="G65" i="48"/>
  <c r="F65" i="48"/>
  <c r="E65" i="48"/>
  <c r="D65" i="48"/>
  <c r="C65" i="48"/>
  <c r="B65" i="48"/>
  <c r="M64" i="48"/>
  <c r="L64" i="48"/>
  <c r="K64" i="48"/>
  <c r="J64" i="48"/>
  <c r="G64" i="48"/>
  <c r="F64" i="48"/>
  <c r="E64" i="48"/>
  <c r="D64" i="48"/>
  <c r="C64" i="48"/>
  <c r="B64" i="48"/>
  <c r="M63" i="48"/>
  <c r="L63" i="48"/>
  <c r="K63" i="48"/>
  <c r="J63" i="48"/>
  <c r="G63" i="48"/>
  <c r="F63" i="48"/>
  <c r="E63" i="48"/>
  <c r="D63" i="48"/>
  <c r="C63" i="48"/>
  <c r="B63" i="48"/>
  <c r="M62" i="48"/>
  <c r="L62" i="48"/>
  <c r="K62" i="48"/>
  <c r="J62" i="48"/>
  <c r="G62" i="48"/>
  <c r="F62" i="48"/>
  <c r="E62" i="48"/>
  <c r="D62" i="48"/>
  <c r="C62" i="48"/>
  <c r="B62" i="48"/>
  <c r="M61" i="48"/>
  <c r="L61" i="48"/>
  <c r="K61" i="48"/>
  <c r="J61" i="48"/>
  <c r="G61" i="48"/>
  <c r="F61" i="48"/>
  <c r="E61" i="48"/>
  <c r="D61" i="48"/>
  <c r="C61" i="48"/>
  <c r="B61" i="48"/>
  <c r="M60" i="48"/>
  <c r="L60" i="48"/>
  <c r="K60" i="48"/>
  <c r="J60" i="48"/>
  <c r="G60" i="48"/>
  <c r="F60" i="48"/>
  <c r="E60" i="48"/>
  <c r="D60" i="48"/>
  <c r="C60" i="48"/>
  <c r="B60" i="48"/>
  <c r="M59" i="48"/>
  <c r="L59" i="48"/>
  <c r="K59" i="48"/>
  <c r="J59" i="48"/>
  <c r="I59" i="48"/>
  <c r="H59" i="48"/>
  <c r="G59" i="48"/>
  <c r="F59" i="48"/>
  <c r="E59" i="48"/>
  <c r="D59" i="48"/>
  <c r="C59" i="48"/>
  <c r="B59" i="48"/>
  <c r="M58" i="48"/>
  <c r="L58" i="48"/>
  <c r="K58" i="48"/>
  <c r="J58" i="48"/>
  <c r="G58" i="48"/>
  <c r="F58" i="48"/>
  <c r="E58" i="48"/>
  <c r="D58" i="48"/>
  <c r="C58" i="48"/>
  <c r="B58" i="48"/>
  <c r="M57" i="48"/>
  <c r="L57" i="48"/>
  <c r="K57" i="48"/>
  <c r="J57" i="48"/>
  <c r="G57" i="48"/>
  <c r="F57" i="48"/>
  <c r="E57" i="48"/>
  <c r="D57" i="48"/>
  <c r="C57" i="48"/>
  <c r="B57" i="48"/>
  <c r="M56" i="48"/>
  <c r="L56" i="48"/>
  <c r="K56" i="48"/>
  <c r="J56" i="48"/>
  <c r="G56" i="48"/>
  <c r="F56" i="48"/>
  <c r="E56" i="48"/>
  <c r="D56" i="48"/>
  <c r="C56" i="48"/>
  <c r="B56" i="48"/>
  <c r="M55" i="48"/>
  <c r="L55" i="48"/>
  <c r="K55" i="48"/>
  <c r="J55" i="48"/>
  <c r="I55" i="48"/>
  <c r="G55" i="48"/>
  <c r="F55" i="48"/>
  <c r="E55" i="48"/>
  <c r="D55" i="48"/>
  <c r="C55" i="48"/>
  <c r="B55" i="48"/>
  <c r="M54" i="48"/>
  <c r="L54" i="48"/>
  <c r="K54" i="48"/>
  <c r="J54" i="48"/>
  <c r="G54" i="48"/>
  <c r="F54" i="48"/>
  <c r="E54" i="48"/>
  <c r="D54" i="48"/>
  <c r="C54" i="48"/>
  <c r="B54" i="48"/>
  <c r="M53" i="48"/>
  <c r="L53" i="48"/>
  <c r="K53" i="48"/>
  <c r="J53" i="48"/>
  <c r="G53" i="48"/>
  <c r="F53" i="48"/>
  <c r="E53" i="48"/>
  <c r="D53" i="48"/>
  <c r="C53" i="48"/>
  <c r="B53" i="48"/>
  <c r="M52" i="48"/>
  <c r="L52" i="48"/>
  <c r="K52" i="48"/>
  <c r="J52" i="48"/>
  <c r="G52" i="48"/>
  <c r="F52" i="48"/>
  <c r="E52" i="48"/>
  <c r="D52" i="48"/>
  <c r="C52" i="48"/>
  <c r="B52" i="48"/>
  <c r="M51" i="48"/>
  <c r="L51" i="48"/>
  <c r="K51" i="48"/>
  <c r="J51" i="48"/>
  <c r="G51" i="48"/>
  <c r="F51" i="48"/>
  <c r="E51" i="48"/>
  <c r="D51" i="48"/>
  <c r="C51" i="48"/>
  <c r="B51" i="48"/>
  <c r="M50" i="48"/>
  <c r="L50" i="48"/>
  <c r="K50" i="48"/>
  <c r="J50" i="48"/>
  <c r="G50" i="48"/>
  <c r="F50" i="48"/>
  <c r="E50" i="48"/>
  <c r="D50" i="48"/>
  <c r="C50" i="48"/>
  <c r="B50" i="48"/>
  <c r="M49" i="48"/>
  <c r="L49" i="48"/>
  <c r="K49" i="48"/>
  <c r="J49" i="48"/>
  <c r="G49" i="48"/>
  <c r="F49" i="48"/>
  <c r="E49" i="48"/>
  <c r="D49" i="48"/>
  <c r="C49" i="48"/>
  <c r="B49" i="48"/>
  <c r="M48" i="48"/>
  <c r="L48" i="48"/>
  <c r="K48" i="48"/>
  <c r="J48" i="48"/>
  <c r="G48" i="48"/>
  <c r="F48" i="48"/>
  <c r="E48" i="48"/>
  <c r="D48" i="48"/>
  <c r="C48" i="48"/>
  <c r="B48" i="48"/>
  <c r="M47" i="48"/>
  <c r="L47" i="48"/>
  <c r="K47" i="48"/>
  <c r="J47" i="48"/>
  <c r="G47" i="48"/>
  <c r="F47" i="48"/>
  <c r="E47" i="48"/>
  <c r="D47" i="48"/>
  <c r="C47" i="48"/>
  <c r="B47" i="48"/>
  <c r="M46" i="48"/>
  <c r="L46" i="48"/>
  <c r="K46" i="48"/>
  <c r="J46" i="48"/>
  <c r="G46" i="48"/>
  <c r="F46" i="48"/>
  <c r="E46" i="48"/>
  <c r="D46" i="48"/>
  <c r="C46" i="48"/>
  <c r="B46" i="48"/>
  <c r="M45" i="48"/>
  <c r="L45" i="48"/>
  <c r="K45" i="48"/>
  <c r="J45" i="48"/>
  <c r="G45" i="48"/>
  <c r="F45" i="48"/>
  <c r="E45" i="48"/>
  <c r="D45" i="48"/>
  <c r="C45" i="48"/>
  <c r="B45" i="48"/>
  <c r="M44" i="48"/>
  <c r="L44" i="48"/>
  <c r="K44" i="48"/>
  <c r="J44" i="48"/>
  <c r="G44" i="48"/>
  <c r="F44" i="48"/>
  <c r="E44" i="48"/>
  <c r="D44" i="48"/>
  <c r="C44" i="48"/>
  <c r="B44" i="48"/>
  <c r="M43" i="48"/>
  <c r="L43" i="48"/>
  <c r="K43" i="48"/>
  <c r="J43" i="48"/>
  <c r="H43" i="48"/>
  <c r="G43" i="48"/>
  <c r="F43" i="48"/>
  <c r="E43" i="48"/>
  <c r="D43" i="48"/>
  <c r="C43" i="48"/>
  <c r="B43" i="48"/>
  <c r="M42" i="48"/>
  <c r="L42" i="48"/>
  <c r="K42" i="48"/>
  <c r="J42" i="48"/>
  <c r="G42" i="48"/>
  <c r="F42" i="48"/>
  <c r="E42" i="48"/>
  <c r="D42" i="48"/>
  <c r="C42" i="48"/>
  <c r="B42" i="48"/>
  <c r="M41" i="48"/>
  <c r="L41" i="48"/>
  <c r="K41" i="48"/>
  <c r="J41" i="48"/>
  <c r="G41" i="48"/>
  <c r="F41" i="48"/>
  <c r="E41" i="48"/>
  <c r="D41" i="48"/>
  <c r="C41" i="48"/>
  <c r="B41" i="48"/>
  <c r="M40" i="48"/>
  <c r="L40" i="48"/>
  <c r="K40" i="48"/>
  <c r="J40" i="48"/>
  <c r="G40" i="48"/>
  <c r="F40" i="48"/>
  <c r="E40" i="48"/>
  <c r="D40" i="48"/>
  <c r="C40" i="48"/>
  <c r="B40" i="48"/>
  <c r="M39" i="48"/>
  <c r="L39" i="48"/>
  <c r="K39" i="48"/>
  <c r="J39" i="48"/>
  <c r="I39" i="48"/>
  <c r="G39" i="48"/>
  <c r="F39" i="48"/>
  <c r="E39" i="48"/>
  <c r="D39" i="48"/>
  <c r="C39" i="48"/>
  <c r="B39" i="48"/>
  <c r="M38" i="48"/>
  <c r="L38" i="48"/>
  <c r="K38" i="48"/>
  <c r="J38" i="48"/>
  <c r="G38" i="48"/>
  <c r="F38" i="48"/>
  <c r="E38" i="48"/>
  <c r="D38" i="48"/>
  <c r="C38" i="48"/>
  <c r="B38" i="48"/>
  <c r="M37" i="48"/>
  <c r="L37" i="48"/>
  <c r="K37" i="48"/>
  <c r="J37" i="48"/>
  <c r="G37" i="48"/>
  <c r="F37" i="48"/>
  <c r="E37" i="48"/>
  <c r="D37" i="48"/>
  <c r="C37" i="48"/>
  <c r="B37" i="48"/>
  <c r="M36" i="48"/>
  <c r="L36" i="48"/>
  <c r="K36" i="48"/>
  <c r="J36" i="48"/>
  <c r="H36" i="48"/>
  <c r="G36" i="48"/>
  <c r="F36" i="48"/>
  <c r="E36" i="48"/>
  <c r="D36" i="48"/>
  <c r="C36" i="48"/>
  <c r="B36" i="48"/>
  <c r="M35" i="48"/>
  <c r="L35" i="48"/>
  <c r="K35" i="48"/>
  <c r="J35" i="48"/>
  <c r="G35" i="48"/>
  <c r="F35" i="48"/>
  <c r="E35" i="48"/>
  <c r="D35" i="48"/>
  <c r="C35" i="48"/>
  <c r="B35" i="48"/>
  <c r="M34" i="48"/>
  <c r="L34" i="48"/>
  <c r="K34" i="48"/>
  <c r="J34" i="48"/>
  <c r="G34" i="48"/>
  <c r="F34" i="48"/>
  <c r="E34" i="48"/>
  <c r="D34" i="48"/>
  <c r="C34" i="48"/>
  <c r="B34" i="48"/>
  <c r="M33" i="48"/>
  <c r="L33" i="48"/>
  <c r="K33" i="48"/>
  <c r="J33" i="48"/>
  <c r="H33" i="48"/>
  <c r="G33" i="48"/>
  <c r="F33" i="48"/>
  <c r="E33" i="48"/>
  <c r="D33" i="48"/>
  <c r="C33" i="48"/>
  <c r="B33" i="48"/>
  <c r="M32" i="48"/>
  <c r="L32" i="48"/>
  <c r="K32" i="48"/>
  <c r="J32" i="48"/>
  <c r="H32" i="48"/>
  <c r="G32" i="48"/>
  <c r="F32" i="48"/>
  <c r="E32" i="48"/>
  <c r="D32" i="48"/>
  <c r="C32" i="48"/>
  <c r="B32" i="48"/>
  <c r="M31" i="48"/>
  <c r="L31" i="48"/>
  <c r="K31" i="48"/>
  <c r="J31" i="48"/>
  <c r="H31" i="48"/>
  <c r="G31" i="48"/>
  <c r="F31" i="48"/>
  <c r="E31" i="48"/>
  <c r="D31" i="48"/>
  <c r="C31" i="48"/>
  <c r="B31" i="48"/>
  <c r="M30" i="48"/>
  <c r="L30" i="48"/>
  <c r="K30" i="48"/>
  <c r="J30" i="48"/>
  <c r="H30" i="48"/>
  <c r="G30" i="48"/>
  <c r="F30" i="48"/>
  <c r="E30" i="48"/>
  <c r="D30" i="48"/>
  <c r="C30" i="48"/>
  <c r="B30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M28" i="48"/>
  <c r="L28" i="48"/>
  <c r="K28" i="48"/>
  <c r="J28" i="48"/>
  <c r="H28" i="48"/>
  <c r="G28" i="48"/>
  <c r="F28" i="48"/>
  <c r="E28" i="48"/>
  <c r="D28" i="48"/>
  <c r="C28" i="48"/>
  <c r="B28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M24" i="48"/>
  <c r="L24" i="48"/>
  <c r="K24" i="48"/>
  <c r="J24" i="48"/>
  <c r="H24" i="48"/>
  <c r="G24" i="48"/>
  <c r="F24" i="48"/>
  <c r="E24" i="48"/>
  <c r="D24" i="48"/>
  <c r="C24" i="48"/>
  <c r="B24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M22" i="48"/>
  <c r="L22" i="48"/>
  <c r="K22" i="48"/>
  <c r="J22" i="48"/>
  <c r="H22" i="48"/>
  <c r="G22" i="48"/>
  <c r="F22" i="48"/>
  <c r="E22" i="48"/>
  <c r="D22" i="48"/>
  <c r="C22" i="48"/>
  <c r="B22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M18" i="48"/>
  <c r="L18" i="48"/>
  <c r="K18" i="48"/>
  <c r="J18" i="48"/>
  <c r="H18" i="48"/>
  <c r="G18" i="48"/>
  <c r="F18" i="48"/>
  <c r="E18" i="48"/>
  <c r="D18" i="48"/>
  <c r="C18" i="48"/>
  <c r="B18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6" i="48"/>
  <c r="L16" i="48"/>
  <c r="K16" i="48"/>
  <c r="J16" i="48"/>
  <c r="I16" i="48"/>
  <c r="H16" i="48"/>
  <c r="G16" i="48"/>
  <c r="F16" i="48"/>
  <c r="E16" i="48"/>
  <c r="D16" i="48"/>
  <c r="C16" i="48"/>
  <c r="B16" i="48"/>
  <c r="M15" i="48"/>
  <c r="L15" i="48"/>
  <c r="K15" i="48"/>
  <c r="J15" i="48"/>
  <c r="I15" i="48"/>
  <c r="H15" i="48"/>
  <c r="G15" i="48"/>
  <c r="F15" i="48"/>
  <c r="E15" i="48"/>
  <c r="D15" i="48"/>
  <c r="C15" i="48"/>
  <c r="B15" i="48"/>
  <c r="M14" i="48"/>
  <c r="L14" i="48"/>
  <c r="K14" i="48"/>
  <c r="J14" i="48"/>
  <c r="H14" i="48"/>
  <c r="G14" i="48"/>
  <c r="F14" i="48"/>
  <c r="E14" i="48"/>
  <c r="D14" i="48"/>
  <c r="C14" i="48"/>
  <c r="B14" i="48"/>
  <c r="M13" i="48"/>
  <c r="L13" i="48"/>
  <c r="K13" i="48"/>
  <c r="J13" i="48"/>
  <c r="H13" i="48"/>
  <c r="G13" i="48"/>
  <c r="F13" i="48"/>
  <c r="E13" i="48"/>
  <c r="D13" i="48"/>
  <c r="C13" i="48"/>
  <c r="B13" i="48"/>
  <c r="M12" i="48"/>
  <c r="L12" i="48"/>
  <c r="K12" i="48"/>
  <c r="J12" i="48"/>
  <c r="H12" i="48"/>
  <c r="G12" i="48"/>
  <c r="F12" i="48"/>
  <c r="E12" i="48"/>
  <c r="D12" i="48"/>
  <c r="C12" i="48"/>
  <c r="B12" i="48"/>
  <c r="M11" i="48"/>
  <c r="L11" i="48"/>
  <c r="K11" i="48"/>
  <c r="J11" i="48"/>
  <c r="H11" i="48"/>
  <c r="G11" i="48"/>
  <c r="F11" i="48"/>
  <c r="E11" i="48"/>
  <c r="D11" i="48"/>
  <c r="C11" i="48"/>
  <c r="B11" i="48"/>
  <c r="M10" i="48"/>
  <c r="L10" i="48"/>
  <c r="K10" i="48"/>
  <c r="J10" i="48"/>
  <c r="I10" i="48"/>
  <c r="H10" i="48"/>
  <c r="G10" i="48"/>
  <c r="F10" i="48"/>
  <c r="E10" i="48"/>
  <c r="D10" i="48"/>
  <c r="C10" i="48"/>
  <c r="B10" i="48"/>
  <c r="M9" i="48"/>
  <c r="L9" i="48"/>
  <c r="K9" i="48"/>
  <c r="J9" i="48"/>
  <c r="I9" i="48"/>
  <c r="H9" i="48"/>
  <c r="G9" i="48"/>
  <c r="F9" i="48"/>
  <c r="E9" i="48"/>
  <c r="D9" i="48"/>
  <c r="C9" i="48"/>
  <c r="B9" i="48"/>
  <c r="M8" i="48"/>
  <c r="L8" i="48"/>
  <c r="K8" i="48"/>
  <c r="J8" i="48"/>
  <c r="I8" i="48"/>
  <c r="H8" i="48"/>
  <c r="G8" i="48"/>
  <c r="F8" i="48"/>
  <c r="E8" i="48"/>
  <c r="D8" i="48"/>
  <c r="C8" i="48"/>
  <c r="B8" i="48"/>
  <c r="M7" i="48"/>
  <c r="L7" i="48"/>
  <c r="K7" i="48"/>
  <c r="J7" i="48"/>
  <c r="I7" i="48"/>
  <c r="H7" i="48"/>
  <c r="G7" i="48"/>
  <c r="F7" i="48"/>
  <c r="E7" i="48"/>
  <c r="D7" i="48"/>
  <c r="C7" i="48"/>
  <c r="B7" i="48"/>
  <c r="M6" i="48"/>
  <c r="L6" i="48"/>
  <c r="K6" i="48"/>
  <c r="J6" i="48"/>
  <c r="I6" i="48"/>
  <c r="H6" i="48"/>
  <c r="G6" i="48"/>
  <c r="F6" i="48"/>
  <c r="E6" i="48"/>
  <c r="D6" i="48"/>
  <c r="C6" i="48"/>
  <c r="B6" i="48"/>
  <c r="M5" i="48"/>
  <c r="L5" i="48"/>
  <c r="K5" i="48"/>
  <c r="J5" i="48"/>
  <c r="I5" i="48"/>
  <c r="H5" i="48"/>
  <c r="G5" i="48"/>
  <c r="F5" i="48"/>
  <c r="E5" i="48"/>
  <c r="D5" i="48"/>
  <c r="C5" i="48"/>
  <c r="B5" i="48"/>
  <c r="M4" i="48"/>
  <c r="L4" i="48"/>
  <c r="K4" i="48"/>
  <c r="J4" i="48"/>
  <c r="I4" i="48"/>
  <c r="H4" i="48"/>
  <c r="G4" i="48"/>
  <c r="F4" i="48"/>
  <c r="E4" i="48"/>
  <c r="D4" i="48"/>
  <c r="C4" i="48"/>
  <c r="B4" i="48"/>
  <c r="M3" i="48"/>
  <c r="L3" i="48"/>
  <c r="K3" i="48"/>
  <c r="J3" i="48"/>
  <c r="I3" i="48"/>
  <c r="H3" i="48"/>
  <c r="G3" i="48"/>
  <c r="F3" i="48"/>
  <c r="E3" i="48"/>
  <c r="D3" i="48"/>
  <c r="C3" i="48"/>
  <c r="B3" i="48"/>
  <c r="M210" i="47"/>
  <c r="L210" i="47"/>
  <c r="K210" i="47"/>
  <c r="J210" i="47"/>
  <c r="G210" i="47"/>
  <c r="F210" i="47"/>
  <c r="E210" i="47"/>
  <c r="D210" i="47"/>
  <c r="C210" i="47"/>
  <c r="B210" i="47"/>
  <c r="M209" i="47"/>
  <c r="L209" i="47"/>
  <c r="K209" i="47"/>
  <c r="J209" i="47"/>
  <c r="G209" i="47"/>
  <c r="F209" i="47"/>
  <c r="E209" i="47"/>
  <c r="D209" i="47"/>
  <c r="C209" i="47"/>
  <c r="B209" i="47"/>
  <c r="M208" i="47"/>
  <c r="L208" i="47"/>
  <c r="K208" i="47"/>
  <c r="J208" i="47"/>
  <c r="G208" i="47"/>
  <c r="F208" i="47"/>
  <c r="E208" i="47"/>
  <c r="D208" i="47"/>
  <c r="C208" i="47"/>
  <c r="B208" i="47"/>
  <c r="M207" i="47"/>
  <c r="L207" i="47"/>
  <c r="K207" i="47"/>
  <c r="J207" i="47"/>
  <c r="G207" i="47"/>
  <c r="F207" i="47"/>
  <c r="E207" i="47"/>
  <c r="D207" i="47"/>
  <c r="C207" i="47"/>
  <c r="B207" i="47"/>
  <c r="M206" i="47"/>
  <c r="L206" i="47"/>
  <c r="K206" i="47"/>
  <c r="J206" i="47"/>
  <c r="G206" i="47"/>
  <c r="F206" i="47"/>
  <c r="E206" i="47"/>
  <c r="D206" i="47"/>
  <c r="C206" i="47"/>
  <c r="B206" i="47"/>
  <c r="M205" i="47"/>
  <c r="L205" i="47"/>
  <c r="K205" i="47"/>
  <c r="J205" i="47"/>
  <c r="G205" i="47"/>
  <c r="F205" i="47"/>
  <c r="E205" i="47"/>
  <c r="D205" i="47"/>
  <c r="C205" i="47"/>
  <c r="B205" i="47"/>
  <c r="M204" i="47"/>
  <c r="L204" i="47"/>
  <c r="K204" i="47"/>
  <c r="J204" i="47"/>
  <c r="G204" i="47"/>
  <c r="F204" i="47"/>
  <c r="E204" i="47"/>
  <c r="D204" i="47"/>
  <c r="C204" i="47"/>
  <c r="B204" i="47"/>
  <c r="M203" i="47"/>
  <c r="L203" i="47"/>
  <c r="K203" i="47"/>
  <c r="J203" i="47"/>
  <c r="G203" i="47"/>
  <c r="F203" i="47"/>
  <c r="E203" i="47"/>
  <c r="D203" i="47"/>
  <c r="C203" i="47"/>
  <c r="B203" i="47"/>
  <c r="M202" i="47"/>
  <c r="L202" i="47"/>
  <c r="K202" i="47"/>
  <c r="J202" i="47"/>
  <c r="G202" i="47"/>
  <c r="F202" i="47"/>
  <c r="E202" i="47"/>
  <c r="D202" i="47"/>
  <c r="C202" i="47"/>
  <c r="B202" i="47"/>
  <c r="M201" i="47"/>
  <c r="L201" i="47"/>
  <c r="K201" i="47"/>
  <c r="J201" i="47"/>
  <c r="G201" i="47"/>
  <c r="F201" i="47"/>
  <c r="E201" i="47"/>
  <c r="D201" i="47"/>
  <c r="C201" i="47"/>
  <c r="B201" i="47"/>
  <c r="M200" i="47"/>
  <c r="L200" i="47"/>
  <c r="K200" i="47"/>
  <c r="J200" i="47"/>
  <c r="G200" i="47"/>
  <c r="F200" i="47"/>
  <c r="E200" i="47"/>
  <c r="D200" i="47"/>
  <c r="C200" i="47"/>
  <c r="B200" i="47"/>
  <c r="M199" i="47"/>
  <c r="L199" i="47"/>
  <c r="K199" i="47"/>
  <c r="J199" i="47"/>
  <c r="G199" i="47"/>
  <c r="F199" i="47"/>
  <c r="E199" i="47"/>
  <c r="D199" i="47"/>
  <c r="C199" i="47"/>
  <c r="B199" i="47"/>
  <c r="M198" i="47"/>
  <c r="L198" i="47"/>
  <c r="K198" i="47"/>
  <c r="J198" i="47"/>
  <c r="G198" i="47"/>
  <c r="F198" i="47"/>
  <c r="E198" i="47"/>
  <c r="D198" i="47"/>
  <c r="C198" i="47"/>
  <c r="B198" i="47"/>
  <c r="M197" i="47"/>
  <c r="L197" i="47"/>
  <c r="K197" i="47"/>
  <c r="J197" i="47"/>
  <c r="G197" i="47"/>
  <c r="F197" i="47"/>
  <c r="E197" i="47"/>
  <c r="D197" i="47"/>
  <c r="C197" i="47"/>
  <c r="B197" i="47"/>
  <c r="M196" i="47"/>
  <c r="L196" i="47"/>
  <c r="K196" i="47"/>
  <c r="J196" i="47"/>
  <c r="G196" i="47"/>
  <c r="F196" i="47"/>
  <c r="E196" i="47"/>
  <c r="D196" i="47"/>
  <c r="C196" i="47"/>
  <c r="B196" i="47"/>
  <c r="M195" i="47"/>
  <c r="L195" i="47"/>
  <c r="K195" i="47"/>
  <c r="J195" i="47"/>
  <c r="G195" i="47"/>
  <c r="F195" i="47"/>
  <c r="E195" i="47"/>
  <c r="D195" i="47"/>
  <c r="C195" i="47"/>
  <c r="B195" i="47"/>
  <c r="M194" i="47"/>
  <c r="L194" i="47"/>
  <c r="K194" i="47"/>
  <c r="J194" i="47"/>
  <c r="I194" i="47"/>
  <c r="G194" i="47"/>
  <c r="F194" i="47"/>
  <c r="E194" i="47"/>
  <c r="D194" i="47"/>
  <c r="C194" i="47"/>
  <c r="B194" i="47"/>
  <c r="M193" i="47"/>
  <c r="L193" i="47"/>
  <c r="K193" i="47"/>
  <c r="J193" i="47"/>
  <c r="I193" i="47"/>
  <c r="G193" i="47"/>
  <c r="F193" i="47"/>
  <c r="E193" i="47"/>
  <c r="D193" i="47"/>
  <c r="C193" i="47"/>
  <c r="B193" i="47"/>
  <c r="M192" i="47"/>
  <c r="L192" i="47"/>
  <c r="K192" i="47"/>
  <c r="J192" i="47"/>
  <c r="G192" i="47"/>
  <c r="F192" i="47"/>
  <c r="E192" i="47"/>
  <c r="D192" i="47"/>
  <c r="C192" i="47"/>
  <c r="B192" i="47"/>
  <c r="M191" i="47"/>
  <c r="L191" i="47"/>
  <c r="K191" i="47"/>
  <c r="J191" i="47"/>
  <c r="I191" i="47"/>
  <c r="H191" i="47"/>
  <c r="G191" i="47"/>
  <c r="F191" i="47"/>
  <c r="E191" i="47"/>
  <c r="D191" i="47"/>
  <c r="C191" i="47"/>
  <c r="B191" i="47"/>
  <c r="M190" i="47"/>
  <c r="L190" i="47"/>
  <c r="K190" i="47"/>
  <c r="J190" i="47"/>
  <c r="G190" i="47"/>
  <c r="F190" i="47"/>
  <c r="E190" i="47"/>
  <c r="D190" i="47"/>
  <c r="C190" i="47"/>
  <c r="B190" i="47"/>
  <c r="M189" i="47"/>
  <c r="L189" i="47"/>
  <c r="K189" i="47"/>
  <c r="J189" i="47"/>
  <c r="G189" i="47"/>
  <c r="F189" i="47"/>
  <c r="E189" i="47"/>
  <c r="D189" i="47"/>
  <c r="C189" i="47"/>
  <c r="B189" i="47"/>
  <c r="M188" i="47"/>
  <c r="L188" i="47"/>
  <c r="K188" i="47"/>
  <c r="J188" i="47"/>
  <c r="G188" i="47"/>
  <c r="F188" i="47"/>
  <c r="E188" i="47"/>
  <c r="D188" i="47"/>
  <c r="C188" i="47"/>
  <c r="B188" i="47"/>
  <c r="M187" i="47"/>
  <c r="L187" i="47"/>
  <c r="K187" i="47"/>
  <c r="J187" i="47"/>
  <c r="I187" i="47"/>
  <c r="G187" i="47"/>
  <c r="F187" i="47"/>
  <c r="E187" i="47"/>
  <c r="D187" i="47"/>
  <c r="C187" i="47"/>
  <c r="B187" i="47"/>
  <c r="M186" i="47"/>
  <c r="L186" i="47"/>
  <c r="K186" i="47"/>
  <c r="J186" i="47"/>
  <c r="G186" i="47"/>
  <c r="F186" i="47"/>
  <c r="E186" i="47"/>
  <c r="D186" i="47"/>
  <c r="C186" i="47"/>
  <c r="B186" i="47"/>
  <c r="M185" i="47"/>
  <c r="L185" i="47"/>
  <c r="K185" i="47"/>
  <c r="J185" i="47"/>
  <c r="G185" i="47"/>
  <c r="F185" i="47"/>
  <c r="E185" i="47"/>
  <c r="D185" i="47"/>
  <c r="C185" i="47"/>
  <c r="B185" i="47"/>
  <c r="M184" i="47"/>
  <c r="L184" i="47"/>
  <c r="K184" i="47"/>
  <c r="J184" i="47"/>
  <c r="G184" i="47"/>
  <c r="F184" i="47"/>
  <c r="E184" i="47"/>
  <c r="D184" i="47"/>
  <c r="C184" i="47"/>
  <c r="B184" i="47"/>
  <c r="M183" i="47"/>
  <c r="L183" i="47"/>
  <c r="K183" i="47"/>
  <c r="J183" i="47"/>
  <c r="G183" i="47"/>
  <c r="F183" i="47"/>
  <c r="E183" i="47"/>
  <c r="D183" i="47"/>
  <c r="C183" i="47"/>
  <c r="B183" i="47"/>
  <c r="M182" i="47"/>
  <c r="L182" i="47"/>
  <c r="K182" i="47"/>
  <c r="J182" i="47"/>
  <c r="I182" i="47"/>
  <c r="G182" i="47"/>
  <c r="F182" i="47"/>
  <c r="E182" i="47"/>
  <c r="D182" i="47"/>
  <c r="C182" i="47"/>
  <c r="B182" i="47"/>
  <c r="M181" i="47"/>
  <c r="L181" i="47"/>
  <c r="K181" i="47"/>
  <c r="J181" i="47"/>
  <c r="G181" i="47"/>
  <c r="F181" i="47"/>
  <c r="E181" i="47"/>
  <c r="D181" i="47"/>
  <c r="C181" i="47"/>
  <c r="B181" i="47"/>
  <c r="M180" i="47"/>
  <c r="L180" i="47"/>
  <c r="K180" i="47"/>
  <c r="J180" i="47"/>
  <c r="I180" i="47"/>
  <c r="G180" i="47"/>
  <c r="F180" i="47"/>
  <c r="E180" i="47"/>
  <c r="D180" i="47"/>
  <c r="C180" i="47"/>
  <c r="B180" i="47"/>
  <c r="M179" i="47"/>
  <c r="L179" i="47"/>
  <c r="K179" i="47"/>
  <c r="J179" i="47"/>
  <c r="G179" i="47"/>
  <c r="F179" i="47"/>
  <c r="E179" i="47"/>
  <c r="D179" i="47"/>
  <c r="C179" i="47"/>
  <c r="B179" i="47"/>
  <c r="M178" i="47"/>
  <c r="L178" i="47"/>
  <c r="K178" i="47"/>
  <c r="J178" i="47"/>
  <c r="I178" i="47"/>
  <c r="G178" i="47"/>
  <c r="F178" i="47"/>
  <c r="E178" i="47"/>
  <c r="D178" i="47"/>
  <c r="C178" i="47"/>
  <c r="B178" i="47"/>
  <c r="M177" i="47"/>
  <c r="L177" i="47"/>
  <c r="K177" i="47"/>
  <c r="J177" i="47"/>
  <c r="G177" i="47"/>
  <c r="F177" i="47"/>
  <c r="E177" i="47"/>
  <c r="D177" i="47"/>
  <c r="C177" i="47"/>
  <c r="B177" i="47"/>
  <c r="M176" i="47"/>
  <c r="L176" i="47"/>
  <c r="K176" i="47"/>
  <c r="J176" i="47"/>
  <c r="G176" i="47"/>
  <c r="F176" i="47"/>
  <c r="E176" i="47"/>
  <c r="D176" i="47"/>
  <c r="C176" i="47"/>
  <c r="B176" i="47"/>
  <c r="M175" i="47"/>
  <c r="L175" i="47"/>
  <c r="K175" i="47"/>
  <c r="J175" i="47"/>
  <c r="I175" i="47"/>
  <c r="H175" i="47"/>
  <c r="G175" i="47"/>
  <c r="F175" i="47"/>
  <c r="E175" i="47"/>
  <c r="D175" i="47"/>
  <c r="C175" i="47"/>
  <c r="B175" i="47"/>
  <c r="M174" i="47"/>
  <c r="L174" i="47"/>
  <c r="K174" i="47"/>
  <c r="J174" i="47"/>
  <c r="G174" i="47"/>
  <c r="F174" i="47"/>
  <c r="E174" i="47"/>
  <c r="D174" i="47"/>
  <c r="C174" i="47"/>
  <c r="B174" i="47"/>
  <c r="M173" i="47"/>
  <c r="L173" i="47"/>
  <c r="K173" i="47"/>
  <c r="J173" i="47"/>
  <c r="G173" i="47"/>
  <c r="F173" i="47"/>
  <c r="E173" i="47"/>
  <c r="D173" i="47"/>
  <c r="C173" i="47"/>
  <c r="B173" i="47"/>
  <c r="M172" i="47"/>
  <c r="L172" i="47"/>
  <c r="K172" i="47"/>
  <c r="J172" i="47"/>
  <c r="G172" i="47"/>
  <c r="F172" i="47"/>
  <c r="E172" i="47"/>
  <c r="D172" i="47"/>
  <c r="C172" i="47"/>
  <c r="B172" i="47"/>
  <c r="M171" i="47"/>
  <c r="L171" i="47"/>
  <c r="K171" i="47"/>
  <c r="J171" i="47"/>
  <c r="G171" i="47"/>
  <c r="F171" i="47"/>
  <c r="E171" i="47"/>
  <c r="D171" i="47"/>
  <c r="C171" i="47"/>
  <c r="B171" i="47"/>
  <c r="M170" i="47"/>
  <c r="L170" i="47"/>
  <c r="K170" i="47"/>
  <c r="J170" i="47"/>
  <c r="I170" i="47"/>
  <c r="G170" i="47"/>
  <c r="F170" i="47"/>
  <c r="E170" i="47"/>
  <c r="D170" i="47"/>
  <c r="C170" i="47"/>
  <c r="B170" i="47"/>
  <c r="M169" i="47"/>
  <c r="L169" i="47"/>
  <c r="K169" i="47"/>
  <c r="J169" i="47"/>
  <c r="G169" i="47"/>
  <c r="F169" i="47"/>
  <c r="E169" i="47"/>
  <c r="D169" i="47"/>
  <c r="C169" i="47"/>
  <c r="B169" i="47"/>
  <c r="M168" i="47"/>
  <c r="L168" i="47"/>
  <c r="K168" i="47"/>
  <c r="J168" i="47"/>
  <c r="I168" i="47"/>
  <c r="G168" i="47"/>
  <c r="F168" i="47"/>
  <c r="E168" i="47"/>
  <c r="D168" i="47"/>
  <c r="C168" i="47"/>
  <c r="B168" i="47"/>
  <c r="M167" i="47"/>
  <c r="L167" i="47"/>
  <c r="K167" i="47"/>
  <c r="J167" i="47"/>
  <c r="G167" i="47"/>
  <c r="F167" i="47"/>
  <c r="E167" i="47"/>
  <c r="D167" i="47"/>
  <c r="C167" i="47"/>
  <c r="B167" i="47"/>
  <c r="M166" i="47"/>
  <c r="L166" i="47"/>
  <c r="K166" i="47"/>
  <c r="J166" i="47"/>
  <c r="I166" i="47"/>
  <c r="G166" i="47"/>
  <c r="F166" i="47"/>
  <c r="E166" i="47"/>
  <c r="D166" i="47"/>
  <c r="C166" i="47"/>
  <c r="B166" i="47"/>
  <c r="M165" i="47"/>
  <c r="L165" i="47"/>
  <c r="K165" i="47"/>
  <c r="J165" i="47"/>
  <c r="I165" i="47"/>
  <c r="G165" i="47"/>
  <c r="F165" i="47"/>
  <c r="E165" i="47"/>
  <c r="D165" i="47"/>
  <c r="C165" i="47"/>
  <c r="B165" i="47"/>
  <c r="M164" i="47"/>
  <c r="L164" i="47"/>
  <c r="K164" i="47"/>
  <c r="J164" i="47"/>
  <c r="I164" i="47"/>
  <c r="G164" i="47"/>
  <c r="F164" i="47"/>
  <c r="E164" i="47"/>
  <c r="D164" i="47"/>
  <c r="C164" i="47"/>
  <c r="B164" i="47"/>
  <c r="M163" i="47"/>
  <c r="L163" i="47"/>
  <c r="K163" i="47"/>
  <c r="J163" i="47"/>
  <c r="I163" i="47"/>
  <c r="G163" i="47"/>
  <c r="F163" i="47"/>
  <c r="E163" i="47"/>
  <c r="D163" i="47"/>
  <c r="C163" i="47"/>
  <c r="B163" i="47"/>
  <c r="M162" i="47"/>
  <c r="L162" i="47"/>
  <c r="K162" i="47"/>
  <c r="J162" i="47"/>
  <c r="G162" i="47"/>
  <c r="F162" i="47"/>
  <c r="E162" i="47"/>
  <c r="D162" i="47"/>
  <c r="C162" i="47"/>
  <c r="B162" i="47"/>
  <c r="M161" i="47"/>
  <c r="L161" i="47"/>
  <c r="K161" i="47"/>
  <c r="J161" i="47"/>
  <c r="G161" i="47"/>
  <c r="F161" i="47"/>
  <c r="E161" i="47"/>
  <c r="D161" i="47"/>
  <c r="C161" i="47"/>
  <c r="B161" i="47"/>
  <c r="M160" i="47"/>
  <c r="L160" i="47"/>
  <c r="K160" i="47"/>
  <c r="J160" i="47"/>
  <c r="I160" i="47"/>
  <c r="H160" i="47"/>
  <c r="G160" i="47"/>
  <c r="F160" i="47"/>
  <c r="E160" i="47"/>
  <c r="D160" i="47"/>
  <c r="C160" i="47"/>
  <c r="B160" i="47"/>
  <c r="M159" i="47"/>
  <c r="L159" i="47"/>
  <c r="K159" i="47"/>
  <c r="J159" i="47"/>
  <c r="G159" i="47"/>
  <c r="F159" i="47"/>
  <c r="E159" i="47"/>
  <c r="D159" i="47"/>
  <c r="C159" i="47"/>
  <c r="B159" i="47"/>
  <c r="M158" i="47"/>
  <c r="L158" i="47"/>
  <c r="K158" i="47"/>
  <c r="J158" i="47"/>
  <c r="G158" i="47"/>
  <c r="F158" i="47"/>
  <c r="E158" i="47"/>
  <c r="D158" i="47"/>
  <c r="C158" i="47"/>
  <c r="B158" i="47"/>
  <c r="M157" i="47"/>
  <c r="L157" i="47"/>
  <c r="K157" i="47"/>
  <c r="J157" i="47"/>
  <c r="G157" i="47"/>
  <c r="F157" i="47"/>
  <c r="E157" i="47"/>
  <c r="D157" i="47"/>
  <c r="C157" i="47"/>
  <c r="B157" i="47"/>
  <c r="M156" i="47"/>
  <c r="L156" i="47"/>
  <c r="K156" i="47"/>
  <c r="J156" i="47"/>
  <c r="G156" i="47"/>
  <c r="F156" i="47"/>
  <c r="E156" i="47"/>
  <c r="D156" i="47"/>
  <c r="C156" i="47"/>
  <c r="B156" i="47"/>
  <c r="M155" i="47"/>
  <c r="L155" i="47"/>
  <c r="K155" i="47"/>
  <c r="J155" i="47"/>
  <c r="G155" i="47"/>
  <c r="F155" i="47"/>
  <c r="E155" i="47"/>
  <c r="D155" i="47"/>
  <c r="C155" i="47"/>
  <c r="B155" i="47"/>
  <c r="M154" i="47"/>
  <c r="L154" i="47"/>
  <c r="K154" i="47"/>
  <c r="J154" i="47"/>
  <c r="G154" i="47"/>
  <c r="F154" i="47"/>
  <c r="E154" i="47"/>
  <c r="D154" i="47"/>
  <c r="C154" i="47"/>
  <c r="B154" i="47"/>
  <c r="M153" i="47"/>
  <c r="L153" i="47"/>
  <c r="K153" i="47"/>
  <c r="J153" i="47"/>
  <c r="G153" i="47"/>
  <c r="F153" i="47"/>
  <c r="E153" i="47"/>
  <c r="D153" i="47"/>
  <c r="C153" i="47"/>
  <c r="B153" i="47"/>
  <c r="M152" i="47"/>
  <c r="L152" i="47"/>
  <c r="K152" i="47"/>
  <c r="J152" i="47"/>
  <c r="I152" i="47"/>
  <c r="G152" i="47"/>
  <c r="F152" i="47"/>
  <c r="E152" i="47"/>
  <c r="D152" i="47"/>
  <c r="C152" i="47"/>
  <c r="B152" i="47"/>
  <c r="M151" i="47"/>
  <c r="L151" i="47"/>
  <c r="K151" i="47"/>
  <c r="J151" i="47"/>
  <c r="G151" i="47"/>
  <c r="F151" i="47"/>
  <c r="E151" i="47"/>
  <c r="D151" i="47"/>
  <c r="C151" i="47"/>
  <c r="B151" i="47"/>
  <c r="M150" i="47"/>
  <c r="L150" i="47"/>
  <c r="K150" i="47"/>
  <c r="J150" i="47"/>
  <c r="G150" i="47"/>
  <c r="F150" i="47"/>
  <c r="E150" i="47"/>
  <c r="D150" i="47"/>
  <c r="C150" i="47"/>
  <c r="B150" i="47"/>
  <c r="M149" i="47"/>
  <c r="L149" i="47"/>
  <c r="K149" i="47"/>
  <c r="J149" i="47"/>
  <c r="G149" i="47"/>
  <c r="F149" i="47"/>
  <c r="E149" i="47"/>
  <c r="D149" i="47"/>
  <c r="C149" i="47"/>
  <c r="B149" i="47"/>
  <c r="M148" i="47"/>
  <c r="L148" i="47"/>
  <c r="K148" i="47"/>
  <c r="J148" i="47"/>
  <c r="G148" i="47"/>
  <c r="F148" i="47"/>
  <c r="E148" i="47"/>
  <c r="D148" i="47"/>
  <c r="C148" i="47"/>
  <c r="B148" i="47"/>
  <c r="M147" i="47"/>
  <c r="L147" i="47"/>
  <c r="K147" i="47"/>
  <c r="J147" i="47"/>
  <c r="G147" i="47"/>
  <c r="F147" i="47"/>
  <c r="E147" i="47"/>
  <c r="D147" i="47"/>
  <c r="C147" i="47"/>
  <c r="B147" i="47"/>
  <c r="M146" i="47"/>
  <c r="L146" i="47"/>
  <c r="K146" i="47"/>
  <c r="J146" i="47"/>
  <c r="G146" i="47"/>
  <c r="F146" i="47"/>
  <c r="E146" i="47"/>
  <c r="D146" i="47"/>
  <c r="C146" i="47"/>
  <c r="B146" i="47"/>
  <c r="M145" i="47"/>
  <c r="L145" i="47"/>
  <c r="K145" i="47"/>
  <c r="J145" i="47"/>
  <c r="G145" i="47"/>
  <c r="F145" i="47"/>
  <c r="E145" i="47"/>
  <c r="D145" i="47"/>
  <c r="C145" i="47"/>
  <c r="B145" i="47"/>
  <c r="M144" i="47"/>
  <c r="L144" i="47"/>
  <c r="K144" i="47"/>
  <c r="J144" i="47"/>
  <c r="G144" i="47"/>
  <c r="F144" i="47"/>
  <c r="E144" i="47"/>
  <c r="D144" i="47"/>
  <c r="C144" i="47"/>
  <c r="B144" i="47"/>
  <c r="M143" i="47"/>
  <c r="L143" i="47"/>
  <c r="K143" i="47"/>
  <c r="J143" i="47"/>
  <c r="G143" i="47"/>
  <c r="F143" i="47"/>
  <c r="E143" i="47"/>
  <c r="D143" i="47"/>
  <c r="C143" i="47"/>
  <c r="B143" i="47"/>
  <c r="M142" i="47"/>
  <c r="L142" i="47"/>
  <c r="K142" i="47"/>
  <c r="J142" i="47"/>
  <c r="I142" i="47"/>
  <c r="G142" i="47"/>
  <c r="F142" i="47"/>
  <c r="E142" i="47"/>
  <c r="D142" i="47"/>
  <c r="C142" i="47"/>
  <c r="B142" i="47"/>
  <c r="M141" i="47"/>
  <c r="L141" i="47"/>
  <c r="K141" i="47"/>
  <c r="J141" i="47"/>
  <c r="G141" i="47"/>
  <c r="F141" i="47"/>
  <c r="E141" i="47"/>
  <c r="D141" i="47"/>
  <c r="C141" i="47"/>
  <c r="B141" i="47"/>
  <c r="M140" i="47"/>
  <c r="L140" i="47"/>
  <c r="K140" i="47"/>
  <c r="J140" i="47"/>
  <c r="G140" i="47"/>
  <c r="F140" i="47"/>
  <c r="E140" i="47"/>
  <c r="D140" i="47"/>
  <c r="C140" i="47"/>
  <c r="B140" i="47"/>
  <c r="M139" i="47"/>
  <c r="L139" i="47"/>
  <c r="K139" i="47"/>
  <c r="J139" i="47"/>
  <c r="G139" i="47"/>
  <c r="F139" i="47"/>
  <c r="E139" i="47"/>
  <c r="D139" i="47"/>
  <c r="C139" i="47"/>
  <c r="B139" i="47"/>
  <c r="M138" i="47"/>
  <c r="L138" i="47"/>
  <c r="K138" i="47"/>
  <c r="J138" i="47"/>
  <c r="G138" i="47"/>
  <c r="F138" i="47"/>
  <c r="E138" i="47"/>
  <c r="D138" i="47"/>
  <c r="C138" i="47"/>
  <c r="B138" i="47"/>
  <c r="M137" i="47"/>
  <c r="L137" i="47"/>
  <c r="K137" i="47"/>
  <c r="J137" i="47"/>
  <c r="G137" i="47"/>
  <c r="F137" i="47"/>
  <c r="E137" i="47"/>
  <c r="D137" i="47"/>
  <c r="C137" i="47"/>
  <c r="B137" i="47"/>
  <c r="M136" i="47"/>
  <c r="L136" i="47"/>
  <c r="K136" i="47"/>
  <c r="J136" i="47"/>
  <c r="G136" i="47"/>
  <c r="F136" i="47"/>
  <c r="E136" i="47"/>
  <c r="D136" i="47"/>
  <c r="C136" i="47"/>
  <c r="B136" i="47"/>
  <c r="M135" i="47"/>
  <c r="L135" i="47"/>
  <c r="K135" i="47"/>
  <c r="J135" i="47"/>
  <c r="G135" i="47"/>
  <c r="F135" i="47"/>
  <c r="E135" i="47"/>
  <c r="D135" i="47"/>
  <c r="C135" i="47"/>
  <c r="B135" i="47"/>
  <c r="M134" i="47"/>
  <c r="L134" i="47"/>
  <c r="K134" i="47"/>
  <c r="J134" i="47"/>
  <c r="G134" i="47"/>
  <c r="F134" i="47"/>
  <c r="E134" i="47"/>
  <c r="D134" i="47"/>
  <c r="C134" i="47"/>
  <c r="B134" i="47"/>
  <c r="M133" i="47"/>
  <c r="L133" i="47"/>
  <c r="K133" i="47"/>
  <c r="J133" i="47"/>
  <c r="G133" i="47"/>
  <c r="F133" i="47"/>
  <c r="E133" i="47"/>
  <c r="D133" i="47"/>
  <c r="C133" i="47"/>
  <c r="B133" i="47"/>
  <c r="M132" i="47"/>
  <c r="L132" i="47"/>
  <c r="K132" i="47"/>
  <c r="J132" i="47"/>
  <c r="I132" i="47"/>
  <c r="G132" i="47"/>
  <c r="F132" i="47"/>
  <c r="E132" i="47"/>
  <c r="D132" i="47"/>
  <c r="C132" i="47"/>
  <c r="B132" i="47"/>
  <c r="M131" i="47"/>
  <c r="L131" i="47"/>
  <c r="K131" i="47"/>
  <c r="J131" i="47"/>
  <c r="I131" i="47"/>
  <c r="G131" i="47"/>
  <c r="F131" i="47"/>
  <c r="E131" i="47"/>
  <c r="D131" i="47"/>
  <c r="C131" i="47"/>
  <c r="B131" i="47"/>
  <c r="M130" i="47"/>
  <c r="L130" i="47"/>
  <c r="K130" i="47"/>
  <c r="J130" i="47"/>
  <c r="G130" i="47"/>
  <c r="F130" i="47"/>
  <c r="E130" i="47"/>
  <c r="D130" i="47"/>
  <c r="C130" i="47"/>
  <c r="B130" i="47"/>
  <c r="M129" i="47"/>
  <c r="L129" i="47"/>
  <c r="K129" i="47"/>
  <c r="J129" i="47"/>
  <c r="G129" i="47"/>
  <c r="F129" i="47"/>
  <c r="E129" i="47"/>
  <c r="D129" i="47"/>
  <c r="C129" i="47"/>
  <c r="B129" i="47"/>
  <c r="M128" i="47"/>
  <c r="L128" i="47"/>
  <c r="K128" i="47"/>
  <c r="J128" i="47"/>
  <c r="I128" i="47"/>
  <c r="G128" i="47"/>
  <c r="F128" i="47"/>
  <c r="E128" i="47"/>
  <c r="D128" i="47"/>
  <c r="C128" i="47"/>
  <c r="B128" i="47"/>
  <c r="M127" i="47"/>
  <c r="L127" i="47"/>
  <c r="K127" i="47"/>
  <c r="J127" i="47"/>
  <c r="G127" i="47"/>
  <c r="F127" i="47"/>
  <c r="E127" i="47"/>
  <c r="D127" i="47"/>
  <c r="C127" i="47"/>
  <c r="B127" i="47"/>
  <c r="M126" i="47"/>
  <c r="L126" i="47"/>
  <c r="K126" i="47"/>
  <c r="J126" i="47"/>
  <c r="G126" i="47"/>
  <c r="F126" i="47"/>
  <c r="E126" i="47"/>
  <c r="D126" i="47"/>
  <c r="C126" i="47"/>
  <c r="B126" i="47"/>
  <c r="M125" i="47"/>
  <c r="L125" i="47"/>
  <c r="K125" i="47"/>
  <c r="J125" i="47"/>
  <c r="I125" i="47"/>
  <c r="G125" i="47"/>
  <c r="F125" i="47"/>
  <c r="E125" i="47"/>
  <c r="D125" i="47"/>
  <c r="C125" i="47"/>
  <c r="B125" i="47"/>
  <c r="M124" i="47"/>
  <c r="L124" i="47"/>
  <c r="K124" i="47"/>
  <c r="J124" i="47"/>
  <c r="G124" i="47"/>
  <c r="F124" i="47"/>
  <c r="E124" i="47"/>
  <c r="D124" i="47"/>
  <c r="C124" i="47"/>
  <c r="B124" i="47"/>
  <c r="M123" i="47"/>
  <c r="L123" i="47"/>
  <c r="K123" i="47"/>
  <c r="J123" i="47"/>
  <c r="G123" i="47"/>
  <c r="F123" i="47"/>
  <c r="E123" i="47"/>
  <c r="D123" i="47"/>
  <c r="C123" i="47"/>
  <c r="B123" i="47"/>
  <c r="M122" i="47"/>
  <c r="L122" i="47"/>
  <c r="K122" i="47"/>
  <c r="J122" i="47"/>
  <c r="G122" i="47"/>
  <c r="F122" i="47"/>
  <c r="E122" i="47"/>
  <c r="D122" i="47"/>
  <c r="C122" i="47"/>
  <c r="B122" i="47"/>
  <c r="M121" i="47"/>
  <c r="L121" i="47"/>
  <c r="K121" i="47"/>
  <c r="J121" i="47"/>
  <c r="I121" i="47"/>
  <c r="H121" i="47"/>
  <c r="G121" i="47"/>
  <c r="F121" i="47"/>
  <c r="E121" i="47"/>
  <c r="D121" i="47"/>
  <c r="C121" i="47"/>
  <c r="B121" i="47"/>
  <c r="M120" i="47"/>
  <c r="L120" i="47"/>
  <c r="K120" i="47"/>
  <c r="J120" i="47"/>
  <c r="G120" i="47"/>
  <c r="F120" i="47"/>
  <c r="E120" i="47"/>
  <c r="D120" i="47"/>
  <c r="C120" i="47"/>
  <c r="B120" i="47"/>
  <c r="M119" i="47"/>
  <c r="L119" i="47"/>
  <c r="K119" i="47"/>
  <c r="J119" i="47"/>
  <c r="I119" i="47"/>
  <c r="H119" i="47"/>
  <c r="G119" i="47"/>
  <c r="F119" i="47"/>
  <c r="E119" i="47"/>
  <c r="D119" i="47"/>
  <c r="C119" i="47"/>
  <c r="B119" i="47"/>
  <c r="M118" i="47"/>
  <c r="L118" i="47"/>
  <c r="K118" i="47"/>
  <c r="J118" i="47"/>
  <c r="I118" i="47"/>
  <c r="G118" i="47"/>
  <c r="F118" i="47"/>
  <c r="E118" i="47"/>
  <c r="D118" i="47"/>
  <c r="C118" i="47"/>
  <c r="B118" i="47"/>
  <c r="M117" i="47"/>
  <c r="L117" i="47"/>
  <c r="K117" i="47"/>
  <c r="J117" i="47"/>
  <c r="G117" i="47"/>
  <c r="F117" i="47"/>
  <c r="E117" i="47"/>
  <c r="D117" i="47"/>
  <c r="C117" i="47"/>
  <c r="B117" i="47"/>
  <c r="M116" i="47"/>
  <c r="L116" i="47"/>
  <c r="K116" i="47"/>
  <c r="J116" i="47"/>
  <c r="G116" i="47"/>
  <c r="F116" i="47"/>
  <c r="E116" i="47"/>
  <c r="D116" i="47"/>
  <c r="C116" i="47"/>
  <c r="B116" i="47"/>
  <c r="M115" i="47"/>
  <c r="L115" i="47"/>
  <c r="K115" i="47"/>
  <c r="J115" i="47"/>
  <c r="G115" i="47"/>
  <c r="F115" i="47"/>
  <c r="E115" i="47"/>
  <c r="D115" i="47"/>
  <c r="C115" i="47"/>
  <c r="B115" i="47"/>
  <c r="M114" i="47"/>
  <c r="L114" i="47"/>
  <c r="K114" i="47"/>
  <c r="J114" i="47"/>
  <c r="G114" i="47"/>
  <c r="F114" i="47"/>
  <c r="E114" i="47"/>
  <c r="D114" i="47"/>
  <c r="C114" i="47"/>
  <c r="B114" i="47"/>
  <c r="M113" i="47"/>
  <c r="L113" i="47"/>
  <c r="K113" i="47"/>
  <c r="J113" i="47"/>
  <c r="G113" i="47"/>
  <c r="F113" i="47"/>
  <c r="E113" i="47"/>
  <c r="D113" i="47"/>
  <c r="C113" i="47"/>
  <c r="B113" i="47"/>
  <c r="M112" i="47"/>
  <c r="L112" i="47"/>
  <c r="K112" i="47"/>
  <c r="J112" i="47"/>
  <c r="G112" i="47"/>
  <c r="F112" i="47"/>
  <c r="E112" i="47"/>
  <c r="D112" i="47"/>
  <c r="C112" i="47"/>
  <c r="B112" i="47"/>
  <c r="M111" i="47"/>
  <c r="L111" i="47"/>
  <c r="K111" i="47"/>
  <c r="J111" i="47"/>
  <c r="G111" i="47"/>
  <c r="F111" i="47"/>
  <c r="E111" i="47"/>
  <c r="D111" i="47"/>
  <c r="C111" i="47"/>
  <c r="B111" i="47"/>
  <c r="M110" i="47"/>
  <c r="L110" i="47"/>
  <c r="K110" i="47"/>
  <c r="J110" i="47"/>
  <c r="I110" i="47"/>
  <c r="G110" i="47"/>
  <c r="F110" i="47"/>
  <c r="E110" i="47"/>
  <c r="D110" i="47"/>
  <c r="C110" i="47"/>
  <c r="B110" i="47"/>
  <c r="M109" i="47"/>
  <c r="L109" i="47"/>
  <c r="K109" i="47"/>
  <c r="J109" i="47"/>
  <c r="G109" i="47"/>
  <c r="F109" i="47"/>
  <c r="E109" i="47"/>
  <c r="D109" i="47"/>
  <c r="C109" i="47"/>
  <c r="B109" i="47"/>
  <c r="M108" i="47"/>
  <c r="L108" i="47"/>
  <c r="K108" i="47"/>
  <c r="J108" i="47"/>
  <c r="H108" i="47"/>
  <c r="G108" i="47"/>
  <c r="F108" i="47"/>
  <c r="E108" i="47"/>
  <c r="D108" i="47"/>
  <c r="C108" i="47"/>
  <c r="B108" i="47"/>
  <c r="M107" i="47"/>
  <c r="L107" i="47"/>
  <c r="K107" i="47"/>
  <c r="J107" i="47"/>
  <c r="G107" i="47"/>
  <c r="F107" i="47"/>
  <c r="E107" i="47"/>
  <c r="D107" i="47"/>
  <c r="C107" i="47"/>
  <c r="B107" i="47"/>
  <c r="M106" i="47"/>
  <c r="L106" i="47"/>
  <c r="K106" i="47"/>
  <c r="J106" i="47"/>
  <c r="I106" i="47"/>
  <c r="G106" i="47"/>
  <c r="F106" i="47"/>
  <c r="E106" i="47"/>
  <c r="D106" i="47"/>
  <c r="C106" i="47"/>
  <c r="B106" i="47"/>
  <c r="M105" i="47"/>
  <c r="L105" i="47"/>
  <c r="K105" i="47"/>
  <c r="J105" i="47"/>
  <c r="I105" i="47"/>
  <c r="G105" i="47"/>
  <c r="F105" i="47"/>
  <c r="E105" i="47"/>
  <c r="D105" i="47"/>
  <c r="C105" i="47"/>
  <c r="B105" i="47"/>
  <c r="M104" i="47"/>
  <c r="L104" i="47"/>
  <c r="K104" i="47"/>
  <c r="J104" i="47"/>
  <c r="I104" i="47"/>
  <c r="G104" i="47"/>
  <c r="F104" i="47"/>
  <c r="E104" i="47"/>
  <c r="D104" i="47"/>
  <c r="C104" i="47"/>
  <c r="B104" i="47"/>
  <c r="M103" i="47"/>
  <c r="L103" i="47"/>
  <c r="K103" i="47"/>
  <c r="J103" i="47"/>
  <c r="G103" i="47"/>
  <c r="F103" i="47"/>
  <c r="E103" i="47"/>
  <c r="D103" i="47"/>
  <c r="C103" i="47"/>
  <c r="B103" i="47"/>
  <c r="M102" i="47"/>
  <c r="L102" i="47"/>
  <c r="K102" i="47"/>
  <c r="J102" i="47"/>
  <c r="I102" i="47"/>
  <c r="G102" i="47"/>
  <c r="F102" i="47"/>
  <c r="E102" i="47"/>
  <c r="D102" i="47"/>
  <c r="C102" i="47"/>
  <c r="B102" i="47"/>
  <c r="M101" i="47"/>
  <c r="L101" i="47"/>
  <c r="K101" i="47"/>
  <c r="J101" i="47"/>
  <c r="G101" i="47"/>
  <c r="F101" i="47"/>
  <c r="E101" i="47"/>
  <c r="D101" i="47"/>
  <c r="C101" i="47"/>
  <c r="B101" i="47"/>
  <c r="M100" i="47"/>
  <c r="L100" i="47"/>
  <c r="K100" i="47"/>
  <c r="J100" i="47"/>
  <c r="I100" i="47"/>
  <c r="G100" i="47"/>
  <c r="F100" i="47"/>
  <c r="E100" i="47"/>
  <c r="D100" i="47"/>
  <c r="C100" i="47"/>
  <c r="B100" i="47"/>
  <c r="M99" i="47"/>
  <c r="L99" i="47"/>
  <c r="K99" i="47"/>
  <c r="J99" i="47"/>
  <c r="G99" i="47"/>
  <c r="F99" i="47"/>
  <c r="E99" i="47"/>
  <c r="D99" i="47"/>
  <c r="C99" i="47"/>
  <c r="B99" i="47"/>
  <c r="M98" i="47"/>
  <c r="L98" i="47"/>
  <c r="K98" i="47"/>
  <c r="J98" i="47"/>
  <c r="I98" i="47"/>
  <c r="G98" i="47"/>
  <c r="F98" i="47"/>
  <c r="E98" i="47"/>
  <c r="D98" i="47"/>
  <c r="C98" i="47"/>
  <c r="B98" i="47"/>
  <c r="M97" i="47"/>
  <c r="L97" i="47"/>
  <c r="K97" i="47"/>
  <c r="J97" i="47"/>
  <c r="I97" i="47"/>
  <c r="G97" i="47"/>
  <c r="F97" i="47"/>
  <c r="E97" i="47"/>
  <c r="D97" i="47"/>
  <c r="C97" i="47"/>
  <c r="B97" i="47"/>
  <c r="M96" i="47"/>
  <c r="L96" i="47"/>
  <c r="K96" i="47"/>
  <c r="J96" i="47"/>
  <c r="I96" i="47"/>
  <c r="G96" i="47"/>
  <c r="F96" i="47"/>
  <c r="E96" i="47"/>
  <c r="D96" i="47"/>
  <c r="C96" i="47"/>
  <c r="B96" i="47"/>
  <c r="M95" i="47"/>
  <c r="L95" i="47"/>
  <c r="K95" i="47"/>
  <c r="J95" i="47"/>
  <c r="G95" i="47"/>
  <c r="F95" i="47"/>
  <c r="E95" i="47"/>
  <c r="D95" i="47"/>
  <c r="C95" i="47"/>
  <c r="B95" i="47"/>
  <c r="M94" i="47"/>
  <c r="L94" i="47"/>
  <c r="K94" i="47"/>
  <c r="J94" i="47"/>
  <c r="G94" i="47"/>
  <c r="F94" i="47"/>
  <c r="E94" i="47"/>
  <c r="D94" i="47"/>
  <c r="C94" i="47"/>
  <c r="B94" i="47"/>
  <c r="M93" i="47"/>
  <c r="L93" i="47"/>
  <c r="K93" i="47"/>
  <c r="J93" i="47"/>
  <c r="I93" i="47"/>
  <c r="G93" i="47"/>
  <c r="F93" i="47"/>
  <c r="E93" i="47"/>
  <c r="D93" i="47"/>
  <c r="C93" i="47"/>
  <c r="B93" i="47"/>
  <c r="M92" i="47"/>
  <c r="L92" i="47"/>
  <c r="K92" i="47"/>
  <c r="J92" i="47"/>
  <c r="G92" i="47"/>
  <c r="F92" i="47"/>
  <c r="E92" i="47"/>
  <c r="D92" i="47"/>
  <c r="C92" i="47"/>
  <c r="B92" i="47"/>
  <c r="M91" i="47"/>
  <c r="L91" i="47"/>
  <c r="K91" i="47"/>
  <c r="J91" i="47"/>
  <c r="G91" i="47"/>
  <c r="F91" i="47"/>
  <c r="E91" i="47"/>
  <c r="D91" i="47"/>
  <c r="C91" i="47"/>
  <c r="B91" i="47"/>
  <c r="M90" i="47"/>
  <c r="L90" i="47"/>
  <c r="K90" i="47"/>
  <c r="J90" i="47"/>
  <c r="I90" i="47"/>
  <c r="G90" i="47"/>
  <c r="F90" i="47"/>
  <c r="E90" i="47"/>
  <c r="D90" i="47"/>
  <c r="C90" i="47"/>
  <c r="B90" i="47"/>
  <c r="M89" i="47"/>
  <c r="L89" i="47"/>
  <c r="K89" i="47"/>
  <c r="J89" i="47"/>
  <c r="G89" i="47"/>
  <c r="F89" i="47"/>
  <c r="E89" i="47"/>
  <c r="D89" i="47"/>
  <c r="C89" i="47"/>
  <c r="B89" i="47"/>
  <c r="M88" i="47"/>
  <c r="L88" i="47"/>
  <c r="K88" i="47"/>
  <c r="J88" i="47"/>
  <c r="I88" i="47"/>
  <c r="H88" i="47"/>
  <c r="G88" i="47"/>
  <c r="F88" i="47"/>
  <c r="E88" i="47"/>
  <c r="D88" i="47"/>
  <c r="C88" i="47"/>
  <c r="B88" i="47"/>
  <c r="M87" i="47"/>
  <c r="L87" i="47"/>
  <c r="K87" i="47"/>
  <c r="J87" i="47"/>
  <c r="I87" i="47"/>
  <c r="G87" i="47"/>
  <c r="F87" i="47"/>
  <c r="E87" i="47"/>
  <c r="D87" i="47"/>
  <c r="C87" i="47"/>
  <c r="B87" i="47"/>
  <c r="M86" i="47"/>
  <c r="L86" i="47"/>
  <c r="K86" i="47"/>
  <c r="J86" i="47"/>
  <c r="G86" i="47"/>
  <c r="F86" i="47"/>
  <c r="E86" i="47"/>
  <c r="D86" i="47"/>
  <c r="C86" i="47"/>
  <c r="B86" i="47"/>
  <c r="M85" i="47"/>
  <c r="L85" i="47"/>
  <c r="K85" i="47"/>
  <c r="J85" i="47"/>
  <c r="I85" i="47"/>
  <c r="G85" i="47"/>
  <c r="F85" i="47"/>
  <c r="E85" i="47"/>
  <c r="D85" i="47"/>
  <c r="C85" i="47"/>
  <c r="B85" i="47"/>
  <c r="M84" i="47"/>
  <c r="L84" i="47"/>
  <c r="K84" i="47"/>
  <c r="J84" i="47"/>
  <c r="G84" i="47"/>
  <c r="F84" i="47"/>
  <c r="E84" i="47"/>
  <c r="D84" i="47"/>
  <c r="C84" i="47"/>
  <c r="B84" i="47"/>
  <c r="M83" i="47"/>
  <c r="L83" i="47"/>
  <c r="K83" i="47"/>
  <c r="J83" i="47"/>
  <c r="I83" i="47"/>
  <c r="G83" i="47"/>
  <c r="F83" i="47"/>
  <c r="E83" i="47"/>
  <c r="D83" i="47"/>
  <c r="C83" i="47"/>
  <c r="B83" i="47"/>
  <c r="M82" i="47"/>
  <c r="L82" i="47"/>
  <c r="K82" i="47"/>
  <c r="J82" i="47"/>
  <c r="I82" i="47"/>
  <c r="G82" i="47"/>
  <c r="F82" i="47"/>
  <c r="E82" i="47"/>
  <c r="D82" i="47"/>
  <c r="C82" i="47"/>
  <c r="B82" i="47"/>
  <c r="M81" i="47"/>
  <c r="L81" i="47"/>
  <c r="K81" i="47"/>
  <c r="J81" i="47"/>
  <c r="I81" i="47"/>
  <c r="G81" i="47"/>
  <c r="F81" i="47"/>
  <c r="E81" i="47"/>
  <c r="D81" i="47"/>
  <c r="C81" i="47"/>
  <c r="B81" i="47"/>
  <c r="M80" i="47"/>
  <c r="L80" i="47"/>
  <c r="K80" i="47"/>
  <c r="J80" i="47"/>
  <c r="I80" i="47"/>
  <c r="G80" i="47"/>
  <c r="F80" i="47"/>
  <c r="E80" i="47"/>
  <c r="D80" i="47"/>
  <c r="C80" i="47"/>
  <c r="B80" i="47"/>
  <c r="M79" i="47"/>
  <c r="L79" i="47"/>
  <c r="K79" i="47"/>
  <c r="J79" i="47"/>
  <c r="I79" i="47"/>
  <c r="G79" i="47"/>
  <c r="F79" i="47"/>
  <c r="E79" i="47"/>
  <c r="D79" i="47"/>
  <c r="C79" i="47"/>
  <c r="B79" i="47"/>
  <c r="M78" i="47"/>
  <c r="L78" i="47"/>
  <c r="K78" i="47"/>
  <c r="J78" i="47"/>
  <c r="I78" i="47"/>
  <c r="G78" i="47"/>
  <c r="F78" i="47"/>
  <c r="E78" i="47"/>
  <c r="D78" i="47"/>
  <c r="C78" i="47"/>
  <c r="B78" i="47"/>
  <c r="M77" i="47"/>
  <c r="L77" i="47"/>
  <c r="K77" i="47"/>
  <c r="J77" i="47"/>
  <c r="I77" i="47"/>
  <c r="G77" i="47"/>
  <c r="F77" i="47"/>
  <c r="E77" i="47"/>
  <c r="D77" i="47"/>
  <c r="C77" i="47"/>
  <c r="B77" i="47"/>
  <c r="M76" i="47"/>
  <c r="L76" i="47"/>
  <c r="K76" i="47"/>
  <c r="J76" i="47"/>
  <c r="H76" i="47"/>
  <c r="G76" i="47"/>
  <c r="F76" i="47"/>
  <c r="E76" i="47"/>
  <c r="D76" i="47"/>
  <c r="C76" i="47"/>
  <c r="B76" i="47"/>
  <c r="M75" i="47"/>
  <c r="L75" i="47"/>
  <c r="K75" i="47"/>
  <c r="J75" i="47"/>
  <c r="I75" i="47"/>
  <c r="G75" i="47"/>
  <c r="F75" i="47"/>
  <c r="E75" i="47"/>
  <c r="D75" i="47"/>
  <c r="C75" i="47"/>
  <c r="B75" i="47"/>
  <c r="M74" i="47"/>
  <c r="L74" i="47"/>
  <c r="K74" i="47"/>
  <c r="J74" i="47"/>
  <c r="I74" i="47"/>
  <c r="G74" i="47"/>
  <c r="F74" i="47"/>
  <c r="E74" i="47"/>
  <c r="D74" i="47"/>
  <c r="C74" i="47"/>
  <c r="B74" i="47"/>
  <c r="M73" i="47"/>
  <c r="L73" i="47"/>
  <c r="K73" i="47"/>
  <c r="J73" i="47"/>
  <c r="I73" i="47"/>
  <c r="G73" i="47"/>
  <c r="F73" i="47"/>
  <c r="E73" i="47"/>
  <c r="D73" i="47"/>
  <c r="C73" i="47"/>
  <c r="B73" i="47"/>
  <c r="M72" i="47"/>
  <c r="L72" i="47"/>
  <c r="K72" i="47"/>
  <c r="J72" i="47"/>
  <c r="H72" i="47"/>
  <c r="G72" i="47"/>
  <c r="F72" i="47"/>
  <c r="E72" i="47"/>
  <c r="D72" i="47"/>
  <c r="C72" i="47"/>
  <c r="B72" i="47"/>
  <c r="M71" i="47"/>
  <c r="L71" i="47"/>
  <c r="K71" i="47"/>
  <c r="J71" i="47"/>
  <c r="G71" i="47"/>
  <c r="F71" i="47"/>
  <c r="E71" i="47"/>
  <c r="D71" i="47"/>
  <c r="C71" i="47"/>
  <c r="B71" i="47"/>
  <c r="M70" i="47"/>
  <c r="L70" i="47"/>
  <c r="K70" i="47"/>
  <c r="J70" i="47"/>
  <c r="G70" i="47"/>
  <c r="F70" i="47"/>
  <c r="E70" i="47"/>
  <c r="D70" i="47"/>
  <c r="C70" i="47"/>
  <c r="B70" i="47"/>
  <c r="M69" i="47"/>
  <c r="L69" i="47"/>
  <c r="K69" i="47"/>
  <c r="J69" i="47"/>
  <c r="G69" i="47"/>
  <c r="F69" i="47"/>
  <c r="E69" i="47"/>
  <c r="D69" i="47"/>
  <c r="C69" i="47"/>
  <c r="B69" i="47"/>
  <c r="M68" i="47"/>
  <c r="L68" i="47"/>
  <c r="K68" i="47"/>
  <c r="J68" i="47"/>
  <c r="G68" i="47"/>
  <c r="F68" i="47"/>
  <c r="E68" i="47"/>
  <c r="D68" i="47"/>
  <c r="C68" i="47"/>
  <c r="B68" i="47"/>
  <c r="M67" i="47"/>
  <c r="L67" i="47"/>
  <c r="K67" i="47"/>
  <c r="J67" i="47"/>
  <c r="G67" i="47"/>
  <c r="F67" i="47"/>
  <c r="E67" i="47"/>
  <c r="D67" i="47"/>
  <c r="C67" i="47"/>
  <c r="B67" i="47"/>
  <c r="M66" i="47"/>
  <c r="L66" i="47"/>
  <c r="K66" i="47"/>
  <c r="J66" i="47"/>
  <c r="H66" i="47"/>
  <c r="G66" i="47"/>
  <c r="F66" i="47"/>
  <c r="E66" i="47"/>
  <c r="D66" i="47"/>
  <c r="C66" i="47"/>
  <c r="B66" i="47"/>
  <c r="M65" i="47"/>
  <c r="L65" i="47"/>
  <c r="K65" i="47"/>
  <c r="J65" i="47"/>
  <c r="I65" i="47"/>
  <c r="G65" i="47"/>
  <c r="F65" i="47"/>
  <c r="E65" i="47"/>
  <c r="D65" i="47"/>
  <c r="C65" i="47"/>
  <c r="B65" i="47"/>
  <c r="M64" i="47"/>
  <c r="L64" i="47"/>
  <c r="K64" i="47"/>
  <c r="J64" i="47"/>
  <c r="G64" i="47"/>
  <c r="F64" i="47"/>
  <c r="E64" i="47"/>
  <c r="D64" i="47"/>
  <c r="C64" i="47"/>
  <c r="B64" i="47"/>
  <c r="M63" i="47"/>
  <c r="L63" i="47"/>
  <c r="K63" i="47"/>
  <c r="J63" i="47"/>
  <c r="G63" i="47"/>
  <c r="F63" i="47"/>
  <c r="E63" i="47"/>
  <c r="D63" i="47"/>
  <c r="C63" i="47"/>
  <c r="B63" i="47"/>
  <c r="M62" i="47"/>
  <c r="L62" i="47"/>
  <c r="K62" i="47"/>
  <c r="J62" i="47"/>
  <c r="G62" i="47"/>
  <c r="F62" i="47"/>
  <c r="E62" i="47"/>
  <c r="D62" i="47"/>
  <c r="C62" i="47"/>
  <c r="B62" i="47"/>
  <c r="M61" i="47"/>
  <c r="L61" i="47"/>
  <c r="K61" i="47"/>
  <c r="J61" i="47"/>
  <c r="G61" i="47"/>
  <c r="F61" i="47"/>
  <c r="E61" i="47"/>
  <c r="D61" i="47"/>
  <c r="C61" i="47"/>
  <c r="B61" i="47"/>
  <c r="M60" i="47"/>
  <c r="L60" i="47"/>
  <c r="K60" i="47"/>
  <c r="J60" i="47"/>
  <c r="G60" i="47"/>
  <c r="F60" i="47"/>
  <c r="E60" i="47"/>
  <c r="D60" i="47"/>
  <c r="C60" i="47"/>
  <c r="B60" i="47"/>
  <c r="M59" i="47"/>
  <c r="L59" i="47"/>
  <c r="K59" i="47"/>
  <c r="J59" i="47"/>
  <c r="I59" i="47"/>
  <c r="H59" i="47"/>
  <c r="G59" i="47"/>
  <c r="F59" i="47"/>
  <c r="E59" i="47"/>
  <c r="D59" i="47"/>
  <c r="C59" i="47"/>
  <c r="B59" i="47"/>
  <c r="M58" i="47"/>
  <c r="L58" i="47"/>
  <c r="K58" i="47"/>
  <c r="J58" i="47"/>
  <c r="G58" i="47"/>
  <c r="F58" i="47"/>
  <c r="E58" i="47"/>
  <c r="D58" i="47"/>
  <c r="C58" i="47"/>
  <c r="B58" i="47"/>
  <c r="M57" i="47"/>
  <c r="L57" i="47"/>
  <c r="K57" i="47"/>
  <c r="J57" i="47"/>
  <c r="G57" i="47"/>
  <c r="F57" i="47"/>
  <c r="E57" i="47"/>
  <c r="D57" i="47"/>
  <c r="C57" i="47"/>
  <c r="B57" i="47"/>
  <c r="M56" i="47"/>
  <c r="L56" i="47"/>
  <c r="K56" i="47"/>
  <c r="J56" i="47"/>
  <c r="G56" i="47"/>
  <c r="F56" i="47"/>
  <c r="E56" i="47"/>
  <c r="D56" i="47"/>
  <c r="C56" i="47"/>
  <c r="B56" i="47"/>
  <c r="M55" i="47"/>
  <c r="L55" i="47"/>
  <c r="K55" i="47"/>
  <c r="J55" i="47"/>
  <c r="I55" i="47"/>
  <c r="G55" i="47"/>
  <c r="F55" i="47"/>
  <c r="E55" i="47"/>
  <c r="D55" i="47"/>
  <c r="C55" i="47"/>
  <c r="B55" i="47"/>
  <c r="M54" i="47"/>
  <c r="L54" i="47"/>
  <c r="K54" i="47"/>
  <c r="J54" i="47"/>
  <c r="G54" i="47"/>
  <c r="F54" i="47"/>
  <c r="E54" i="47"/>
  <c r="D54" i="47"/>
  <c r="C54" i="47"/>
  <c r="B54" i="47"/>
  <c r="M53" i="47"/>
  <c r="L53" i="47"/>
  <c r="K53" i="47"/>
  <c r="J53" i="47"/>
  <c r="G53" i="47"/>
  <c r="F53" i="47"/>
  <c r="E53" i="47"/>
  <c r="D53" i="47"/>
  <c r="C53" i="47"/>
  <c r="B53" i="47"/>
  <c r="M52" i="47"/>
  <c r="L52" i="47"/>
  <c r="K52" i="47"/>
  <c r="J52" i="47"/>
  <c r="G52" i="47"/>
  <c r="F52" i="47"/>
  <c r="E52" i="47"/>
  <c r="D52" i="47"/>
  <c r="C52" i="47"/>
  <c r="B52" i="47"/>
  <c r="M51" i="47"/>
  <c r="L51" i="47"/>
  <c r="K51" i="47"/>
  <c r="J51" i="47"/>
  <c r="G51" i="47"/>
  <c r="F51" i="47"/>
  <c r="E51" i="47"/>
  <c r="D51" i="47"/>
  <c r="C51" i="47"/>
  <c r="B51" i="47"/>
  <c r="M50" i="47"/>
  <c r="L50" i="47"/>
  <c r="K50" i="47"/>
  <c r="J50" i="47"/>
  <c r="G50" i="47"/>
  <c r="F50" i="47"/>
  <c r="E50" i="47"/>
  <c r="D50" i="47"/>
  <c r="C50" i="47"/>
  <c r="B50" i="47"/>
  <c r="M49" i="47"/>
  <c r="L49" i="47"/>
  <c r="K49" i="47"/>
  <c r="J49" i="47"/>
  <c r="G49" i="47"/>
  <c r="F49" i="47"/>
  <c r="E49" i="47"/>
  <c r="D49" i="47"/>
  <c r="C49" i="47"/>
  <c r="B49" i="47"/>
  <c r="M48" i="47"/>
  <c r="L48" i="47"/>
  <c r="K48" i="47"/>
  <c r="J48" i="47"/>
  <c r="G48" i="47"/>
  <c r="F48" i="47"/>
  <c r="E48" i="47"/>
  <c r="D48" i="47"/>
  <c r="C48" i="47"/>
  <c r="B48" i="47"/>
  <c r="M47" i="47"/>
  <c r="L47" i="47"/>
  <c r="K47" i="47"/>
  <c r="J47" i="47"/>
  <c r="G47" i="47"/>
  <c r="F47" i="47"/>
  <c r="E47" i="47"/>
  <c r="D47" i="47"/>
  <c r="C47" i="47"/>
  <c r="B47" i="47"/>
  <c r="M46" i="47"/>
  <c r="L46" i="47"/>
  <c r="K46" i="47"/>
  <c r="J46" i="47"/>
  <c r="G46" i="47"/>
  <c r="F46" i="47"/>
  <c r="E46" i="47"/>
  <c r="D46" i="47"/>
  <c r="C46" i="47"/>
  <c r="B46" i="47"/>
  <c r="M45" i="47"/>
  <c r="L45" i="47"/>
  <c r="K45" i="47"/>
  <c r="J45" i="47"/>
  <c r="G45" i="47"/>
  <c r="F45" i="47"/>
  <c r="E45" i="47"/>
  <c r="D45" i="47"/>
  <c r="C45" i="47"/>
  <c r="B45" i="47"/>
  <c r="M44" i="47"/>
  <c r="L44" i="47"/>
  <c r="K44" i="47"/>
  <c r="J44" i="47"/>
  <c r="G44" i="47"/>
  <c r="F44" i="47"/>
  <c r="E44" i="47"/>
  <c r="D44" i="47"/>
  <c r="C44" i="47"/>
  <c r="B44" i="47"/>
  <c r="M43" i="47"/>
  <c r="L43" i="47"/>
  <c r="K43" i="47"/>
  <c r="J43" i="47"/>
  <c r="H43" i="47"/>
  <c r="G43" i="47"/>
  <c r="F43" i="47"/>
  <c r="E43" i="47"/>
  <c r="D43" i="47"/>
  <c r="C43" i="47"/>
  <c r="B43" i="47"/>
  <c r="M42" i="47"/>
  <c r="L42" i="47"/>
  <c r="K42" i="47"/>
  <c r="J42" i="47"/>
  <c r="G42" i="47"/>
  <c r="F42" i="47"/>
  <c r="E42" i="47"/>
  <c r="D42" i="47"/>
  <c r="C42" i="47"/>
  <c r="B42" i="47"/>
  <c r="M41" i="47"/>
  <c r="L41" i="47"/>
  <c r="K41" i="47"/>
  <c r="J41" i="47"/>
  <c r="G41" i="47"/>
  <c r="F41" i="47"/>
  <c r="E41" i="47"/>
  <c r="D41" i="47"/>
  <c r="C41" i="47"/>
  <c r="B41" i="47"/>
  <c r="M40" i="47"/>
  <c r="L40" i="47"/>
  <c r="K40" i="47"/>
  <c r="J40" i="47"/>
  <c r="G40" i="47"/>
  <c r="F40" i="47"/>
  <c r="E40" i="47"/>
  <c r="D40" i="47"/>
  <c r="C40" i="47"/>
  <c r="B40" i="47"/>
  <c r="M39" i="47"/>
  <c r="L39" i="47"/>
  <c r="K39" i="47"/>
  <c r="J39" i="47"/>
  <c r="I39" i="47"/>
  <c r="G39" i="47"/>
  <c r="F39" i="47"/>
  <c r="E39" i="47"/>
  <c r="D39" i="47"/>
  <c r="C39" i="47"/>
  <c r="B39" i="47"/>
  <c r="M38" i="47"/>
  <c r="L38" i="47"/>
  <c r="K38" i="47"/>
  <c r="J38" i="47"/>
  <c r="G38" i="47"/>
  <c r="F38" i="47"/>
  <c r="E38" i="47"/>
  <c r="D38" i="47"/>
  <c r="C38" i="47"/>
  <c r="B38" i="47"/>
  <c r="M37" i="47"/>
  <c r="L37" i="47"/>
  <c r="K37" i="47"/>
  <c r="J37" i="47"/>
  <c r="G37" i="47"/>
  <c r="F37" i="47"/>
  <c r="E37" i="47"/>
  <c r="D37" i="47"/>
  <c r="C37" i="47"/>
  <c r="B37" i="47"/>
  <c r="M36" i="47"/>
  <c r="L36" i="47"/>
  <c r="K36" i="47"/>
  <c r="J36" i="47"/>
  <c r="H36" i="47"/>
  <c r="G36" i="47"/>
  <c r="F36" i="47"/>
  <c r="E36" i="47"/>
  <c r="D36" i="47"/>
  <c r="C36" i="47"/>
  <c r="B36" i="47"/>
  <c r="M35" i="47"/>
  <c r="L35" i="47"/>
  <c r="K35" i="47"/>
  <c r="J35" i="47"/>
  <c r="G35" i="47"/>
  <c r="F35" i="47"/>
  <c r="E35" i="47"/>
  <c r="D35" i="47"/>
  <c r="C35" i="47"/>
  <c r="B35" i="47"/>
  <c r="M34" i="47"/>
  <c r="L34" i="47"/>
  <c r="K34" i="47"/>
  <c r="J34" i="47"/>
  <c r="G34" i="47"/>
  <c r="F34" i="47"/>
  <c r="E34" i="47"/>
  <c r="D34" i="47"/>
  <c r="C34" i="47"/>
  <c r="B34" i="47"/>
  <c r="M33" i="47"/>
  <c r="L33" i="47"/>
  <c r="K33" i="47"/>
  <c r="J33" i="47"/>
  <c r="H33" i="47"/>
  <c r="G33" i="47"/>
  <c r="F33" i="47"/>
  <c r="E33" i="47"/>
  <c r="D33" i="47"/>
  <c r="C33" i="47"/>
  <c r="B33" i="47"/>
  <c r="M32" i="47"/>
  <c r="L32" i="47"/>
  <c r="K32" i="47"/>
  <c r="J32" i="47"/>
  <c r="H32" i="47"/>
  <c r="G32" i="47"/>
  <c r="F32" i="47"/>
  <c r="E32" i="47"/>
  <c r="D32" i="47"/>
  <c r="C32" i="47"/>
  <c r="B32" i="47"/>
  <c r="M31" i="47"/>
  <c r="L31" i="47"/>
  <c r="K31" i="47"/>
  <c r="J31" i="47"/>
  <c r="H31" i="47"/>
  <c r="G31" i="47"/>
  <c r="F31" i="47"/>
  <c r="E31" i="47"/>
  <c r="D31" i="47"/>
  <c r="C31" i="47"/>
  <c r="B31" i="47"/>
  <c r="M30" i="47"/>
  <c r="L30" i="47"/>
  <c r="K30" i="47"/>
  <c r="J30" i="47"/>
  <c r="H30" i="47"/>
  <c r="G30" i="47"/>
  <c r="F30" i="47"/>
  <c r="E30" i="47"/>
  <c r="D30" i="47"/>
  <c r="C30" i="47"/>
  <c r="B30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M28" i="47"/>
  <c r="L28" i="47"/>
  <c r="K28" i="47"/>
  <c r="J28" i="47"/>
  <c r="H28" i="47"/>
  <c r="G28" i="47"/>
  <c r="F28" i="47"/>
  <c r="E28" i="47"/>
  <c r="D28" i="47"/>
  <c r="C28" i="47"/>
  <c r="B28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M24" i="47"/>
  <c r="L24" i="47"/>
  <c r="K24" i="47"/>
  <c r="J24" i="47"/>
  <c r="H24" i="47"/>
  <c r="G24" i="47"/>
  <c r="F24" i="47"/>
  <c r="E24" i="47"/>
  <c r="D24" i="47"/>
  <c r="C24" i="47"/>
  <c r="B24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M22" i="47"/>
  <c r="L22" i="47"/>
  <c r="K22" i="47"/>
  <c r="J22" i="47"/>
  <c r="H22" i="47"/>
  <c r="G22" i="47"/>
  <c r="F22" i="47"/>
  <c r="E22" i="47"/>
  <c r="D22" i="47"/>
  <c r="C22" i="47"/>
  <c r="B22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M18" i="47"/>
  <c r="L18" i="47"/>
  <c r="K18" i="47"/>
  <c r="J18" i="47"/>
  <c r="H18" i="47"/>
  <c r="G18" i="47"/>
  <c r="F18" i="47"/>
  <c r="E18" i="47"/>
  <c r="D18" i="47"/>
  <c r="C18" i="47"/>
  <c r="B18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6" i="47"/>
  <c r="L16" i="47"/>
  <c r="K16" i="47"/>
  <c r="J16" i="47"/>
  <c r="I16" i="47"/>
  <c r="H16" i="47"/>
  <c r="G16" i="47"/>
  <c r="F16" i="47"/>
  <c r="E16" i="47"/>
  <c r="D16" i="47"/>
  <c r="C16" i="47"/>
  <c r="B16" i="47"/>
  <c r="M15" i="47"/>
  <c r="L15" i="47"/>
  <c r="K15" i="47"/>
  <c r="J15" i="47"/>
  <c r="I15" i="47"/>
  <c r="H15" i="47"/>
  <c r="G15" i="47"/>
  <c r="F15" i="47"/>
  <c r="E15" i="47"/>
  <c r="D15" i="47"/>
  <c r="C15" i="47"/>
  <c r="B15" i="47"/>
  <c r="M14" i="47"/>
  <c r="L14" i="47"/>
  <c r="K14" i="47"/>
  <c r="J14" i="47"/>
  <c r="H14" i="47"/>
  <c r="G14" i="47"/>
  <c r="F14" i="47"/>
  <c r="E14" i="47"/>
  <c r="D14" i="47"/>
  <c r="C14" i="47"/>
  <c r="B14" i="47"/>
  <c r="M13" i="47"/>
  <c r="L13" i="47"/>
  <c r="K13" i="47"/>
  <c r="J13" i="47"/>
  <c r="H13" i="47"/>
  <c r="G13" i="47"/>
  <c r="F13" i="47"/>
  <c r="E13" i="47"/>
  <c r="D13" i="47"/>
  <c r="C13" i="47"/>
  <c r="B13" i="47"/>
  <c r="M12" i="47"/>
  <c r="L12" i="47"/>
  <c r="K12" i="47"/>
  <c r="J12" i="47"/>
  <c r="H12" i="47"/>
  <c r="G12" i="47"/>
  <c r="F12" i="47"/>
  <c r="E12" i="47"/>
  <c r="D12" i="47"/>
  <c r="C12" i="47"/>
  <c r="B12" i="47"/>
  <c r="M11" i="47"/>
  <c r="L11" i="47"/>
  <c r="K11" i="47"/>
  <c r="J11" i="47"/>
  <c r="H11" i="47"/>
  <c r="G11" i="47"/>
  <c r="F11" i="47"/>
  <c r="E11" i="47"/>
  <c r="D11" i="47"/>
  <c r="C11" i="47"/>
  <c r="B11" i="47"/>
  <c r="M10" i="47"/>
  <c r="L10" i="47"/>
  <c r="K10" i="47"/>
  <c r="J10" i="47"/>
  <c r="I10" i="47"/>
  <c r="H10" i="47"/>
  <c r="G10" i="47"/>
  <c r="F10" i="47"/>
  <c r="E10" i="47"/>
  <c r="D10" i="47"/>
  <c r="C10" i="47"/>
  <c r="B10" i="47"/>
  <c r="M9" i="47"/>
  <c r="L9" i="47"/>
  <c r="K9" i="47"/>
  <c r="J9" i="47"/>
  <c r="I9" i="47"/>
  <c r="H9" i="47"/>
  <c r="G9" i="47"/>
  <c r="F9" i="47"/>
  <c r="E9" i="47"/>
  <c r="D9" i="47"/>
  <c r="C9" i="47"/>
  <c r="B9" i="47"/>
  <c r="M8" i="47"/>
  <c r="L8" i="47"/>
  <c r="K8" i="47"/>
  <c r="J8" i="47"/>
  <c r="I8" i="47"/>
  <c r="H8" i="47"/>
  <c r="G8" i="47"/>
  <c r="F8" i="47"/>
  <c r="E8" i="47"/>
  <c r="D8" i="47"/>
  <c r="C8" i="47"/>
  <c r="B8" i="47"/>
  <c r="M7" i="47"/>
  <c r="L7" i="47"/>
  <c r="K7" i="47"/>
  <c r="J7" i="47"/>
  <c r="I7" i="47"/>
  <c r="H7" i="47"/>
  <c r="G7" i="47"/>
  <c r="F7" i="47"/>
  <c r="E7" i="47"/>
  <c r="D7" i="47"/>
  <c r="C7" i="47"/>
  <c r="B7" i="47"/>
  <c r="M6" i="47"/>
  <c r="L6" i="47"/>
  <c r="K6" i="47"/>
  <c r="J6" i="47"/>
  <c r="I6" i="47"/>
  <c r="H6" i="47"/>
  <c r="G6" i="47"/>
  <c r="F6" i="47"/>
  <c r="E6" i="47"/>
  <c r="D6" i="47"/>
  <c r="C6" i="47"/>
  <c r="B6" i="47"/>
  <c r="M5" i="47"/>
  <c r="L5" i="47"/>
  <c r="K5" i="47"/>
  <c r="J5" i="47"/>
  <c r="I5" i="47"/>
  <c r="H5" i="47"/>
  <c r="G5" i="47"/>
  <c r="F5" i="47"/>
  <c r="E5" i="47"/>
  <c r="D5" i="47"/>
  <c r="C5" i="47"/>
  <c r="B5" i="47"/>
  <c r="M4" i="47"/>
  <c r="L4" i="47"/>
  <c r="K4" i="47"/>
  <c r="J4" i="47"/>
  <c r="I4" i="47"/>
  <c r="H4" i="47"/>
  <c r="G4" i="47"/>
  <c r="F4" i="47"/>
  <c r="E4" i="47"/>
  <c r="D4" i="47"/>
  <c r="C4" i="47"/>
  <c r="B4" i="47"/>
  <c r="M3" i="47"/>
  <c r="L3" i="47"/>
  <c r="K3" i="47"/>
  <c r="J3" i="47"/>
  <c r="I3" i="47"/>
  <c r="H3" i="47"/>
  <c r="G3" i="47"/>
  <c r="F3" i="47"/>
  <c r="E3" i="47"/>
  <c r="D3" i="47"/>
  <c r="C3" i="47"/>
  <c r="B3" i="47"/>
  <c r="M210" i="49"/>
  <c r="L210" i="49"/>
  <c r="K210" i="49"/>
  <c r="J210" i="49"/>
  <c r="G210" i="49"/>
  <c r="F210" i="49"/>
  <c r="E210" i="49"/>
  <c r="D210" i="49"/>
  <c r="C210" i="49"/>
  <c r="B210" i="49"/>
  <c r="M209" i="49"/>
  <c r="L209" i="49"/>
  <c r="K209" i="49"/>
  <c r="J209" i="49"/>
  <c r="G209" i="49"/>
  <c r="F209" i="49"/>
  <c r="E209" i="49"/>
  <c r="D209" i="49"/>
  <c r="C209" i="49"/>
  <c r="B209" i="49"/>
  <c r="M208" i="49"/>
  <c r="L208" i="49"/>
  <c r="K208" i="49"/>
  <c r="J208" i="49"/>
  <c r="G208" i="49"/>
  <c r="F208" i="49"/>
  <c r="E208" i="49"/>
  <c r="D208" i="49"/>
  <c r="C208" i="49"/>
  <c r="B208" i="49"/>
  <c r="M207" i="49"/>
  <c r="L207" i="49"/>
  <c r="K207" i="49"/>
  <c r="J207" i="49"/>
  <c r="G207" i="49"/>
  <c r="F207" i="49"/>
  <c r="E207" i="49"/>
  <c r="D207" i="49"/>
  <c r="C207" i="49"/>
  <c r="B207" i="49"/>
  <c r="M206" i="49"/>
  <c r="L206" i="49"/>
  <c r="K206" i="49"/>
  <c r="J206" i="49"/>
  <c r="G206" i="49"/>
  <c r="F206" i="49"/>
  <c r="E206" i="49"/>
  <c r="D206" i="49"/>
  <c r="C206" i="49"/>
  <c r="B206" i="49"/>
  <c r="M205" i="49"/>
  <c r="L205" i="49"/>
  <c r="K205" i="49"/>
  <c r="J205" i="49"/>
  <c r="G205" i="49"/>
  <c r="F205" i="49"/>
  <c r="E205" i="49"/>
  <c r="D205" i="49"/>
  <c r="C205" i="49"/>
  <c r="B205" i="49"/>
  <c r="M204" i="49"/>
  <c r="L204" i="49"/>
  <c r="K204" i="49"/>
  <c r="J204" i="49"/>
  <c r="G204" i="49"/>
  <c r="F204" i="49"/>
  <c r="E204" i="49"/>
  <c r="D204" i="49"/>
  <c r="C204" i="49"/>
  <c r="B204" i="49"/>
  <c r="M203" i="49"/>
  <c r="L203" i="49"/>
  <c r="K203" i="49"/>
  <c r="J203" i="49"/>
  <c r="G203" i="49"/>
  <c r="F203" i="49"/>
  <c r="E203" i="49"/>
  <c r="D203" i="49"/>
  <c r="C203" i="49"/>
  <c r="B203" i="49"/>
  <c r="M202" i="49"/>
  <c r="L202" i="49"/>
  <c r="K202" i="49"/>
  <c r="J202" i="49"/>
  <c r="G202" i="49"/>
  <c r="F202" i="49"/>
  <c r="E202" i="49"/>
  <c r="D202" i="49"/>
  <c r="C202" i="49"/>
  <c r="B202" i="49"/>
  <c r="M201" i="49"/>
  <c r="L201" i="49"/>
  <c r="K201" i="49"/>
  <c r="J201" i="49"/>
  <c r="G201" i="49"/>
  <c r="F201" i="49"/>
  <c r="E201" i="49"/>
  <c r="D201" i="49"/>
  <c r="C201" i="49"/>
  <c r="B201" i="49"/>
  <c r="M200" i="49"/>
  <c r="L200" i="49"/>
  <c r="K200" i="49"/>
  <c r="J200" i="49"/>
  <c r="G200" i="49"/>
  <c r="F200" i="49"/>
  <c r="E200" i="49"/>
  <c r="D200" i="49"/>
  <c r="C200" i="49"/>
  <c r="B200" i="49"/>
  <c r="M199" i="49"/>
  <c r="L199" i="49"/>
  <c r="K199" i="49"/>
  <c r="J199" i="49"/>
  <c r="G199" i="49"/>
  <c r="F199" i="49"/>
  <c r="E199" i="49"/>
  <c r="D199" i="49"/>
  <c r="C199" i="49"/>
  <c r="B199" i="49"/>
  <c r="M198" i="49"/>
  <c r="L198" i="49"/>
  <c r="K198" i="49"/>
  <c r="J198" i="49"/>
  <c r="G198" i="49"/>
  <c r="F198" i="49"/>
  <c r="E198" i="49"/>
  <c r="D198" i="49"/>
  <c r="C198" i="49"/>
  <c r="B198" i="49"/>
  <c r="M197" i="49"/>
  <c r="L197" i="49"/>
  <c r="K197" i="49"/>
  <c r="J197" i="49"/>
  <c r="G197" i="49"/>
  <c r="F197" i="49"/>
  <c r="E197" i="49"/>
  <c r="D197" i="49"/>
  <c r="C197" i="49"/>
  <c r="B197" i="49"/>
  <c r="M196" i="49"/>
  <c r="L196" i="49"/>
  <c r="K196" i="49"/>
  <c r="J196" i="49"/>
  <c r="G196" i="49"/>
  <c r="F196" i="49"/>
  <c r="E196" i="49"/>
  <c r="D196" i="49"/>
  <c r="C196" i="49"/>
  <c r="B196" i="49"/>
  <c r="M195" i="49"/>
  <c r="L195" i="49"/>
  <c r="K195" i="49"/>
  <c r="J195" i="49"/>
  <c r="G195" i="49"/>
  <c r="F195" i="49"/>
  <c r="E195" i="49"/>
  <c r="D195" i="49"/>
  <c r="C195" i="49"/>
  <c r="B195" i="49"/>
  <c r="M194" i="49"/>
  <c r="L194" i="49"/>
  <c r="K194" i="49"/>
  <c r="J194" i="49"/>
  <c r="I194" i="49"/>
  <c r="G194" i="49"/>
  <c r="F194" i="49"/>
  <c r="E194" i="49"/>
  <c r="D194" i="49"/>
  <c r="C194" i="49"/>
  <c r="B194" i="49"/>
  <c r="M193" i="49"/>
  <c r="L193" i="49"/>
  <c r="K193" i="49"/>
  <c r="J193" i="49"/>
  <c r="I193" i="49"/>
  <c r="G193" i="49"/>
  <c r="F193" i="49"/>
  <c r="E193" i="49"/>
  <c r="D193" i="49"/>
  <c r="C193" i="49"/>
  <c r="B193" i="49"/>
  <c r="M192" i="49"/>
  <c r="L192" i="49"/>
  <c r="K192" i="49"/>
  <c r="J192" i="49"/>
  <c r="G192" i="49"/>
  <c r="F192" i="49"/>
  <c r="E192" i="49"/>
  <c r="D192" i="49"/>
  <c r="C192" i="49"/>
  <c r="B192" i="49"/>
  <c r="M191" i="49"/>
  <c r="L191" i="49"/>
  <c r="K191" i="49"/>
  <c r="J191" i="49"/>
  <c r="I191" i="49"/>
  <c r="H191" i="49"/>
  <c r="G191" i="49"/>
  <c r="F191" i="49"/>
  <c r="E191" i="49"/>
  <c r="D191" i="49"/>
  <c r="C191" i="49"/>
  <c r="B191" i="49"/>
  <c r="M190" i="49"/>
  <c r="L190" i="49"/>
  <c r="K190" i="49"/>
  <c r="J190" i="49"/>
  <c r="G190" i="49"/>
  <c r="F190" i="49"/>
  <c r="E190" i="49"/>
  <c r="D190" i="49"/>
  <c r="C190" i="49"/>
  <c r="B190" i="49"/>
  <c r="M189" i="49"/>
  <c r="L189" i="49"/>
  <c r="K189" i="49"/>
  <c r="J189" i="49"/>
  <c r="G189" i="49"/>
  <c r="F189" i="49"/>
  <c r="E189" i="49"/>
  <c r="D189" i="49"/>
  <c r="C189" i="49"/>
  <c r="B189" i="49"/>
  <c r="M188" i="49"/>
  <c r="L188" i="49"/>
  <c r="K188" i="49"/>
  <c r="J188" i="49"/>
  <c r="G188" i="49"/>
  <c r="F188" i="49"/>
  <c r="E188" i="49"/>
  <c r="D188" i="49"/>
  <c r="C188" i="49"/>
  <c r="B188" i="49"/>
  <c r="M187" i="49"/>
  <c r="L187" i="49"/>
  <c r="K187" i="49"/>
  <c r="J187" i="49"/>
  <c r="I187" i="49"/>
  <c r="G187" i="49"/>
  <c r="F187" i="49"/>
  <c r="E187" i="49"/>
  <c r="D187" i="49"/>
  <c r="C187" i="49"/>
  <c r="B187" i="49"/>
  <c r="M186" i="49"/>
  <c r="L186" i="49"/>
  <c r="K186" i="49"/>
  <c r="J186" i="49"/>
  <c r="G186" i="49"/>
  <c r="F186" i="49"/>
  <c r="E186" i="49"/>
  <c r="D186" i="49"/>
  <c r="C186" i="49"/>
  <c r="B186" i="49"/>
  <c r="M185" i="49"/>
  <c r="L185" i="49"/>
  <c r="K185" i="49"/>
  <c r="J185" i="49"/>
  <c r="G185" i="49"/>
  <c r="F185" i="49"/>
  <c r="E185" i="49"/>
  <c r="D185" i="49"/>
  <c r="C185" i="49"/>
  <c r="B185" i="49"/>
  <c r="M184" i="49"/>
  <c r="L184" i="49"/>
  <c r="K184" i="49"/>
  <c r="J184" i="49"/>
  <c r="G184" i="49"/>
  <c r="F184" i="49"/>
  <c r="E184" i="49"/>
  <c r="D184" i="49"/>
  <c r="C184" i="49"/>
  <c r="B184" i="49"/>
  <c r="M183" i="49"/>
  <c r="L183" i="49"/>
  <c r="K183" i="49"/>
  <c r="J183" i="49"/>
  <c r="G183" i="49"/>
  <c r="F183" i="49"/>
  <c r="E183" i="49"/>
  <c r="D183" i="49"/>
  <c r="C183" i="49"/>
  <c r="B183" i="49"/>
  <c r="M182" i="49"/>
  <c r="L182" i="49"/>
  <c r="K182" i="49"/>
  <c r="J182" i="49"/>
  <c r="I182" i="49"/>
  <c r="G182" i="49"/>
  <c r="F182" i="49"/>
  <c r="E182" i="49"/>
  <c r="D182" i="49"/>
  <c r="C182" i="49"/>
  <c r="B182" i="49"/>
  <c r="M181" i="49"/>
  <c r="L181" i="49"/>
  <c r="K181" i="49"/>
  <c r="J181" i="49"/>
  <c r="G181" i="49"/>
  <c r="F181" i="49"/>
  <c r="E181" i="49"/>
  <c r="D181" i="49"/>
  <c r="C181" i="49"/>
  <c r="B181" i="49"/>
  <c r="M180" i="49"/>
  <c r="L180" i="49"/>
  <c r="K180" i="49"/>
  <c r="J180" i="49"/>
  <c r="I180" i="49"/>
  <c r="G180" i="49"/>
  <c r="F180" i="49"/>
  <c r="E180" i="49"/>
  <c r="D180" i="49"/>
  <c r="C180" i="49"/>
  <c r="B180" i="49"/>
  <c r="M179" i="49"/>
  <c r="L179" i="49"/>
  <c r="K179" i="49"/>
  <c r="J179" i="49"/>
  <c r="G179" i="49"/>
  <c r="F179" i="49"/>
  <c r="E179" i="49"/>
  <c r="D179" i="49"/>
  <c r="C179" i="49"/>
  <c r="B179" i="49"/>
  <c r="M178" i="49"/>
  <c r="L178" i="49"/>
  <c r="K178" i="49"/>
  <c r="J178" i="49"/>
  <c r="I178" i="49"/>
  <c r="G178" i="49"/>
  <c r="F178" i="49"/>
  <c r="E178" i="49"/>
  <c r="D178" i="49"/>
  <c r="C178" i="49"/>
  <c r="B178" i="49"/>
  <c r="M177" i="49"/>
  <c r="L177" i="49"/>
  <c r="K177" i="49"/>
  <c r="J177" i="49"/>
  <c r="G177" i="49"/>
  <c r="F177" i="49"/>
  <c r="E177" i="49"/>
  <c r="D177" i="49"/>
  <c r="C177" i="49"/>
  <c r="B177" i="49"/>
  <c r="M176" i="49"/>
  <c r="L176" i="49"/>
  <c r="K176" i="49"/>
  <c r="J176" i="49"/>
  <c r="G176" i="49"/>
  <c r="F176" i="49"/>
  <c r="E176" i="49"/>
  <c r="D176" i="49"/>
  <c r="C176" i="49"/>
  <c r="B176" i="49"/>
  <c r="M175" i="49"/>
  <c r="L175" i="49"/>
  <c r="K175" i="49"/>
  <c r="J175" i="49"/>
  <c r="I175" i="49"/>
  <c r="H175" i="49"/>
  <c r="G175" i="49"/>
  <c r="F175" i="49"/>
  <c r="E175" i="49"/>
  <c r="D175" i="49"/>
  <c r="C175" i="49"/>
  <c r="B175" i="49"/>
  <c r="M174" i="49"/>
  <c r="L174" i="49"/>
  <c r="K174" i="49"/>
  <c r="J174" i="49"/>
  <c r="G174" i="49"/>
  <c r="F174" i="49"/>
  <c r="E174" i="49"/>
  <c r="D174" i="49"/>
  <c r="C174" i="49"/>
  <c r="B174" i="49"/>
  <c r="M173" i="49"/>
  <c r="L173" i="49"/>
  <c r="K173" i="49"/>
  <c r="J173" i="49"/>
  <c r="G173" i="49"/>
  <c r="F173" i="49"/>
  <c r="E173" i="49"/>
  <c r="D173" i="49"/>
  <c r="C173" i="49"/>
  <c r="B173" i="49"/>
  <c r="M172" i="49"/>
  <c r="L172" i="49"/>
  <c r="K172" i="49"/>
  <c r="J172" i="49"/>
  <c r="G172" i="49"/>
  <c r="F172" i="49"/>
  <c r="E172" i="49"/>
  <c r="D172" i="49"/>
  <c r="C172" i="49"/>
  <c r="B172" i="49"/>
  <c r="M171" i="49"/>
  <c r="L171" i="49"/>
  <c r="K171" i="49"/>
  <c r="J171" i="49"/>
  <c r="G171" i="49"/>
  <c r="F171" i="49"/>
  <c r="E171" i="49"/>
  <c r="D171" i="49"/>
  <c r="C171" i="49"/>
  <c r="B171" i="49"/>
  <c r="M170" i="49"/>
  <c r="L170" i="49"/>
  <c r="K170" i="49"/>
  <c r="J170" i="49"/>
  <c r="I170" i="49"/>
  <c r="G170" i="49"/>
  <c r="F170" i="49"/>
  <c r="E170" i="49"/>
  <c r="D170" i="49"/>
  <c r="C170" i="49"/>
  <c r="B170" i="49"/>
  <c r="M169" i="49"/>
  <c r="L169" i="49"/>
  <c r="K169" i="49"/>
  <c r="J169" i="49"/>
  <c r="G169" i="49"/>
  <c r="F169" i="49"/>
  <c r="E169" i="49"/>
  <c r="D169" i="49"/>
  <c r="C169" i="49"/>
  <c r="B169" i="49"/>
  <c r="M168" i="49"/>
  <c r="L168" i="49"/>
  <c r="K168" i="49"/>
  <c r="J168" i="49"/>
  <c r="I168" i="49"/>
  <c r="G168" i="49"/>
  <c r="F168" i="49"/>
  <c r="E168" i="49"/>
  <c r="D168" i="49"/>
  <c r="C168" i="49"/>
  <c r="B168" i="49"/>
  <c r="M167" i="49"/>
  <c r="L167" i="49"/>
  <c r="K167" i="49"/>
  <c r="J167" i="49"/>
  <c r="G167" i="49"/>
  <c r="F167" i="49"/>
  <c r="E167" i="49"/>
  <c r="D167" i="49"/>
  <c r="C167" i="49"/>
  <c r="B167" i="49"/>
  <c r="M166" i="49"/>
  <c r="L166" i="49"/>
  <c r="K166" i="49"/>
  <c r="J166" i="49"/>
  <c r="I166" i="49"/>
  <c r="G166" i="49"/>
  <c r="F166" i="49"/>
  <c r="E166" i="49"/>
  <c r="D166" i="49"/>
  <c r="C166" i="49"/>
  <c r="B166" i="49"/>
  <c r="M165" i="49"/>
  <c r="L165" i="49"/>
  <c r="K165" i="49"/>
  <c r="J165" i="49"/>
  <c r="I165" i="49"/>
  <c r="G165" i="49"/>
  <c r="F165" i="49"/>
  <c r="E165" i="49"/>
  <c r="D165" i="49"/>
  <c r="C165" i="49"/>
  <c r="B165" i="49"/>
  <c r="M164" i="49"/>
  <c r="L164" i="49"/>
  <c r="K164" i="49"/>
  <c r="J164" i="49"/>
  <c r="I164" i="49"/>
  <c r="G164" i="49"/>
  <c r="F164" i="49"/>
  <c r="E164" i="49"/>
  <c r="D164" i="49"/>
  <c r="C164" i="49"/>
  <c r="B164" i="49"/>
  <c r="M163" i="49"/>
  <c r="L163" i="49"/>
  <c r="K163" i="49"/>
  <c r="J163" i="49"/>
  <c r="I163" i="49"/>
  <c r="G163" i="49"/>
  <c r="F163" i="49"/>
  <c r="E163" i="49"/>
  <c r="D163" i="49"/>
  <c r="C163" i="49"/>
  <c r="B163" i="49"/>
  <c r="M162" i="49"/>
  <c r="L162" i="49"/>
  <c r="K162" i="49"/>
  <c r="J162" i="49"/>
  <c r="G162" i="49"/>
  <c r="F162" i="49"/>
  <c r="E162" i="49"/>
  <c r="D162" i="49"/>
  <c r="C162" i="49"/>
  <c r="B162" i="49"/>
  <c r="M161" i="49"/>
  <c r="L161" i="49"/>
  <c r="K161" i="49"/>
  <c r="J161" i="49"/>
  <c r="G161" i="49"/>
  <c r="F161" i="49"/>
  <c r="E161" i="49"/>
  <c r="D161" i="49"/>
  <c r="C161" i="49"/>
  <c r="B161" i="49"/>
  <c r="M160" i="49"/>
  <c r="L160" i="49"/>
  <c r="K160" i="49"/>
  <c r="J160" i="49"/>
  <c r="I160" i="49"/>
  <c r="H160" i="49"/>
  <c r="G160" i="49"/>
  <c r="F160" i="49"/>
  <c r="E160" i="49"/>
  <c r="D160" i="49"/>
  <c r="C160" i="49"/>
  <c r="B160" i="49"/>
  <c r="M159" i="49"/>
  <c r="L159" i="49"/>
  <c r="K159" i="49"/>
  <c r="J159" i="49"/>
  <c r="G159" i="49"/>
  <c r="F159" i="49"/>
  <c r="E159" i="49"/>
  <c r="D159" i="49"/>
  <c r="C159" i="49"/>
  <c r="B159" i="49"/>
  <c r="M158" i="49"/>
  <c r="L158" i="49"/>
  <c r="K158" i="49"/>
  <c r="J158" i="49"/>
  <c r="G158" i="49"/>
  <c r="F158" i="49"/>
  <c r="E158" i="49"/>
  <c r="D158" i="49"/>
  <c r="C158" i="49"/>
  <c r="B158" i="49"/>
  <c r="M157" i="49"/>
  <c r="L157" i="49"/>
  <c r="K157" i="49"/>
  <c r="J157" i="49"/>
  <c r="G157" i="49"/>
  <c r="F157" i="49"/>
  <c r="E157" i="49"/>
  <c r="D157" i="49"/>
  <c r="C157" i="49"/>
  <c r="B157" i="49"/>
  <c r="M156" i="49"/>
  <c r="L156" i="49"/>
  <c r="K156" i="49"/>
  <c r="J156" i="49"/>
  <c r="G156" i="49"/>
  <c r="F156" i="49"/>
  <c r="E156" i="49"/>
  <c r="D156" i="49"/>
  <c r="C156" i="49"/>
  <c r="B156" i="49"/>
  <c r="M155" i="49"/>
  <c r="L155" i="49"/>
  <c r="K155" i="49"/>
  <c r="J155" i="49"/>
  <c r="G155" i="49"/>
  <c r="F155" i="49"/>
  <c r="E155" i="49"/>
  <c r="D155" i="49"/>
  <c r="C155" i="49"/>
  <c r="B155" i="49"/>
  <c r="M154" i="49"/>
  <c r="L154" i="49"/>
  <c r="K154" i="49"/>
  <c r="J154" i="49"/>
  <c r="G154" i="49"/>
  <c r="F154" i="49"/>
  <c r="E154" i="49"/>
  <c r="D154" i="49"/>
  <c r="C154" i="49"/>
  <c r="B154" i="49"/>
  <c r="M153" i="49"/>
  <c r="L153" i="49"/>
  <c r="K153" i="49"/>
  <c r="J153" i="49"/>
  <c r="G153" i="49"/>
  <c r="F153" i="49"/>
  <c r="E153" i="49"/>
  <c r="D153" i="49"/>
  <c r="C153" i="49"/>
  <c r="B153" i="49"/>
  <c r="M152" i="49"/>
  <c r="L152" i="49"/>
  <c r="K152" i="49"/>
  <c r="J152" i="49"/>
  <c r="I152" i="49"/>
  <c r="G152" i="49"/>
  <c r="F152" i="49"/>
  <c r="E152" i="49"/>
  <c r="D152" i="49"/>
  <c r="C152" i="49"/>
  <c r="B152" i="49"/>
  <c r="M151" i="49"/>
  <c r="L151" i="49"/>
  <c r="K151" i="49"/>
  <c r="J151" i="49"/>
  <c r="G151" i="49"/>
  <c r="F151" i="49"/>
  <c r="E151" i="49"/>
  <c r="D151" i="49"/>
  <c r="C151" i="49"/>
  <c r="B151" i="49"/>
  <c r="M150" i="49"/>
  <c r="L150" i="49"/>
  <c r="K150" i="49"/>
  <c r="J150" i="49"/>
  <c r="G150" i="49"/>
  <c r="F150" i="49"/>
  <c r="E150" i="49"/>
  <c r="D150" i="49"/>
  <c r="C150" i="49"/>
  <c r="B150" i="49"/>
  <c r="M149" i="49"/>
  <c r="L149" i="49"/>
  <c r="K149" i="49"/>
  <c r="J149" i="49"/>
  <c r="G149" i="49"/>
  <c r="F149" i="49"/>
  <c r="E149" i="49"/>
  <c r="D149" i="49"/>
  <c r="C149" i="49"/>
  <c r="B149" i="49"/>
  <c r="M148" i="49"/>
  <c r="L148" i="49"/>
  <c r="K148" i="49"/>
  <c r="J148" i="49"/>
  <c r="G148" i="49"/>
  <c r="F148" i="49"/>
  <c r="E148" i="49"/>
  <c r="D148" i="49"/>
  <c r="C148" i="49"/>
  <c r="B148" i="49"/>
  <c r="M147" i="49"/>
  <c r="L147" i="49"/>
  <c r="K147" i="49"/>
  <c r="J147" i="49"/>
  <c r="G147" i="49"/>
  <c r="F147" i="49"/>
  <c r="E147" i="49"/>
  <c r="D147" i="49"/>
  <c r="C147" i="49"/>
  <c r="B147" i="49"/>
  <c r="M146" i="49"/>
  <c r="L146" i="49"/>
  <c r="K146" i="49"/>
  <c r="J146" i="49"/>
  <c r="G146" i="49"/>
  <c r="F146" i="49"/>
  <c r="E146" i="49"/>
  <c r="D146" i="49"/>
  <c r="C146" i="49"/>
  <c r="B146" i="49"/>
  <c r="M145" i="49"/>
  <c r="L145" i="49"/>
  <c r="K145" i="49"/>
  <c r="J145" i="49"/>
  <c r="G145" i="49"/>
  <c r="F145" i="49"/>
  <c r="E145" i="49"/>
  <c r="D145" i="49"/>
  <c r="C145" i="49"/>
  <c r="B145" i="49"/>
  <c r="M144" i="49"/>
  <c r="L144" i="49"/>
  <c r="K144" i="49"/>
  <c r="J144" i="49"/>
  <c r="G144" i="49"/>
  <c r="F144" i="49"/>
  <c r="E144" i="49"/>
  <c r="D144" i="49"/>
  <c r="C144" i="49"/>
  <c r="B144" i="49"/>
  <c r="M143" i="49"/>
  <c r="L143" i="49"/>
  <c r="K143" i="49"/>
  <c r="J143" i="49"/>
  <c r="G143" i="49"/>
  <c r="F143" i="49"/>
  <c r="E143" i="49"/>
  <c r="D143" i="49"/>
  <c r="C143" i="49"/>
  <c r="B143" i="49"/>
  <c r="M142" i="49"/>
  <c r="L142" i="49"/>
  <c r="K142" i="49"/>
  <c r="J142" i="49"/>
  <c r="I142" i="49"/>
  <c r="G142" i="49"/>
  <c r="F142" i="49"/>
  <c r="E142" i="49"/>
  <c r="D142" i="49"/>
  <c r="C142" i="49"/>
  <c r="B142" i="49"/>
  <c r="M141" i="49"/>
  <c r="L141" i="49"/>
  <c r="K141" i="49"/>
  <c r="J141" i="49"/>
  <c r="G141" i="49"/>
  <c r="F141" i="49"/>
  <c r="E141" i="49"/>
  <c r="D141" i="49"/>
  <c r="C141" i="49"/>
  <c r="B141" i="49"/>
  <c r="M140" i="49"/>
  <c r="L140" i="49"/>
  <c r="K140" i="49"/>
  <c r="J140" i="49"/>
  <c r="G140" i="49"/>
  <c r="F140" i="49"/>
  <c r="E140" i="49"/>
  <c r="D140" i="49"/>
  <c r="C140" i="49"/>
  <c r="B140" i="49"/>
  <c r="M139" i="49"/>
  <c r="L139" i="49"/>
  <c r="K139" i="49"/>
  <c r="J139" i="49"/>
  <c r="G139" i="49"/>
  <c r="F139" i="49"/>
  <c r="E139" i="49"/>
  <c r="D139" i="49"/>
  <c r="C139" i="49"/>
  <c r="B139" i="49"/>
  <c r="M138" i="49"/>
  <c r="L138" i="49"/>
  <c r="K138" i="49"/>
  <c r="J138" i="49"/>
  <c r="G138" i="49"/>
  <c r="F138" i="49"/>
  <c r="E138" i="49"/>
  <c r="D138" i="49"/>
  <c r="C138" i="49"/>
  <c r="B138" i="49"/>
  <c r="M137" i="49"/>
  <c r="L137" i="49"/>
  <c r="K137" i="49"/>
  <c r="J137" i="49"/>
  <c r="G137" i="49"/>
  <c r="F137" i="49"/>
  <c r="E137" i="49"/>
  <c r="D137" i="49"/>
  <c r="C137" i="49"/>
  <c r="B137" i="49"/>
  <c r="M136" i="49"/>
  <c r="L136" i="49"/>
  <c r="K136" i="49"/>
  <c r="J136" i="49"/>
  <c r="G136" i="49"/>
  <c r="F136" i="49"/>
  <c r="E136" i="49"/>
  <c r="D136" i="49"/>
  <c r="C136" i="49"/>
  <c r="B136" i="49"/>
  <c r="M135" i="49"/>
  <c r="L135" i="49"/>
  <c r="K135" i="49"/>
  <c r="J135" i="49"/>
  <c r="G135" i="49"/>
  <c r="F135" i="49"/>
  <c r="E135" i="49"/>
  <c r="D135" i="49"/>
  <c r="C135" i="49"/>
  <c r="B135" i="49"/>
  <c r="M134" i="49"/>
  <c r="L134" i="49"/>
  <c r="K134" i="49"/>
  <c r="J134" i="49"/>
  <c r="G134" i="49"/>
  <c r="F134" i="49"/>
  <c r="E134" i="49"/>
  <c r="D134" i="49"/>
  <c r="C134" i="49"/>
  <c r="B134" i="49"/>
  <c r="M133" i="49"/>
  <c r="L133" i="49"/>
  <c r="K133" i="49"/>
  <c r="J133" i="49"/>
  <c r="G133" i="49"/>
  <c r="F133" i="49"/>
  <c r="E133" i="49"/>
  <c r="D133" i="49"/>
  <c r="C133" i="49"/>
  <c r="B133" i="49"/>
  <c r="M132" i="49"/>
  <c r="L132" i="49"/>
  <c r="K132" i="49"/>
  <c r="J132" i="49"/>
  <c r="I132" i="49"/>
  <c r="G132" i="49"/>
  <c r="F132" i="49"/>
  <c r="E132" i="49"/>
  <c r="D132" i="49"/>
  <c r="C132" i="49"/>
  <c r="B132" i="49"/>
  <c r="M131" i="49"/>
  <c r="L131" i="49"/>
  <c r="K131" i="49"/>
  <c r="J131" i="49"/>
  <c r="I131" i="49"/>
  <c r="G131" i="49"/>
  <c r="F131" i="49"/>
  <c r="E131" i="49"/>
  <c r="D131" i="49"/>
  <c r="C131" i="49"/>
  <c r="B131" i="49"/>
  <c r="M130" i="49"/>
  <c r="L130" i="49"/>
  <c r="K130" i="49"/>
  <c r="J130" i="49"/>
  <c r="G130" i="49"/>
  <c r="F130" i="49"/>
  <c r="E130" i="49"/>
  <c r="D130" i="49"/>
  <c r="C130" i="49"/>
  <c r="B130" i="49"/>
  <c r="M129" i="49"/>
  <c r="L129" i="49"/>
  <c r="K129" i="49"/>
  <c r="J129" i="49"/>
  <c r="G129" i="49"/>
  <c r="F129" i="49"/>
  <c r="E129" i="49"/>
  <c r="D129" i="49"/>
  <c r="C129" i="49"/>
  <c r="B129" i="49"/>
  <c r="M128" i="49"/>
  <c r="L128" i="49"/>
  <c r="K128" i="49"/>
  <c r="J128" i="49"/>
  <c r="I128" i="49"/>
  <c r="G128" i="49"/>
  <c r="F128" i="49"/>
  <c r="E128" i="49"/>
  <c r="D128" i="49"/>
  <c r="C128" i="49"/>
  <c r="B128" i="49"/>
  <c r="M127" i="49"/>
  <c r="L127" i="49"/>
  <c r="K127" i="49"/>
  <c r="J127" i="49"/>
  <c r="G127" i="49"/>
  <c r="F127" i="49"/>
  <c r="E127" i="49"/>
  <c r="D127" i="49"/>
  <c r="C127" i="49"/>
  <c r="B127" i="49"/>
  <c r="M126" i="49"/>
  <c r="L126" i="49"/>
  <c r="K126" i="49"/>
  <c r="J126" i="49"/>
  <c r="G126" i="49"/>
  <c r="F126" i="49"/>
  <c r="E126" i="49"/>
  <c r="D126" i="49"/>
  <c r="C126" i="49"/>
  <c r="B126" i="49"/>
  <c r="M125" i="49"/>
  <c r="L125" i="49"/>
  <c r="K125" i="49"/>
  <c r="J125" i="49"/>
  <c r="I125" i="49"/>
  <c r="G125" i="49"/>
  <c r="F125" i="49"/>
  <c r="E125" i="49"/>
  <c r="D125" i="49"/>
  <c r="C125" i="49"/>
  <c r="B125" i="49"/>
  <c r="M124" i="49"/>
  <c r="L124" i="49"/>
  <c r="K124" i="49"/>
  <c r="J124" i="49"/>
  <c r="G124" i="49"/>
  <c r="F124" i="49"/>
  <c r="E124" i="49"/>
  <c r="D124" i="49"/>
  <c r="C124" i="49"/>
  <c r="B124" i="49"/>
  <c r="M123" i="49"/>
  <c r="L123" i="49"/>
  <c r="K123" i="49"/>
  <c r="J123" i="49"/>
  <c r="G123" i="49"/>
  <c r="F123" i="49"/>
  <c r="E123" i="49"/>
  <c r="D123" i="49"/>
  <c r="C123" i="49"/>
  <c r="B123" i="49"/>
  <c r="M122" i="49"/>
  <c r="L122" i="49"/>
  <c r="K122" i="49"/>
  <c r="J122" i="49"/>
  <c r="G122" i="49"/>
  <c r="F122" i="49"/>
  <c r="E122" i="49"/>
  <c r="D122" i="49"/>
  <c r="C122" i="49"/>
  <c r="B122" i="49"/>
  <c r="M121" i="49"/>
  <c r="L121" i="49"/>
  <c r="K121" i="49"/>
  <c r="J121" i="49"/>
  <c r="I121" i="49"/>
  <c r="H121" i="49"/>
  <c r="G121" i="49"/>
  <c r="F121" i="49"/>
  <c r="E121" i="49"/>
  <c r="D121" i="49"/>
  <c r="C121" i="49"/>
  <c r="B121" i="49"/>
  <c r="M120" i="49"/>
  <c r="L120" i="49"/>
  <c r="K120" i="49"/>
  <c r="J120" i="49"/>
  <c r="G120" i="49"/>
  <c r="F120" i="49"/>
  <c r="E120" i="49"/>
  <c r="D120" i="49"/>
  <c r="C120" i="49"/>
  <c r="B120" i="49"/>
  <c r="M119" i="49"/>
  <c r="L119" i="49"/>
  <c r="K119" i="49"/>
  <c r="J119" i="49"/>
  <c r="I119" i="49"/>
  <c r="H119" i="49"/>
  <c r="G119" i="49"/>
  <c r="F119" i="49"/>
  <c r="E119" i="49"/>
  <c r="D119" i="49"/>
  <c r="C119" i="49"/>
  <c r="B119" i="49"/>
  <c r="M118" i="49"/>
  <c r="L118" i="49"/>
  <c r="K118" i="49"/>
  <c r="J118" i="49"/>
  <c r="I118" i="49"/>
  <c r="G118" i="49"/>
  <c r="F118" i="49"/>
  <c r="E118" i="49"/>
  <c r="D118" i="49"/>
  <c r="C118" i="49"/>
  <c r="B118" i="49"/>
  <c r="M117" i="49"/>
  <c r="L117" i="49"/>
  <c r="K117" i="49"/>
  <c r="J117" i="49"/>
  <c r="G117" i="49"/>
  <c r="F117" i="49"/>
  <c r="E117" i="49"/>
  <c r="D117" i="49"/>
  <c r="C117" i="49"/>
  <c r="B117" i="49"/>
  <c r="M116" i="49"/>
  <c r="L116" i="49"/>
  <c r="K116" i="49"/>
  <c r="J116" i="49"/>
  <c r="G116" i="49"/>
  <c r="F116" i="49"/>
  <c r="E116" i="49"/>
  <c r="D116" i="49"/>
  <c r="C116" i="49"/>
  <c r="B116" i="49"/>
  <c r="M115" i="49"/>
  <c r="L115" i="49"/>
  <c r="K115" i="49"/>
  <c r="J115" i="49"/>
  <c r="G115" i="49"/>
  <c r="F115" i="49"/>
  <c r="E115" i="49"/>
  <c r="D115" i="49"/>
  <c r="C115" i="49"/>
  <c r="B115" i="49"/>
  <c r="M114" i="49"/>
  <c r="L114" i="49"/>
  <c r="K114" i="49"/>
  <c r="J114" i="49"/>
  <c r="G114" i="49"/>
  <c r="F114" i="49"/>
  <c r="E114" i="49"/>
  <c r="D114" i="49"/>
  <c r="C114" i="49"/>
  <c r="B114" i="49"/>
  <c r="M113" i="49"/>
  <c r="L113" i="49"/>
  <c r="K113" i="49"/>
  <c r="J113" i="49"/>
  <c r="G113" i="49"/>
  <c r="F113" i="49"/>
  <c r="E113" i="49"/>
  <c r="D113" i="49"/>
  <c r="C113" i="49"/>
  <c r="B113" i="49"/>
  <c r="M112" i="49"/>
  <c r="L112" i="49"/>
  <c r="K112" i="49"/>
  <c r="J112" i="49"/>
  <c r="G112" i="49"/>
  <c r="F112" i="49"/>
  <c r="E112" i="49"/>
  <c r="D112" i="49"/>
  <c r="C112" i="49"/>
  <c r="B112" i="49"/>
  <c r="M111" i="49"/>
  <c r="L111" i="49"/>
  <c r="K111" i="49"/>
  <c r="J111" i="49"/>
  <c r="G111" i="49"/>
  <c r="F111" i="49"/>
  <c r="E111" i="49"/>
  <c r="D111" i="49"/>
  <c r="C111" i="49"/>
  <c r="B111" i="49"/>
  <c r="M110" i="49"/>
  <c r="L110" i="49"/>
  <c r="K110" i="49"/>
  <c r="J110" i="49"/>
  <c r="I110" i="49"/>
  <c r="G110" i="49"/>
  <c r="F110" i="49"/>
  <c r="E110" i="49"/>
  <c r="D110" i="49"/>
  <c r="C110" i="49"/>
  <c r="B110" i="49"/>
  <c r="M109" i="49"/>
  <c r="L109" i="49"/>
  <c r="K109" i="49"/>
  <c r="J109" i="49"/>
  <c r="G109" i="49"/>
  <c r="F109" i="49"/>
  <c r="E109" i="49"/>
  <c r="D109" i="49"/>
  <c r="C109" i="49"/>
  <c r="B109" i="49"/>
  <c r="M108" i="49"/>
  <c r="L108" i="49"/>
  <c r="K108" i="49"/>
  <c r="J108" i="49"/>
  <c r="H108" i="49"/>
  <c r="G108" i="49"/>
  <c r="F108" i="49"/>
  <c r="E108" i="49"/>
  <c r="D108" i="49"/>
  <c r="C108" i="49"/>
  <c r="B108" i="49"/>
  <c r="M107" i="49"/>
  <c r="L107" i="49"/>
  <c r="K107" i="49"/>
  <c r="J107" i="49"/>
  <c r="G107" i="49"/>
  <c r="F107" i="49"/>
  <c r="E107" i="49"/>
  <c r="D107" i="49"/>
  <c r="C107" i="49"/>
  <c r="B107" i="49"/>
  <c r="M106" i="49"/>
  <c r="L106" i="49"/>
  <c r="K106" i="49"/>
  <c r="J106" i="49"/>
  <c r="I106" i="49"/>
  <c r="G106" i="49"/>
  <c r="F106" i="49"/>
  <c r="E106" i="49"/>
  <c r="D106" i="49"/>
  <c r="C106" i="49"/>
  <c r="B106" i="49"/>
  <c r="M105" i="49"/>
  <c r="L105" i="49"/>
  <c r="K105" i="49"/>
  <c r="J105" i="49"/>
  <c r="I105" i="49"/>
  <c r="G105" i="49"/>
  <c r="F105" i="49"/>
  <c r="E105" i="49"/>
  <c r="D105" i="49"/>
  <c r="C105" i="49"/>
  <c r="B105" i="49"/>
  <c r="M104" i="49"/>
  <c r="L104" i="49"/>
  <c r="K104" i="49"/>
  <c r="J104" i="49"/>
  <c r="I104" i="49"/>
  <c r="G104" i="49"/>
  <c r="F104" i="49"/>
  <c r="E104" i="49"/>
  <c r="D104" i="49"/>
  <c r="C104" i="49"/>
  <c r="B104" i="49"/>
  <c r="M103" i="49"/>
  <c r="L103" i="49"/>
  <c r="K103" i="49"/>
  <c r="J103" i="49"/>
  <c r="G103" i="49"/>
  <c r="F103" i="49"/>
  <c r="E103" i="49"/>
  <c r="D103" i="49"/>
  <c r="C103" i="49"/>
  <c r="B103" i="49"/>
  <c r="M102" i="49"/>
  <c r="L102" i="49"/>
  <c r="K102" i="49"/>
  <c r="J102" i="49"/>
  <c r="I102" i="49"/>
  <c r="G102" i="49"/>
  <c r="F102" i="49"/>
  <c r="E102" i="49"/>
  <c r="D102" i="49"/>
  <c r="C102" i="49"/>
  <c r="B102" i="49"/>
  <c r="M101" i="49"/>
  <c r="L101" i="49"/>
  <c r="K101" i="49"/>
  <c r="J101" i="49"/>
  <c r="G101" i="49"/>
  <c r="F101" i="49"/>
  <c r="E101" i="49"/>
  <c r="D101" i="49"/>
  <c r="C101" i="49"/>
  <c r="B101" i="49"/>
  <c r="M100" i="49"/>
  <c r="L100" i="49"/>
  <c r="K100" i="49"/>
  <c r="J100" i="49"/>
  <c r="I100" i="49"/>
  <c r="G100" i="49"/>
  <c r="F100" i="49"/>
  <c r="E100" i="49"/>
  <c r="D100" i="49"/>
  <c r="C100" i="49"/>
  <c r="B100" i="49"/>
  <c r="M99" i="49"/>
  <c r="L99" i="49"/>
  <c r="K99" i="49"/>
  <c r="J99" i="49"/>
  <c r="G99" i="49"/>
  <c r="F99" i="49"/>
  <c r="E99" i="49"/>
  <c r="D99" i="49"/>
  <c r="C99" i="49"/>
  <c r="B99" i="49"/>
  <c r="M98" i="49"/>
  <c r="L98" i="49"/>
  <c r="K98" i="49"/>
  <c r="J98" i="49"/>
  <c r="I98" i="49"/>
  <c r="G98" i="49"/>
  <c r="F98" i="49"/>
  <c r="E98" i="49"/>
  <c r="D98" i="49"/>
  <c r="C98" i="49"/>
  <c r="B98" i="49"/>
  <c r="M97" i="49"/>
  <c r="L97" i="49"/>
  <c r="K97" i="49"/>
  <c r="J97" i="49"/>
  <c r="I97" i="49"/>
  <c r="G97" i="49"/>
  <c r="F97" i="49"/>
  <c r="E97" i="49"/>
  <c r="D97" i="49"/>
  <c r="C97" i="49"/>
  <c r="B97" i="49"/>
  <c r="M96" i="49"/>
  <c r="L96" i="49"/>
  <c r="K96" i="49"/>
  <c r="J96" i="49"/>
  <c r="I96" i="49"/>
  <c r="G96" i="49"/>
  <c r="F96" i="49"/>
  <c r="E96" i="49"/>
  <c r="D96" i="49"/>
  <c r="C96" i="49"/>
  <c r="B96" i="49"/>
  <c r="M95" i="49"/>
  <c r="L95" i="49"/>
  <c r="K95" i="49"/>
  <c r="J95" i="49"/>
  <c r="G95" i="49"/>
  <c r="F95" i="49"/>
  <c r="E95" i="49"/>
  <c r="D95" i="49"/>
  <c r="C95" i="49"/>
  <c r="B95" i="49"/>
  <c r="M94" i="49"/>
  <c r="L94" i="49"/>
  <c r="K94" i="49"/>
  <c r="J94" i="49"/>
  <c r="G94" i="49"/>
  <c r="F94" i="49"/>
  <c r="E94" i="49"/>
  <c r="D94" i="49"/>
  <c r="C94" i="49"/>
  <c r="B94" i="49"/>
  <c r="M93" i="49"/>
  <c r="L93" i="49"/>
  <c r="K93" i="49"/>
  <c r="J93" i="49"/>
  <c r="I93" i="49"/>
  <c r="G93" i="49"/>
  <c r="F93" i="49"/>
  <c r="E93" i="49"/>
  <c r="D93" i="49"/>
  <c r="C93" i="49"/>
  <c r="B93" i="49"/>
  <c r="M92" i="49"/>
  <c r="L92" i="49"/>
  <c r="K92" i="49"/>
  <c r="J92" i="49"/>
  <c r="G92" i="49"/>
  <c r="F92" i="49"/>
  <c r="E92" i="49"/>
  <c r="D92" i="49"/>
  <c r="C92" i="49"/>
  <c r="B92" i="49"/>
  <c r="M91" i="49"/>
  <c r="L91" i="49"/>
  <c r="K91" i="49"/>
  <c r="J91" i="49"/>
  <c r="G91" i="49"/>
  <c r="F91" i="49"/>
  <c r="E91" i="49"/>
  <c r="D91" i="49"/>
  <c r="C91" i="49"/>
  <c r="B91" i="49"/>
  <c r="M90" i="49"/>
  <c r="L90" i="49"/>
  <c r="K90" i="49"/>
  <c r="J90" i="49"/>
  <c r="I90" i="49"/>
  <c r="G90" i="49"/>
  <c r="F90" i="49"/>
  <c r="E90" i="49"/>
  <c r="D90" i="49"/>
  <c r="C90" i="49"/>
  <c r="B90" i="49"/>
  <c r="M89" i="49"/>
  <c r="L89" i="49"/>
  <c r="K89" i="49"/>
  <c r="J89" i="49"/>
  <c r="G89" i="49"/>
  <c r="F89" i="49"/>
  <c r="E89" i="49"/>
  <c r="D89" i="49"/>
  <c r="C89" i="49"/>
  <c r="B89" i="49"/>
  <c r="M88" i="49"/>
  <c r="L88" i="49"/>
  <c r="K88" i="49"/>
  <c r="J88" i="49"/>
  <c r="I88" i="49"/>
  <c r="H88" i="49"/>
  <c r="G88" i="49"/>
  <c r="F88" i="49"/>
  <c r="E88" i="49"/>
  <c r="D88" i="49"/>
  <c r="C88" i="49"/>
  <c r="B88" i="49"/>
  <c r="M87" i="49"/>
  <c r="L87" i="49"/>
  <c r="K87" i="49"/>
  <c r="J87" i="49"/>
  <c r="I87" i="49"/>
  <c r="G87" i="49"/>
  <c r="F87" i="49"/>
  <c r="E87" i="49"/>
  <c r="D87" i="49"/>
  <c r="C87" i="49"/>
  <c r="B87" i="49"/>
  <c r="M86" i="49"/>
  <c r="L86" i="49"/>
  <c r="K86" i="49"/>
  <c r="J86" i="49"/>
  <c r="G86" i="49"/>
  <c r="F86" i="49"/>
  <c r="E86" i="49"/>
  <c r="D86" i="49"/>
  <c r="C86" i="49"/>
  <c r="B86" i="49"/>
  <c r="M85" i="49"/>
  <c r="L85" i="49"/>
  <c r="K85" i="49"/>
  <c r="J85" i="49"/>
  <c r="I85" i="49"/>
  <c r="G85" i="49"/>
  <c r="F85" i="49"/>
  <c r="E85" i="49"/>
  <c r="D85" i="49"/>
  <c r="C85" i="49"/>
  <c r="B85" i="49"/>
  <c r="M84" i="49"/>
  <c r="L84" i="49"/>
  <c r="K84" i="49"/>
  <c r="J84" i="49"/>
  <c r="G84" i="49"/>
  <c r="F84" i="49"/>
  <c r="E84" i="49"/>
  <c r="D84" i="49"/>
  <c r="C84" i="49"/>
  <c r="B84" i="49"/>
  <c r="M83" i="49"/>
  <c r="L83" i="49"/>
  <c r="K83" i="49"/>
  <c r="J83" i="49"/>
  <c r="I83" i="49"/>
  <c r="G83" i="49"/>
  <c r="F83" i="49"/>
  <c r="E83" i="49"/>
  <c r="D83" i="49"/>
  <c r="C83" i="49"/>
  <c r="B83" i="49"/>
  <c r="M82" i="49"/>
  <c r="L82" i="49"/>
  <c r="K82" i="49"/>
  <c r="J82" i="49"/>
  <c r="I82" i="49"/>
  <c r="G82" i="49"/>
  <c r="F82" i="49"/>
  <c r="E82" i="49"/>
  <c r="D82" i="49"/>
  <c r="C82" i="49"/>
  <c r="B82" i="49"/>
  <c r="M81" i="49"/>
  <c r="L81" i="49"/>
  <c r="K81" i="49"/>
  <c r="J81" i="49"/>
  <c r="I81" i="49"/>
  <c r="G81" i="49"/>
  <c r="F81" i="49"/>
  <c r="E81" i="49"/>
  <c r="D81" i="49"/>
  <c r="C81" i="49"/>
  <c r="B81" i="49"/>
  <c r="M80" i="49"/>
  <c r="L80" i="49"/>
  <c r="K80" i="49"/>
  <c r="J80" i="49"/>
  <c r="I80" i="49"/>
  <c r="G80" i="49"/>
  <c r="F80" i="49"/>
  <c r="E80" i="49"/>
  <c r="D80" i="49"/>
  <c r="C80" i="49"/>
  <c r="B80" i="49"/>
  <c r="M79" i="49"/>
  <c r="L79" i="49"/>
  <c r="K79" i="49"/>
  <c r="J79" i="49"/>
  <c r="I79" i="49"/>
  <c r="G79" i="49"/>
  <c r="F79" i="49"/>
  <c r="E79" i="49"/>
  <c r="D79" i="49"/>
  <c r="C79" i="49"/>
  <c r="B79" i="49"/>
  <c r="M78" i="49"/>
  <c r="L78" i="49"/>
  <c r="K78" i="49"/>
  <c r="J78" i="49"/>
  <c r="I78" i="49"/>
  <c r="G78" i="49"/>
  <c r="F78" i="49"/>
  <c r="E78" i="49"/>
  <c r="D78" i="49"/>
  <c r="C78" i="49"/>
  <c r="B78" i="49"/>
  <c r="M77" i="49"/>
  <c r="L77" i="49"/>
  <c r="K77" i="49"/>
  <c r="J77" i="49"/>
  <c r="I77" i="49"/>
  <c r="G77" i="49"/>
  <c r="F77" i="49"/>
  <c r="E77" i="49"/>
  <c r="D77" i="49"/>
  <c r="C77" i="49"/>
  <c r="B77" i="49"/>
  <c r="M76" i="49"/>
  <c r="L76" i="49"/>
  <c r="K76" i="49"/>
  <c r="J76" i="49"/>
  <c r="H76" i="49"/>
  <c r="G76" i="49"/>
  <c r="F76" i="49"/>
  <c r="E76" i="49"/>
  <c r="D76" i="49"/>
  <c r="C76" i="49"/>
  <c r="B76" i="49"/>
  <c r="M75" i="49"/>
  <c r="L75" i="49"/>
  <c r="K75" i="49"/>
  <c r="J75" i="49"/>
  <c r="I75" i="49"/>
  <c r="G75" i="49"/>
  <c r="F75" i="49"/>
  <c r="E75" i="49"/>
  <c r="D75" i="49"/>
  <c r="C75" i="49"/>
  <c r="B75" i="49"/>
  <c r="M74" i="49"/>
  <c r="L74" i="49"/>
  <c r="K74" i="49"/>
  <c r="J74" i="49"/>
  <c r="I74" i="49"/>
  <c r="G74" i="49"/>
  <c r="F74" i="49"/>
  <c r="E74" i="49"/>
  <c r="D74" i="49"/>
  <c r="C74" i="49"/>
  <c r="B74" i="49"/>
  <c r="M73" i="49"/>
  <c r="L73" i="49"/>
  <c r="K73" i="49"/>
  <c r="J73" i="49"/>
  <c r="I73" i="49"/>
  <c r="G73" i="49"/>
  <c r="F73" i="49"/>
  <c r="E73" i="49"/>
  <c r="D73" i="49"/>
  <c r="C73" i="49"/>
  <c r="B73" i="49"/>
  <c r="M72" i="49"/>
  <c r="L72" i="49"/>
  <c r="K72" i="49"/>
  <c r="J72" i="49"/>
  <c r="H72" i="49"/>
  <c r="G72" i="49"/>
  <c r="F72" i="49"/>
  <c r="E72" i="49"/>
  <c r="D72" i="49"/>
  <c r="C72" i="49"/>
  <c r="B72" i="49"/>
  <c r="M71" i="49"/>
  <c r="L71" i="49"/>
  <c r="K71" i="49"/>
  <c r="J71" i="49"/>
  <c r="G71" i="49"/>
  <c r="F71" i="49"/>
  <c r="E71" i="49"/>
  <c r="D71" i="49"/>
  <c r="C71" i="49"/>
  <c r="B71" i="49"/>
  <c r="M70" i="49"/>
  <c r="L70" i="49"/>
  <c r="K70" i="49"/>
  <c r="J70" i="49"/>
  <c r="G70" i="49"/>
  <c r="F70" i="49"/>
  <c r="E70" i="49"/>
  <c r="D70" i="49"/>
  <c r="C70" i="49"/>
  <c r="B70" i="49"/>
  <c r="M69" i="49"/>
  <c r="L69" i="49"/>
  <c r="K69" i="49"/>
  <c r="J69" i="49"/>
  <c r="G69" i="49"/>
  <c r="F69" i="49"/>
  <c r="E69" i="49"/>
  <c r="D69" i="49"/>
  <c r="C69" i="49"/>
  <c r="B69" i="49"/>
  <c r="M68" i="49"/>
  <c r="L68" i="49"/>
  <c r="K68" i="49"/>
  <c r="J68" i="49"/>
  <c r="G68" i="49"/>
  <c r="F68" i="49"/>
  <c r="E68" i="49"/>
  <c r="D68" i="49"/>
  <c r="C68" i="49"/>
  <c r="B68" i="49"/>
  <c r="M67" i="49"/>
  <c r="L67" i="49"/>
  <c r="K67" i="49"/>
  <c r="J67" i="49"/>
  <c r="G67" i="49"/>
  <c r="F67" i="49"/>
  <c r="E67" i="49"/>
  <c r="D67" i="49"/>
  <c r="C67" i="49"/>
  <c r="B67" i="49"/>
  <c r="M66" i="49"/>
  <c r="L66" i="49"/>
  <c r="K66" i="49"/>
  <c r="J66" i="49"/>
  <c r="H66" i="49"/>
  <c r="G66" i="49"/>
  <c r="F66" i="49"/>
  <c r="E66" i="49"/>
  <c r="D66" i="49"/>
  <c r="C66" i="49"/>
  <c r="B66" i="49"/>
  <c r="M65" i="49"/>
  <c r="L65" i="49"/>
  <c r="K65" i="49"/>
  <c r="J65" i="49"/>
  <c r="I65" i="49"/>
  <c r="G65" i="49"/>
  <c r="F65" i="49"/>
  <c r="E65" i="49"/>
  <c r="D65" i="49"/>
  <c r="C65" i="49"/>
  <c r="B65" i="49"/>
  <c r="M64" i="49"/>
  <c r="L64" i="49"/>
  <c r="K64" i="49"/>
  <c r="J64" i="49"/>
  <c r="G64" i="49"/>
  <c r="F64" i="49"/>
  <c r="E64" i="49"/>
  <c r="D64" i="49"/>
  <c r="C64" i="49"/>
  <c r="B64" i="49"/>
  <c r="M63" i="49"/>
  <c r="L63" i="49"/>
  <c r="K63" i="49"/>
  <c r="J63" i="49"/>
  <c r="G63" i="49"/>
  <c r="F63" i="49"/>
  <c r="E63" i="49"/>
  <c r="D63" i="49"/>
  <c r="C63" i="49"/>
  <c r="B63" i="49"/>
  <c r="M62" i="49"/>
  <c r="L62" i="49"/>
  <c r="K62" i="49"/>
  <c r="J62" i="49"/>
  <c r="G62" i="49"/>
  <c r="F62" i="49"/>
  <c r="E62" i="49"/>
  <c r="D62" i="49"/>
  <c r="C62" i="49"/>
  <c r="B62" i="49"/>
  <c r="M61" i="49"/>
  <c r="L61" i="49"/>
  <c r="K61" i="49"/>
  <c r="J61" i="49"/>
  <c r="G61" i="49"/>
  <c r="F61" i="49"/>
  <c r="E61" i="49"/>
  <c r="D61" i="49"/>
  <c r="C61" i="49"/>
  <c r="B61" i="49"/>
  <c r="M60" i="49"/>
  <c r="L60" i="49"/>
  <c r="K60" i="49"/>
  <c r="J60" i="49"/>
  <c r="G60" i="49"/>
  <c r="F60" i="49"/>
  <c r="E60" i="49"/>
  <c r="D60" i="49"/>
  <c r="C60" i="49"/>
  <c r="B60" i="49"/>
  <c r="M59" i="49"/>
  <c r="L59" i="49"/>
  <c r="K59" i="49"/>
  <c r="J59" i="49"/>
  <c r="I59" i="49"/>
  <c r="H59" i="49"/>
  <c r="G59" i="49"/>
  <c r="F59" i="49"/>
  <c r="E59" i="49"/>
  <c r="D59" i="49"/>
  <c r="C59" i="49"/>
  <c r="B59" i="49"/>
  <c r="M58" i="49"/>
  <c r="L58" i="49"/>
  <c r="K58" i="49"/>
  <c r="J58" i="49"/>
  <c r="G58" i="49"/>
  <c r="F58" i="49"/>
  <c r="E58" i="49"/>
  <c r="D58" i="49"/>
  <c r="C58" i="49"/>
  <c r="B58" i="49"/>
  <c r="M57" i="49"/>
  <c r="L57" i="49"/>
  <c r="K57" i="49"/>
  <c r="J57" i="49"/>
  <c r="G57" i="49"/>
  <c r="F57" i="49"/>
  <c r="E57" i="49"/>
  <c r="D57" i="49"/>
  <c r="C57" i="49"/>
  <c r="B57" i="49"/>
  <c r="M56" i="49"/>
  <c r="L56" i="49"/>
  <c r="K56" i="49"/>
  <c r="J56" i="49"/>
  <c r="G56" i="49"/>
  <c r="F56" i="49"/>
  <c r="E56" i="49"/>
  <c r="D56" i="49"/>
  <c r="C56" i="49"/>
  <c r="B56" i="49"/>
  <c r="M55" i="49"/>
  <c r="L55" i="49"/>
  <c r="K55" i="49"/>
  <c r="J55" i="49"/>
  <c r="I55" i="49"/>
  <c r="G55" i="49"/>
  <c r="F55" i="49"/>
  <c r="E55" i="49"/>
  <c r="D55" i="49"/>
  <c r="C55" i="49"/>
  <c r="B55" i="49"/>
  <c r="M54" i="49"/>
  <c r="L54" i="49"/>
  <c r="K54" i="49"/>
  <c r="J54" i="49"/>
  <c r="G54" i="49"/>
  <c r="F54" i="49"/>
  <c r="E54" i="49"/>
  <c r="D54" i="49"/>
  <c r="C54" i="49"/>
  <c r="B54" i="49"/>
  <c r="M53" i="49"/>
  <c r="L53" i="49"/>
  <c r="K53" i="49"/>
  <c r="J53" i="49"/>
  <c r="G53" i="49"/>
  <c r="F53" i="49"/>
  <c r="E53" i="49"/>
  <c r="D53" i="49"/>
  <c r="C53" i="49"/>
  <c r="B53" i="49"/>
  <c r="M52" i="49"/>
  <c r="L52" i="49"/>
  <c r="K52" i="49"/>
  <c r="J52" i="49"/>
  <c r="G52" i="49"/>
  <c r="F52" i="49"/>
  <c r="E52" i="49"/>
  <c r="D52" i="49"/>
  <c r="C52" i="49"/>
  <c r="B52" i="49"/>
  <c r="M51" i="49"/>
  <c r="L51" i="49"/>
  <c r="K51" i="49"/>
  <c r="J51" i="49"/>
  <c r="G51" i="49"/>
  <c r="F51" i="49"/>
  <c r="E51" i="49"/>
  <c r="D51" i="49"/>
  <c r="C51" i="49"/>
  <c r="B51" i="49"/>
  <c r="M50" i="49"/>
  <c r="L50" i="49"/>
  <c r="K50" i="49"/>
  <c r="J50" i="49"/>
  <c r="G50" i="49"/>
  <c r="F50" i="49"/>
  <c r="E50" i="49"/>
  <c r="D50" i="49"/>
  <c r="C50" i="49"/>
  <c r="B50" i="49"/>
  <c r="M49" i="49"/>
  <c r="L49" i="49"/>
  <c r="K49" i="49"/>
  <c r="J49" i="49"/>
  <c r="G49" i="49"/>
  <c r="F49" i="49"/>
  <c r="E49" i="49"/>
  <c r="D49" i="49"/>
  <c r="C49" i="49"/>
  <c r="B49" i="49"/>
  <c r="M48" i="49"/>
  <c r="L48" i="49"/>
  <c r="K48" i="49"/>
  <c r="J48" i="49"/>
  <c r="G48" i="49"/>
  <c r="F48" i="49"/>
  <c r="E48" i="49"/>
  <c r="D48" i="49"/>
  <c r="C48" i="49"/>
  <c r="B48" i="49"/>
  <c r="M47" i="49"/>
  <c r="L47" i="49"/>
  <c r="K47" i="49"/>
  <c r="J47" i="49"/>
  <c r="G47" i="49"/>
  <c r="F47" i="49"/>
  <c r="E47" i="49"/>
  <c r="D47" i="49"/>
  <c r="C47" i="49"/>
  <c r="B47" i="49"/>
  <c r="M46" i="49"/>
  <c r="L46" i="49"/>
  <c r="K46" i="49"/>
  <c r="J46" i="49"/>
  <c r="G46" i="49"/>
  <c r="F46" i="49"/>
  <c r="E46" i="49"/>
  <c r="D46" i="49"/>
  <c r="C46" i="49"/>
  <c r="B46" i="49"/>
  <c r="M45" i="49"/>
  <c r="L45" i="49"/>
  <c r="K45" i="49"/>
  <c r="J45" i="49"/>
  <c r="G45" i="49"/>
  <c r="F45" i="49"/>
  <c r="E45" i="49"/>
  <c r="D45" i="49"/>
  <c r="C45" i="49"/>
  <c r="B45" i="49"/>
  <c r="M44" i="49"/>
  <c r="L44" i="49"/>
  <c r="K44" i="49"/>
  <c r="J44" i="49"/>
  <c r="G44" i="49"/>
  <c r="F44" i="49"/>
  <c r="E44" i="49"/>
  <c r="D44" i="49"/>
  <c r="C44" i="49"/>
  <c r="B44" i="49"/>
  <c r="M43" i="49"/>
  <c r="L43" i="49"/>
  <c r="K43" i="49"/>
  <c r="J43" i="49"/>
  <c r="H43" i="49"/>
  <c r="G43" i="49"/>
  <c r="F43" i="49"/>
  <c r="E43" i="49"/>
  <c r="D43" i="49"/>
  <c r="C43" i="49"/>
  <c r="B43" i="49"/>
  <c r="M42" i="49"/>
  <c r="L42" i="49"/>
  <c r="K42" i="49"/>
  <c r="J42" i="49"/>
  <c r="G42" i="49"/>
  <c r="F42" i="49"/>
  <c r="E42" i="49"/>
  <c r="D42" i="49"/>
  <c r="C42" i="49"/>
  <c r="B42" i="49"/>
  <c r="M41" i="49"/>
  <c r="L41" i="49"/>
  <c r="K41" i="49"/>
  <c r="J41" i="49"/>
  <c r="G41" i="49"/>
  <c r="F41" i="49"/>
  <c r="E41" i="49"/>
  <c r="D41" i="49"/>
  <c r="C41" i="49"/>
  <c r="B41" i="49"/>
  <c r="M40" i="49"/>
  <c r="L40" i="49"/>
  <c r="K40" i="49"/>
  <c r="J40" i="49"/>
  <c r="G40" i="49"/>
  <c r="F40" i="49"/>
  <c r="E40" i="49"/>
  <c r="D40" i="49"/>
  <c r="C40" i="49"/>
  <c r="B40" i="49"/>
  <c r="M39" i="49"/>
  <c r="L39" i="49"/>
  <c r="K39" i="49"/>
  <c r="J39" i="49"/>
  <c r="I39" i="49"/>
  <c r="G39" i="49"/>
  <c r="F39" i="49"/>
  <c r="E39" i="49"/>
  <c r="D39" i="49"/>
  <c r="C39" i="49"/>
  <c r="B39" i="49"/>
  <c r="M38" i="49"/>
  <c r="L38" i="49"/>
  <c r="K38" i="49"/>
  <c r="J38" i="49"/>
  <c r="G38" i="49"/>
  <c r="F38" i="49"/>
  <c r="E38" i="49"/>
  <c r="D38" i="49"/>
  <c r="C38" i="49"/>
  <c r="B38" i="49"/>
  <c r="M37" i="49"/>
  <c r="L37" i="49"/>
  <c r="K37" i="49"/>
  <c r="J37" i="49"/>
  <c r="G37" i="49"/>
  <c r="F37" i="49"/>
  <c r="E37" i="49"/>
  <c r="D37" i="49"/>
  <c r="C37" i="49"/>
  <c r="B37" i="49"/>
  <c r="M36" i="49"/>
  <c r="L36" i="49"/>
  <c r="K36" i="49"/>
  <c r="J36" i="49"/>
  <c r="H36" i="49"/>
  <c r="G36" i="49"/>
  <c r="F36" i="49"/>
  <c r="E36" i="49"/>
  <c r="D36" i="49"/>
  <c r="C36" i="49"/>
  <c r="B36" i="49"/>
  <c r="M35" i="49"/>
  <c r="L35" i="49"/>
  <c r="K35" i="49"/>
  <c r="J35" i="49"/>
  <c r="G35" i="49"/>
  <c r="F35" i="49"/>
  <c r="E35" i="49"/>
  <c r="D35" i="49"/>
  <c r="C35" i="49"/>
  <c r="B35" i="49"/>
  <c r="M34" i="49"/>
  <c r="L34" i="49"/>
  <c r="K34" i="49"/>
  <c r="J34" i="49"/>
  <c r="G34" i="49"/>
  <c r="F34" i="49"/>
  <c r="E34" i="49"/>
  <c r="D34" i="49"/>
  <c r="C34" i="49"/>
  <c r="B34" i="49"/>
  <c r="M33" i="49"/>
  <c r="L33" i="49"/>
  <c r="K33" i="49"/>
  <c r="J33" i="49"/>
  <c r="H33" i="49"/>
  <c r="G33" i="49"/>
  <c r="F33" i="49"/>
  <c r="E33" i="49"/>
  <c r="D33" i="49"/>
  <c r="C33" i="49"/>
  <c r="B33" i="49"/>
  <c r="M32" i="49"/>
  <c r="L32" i="49"/>
  <c r="K32" i="49"/>
  <c r="J32" i="49"/>
  <c r="H32" i="49"/>
  <c r="G32" i="49"/>
  <c r="F32" i="49"/>
  <c r="E32" i="49"/>
  <c r="D32" i="49"/>
  <c r="C32" i="49"/>
  <c r="B32" i="49"/>
  <c r="M31" i="49"/>
  <c r="L31" i="49"/>
  <c r="K31" i="49"/>
  <c r="J31" i="49"/>
  <c r="H31" i="49"/>
  <c r="G31" i="49"/>
  <c r="F31" i="49"/>
  <c r="E31" i="49"/>
  <c r="D31" i="49"/>
  <c r="C31" i="49"/>
  <c r="B31" i="49"/>
  <c r="M30" i="49"/>
  <c r="L30" i="49"/>
  <c r="K30" i="49"/>
  <c r="J30" i="49"/>
  <c r="H30" i="49"/>
  <c r="G30" i="49"/>
  <c r="F30" i="49"/>
  <c r="E30" i="49"/>
  <c r="D30" i="49"/>
  <c r="C30" i="49"/>
  <c r="B30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M28" i="49"/>
  <c r="L28" i="49"/>
  <c r="K28" i="49"/>
  <c r="J28" i="49"/>
  <c r="H28" i="49"/>
  <c r="G28" i="49"/>
  <c r="F28" i="49"/>
  <c r="E28" i="49"/>
  <c r="D28" i="49"/>
  <c r="C28" i="49"/>
  <c r="B28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M24" i="49"/>
  <c r="L24" i="49"/>
  <c r="K24" i="49"/>
  <c r="J24" i="49"/>
  <c r="H24" i="49"/>
  <c r="G24" i="49"/>
  <c r="F24" i="49"/>
  <c r="E24" i="49"/>
  <c r="D24" i="49"/>
  <c r="C24" i="49"/>
  <c r="B24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M22" i="49"/>
  <c r="L22" i="49"/>
  <c r="K22" i="49"/>
  <c r="J22" i="49"/>
  <c r="H22" i="49"/>
  <c r="G22" i="49"/>
  <c r="F22" i="49"/>
  <c r="E22" i="49"/>
  <c r="D22" i="49"/>
  <c r="C22" i="49"/>
  <c r="B22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M18" i="49"/>
  <c r="L18" i="49"/>
  <c r="K18" i="49"/>
  <c r="J18" i="49"/>
  <c r="H18" i="49"/>
  <c r="G18" i="49"/>
  <c r="F18" i="49"/>
  <c r="E18" i="49"/>
  <c r="D18" i="49"/>
  <c r="C18" i="49"/>
  <c r="B18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6" i="49"/>
  <c r="L16" i="49"/>
  <c r="K16" i="49"/>
  <c r="J16" i="49"/>
  <c r="I16" i="49"/>
  <c r="H16" i="49"/>
  <c r="G16" i="49"/>
  <c r="F16" i="49"/>
  <c r="E16" i="49"/>
  <c r="D16" i="49"/>
  <c r="C16" i="49"/>
  <c r="B16" i="49"/>
  <c r="M15" i="49"/>
  <c r="L15" i="49"/>
  <c r="K15" i="49"/>
  <c r="J15" i="49"/>
  <c r="I15" i="49"/>
  <c r="H15" i="49"/>
  <c r="G15" i="49"/>
  <c r="F15" i="49"/>
  <c r="E15" i="49"/>
  <c r="D15" i="49"/>
  <c r="C15" i="49"/>
  <c r="B15" i="49"/>
  <c r="M14" i="49"/>
  <c r="L14" i="49"/>
  <c r="K14" i="49"/>
  <c r="J14" i="49"/>
  <c r="H14" i="49"/>
  <c r="G14" i="49"/>
  <c r="F14" i="49"/>
  <c r="E14" i="49"/>
  <c r="D14" i="49"/>
  <c r="C14" i="49"/>
  <c r="B14" i="49"/>
  <c r="M13" i="49"/>
  <c r="L13" i="49"/>
  <c r="K13" i="49"/>
  <c r="J13" i="49"/>
  <c r="H13" i="49"/>
  <c r="G13" i="49"/>
  <c r="F13" i="49"/>
  <c r="E13" i="49"/>
  <c r="D13" i="49"/>
  <c r="C13" i="49"/>
  <c r="B13" i="49"/>
  <c r="M12" i="49"/>
  <c r="L12" i="49"/>
  <c r="K12" i="49"/>
  <c r="J12" i="49"/>
  <c r="H12" i="49"/>
  <c r="G12" i="49"/>
  <c r="F12" i="49"/>
  <c r="E12" i="49"/>
  <c r="D12" i="49"/>
  <c r="C12" i="49"/>
  <c r="B12" i="49"/>
  <c r="M11" i="49"/>
  <c r="L11" i="49"/>
  <c r="K11" i="49"/>
  <c r="J11" i="49"/>
  <c r="H11" i="49"/>
  <c r="G11" i="49"/>
  <c r="F11" i="49"/>
  <c r="E11" i="49"/>
  <c r="D11" i="49"/>
  <c r="C11" i="49"/>
  <c r="B11" i="49"/>
  <c r="M10" i="49"/>
  <c r="L10" i="49"/>
  <c r="K10" i="49"/>
  <c r="J10" i="49"/>
  <c r="I10" i="49"/>
  <c r="H10" i="49"/>
  <c r="G10" i="49"/>
  <c r="F10" i="49"/>
  <c r="E10" i="49"/>
  <c r="D10" i="49"/>
  <c r="C10" i="49"/>
  <c r="B10" i="49"/>
  <c r="M9" i="49"/>
  <c r="L9" i="49"/>
  <c r="K9" i="49"/>
  <c r="J9" i="49"/>
  <c r="I9" i="49"/>
  <c r="H9" i="49"/>
  <c r="G9" i="49"/>
  <c r="F9" i="49"/>
  <c r="E9" i="49"/>
  <c r="D9" i="49"/>
  <c r="C9" i="49"/>
  <c r="B9" i="49"/>
  <c r="M8" i="49"/>
  <c r="L8" i="49"/>
  <c r="K8" i="49"/>
  <c r="J8" i="49"/>
  <c r="I8" i="49"/>
  <c r="H8" i="49"/>
  <c r="G8" i="49"/>
  <c r="F8" i="49"/>
  <c r="E8" i="49"/>
  <c r="D8" i="49"/>
  <c r="C8" i="49"/>
  <c r="B8" i="49"/>
  <c r="M7" i="49"/>
  <c r="L7" i="49"/>
  <c r="K7" i="49"/>
  <c r="J7" i="49"/>
  <c r="I7" i="49"/>
  <c r="H7" i="49"/>
  <c r="G7" i="49"/>
  <c r="F7" i="49"/>
  <c r="E7" i="49"/>
  <c r="D7" i="49"/>
  <c r="C7" i="49"/>
  <c r="B7" i="49"/>
  <c r="M6" i="49"/>
  <c r="L6" i="49"/>
  <c r="K6" i="49"/>
  <c r="J6" i="49"/>
  <c r="I6" i="49"/>
  <c r="H6" i="49"/>
  <c r="G6" i="49"/>
  <c r="F6" i="49"/>
  <c r="E6" i="49"/>
  <c r="D6" i="49"/>
  <c r="C6" i="49"/>
  <c r="B6" i="49"/>
  <c r="M5" i="49"/>
  <c r="L5" i="49"/>
  <c r="K5" i="49"/>
  <c r="J5" i="49"/>
  <c r="I5" i="49"/>
  <c r="H5" i="49"/>
  <c r="G5" i="49"/>
  <c r="F5" i="49"/>
  <c r="E5" i="49"/>
  <c r="D5" i="49"/>
  <c r="C5" i="49"/>
  <c r="B5" i="49"/>
  <c r="M4" i="49"/>
  <c r="L4" i="49"/>
  <c r="K4" i="49"/>
  <c r="J4" i="49"/>
  <c r="I4" i="49"/>
  <c r="H4" i="49"/>
  <c r="G4" i="49"/>
  <c r="F4" i="49"/>
  <c r="E4" i="49"/>
  <c r="D4" i="49"/>
  <c r="C4" i="49"/>
  <c r="B4" i="49"/>
  <c r="M3" i="49"/>
  <c r="L3" i="49"/>
  <c r="K3" i="49"/>
  <c r="J3" i="49"/>
  <c r="I3" i="49"/>
  <c r="H3" i="49"/>
  <c r="G3" i="49"/>
  <c r="F3" i="49"/>
  <c r="E3" i="49"/>
  <c r="D3" i="49"/>
  <c r="C3" i="49"/>
  <c r="B3" i="49"/>
  <c r="M210" i="12"/>
  <c r="L210" i="12"/>
  <c r="K210" i="12"/>
  <c r="J210" i="12"/>
  <c r="G210" i="12"/>
  <c r="F210" i="12"/>
  <c r="E210" i="12"/>
  <c r="D210" i="12"/>
  <c r="C210" i="12"/>
  <c r="B210" i="12"/>
  <c r="M209" i="12"/>
  <c r="L209" i="12"/>
  <c r="K209" i="12"/>
  <c r="J209" i="12"/>
  <c r="G209" i="12"/>
  <c r="F209" i="12"/>
  <c r="E209" i="12"/>
  <c r="D209" i="12"/>
  <c r="C209" i="12"/>
  <c r="B209" i="12"/>
  <c r="M208" i="12"/>
  <c r="L208" i="12"/>
  <c r="K208" i="12"/>
  <c r="J208" i="12"/>
  <c r="G208" i="12"/>
  <c r="F208" i="12"/>
  <c r="E208" i="12"/>
  <c r="D208" i="12"/>
  <c r="C208" i="12"/>
  <c r="B208" i="12"/>
  <c r="M207" i="12"/>
  <c r="L207" i="12"/>
  <c r="K207" i="12"/>
  <c r="J207" i="12"/>
  <c r="G207" i="12"/>
  <c r="F207" i="12"/>
  <c r="E207" i="12"/>
  <c r="D207" i="12"/>
  <c r="C207" i="12"/>
  <c r="B207" i="12"/>
  <c r="M206" i="12"/>
  <c r="L206" i="12"/>
  <c r="K206" i="12"/>
  <c r="J206" i="12"/>
  <c r="G206" i="12"/>
  <c r="F206" i="12"/>
  <c r="E206" i="12"/>
  <c r="D206" i="12"/>
  <c r="C206" i="12"/>
  <c r="B206" i="12"/>
  <c r="M205" i="12"/>
  <c r="L205" i="12"/>
  <c r="K205" i="12"/>
  <c r="J205" i="12"/>
  <c r="G205" i="12"/>
  <c r="F205" i="12"/>
  <c r="E205" i="12"/>
  <c r="D205" i="12"/>
  <c r="C205" i="12"/>
  <c r="B205" i="12"/>
  <c r="M204" i="12"/>
  <c r="L204" i="12"/>
  <c r="K204" i="12"/>
  <c r="J204" i="12"/>
  <c r="G204" i="12"/>
  <c r="F204" i="12"/>
  <c r="E204" i="12"/>
  <c r="D204" i="12"/>
  <c r="C204" i="12"/>
  <c r="B204" i="12"/>
  <c r="M203" i="12"/>
  <c r="L203" i="12"/>
  <c r="K203" i="12"/>
  <c r="J203" i="12"/>
  <c r="G203" i="12"/>
  <c r="F203" i="12"/>
  <c r="E203" i="12"/>
  <c r="D203" i="12"/>
  <c r="C203" i="12"/>
  <c r="B203" i="12"/>
  <c r="M202" i="12"/>
  <c r="L202" i="12"/>
  <c r="K202" i="12"/>
  <c r="J202" i="12"/>
  <c r="G202" i="12"/>
  <c r="F202" i="12"/>
  <c r="E202" i="12"/>
  <c r="D202" i="12"/>
  <c r="C202" i="12"/>
  <c r="B202" i="12"/>
  <c r="M201" i="12"/>
  <c r="L201" i="12"/>
  <c r="K201" i="12"/>
  <c r="J201" i="12"/>
  <c r="G201" i="12"/>
  <c r="F201" i="12"/>
  <c r="E201" i="12"/>
  <c r="D201" i="12"/>
  <c r="C201" i="12"/>
  <c r="B201" i="12"/>
  <c r="M200" i="12"/>
  <c r="L200" i="12"/>
  <c r="K200" i="12"/>
  <c r="J200" i="12"/>
  <c r="G200" i="12"/>
  <c r="F200" i="12"/>
  <c r="E200" i="12"/>
  <c r="D200" i="12"/>
  <c r="C200" i="12"/>
  <c r="B200" i="12"/>
  <c r="M199" i="12"/>
  <c r="L199" i="12"/>
  <c r="K199" i="12"/>
  <c r="J199" i="12"/>
  <c r="G199" i="12"/>
  <c r="F199" i="12"/>
  <c r="E199" i="12"/>
  <c r="D199" i="12"/>
  <c r="C199" i="12"/>
  <c r="B199" i="12"/>
  <c r="M198" i="12"/>
  <c r="L198" i="12"/>
  <c r="K198" i="12"/>
  <c r="J198" i="12"/>
  <c r="G198" i="12"/>
  <c r="F198" i="12"/>
  <c r="E198" i="12"/>
  <c r="D198" i="12"/>
  <c r="C198" i="12"/>
  <c r="B198" i="12"/>
  <c r="M197" i="12"/>
  <c r="L197" i="12"/>
  <c r="K197" i="12"/>
  <c r="J197" i="12"/>
  <c r="G197" i="12"/>
  <c r="F197" i="12"/>
  <c r="E197" i="12"/>
  <c r="D197" i="12"/>
  <c r="C197" i="12"/>
  <c r="B197" i="12"/>
  <c r="M196" i="12"/>
  <c r="L196" i="12"/>
  <c r="K196" i="12"/>
  <c r="J196" i="12"/>
  <c r="G196" i="12"/>
  <c r="F196" i="12"/>
  <c r="E196" i="12"/>
  <c r="D196" i="12"/>
  <c r="C196" i="12"/>
  <c r="B196" i="12"/>
  <c r="M195" i="12"/>
  <c r="L195" i="12"/>
  <c r="K195" i="12"/>
  <c r="J195" i="12"/>
  <c r="G195" i="12"/>
  <c r="F195" i="12"/>
  <c r="E195" i="12"/>
  <c r="D195" i="12"/>
  <c r="C195" i="12"/>
  <c r="B195" i="12"/>
  <c r="M194" i="12"/>
  <c r="L194" i="12"/>
  <c r="K194" i="12"/>
  <c r="J194" i="12"/>
  <c r="I194" i="12"/>
  <c r="G194" i="12"/>
  <c r="F194" i="12"/>
  <c r="E194" i="12"/>
  <c r="D194" i="12"/>
  <c r="C194" i="12"/>
  <c r="B194" i="12"/>
  <c r="M193" i="12"/>
  <c r="L193" i="12"/>
  <c r="K193" i="12"/>
  <c r="J193" i="12"/>
  <c r="I193" i="12"/>
  <c r="G193" i="12"/>
  <c r="F193" i="12"/>
  <c r="E193" i="12"/>
  <c r="D193" i="12"/>
  <c r="C193" i="12"/>
  <c r="B193" i="12"/>
  <c r="M192" i="12"/>
  <c r="L192" i="12"/>
  <c r="K192" i="12"/>
  <c r="J192" i="12"/>
  <c r="G192" i="12"/>
  <c r="F192" i="12"/>
  <c r="E192" i="12"/>
  <c r="D192" i="12"/>
  <c r="C192" i="12"/>
  <c r="B192" i="12"/>
  <c r="M191" i="12"/>
  <c r="L191" i="12"/>
  <c r="K191" i="12"/>
  <c r="J191" i="12"/>
  <c r="I191" i="12"/>
  <c r="H191" i="12"/>
  <c r="G191" i="12"/>
  <c r="F191" i="12"/>
  <c r="E191" i="12"/>
  <c r="D191" i="12"/>
  <c r="C191" i="12"/>
  <c r="B191" i="12"/>
  <c r="M190" i="12"/>
  <c r="L190" i="12"/>
  <c r="K190" i="12"/>
  <c r="J190" i="12"/>
  <c r="G190" i="12"/>
  <c r="F190" i="12"/>
  <c r="E190" i="12"/>
  <c r="D190" i="12"/>
  <c r="C190" i="12"/>
  <c r="B190" i="12"/>
  <c r="M189" i="12"/>
  <c r="L189" i="12"/>
  <c r="K189" i="12"/>
  <c r="J189" i="12"/>
  <c r="G189" i="12"/>
  <c r="F189" i="12"/>
  <c r="E189" i="12"/>
  <c r="D189" i="12"/>
  <c r="C189" i="12"/>
  <c r="B189" i="12"/>
  <c r="M188" i="12"/>
  <c r="L188" i="12"/>
  <c r="K188" i="12"/>
  <c r="J188" i="12"/>
  <c r="G188" i="12"/>
  <c r="F188" i="12"/>
  <c r="E188" i="12"/>
  <c r="D188" i="12"/>
  <c r="C188" i="12"/>
  <c r="B188" i="12"/>
  <c r="M187" i="12"/>
  <c r="L187" i="12"/>
  <c r="K187" i="12"/>
  <c r="J187" i="12"/>
  <c r="I187" i="12"/>
  <c r="G187" i="12"/>
  <c r="F187" i="12"/>
  <c r="E187" i="12"/>
  <c r="D187" i="12"/>
  <c r="C187" i="12"/>
  <c r="B187" i="12"/>
  <c r="M186" i="12"/>
  <c r="L186" i="12"/>
  <c r="K186" i="12"/>
  <c r="J186" i="12"/>
  <c r="G186" i="12"/>
  <c r="F186" i="12"/>
  <c r="E186" i="12"/>
  <c r="D186" i="12"/>
  <c r="C186" i="12"/>
  <c r="B186" i="12"/>
  <c r="M185" i="12"/>
  <c r="L185" i="12"/>
  <c r="K185" i="12"/>
  <c r="J185" i="12"/>
  <c r="G185" i="12"/>
  <c r="F185" i="12"/>
  <c r="E185" i="12"/>
  <c r="D185" i="12"/>
  <c r="C185" i="12"/>
  <c r="B185" i="12"/>
  <c r="M184" i="12"/>
  <c r="L184" i="12"/>
  <c r="K184" i="12"/>
  <c r="J184" i="12"/>
  <c r="G184" i="12"/>
  <c r="F184" i="12"/>
  <c r="E184" i="12"/>
  <c r="D184" i="12"/>
  <c r="C184" i="12"/>
  <c r="B184" i="12"/>
  <c r="M183" i="12"/>
  <c r="L183" i="12"/>
  <c r="K183" i="12"/>
  <c r="J183" i="12"/>
  <c r="G183" i="12"/>
  <c r="F183" i="12"/>
  <c r="E183" i="12"/>
  <c r="D183" i="12"/>
  <c r="C183" i="12"/>
  <c r="B183" i="12"/>
  <c r="M182" i="12"/>
  <c r="L182" i="12"/>
  <c r="K182" i="12"/>
  <c r="J182" i="12"/>
  <c r="I182" i="12"/>
  <c r="G182" i="12"/>
  <c r="F182" i="12"/>
  <c r="E182" i="12"/>
  <c r="D182" i="12"/>
  <c r="C182" i="12"/>
  <c r="B182" i="12"/>
  <c r="M181" i="12"/>
  <c r="L181" i="12"/>
  <c r="K181" i="12"/>
  <c r="J181" i="12"/>
  <c r="G181" i="12"/>
  <c r="F181" i="12"/>
  <c r="E181" i="12"/>
  <c r="D181" i="12"/>
  <c r="C181" i="12"/>
  <c r="B181" i="12"/>
  <c r="M180" i="12"/>
  <c r="L180" i="12"/>
  <c r="K180" i="12"/>
  <c r="J180" i="12"/>
  <c r="I180" i="12"/>
  <c r="G180" i="12"/>
  <c r="F180" i="12"/>
  <c r="E180" i="12"/>
  <c r="D180" i="12"/>
  <c r="C180" i="12"/>
  <c r="B180" i="12"/>
  <c r="M179" i="12"/>
  <c r="L179" i="12"/>
  <c r="K179" i="12"/>
  <c r="J179" i="12"/>
  <c r="G179" i="12"/>
  <c r="F179" i="12"/>
  <c r="E179" i="12"/>
  <c r="D179" i="12"/>
  <c r="C179" i="12"/>
  <c r="B179" i="12"/>
  <c r="M178" i="12"/>
  <c r="L178" i="12"/>
  <c r="K178" i="12"/>
  <c r="J178" i="12"/>
  <c r="I178" i="12"/>
  <c r="G178" i="12"/>
  <c r="F178" i="12"/>
  <c r="E178" i="12"/>
  <c r="D178" i="12"/>
  <c r="C178" i="12"/>
  <c r="B178" i="12"/>
  <c r="M177" i="12"/>
  <c r="L177" i="12"/>
  <c r="K177" i="12"/>
  <c r="J177" i="12"/>
  <c r="G177" i="12"/>
  <c r="F177" i="12"/>
  <c r="E177" i="12"/>
  <c r="D177" i="12"/>
  <c r="C177" i="12"/>
  <c r="B177" i="12"/>
  <c r="M176" i="12"/>
  <c r="L176" i="12"/>
  <c r="K176" i="12"/>
  <c r="J176" i="12"/>
  <c r="G176" i="12"/>
  <c r="F176" i="12"/>
  <c r="E176" i="12"/>
  <c r="D176" i="12"/>
  <c r="C176" i="12"/>
  <c r="B176" i="12"/>
  <c r="M175" i="12"/>
  <c r="L175" i="12"/>
  <c r="K175" i="12"/>
  <c r="J175" i="12"/>
  <c r="I175" i="12"/>
  <c r="H175" i="12"/>
  <c r="G175" i="12"/>
  <c r="F175" i="12"/>
  <c r="E175" i="12"/>
  <c r="D175" i="12"/>
  <c r="C175" i="12"/>
  <c r="B175" i="12"/>
  <c r="M174" i="12"/>
  <c r="L174" i="12"/>
  <c r="K174" i="12"/>
  <c r="J174" i="12"/>
  <c r="G174" i="12"/>
  <c r="F174" i="12"/>
  <c r="E174" i="12"/>
  <c r="D174" i="12"/>
  <c r="C174" i="12"/>
  <c r="B174" i="12"/>
  <c r="M173" i="12"/>
  <c r="L173" i="12"/>
  <c r="K173" i="12"/>
  <c r="J173" i="12"/>
  <c r="G173" i="12"/>
  <c r="F173" i="12"/>
  <c r="E173" i="12"/>
  <c r="D173" i="12"/>
  <c r="C173" i="12"/>
  <c r="B173" i="12"/>
  <c r="M172" i="12"/>
  <c r="L172" i="12"/>
  <c r="K172" i="12"/>
  <c r="J172" i="12"/>
  <c r="G172" i="12"/>
  <c r="F172" i="12"/>
  <c r="E172" i="12"/>
  <c r="D172" i="12"/>
  <c r="C172" i="12"/>
  <c r="B172" i="12"/>
  <c r="M171" i="12"/>
  <c r="L171" i="12"/>
  <c r="K171" i="12"/>
  <c r="J171" i="12"/>
  <c r="G171" i="12"/>
  <c r="F171" i="12"/>
  <c r="E171" i="12"/>
  <c r="D171" i="12"/>
  <c r="C171" i="12"/>
  <c r="B171" i="12"/>
  <c r="M170" i="12"/>
  <c r="L170" i="12"/>
  <c r="K170" i="12"/>
  <c r="J170" i="12"/>
  <c r="I170" i="12"/>
  <c r="G170" i="12"/>
  <c r="F170" i="12"/>
  <c r="E170" i="12"/>
  <c r="D170" i="12"/>
  <c r="C170" i="12"/>
  <c r="B170" i="12"/>
  <c r="M169" i="12"/>
  <c r="L169" i="12"/>
  <c r="K169" i="12"/>
  <c r="J169" i="12"/>
  <c r="G169" i="12"/>
  <c r="F169" i="12"/>
  <c r="E169" i="12"/>
  <c r="D169" i="12"/>
  <c r="C169" i="12"/>
  <c r="B169" i="12"/>
  <c r="M168" i="12"/>
  <c r="L168" i="12"/>
  <c r="K168" i="12"/>
  <c r="J168" i="12"/>
  <c r="I168" i="12"/>
  <c r="G168" i="12"/>
  <c r="F168" i="12"/>
  <c r="E168" i="12"/>
  <c r="D168" i="12"/>
  <c r="C168" i="12"/>
  <c r="B168" i="12"/>
  <c r="M167" i="12"/>
  <c r="L167" i="12"/>
  <c r="K167" i="12"/>
  <c r="J167" i="12"/>
  <c r="G167" i="12"/>
  <c r="F167" i="12"/>
  <c r="E167" i="12"/>
  <c r="D167" i="12"/>
  <c r="C167" i="12"/>
  <c r="B167" i="12"/>
  <c r="M166" i="12"/>
  <c r="L166" i="12"/>
  <c r="K166" i="12"/>
  <c r="J166" i="12"/>
  <c r="I166" i="12"/>
  <c r="G166" i="12"/>
  <c r="F166" i="12"/>
  <c r="E166" i="12"/>
  <c r="D166" i="12"/>
  <c r="C166" i="12"/>
  <c r="B166" i="12"/>
  <c r="M165" i="12"/>
  <c r="L165" i="12"/>
  <c r="K165" i="12"/>
  <c r="J165" i="12"/>
  <c r="I165" i="12"/>
  <c r="G165" i="12"/>
  <c r="F165" i="12"/>
  <c r="E165" i="12"/>
  <c r="D165" i="12"/>
  <c r="C165" i="12"/>
  <c r="B165" i="12"/>
  <c r="M164" i="12"/>
  <c r="L164" i="12"/>
  <c r="K164" i="12"/>
  <c r="J164" i="12"/>
  <c r="I164" i="12"/>
  <c r="G164" i="12"/>
  <c r="F164" i="12"/>
  <c r="E164" i="12"/>
  <c r="D164" i="12"/>
  <c r="C164" i="12"/>
  <c r="B164" i="12"/>
  <c r="M163" i="12"/>
  <c r="L163" i="12"/>
  <c r="K163" i="12"/>
  <c r="J163" i="12"/>
  <c r="I163" i="12"/>
  <c r="G163" i="12"/>
  <c r="F163" i="12"/>
  <c r="E163" i="12"/>
  <c r="D163" i="12"/>
  <c r="C163" i="12"/>
  <c r="B163" i="12"/>
  <c r="M162" i="12"/>
  <c r="L162" i="12"/>
  <c r="K162" i="12"/>
  <c r="J162" i="12"/>
  <c r="G162" i="12"/>
  <c r="F162" i="12"/>
  <c r="E162" i="12"/>
  <c r="D162" i="12"/>
  <c r="C162" i="12"/>
  <c r="B162" i="12"/>
  <c r="M161" i="12"/>
  <c r="L161" i="12"/>
  <c r="K161" i="12"/>
  <c r="J161" i="12"/>
  <c r="G161" i="12"/>
  <c r="F161" i="12"/>
  <c r="E161" i="12"/>
  <c r="D161" i="12"/>
  <c r="C161" i="12"/>
  <c r="B161" i="12"/>
  <c r="M160" i="12"/>
  <c r="L160" i="12"/>
  <c r="K160" i="12"/>
  <c r="J160" i="12"/>
  <c r="I160" i="12"/>
  <c r="H160" i="12"/>
  <c r="G160" i="12"/>
  <c r="F160" i="12"/>
  <c r="E160" i="12"/>
  <c r="D160" i="12"/>
  <c r="C160" i="12"/>
  <c r="B160" i="12"/>
  <c r="M159" i="12"/>
  <c r="L159" i="12"/>
  <c r="K159" i="12"/>
  <c r="J159" i="12"/>
  <c r="G159" i="12"/>
  <c r="F159" i="12"/>
  <c r="E159" i="12"/>
  <c r="D159" i="12"/>
  <c r="C159" i="12"/>
  <c r="B159" i="12"/>
  <c r="M158" i="12"/>
  <c r="L158" i="12"/>
  <c r="K158" i="12"/>
  <c r="J158" i="12"/>
  <c r="G158" i="12"/>
  <c r="F158" i="12"/>
  <c r="E158" i="12"/>
  <c r="D158" i="12"/>
  <c r="C158" i="12"/>
  <c r="B158" i="12"/>
  <c r="M157" i="12"/>
  <c r="L157" i="12"/>
  <c r="K157" i="12"/>
  <c r="J157" i="12"/>
  <c r="G157" i="12"/>
  <c r="F157" i="12"/>
  <c r="E157" i="12"/>
  <c r="D157" i="12"/>
  <c r="C157" i="12"/>
  <c r="B157" i="12"/>
  <c r="M156" i="12"/>
  <c r="L156" i="12"/>
  <c r="K156" i="12"/>
  <c r="J156" i="12"/>
  <c r="G156" i="12"/>
  <c r="F156" i="12"/>
  <c r="E156" i="12"/>
  <c r="D156" i="12"/>
  <c r="C156" i="12"/>
  <c r="B156" i="12"/>
  <c r="M155" i="12"/>
  <c r="L155" i="12"/>
  <c r="K155" i="12"/>
  <c r="J155" i="12"/>
  <c r="G155" i="12"/>
  <c r="F155" i="12"/>
  <c r="E155" i="12"/>
  <c r="D155" i="12"/>
  <c r="C155" i="12"/>
  <c r="B155" i="12"/>
  <c r="M154" i="12"/>
  <c r="L154" i="12"/>
  <c r="K154" i="12"/>
  <c r="J154" i="12"/>
  <c r="G154" i="12"/>
  <c r="F154" i="12"/>
  <c r="E154" i="12"/>
  <c r="D154" i="12"/>
  <c r="C154" i="12"/>
  <c r="B154" i="12"/>
  <c r="M153" i="12"/>
  <c r="L153" i="12"/>
  <c r="K153" i="12"/>
  <c r="J153" i="12"/>
  <c r="G153" i="12"/>
  <c r="F153" i="12"/>
  <c r="E153" i="12"/>
  <c r="D153" i="12"/>
  <c r="C153" i="12"/>
  <c r="B153" i="12"/>
  <c r="M152" i="12"/>
  <c r="L152" i="12"/>
  <c r="K152" i="12"/>
  <c r="J152" i="12"/>
  <c r="I152" i="12"/>
  <c r="G152" i="12"/>
  <c r="F152" i="12"/>
  <c r="E152" i="12"/>
  <c r="D152" i="12"/>
  <c r="C152" i="12"/>
  <c r="B152" i="12"/>
  <c r="M151" i="12"/>
  <c r="L151" i="12"/>
  <c r="K151" i="12"/>
  <c r="J151" i="12"/>
  <c r="G151" i="12"/>
  <c r="F151" i="12"/>
  <c r="E151" i="12"/>
  <c r="D151" i="12"/>
  <c r="C151" i="12"/>
  <c r="B151" i="12"/>
  <c r="M150" i="12"/>
  <c r="L150" i="12"/>
  <c r="K150" i="12"/>
  <c r="J150" i="12"/>
  <c r="G150" i="12"/>
  <c r="F150" i="12"/>
  <c r="E150" i="12"/>
  <c r="D150" i="12"/>
  <c r="C150" i="12"/>
  <c r="B150" i="12"/>
  <c r="M149" i="12"/>
  <c r="L149" i="12"/>
  <c r="K149" i="12"/>
  <c r="J149" i="12"/>
  <c r="G149" i="12"/>
  <c r="F149" i="12"/>
  <c r="E149" i="12"/>
  <c r="D149" i="12"/>
  <c r="C149" i="12"/>
  <c r="B149" i="12"/>
  <c r="M148" i="12"/>
  <c r="L148" i="12"/>
  <c r="K148" i="12"/>
  <c r="J148" i="12"/>
  <c r="G148" i="12"/>
  <c r="F148" i="12"/>
  <c r="E148" i="12"/>
  <c r="D148" i="12"/>
  <c r="C148" i="12"/>
  <c r="B148" i="12"/>
  <c r="M147" i="12"/>
  <c r="L147" i="12"/>
  <c r="K147" i="12"/>
  <c r="J147" i="12"/>
  <c r="G147" i="12"/>
  <c r="F147" i="12"/>
  <c r="E147" i="12"/>
  <c r="D147" i="12"/>
  <c r="C147" i="12"/>
  <c r="B147" i="12"/>
  <c r="M146" i="12"/>
  <c r="L146" i="12"/>
  <c r="K146" i="12"/>
  <c r="J146" i="12"/>
  <c r="G146" i="12"/>
  <c r="F146" i="12"/>
  <c r="E146" i="12"/>
  <c r="D146" i="12"/>
  <c r="C146" i="12"/>
  <c r="B146" i="12"/>
  <c r="M145" i="12"/>
  <c r="L145" i="12"/>
  <c r="K145" i="12"/>
  <c r="J145" i="12"/>
  <c r="G145" i="12"/>
  <c r="F145" i="12"/>
  <c r="E145" i="12"/>
  <c r="D145" i="12"/>
  <c r="C145" i="12"/>
  <c r="B145" i="12"/>
  <c r="M144" i="12"/>
  <c r="L144" i="12"/>
  <c r="K144" i="12"/>
  <c r="J144" i="12"/>
  <c r="G144" i="12"/>
  <c r="F144" i="12"/>
  <c r="E144" i="12"/>
  <c r="D144" i="12"/>
  <c r="C144" i="12"/>
  <c r="B144" i="12"/>
  <c r="M143" i="12"/>
  <c r="L143" i="12"/>
  <c r="K143" i="12"/>
  <c r="J143" i="12"/>
  <c r="G143" i="12"/>
  <c r="F143" i="12"/>
  <c r="E143" i="12"/>
  <c r="D143" i="12"/>
  <c r="C143" i="12"/>
  <c r="B143" i="12"/>
  <c r="M142" i="12"/>
  <c r="L142" i="12"/>
  <c r="K142" i="12"/>
  <c r="J142" i="12"/>
  <c r="I142" i="12"/>
  <c r="G142" i="12"/>
  <c r="F142" i="12"/>
  <c r="E142" i="12"/>
  <c r="D142" i="12"/>
  <c r="C142" i="12"/>
  <c r="B142" i="12"/>
  <c r="M141" i="12"/>
  <c r="L141" i="12"/>
  <c r="K141" i="12"/>
  <c r="J141" i="12"/>
  <c r="G141" i="12"/>
  <c r="F141" i="12"/>
  <c r="E141" i="12"/>
  <c r="D141" i="12"/>
  <c r="C141" i="12"/>
  <c r="B141" i="12"/>
  <c r="M140" i="12"/>
  <c r="L140" i="12"/>
  <c r="K140" i="12"/>
  <c r="J140" i="12"/>
  <c r="G140" i="12"/>
  <c r="F140" i="12"/>
  <c r="E140" i="12"/>
  <c r="D140" i="12"/>
  <c r="C140" i="12"/>
  <c r="B140" i="12"/>
  <c r="M139" i="12"/>
  <c r="L139" i="12"/>
  <c r="K139" i="12"/>
  <c r="J139" i="12"/>
  <c r="G139" i="12"/>
  <c r="F139" i="12"/>
  <c r="E139" i="12"/>
  <c r="D139" i="12"/>
  <c r="C139" i="12"/>
  <c r="B139" i="12"/>
  <c r="M138" i="12"/>
  <c r="L138" i="12"/>
  <c r="K138" i="12"/>
  <c r="J138" i="12"/>
  <c r="G138" i="12"/>
  <c r="F138" i="12"/>
  <c r="E138" i="12"/>
  <c r="D138" i="12"/>
  <c r="C138" i="12"/>
  <c r="B138" i="12"/>
  <c r="M137" i="12"/>
  <c r="L137" i="12"/>
  <c r="K137" i="12"/>
  <c r="J137" i="12"/>
  <c r="G137" i="12"/>
  <c r="F137" i="12"/>
  <c r="E137" i="12"/>
  <c r="D137" i="12"/>
  <c r="C137" i="12"/>
  <c r="B137" i="12"/>
  <c r="M136" i="12"/>
  <c r="L136" i="12"/>
  <c r="K136" i="12"/>
  <c r="J136" i="12"/>
  <c r="G136" i="12"/>
  <c r="F136" i="12"/>
  <c r="E136" i="12"/>
  <c r="D136" i="12"/>
  <c r="C136" i="12"/>
  <c r="B136" i="12"/>
  <c r="M135" i="12"/>
  <c r="L135" i="12"/>
  <c r="K135" i="12"/>
  <c r="J135" i="12"/>
  <c r="G135" i="12"/>
  <c r="F135" i="12"/>
  <c r="E135" i="12"/>
  <c r="D135" i="12"/>
  <c r="C135" i="12"/>
  <c r="B135" i="12"/>
  <c r="M134" i="12"/>
  <c r="L134" i="12"/>
  <c r="K134" i="12"/>
  <c r="J134" i="12"/>
  <c r="G134" i="12"/>
  <c r="F134" i="12"/>
  <c r="E134" i="12"/>
  <c r="D134" i="12"/>
  <c r="C134" i="12"/>
  <c r="B134" i="12"/>
  <c r="M133" i="12"/>
  <c r="L133" i="12"/>
  <c r="K133" i="12"/>
  <c r="J133" i="12"/>
  <c r="G133" i="12"/>
  <c r="F133" i="12"/>
  <c r="E133" i="12"/>
  <c r="D133" i="12"/>
  <c r="C133" i="12"/>
  <c r="B133" i="12"/>
  <c r="M132" i="12"/>
  <c r="L132" i="12"/>
  <c r="K132" i="12"/>
  <c r="J132" i="12"/>
  <c r="I132" i="12"/>
  <c r="G132" i="12"/>
  <c r="F132" i="12"/>
  <c r="E132" i="12"/>
  <c r="D132" i="12"/>
  <c r="C132" i="12"/>
  <c r="B132" i="12"/>
  <c r="M131" i="12"/>
  <c r="L131" i="12"/>
  <c r="K131" i="12"/>
  <c r="J131" i="12"/>
  <c r="I131" i="12"/>
  <c r="G131" i="12"/>
  <c r="F131" i="12"/>
  <c r="E131" i="12"/>
  <c r="D131" i="12"/>
  <c r="C131" i="12"/>
  <c r="B131" i="12"/>
  <c r="M130" i="12"/>
  <c r="L130" i="12"/>
  <c r="K130" i="12"/>
  <c r="J130" i="12"/>
  <c r="G130" i="12"/>
  <c r="F130" i="12"/>
  <c r="E130" i="12"/>
  <c r="D130" i="12"/>
  <c r="C130" i="12"/>
  <c r="B130" i="12"/>
  <c r="M129" i="12"/>
  <c r="L129" i="12"/>
  <c r="K129" i="12"/>
  <c r="J129" i="12"/>
  <c r="G129" i="12"/>
  <c r="F129" i="12"/>
  <c r="E129" i="12"/>
  <c r="D129" i="12"/>
  <c r="C129" i="12"/>
  <c r="B129" i="12"/>
  <c r="M128" i="12"/>
  <c r="L128" i="12"/>
  <c r="K128" i="12"/>
  <c r="J128" i="12"/>
  <c r="I128" i="12"/>
  <c r="G128" i="12"/>
  <c r="F128" i="12"/>
  <c r="E128" i="12"/>
  <c r="D128" i="12"/>
  <c r="C128" i="12"/>
  <c r="B128" i="12"/>
  <c r="M127" i="12"/>
  <c r="L127" i="12"/>
  <c r="K127" i="12"/>
  <c r="J127" i="12"/>
  <c r="G127" i="12"/>
  <c r="F127" i="12"/>
  <c r="E127" i="12"/>
  <c r="D127" i="12"/>
  <c r="C127" i="12"/>
  <c r="B127" i="12"/>
  <c r="M126" i="12"/>
  <c r="L126" i="12"/>
  <c r="K126" i="12"/>
  <c r="J126" i="12"/>
  <c r="G126" i="12"/>
  <c r="F126" i="12"/>
  <c r="E126" i="12"/>
  <c r="D126" i="12"/>
  <c r="C126" i="12"/>
  <c r="B126" i="12"/>
  <c r="M125" i="12"/>
  <c r="L125" i="12"/>
  <c r="K125" i="12"/>
  <c r="J125" i="12"/>
  <c r="I125" i="12"/>
  <c r="G125" i="12"/>
  <c r="F125" i="12"/>
  <c r="E125" i="12"/>
  <c r="D125" i="12"/>
  <c r="C125" i="12"/>
  <c r="B125" i="12"/>
  <c r="M124" i="12"/>
  <c r="L124" i="12"/>
  <c r="K124" i="12"/>
  <c r="J124" i="12"/>
  <c r="G124" i="12"/>
  <c r="F124" i="12"/>
  <c r="E124" i="12"/>
  <c r="D124" i="12"/>
  <c r="C124" i="12"/>
  <c r="B124" i="12"/>
  <c r="M123" i="12"/>
  <c r="L123" i="12"/>
  <c r="K123" i="12"/>
  <c r="J123" i="12"/>
  <c r="G123" i="12"/>
  <c r="F123" i="12"/>
  <c r="E123" i="12"/>
  <c r="D123" i="12"/>
  <c r="C123" i="12"/>
  <c r="B123" i="12"/>
  <c r="M122" i="12"/>
  <c r="L122" i="12"/>
  <c r="K122" i="12"/>
  <c r="J122" i="12"/>
  <c r="G122" i="12"/>
  <c r="F122" i="12"/>
  <c r="E122" i="12"/>
  <c r="D122" i="12"/>
  <c r="C122" i="12"/>
  <c r="B122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M120" i="12"/>
  <c r="L120" i="12"/>
  <c r="K120" i="12"/>
  <c r="J120" i="12"/>
  <c r="G120" i="12"/>
  <c r="F120" i="12"/>
  <c r="E120" i="12"/>
  <c r="D120" i="12"/>
  <c r="C120" i="12"/>
  <c r="B120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M118" i="12"/>
  <c r="L118" i="12"/>
  <c r="K118" i="12"/>
  <c r="J118" i="12"/>
  <c r="I118" i="12"/>
  <c r="G118" i="12"/>
  <c r="F118" i="12"/>
  <c r="E118" i="12"/>
  <c r="D118" i="12"/>
  <c r="C118" i="12"/>
  <c r="B118" i="12"/>
  <c r="M117" i="12"/>
  <c r="L117" i="12"/>
  <c r="K117" i="12"/>
  <c r="J117" i="12"/>
  <c r="G117" i="12"/>
  <c r="F117" i="12"/>
  <c r="E117" i="12"/>
  <c r="D117" i="12"/>
  <c r="C117" i="12"/>
  <c r="B117" i="12"/>
  <c r="M116" i="12"/>
  <c r="L116" i="12"/>
  <c r="K116" i="12"/>
  <c r="J116" i="12"/>
  <c r="G116" i="12"/>
  <c r="F116" i="12"/>
  <c r="E116" i="12"/>
  <c r="D116" i="12"/>
  <c r="C116" i="12"/>
  <c r="B116" i="12"/>
  <c r="M115" i="12"/>
  <c r="L115" i="12"/>
  <c r="K115" i="12"/>
  <c r="J115" i="12"/>
  <c r="G115" i="12"/>
  <c r="F115" i="12"/>
  <c r="E115" i="12"/>
  <c r="D115" i="12"/>
  <c r="C115" i="12"/>
  <c r="B115" i="12"/>
  <c r="M114" i="12"/>
  <c r="L114" i="12"/>
  <c r="K114" i="12"/>
  <c r="J114" i="12"/>
  <c r="G114" i="12"/>
  <c r="F114" i="12"/>
  <c r="E114" i="12"/>
  <c r="D114" i="12"/>
  <c r="C114" i="12"/>
  <c r="B114" i="12"/>
  <c r="M113" i="12"/>
  <c r="L113" i="12"/>
  <c r="K113" i="12"/>
  <c r="J113" i="12"/>
  <c r="G113" i="12"/>
  <c r="F113" i="12"/>
  <c r="E113" i="12"/>
  <c r="D113" i="12"/>
  <c r="C113" i="12"/>
  <c r="B113" i="12"/>
  <c r="M112" i="12"/>
  <c r="L112" i="12"/>
  <c r="K112" i="12"/>
  <c r="J112" i="12"/>
  <c r="G112" i="12"/>
  <c r="F112" i="12"/>
  <c r="E112" i="12"/>
  <c r="D112" i="12"/>
  <c r="C112" i="12"/>
  <c r="B112" i="12"/>
  <c r="M111" i="12"/>
  <c r="L111" i="12"/>
  <c r="K111" i="12"/>
  <c r="J111" i="12"/>
  <c r="G111" i="12"/>
  <c r="F111" i="12"/>
  <c r="E111" i="12"/>
  <c r="D111" i="12"/>
  <c r="C111" i="12"/>
  <c r="B111" i="12"/>
  <c r="M110" i="12"/>
  <c r="L110" i="12"/>
  <c r="K110" i="12"/>
  <c r="J110" i="12"/>
  <c r="I110" i="12"/>
  <c r="G110" i="12"/>
  <c r="F110" i="12"/>
  <c r="E110" i="12"/>
  <c r="D110" i="12"/>
  <c r="C110" i="12"/>
  <c r="B110" i="12"/>
  <c r="M109" i="12"/>
  <c r="L109" i="12"/>
  <c r="K109" i="12"/>
  <c r="J109" i="12"/>
  <c r="G109" i="12"/>
  <c r="F109" i="12"/>
  <c r="E109" i="12"/>
  <c r="D109" i="12"/>
  <c r="C109" i="12"/>
  <c r="B109" i="12"/>
  <c r="M108" i="12"/>
  <c r="L108" i="12"/>
  <c r="K108" i="12"/>
  <c r="J108" i="12"/>
  <c r="H108" i="12"/>
  <c r="G108" i="12"/>
  <c r="F108" i="12"/>
  <c r="E108" i="12"/>
  <c r="D108" i="12"/>
  <c r="C108" i="12"/>
  <c r="B108" i="12"/>
  <c r="M107" i="12"/>
  <c r="L107" i="12"/>
  <c r="K107" i="12"/>
  <c r="J107" i="12"/>
  <c r="G107" i="12"/>
  <c r="F107" i="12"/>
  <c r="E107" i="12"/>
  <c r="D107" i="12"/>
  <c r="C107" i="12"/>
  <c r="B107" i="12"/>
  <c r="M106" i="12"/>
  <c r="L106" i="12"/>
  <c r="K106" i="12"/>
  <c r="J106" i="12"/>
  <c r="I106" i="12"/>
  <c r="G106" i="12"/>
  <c r="F106" i="12"/>
  <c r="E106" i="12"/>
  <c r="D106" i="12"/>
  <c r="C106" i="12"/>
  <c r="B106" i="12"/>
  <c r="M105" i="12"/>
  <c r="L105" i="12"/>
  <c r="K105" i="12"/>
  <c r="J105" i="12"/>
  <c r="I105" i="12"/>
  <c r="G105" i="12"/>
  <c r="F105" i="12"/>
  <c r="E105" i="12"/>
  <c r="D105" i="12"/>
  <c r="C105" i="12"/>
  <c r="B105" i="12"/>
  <c r="M104" i="12"/>
  <c r="L104" i="12"/>
  <c r="K104" i="12"/>
  <c r="J104" i="12"/>
  <c r="I104" i="12"/>
  <c r="G104" i="12"/>
  <c r="F104" i="12"/>
  <c r="E104" i="12"/>
  <c r="D104" i="12"/>
  <c r="C104" i="12"/>
  <c r="B104" i="12"/>
  <c r="M103" i="12"/>
  <c r="L103" i="12"/>
  <c r="K103" i="12"/>
  <c r="J103" i="12"/>
  <c r="G103" i="12"/>
  <c r="F103" i="12"/>
  <c r="E103" i="12"/>
  <c r="D103" i="12"/>
  <c r="C103" i="12"/>
  <c r="B103" i="12"/>
  <c r="M102" i="12"/>
  <c r="L102" i="12"/>
  <c r="K102" i="12"/>
  <c r="J102" i="12"/>
  <c r="I102" i="12"/>
  <c r="G102" i="12"/>
  <c r="F102" i="12"/>
  <c r="E102" i="12"/>
  <c r="D102" i="12"/>
  <c r="C102" i="12"/>
  <c r="B102" i="12"/>
  <c r="M101" i="12"/>
  <c r="L101" i="12"/>
  <c r="K101" i="12"/>
  <c r="J101" i="12"/>
  <c r="G101" i="12"/>
  <c r="F101" i="12"/>
  <c r="E101" i="12"/>
  <c r="D101" i="12"/>
  <c r="C101" i="12"/>
  <c r="B101" i="12"/>
  <c r="M100" i="12"/>
  <c r="L100" i="12"/>
  <c r="K100" i="12"/>
  <c r="J100" i="12"/>
  <c r="I100" i="12"/>
  <c r="G100" i="12"/>
  <c r="F100" i="12"/>
  <c r="E100" i="12"/>
  <c r="D100" i="12"/>
  <c r="C100" i="12"/>
  <c r="B100" i="12"/>
  <c r="M99" i="12"/>
  <c r="L99" i="12"/>
  <c r="K99" i="12"/>
  <c r="J99" i="12"/>
  <c r="G99" i="12"/>
  <c r="F99" i="12"/>
  <c r="E99" i="12"/>
  <c r="D99" i="12"/>
  <c r="C99" i="12"/>
  <c r="B99" i="12"/>
  <c r="M98" i="12"/>
  <c r="L98" i="12"/>
  <c r="K98" i="12"/>
  <c r="J98" i="12"/>
  <c r="I98" i="12"/>
  <c r="G98" i="12"/>
  <c r="F98" i="12"/>
  <c r="E98" i="12"/>
  <c r="D98" i="12"/>
  <c r="C98" i="12"/>
  <c r="B98" i="12"/>
  <c r="M97" i="12"/>
  <c r="L97" i="12"/>
  <c r="K97" i="12"/>
  <c r="J97" i="12"/>
  <c r="I97" i="12"/>
  <c r="G97" i="12"/>
  <c r="F97" i="12"/>
  <c r="E97" i="12"/>
  <c r="D97" i="12"/>
  <c r="C97" i="12"/>
  <c r="B97" i="12"/>
  <c r="M96" i="12"/>
  <c r="L96" i="12"/>
  <c r="K96" i="12"/>
  <c r="J96" i="12"/>
  <c r="I96" i="12"/>
  <c r="G96" i="12"/>
  <c r="F96" i="12"/>
  <c r="E96" i="12"/>
  <c r="D96" i="12"/>
  <c r="C96" i="12"/>
  <c r="B96" i="12"/>
  <c r="M95" i="12"/>
  <c r="L95" i="12"/>
  <c r="K95" i="12"/>
  <c r="J95" i="12"/>
  <c r="G95" i="12"/>
  <c r="F95" i="12"/>
  <c r="E95" i="12"/>
  <c r="D95" i="12"/>
  <c r="C95" i="12"/>
  <c r="B95" i="12"/>
  <c r="M94" i="12"/>
  <c r="L94" i="12"/>
  <c r="K94" i="12"/>
  <c r="J94" i="12"/>
  <c r="G94" i="12"/>
  <c r="F94" i="12"/>
  <c r="E94" i="12"/>
  <c r="D94" i="12"/>
  <c r="C94" i="12"/>
  <c r="B94" i="12"/>
  <c r="M93" i="12"/>
  <c r="L93" i="12"/>
  <c r="K93" i="12"/>
  <c r="J93" i="12"/>
  <c r="I93" i="12"/>
  <c r="G93" i="12"/>
  <c r="F93" i="12"/>
  <c r="E93" i="12"/>
  <c r="D93" i="12"/>
  <c r="C93" i="12"/>
  <c r="B93" i="12"/>
  <c r="M92" i="12"/>
  <c r="L92" i="12"/>
  <c r="K92" i="12"/>
  <c r="J92" i="12"/>
  <c r="G92" i="12"/>
  <c r="F92" i="12"/>
  <c r="E92" i="12"/>
  <c r="D92" i="12"/>
  <c r="C92" i="12"/>
  <c r="B92" i="12"/>
  <c r="M91" i="12"/>
  <c r="L91" i="12"/>
  <c r="K91" i="12"/>
  <c r="J91" i="12"/>
  <c r="G91" i="12"/>
  <c r="F91" i="12"/>
  <c r="E91" i="12"/>
  <c r="D91" i="12"/>
  <c r="C91" i="12"/>
  <c r="B91" i="12"/>
  <c r="M90" i="12"/>
  <c r="L90" i="12"/>
  <c r="K90" i="12"/>
  <c r="J90" i="12"/>
  <c r="I90" i="12"/>
  <c r="G90" i="12"/>
  <c r="F90" i="12"/>
  <c r="E90" i="12"/>
  <c r="D90" i="12"/>
  <c r="C90" i="12"/>
  <c r="B90" i="12"/>
  <c r="M89" i="12"/>
  <c r="L89" i="12"/>
  <c r="K89" i="12"/>
  <c r="J89" i="12"/>
  <c r="G89" i="12"/>
  <c r="F89" i="12"/>
  <c r="E89" i="12"/>
  <c r="D89" i="12"/>
  <c r="C89" i="12"/>
  <c r="B89" i="12"/>
  <c r="M88" i="12"/>
  <c r="L88" i="12"/>
  <c r="K88" i="12"/>
  <c r="J88" i="12"/>
  <c r="I88" i="12"/>
  <c r="H88" i="12"/>
  <c r="G88" i="12"/>
  <c r="F88" i="12"/>
  <c r="E88" i="12"/>
  <c r="D88" i="12"/>
  <c r="C88" i="12"/>
  <c r="B88" i="12"/>
  <c r="M87" i="12"/>
  <c r="L87" i="12"/>
  <c r="K87" i="12"/>
  <c r="J87" i="12"/>
  <c r="I87" i="12"/>
  <c r="G87" i="12"/>
  <c r="F87" i="12"/>
  <c r="E87" i="12"/>
  <c r="D87" i="12"/>
  <c r="C87" i="12"/>
  <c r="B87" i="12"/>
  <c r="M86" i="12"/>
  <c r="L86" i="12"/>
  <c r="K86" i="12"/>
  <c r="J86" i="12"/>
  <c r="G86" i="12"/>
  <c r="F86" i="12"/>
  <c r="E86" i="12"/>
  <c r="D86" i="12"/>
  <c r="C86" i="12"/>
  <c r="B86" i="12"/>
  <c r="M85" i="12"/>
  <c r="L85" i="12"/>
  <c r="K85" i="12"/>
  <c r="J85" i="12"/>
  <c r="I85" i="12"/>
  <c r="G85" i="12"/>
  <c r="F85" i="12"/>
  <c r="E85" i="12"/>
  <c r="D85" i="12"/>
  <c r="C85" i="12"/>
  <c r="B85" i="12"/>
  <c r="M84" i="12"/>
  <c r="L84" i="12"/>
  <c r="K84" i="12"/>
  <c r="J84" i="12"/>
  <c r="G84" i="12"/>
  <c r="F84" i="12"/>
  <c r="E84" i="12"/>
  <c r="D84" i="12"/>
  <c r="C84" i="12"/>
  <c r="B84" i="12"/>
  <c r="M83" i="12"/>
  <c r="L83" i="12"/>
  <c r="K83" i="12"/>
  <c r="J83" i="12"/>
  <c r="I83" i="12"/>
  <c r="G83" i="12"/>
  <c r="F83" i="12"/>
  <c r="E83" i="12"/>
  <c r="D83" i="12"/>
  <c r="C83" i="12"/>
  <c r="B83" i="12"/>
  <c r="M82" i="12"/>
  <c r="L82" i="12"/>
  <c r="K82" i="12"/>
  <c r="J82" i="12"/>
  <c r="I82" i="12"/>
  <c r="G82" i="12"/>
  <c r="F82" i="12"/>
  <c r="E82" i="12"/>
  <c r="D82" i="12"/>
  <c r="C82" i="12"/>
  <c r="B82" i="12"/>
  <c r="M81" i="12"/>
  <c r="L81" i="12"/>
  <c r="K81" i="12"/>
  <c r="J81" i="12"/>
  <c r="I81" i="12"/>
  <c r="G81" i="12"/>
  <c r="F81" i="12"/>
  <c r="E81" i="12"/>
  <c r="D81" i="12"/>
  <c r="C81" i="12"/>
  <c r="B81" i="12"/>
  <c r="M80" i="12"/>
  <c r="L80" i="12"/>
  <c r="K80" i="12"/>
  <c r="J80" i="12"/>
  <c r="I80" i="12"/>
  <c r="G80" i="12"/>
  <c r="F80" i="12"/>
  <c r="E80" i="12"/>
  <c r="D80" i="12"/>
  <c r="C80" i="12"/>
  <c r="B80" i="12"/>
  <c r="M79" i="12"/>
  <c r="L79" i="12"/>
  <c r="K79" i="12"/>
  <c r="J79" i="12"/>
  <c r="I79" i="12"/>
  <c r="G79" i="12"/>
  <c r="F79" i="12"/>
  <c r="E79" i="12"/>
  <c r="D79" i="12"/>
  <c r="C79" i="12"/>
  <c r="B79" i="12"/>
  <c r="M78" i="12"/>
  <c r="L78" i="12"/>
  <c r="K78" i="12"/>
  <c r="J78" i="12"/>
  <c r="I78" i="12"/>
  <c r="G78" i="12"/>
  <c r="F78" i="12"/>
  <c r="E78" i="12"/>
  <c r="D78" i="12"/>
  <c r="C78" i="12"/>
  <c r="B78" i="12"/>
  <c r="M77" i="12"/>
  <c r="L77" i="12"/>
  <c r="K77" i="12"/>
  <c r="J77" i="12"/>
  <c r="I77" i="12"/>
  <c r="G77" i="12"/>
  <c r="F77" i="12"/>
  <c r="E77" i="12"/>
  <c r="D77" i="12"/>
  <c r="C77" i="12"/>
  <c r="B77" i="12"/>
  <c r="M76" i="12"/>
  <c r="L76" i="12"/>
  <c r="K76" i="12"/>
  <c r="J76" i="12"/>
  <c r="H76" i="12"/>
  <c r="G76" i="12"/>
  <c r="F76" i="12"/>
  <c r="E76" i="12"/>
  <c r="D76" i="12"/>
  <c r="C76" i="12"/>
  <c r="B76" i="12"/>
  <c r="M75" i="12"/>
  <c r="L75" i="12"/>
  <c r="K75" i="12"/>
  <c r="J75" i="12"/>
  <c r="I75" i="12"/>
  <c r="G75" i="12"/>
  <c r="F75" i="12"/>
  <c r="E75" i="12"/>
  <c r="D75" i="12"/>
  <c r="C75" i="12"/>
  <c r="B75" i="12"/>
  <c r="M74" i="12"/>
  <c r="L74" i="12"/>
  <c r="K74" i="12"/>
  <c r="J74" i="12"/>
  <c r="I74" i="12"/>
  <c r="G74" i="12"/>
  <c r="F74" i="12"/>
  <c r="E74" i="12"/>
  <c r="D74" i="12"/>
  <c r="C74" i="12"/>
  <c r="B74" i="12"/>
  <c r="M73" i="12"/>
  <c r="L73" i="12"/>
  <c r="K73" i="12"/>
  <c r="J73" i="12"/>
  <c r="I73" i="12"/>
  <c r="G73" i="12"/>
  <c r="F73" i="12"/>
  <c r="E73" i="12"/>
  <c r="D73" i="12"/>
  <c r="C73" i="12"/>
  <c r="B73" i="12"/>
  <c r="M72" i="12"/>
  <c r="L72" i="12"/>
  <c r="K72" i="12"/>
  <c r="J72" i="12"/>
  <c r="H72" i="12"/>
  <c r="G72" i="12"/>
  <c r="F72" i="12"/>
  <c r="E72" i="12"/>
  <c r="D72" i="12"/>
  <c r="C72" i="12"/>
  <c r="B72" i="12"/>
  <c r="M71" i="12"/>
  <c r="L71" i="12"/>
  <c r="K71" i="12"/>
  <c r="J71" i="12"/>
  <c r="G71" i="12"/>
  <c r="F71" i="12"/>
  <c r="E71" i="12"/>
  <c r="D71" i="12"/>
  <c r="C71" i="12"/>
  <c r="B71" i="12"/>
  <c r="M70" i="12"/>
  <c r="L70" i="12"/>
  <c r="K70" i="12"/>
  <c r="J70" i="12"/>
  <c r="G70" i="12"/>
  <c r="F70" i="12"/>
  <c r="E70" i="12"/>
  <c r="D70" i="12"/>
  <c r="C70" i="12"/>
  <c r="B70" i="12"/>
  <c r="M69" i="12"/>
  <c r="L69" i="12"/>
  <c r="K69" i="12"/>
  <c r="J69" i="12"/>
  <c r="G69" i="12"/>
  <c r="F69" i="12"/>
  <c r="E69" i="12"/>
  <c r="D69" i="12"/>
  <c r="C69" i="12"/>
  <c r="B69" i="12"/>
  <c r="M68" i="12"/>
  <c r="L68" i="12"/>
  <c r="K68" i="12"/>
  <c r="J68" i="12"/>
  <c r="G68" i="12"/>
  <c r="F68" i="12"/>
  <c r="E68" i="12"/>
  <c r="D68" i="12"/>
  <c r="C68" i="12"/>
  <c r="B68" i="12"/>
  <c r="M67" i="12"/>
  <c r="L67" i="12"/>
  <c r="K67" i="12"/>
  <c r="J67" i="12"/>
  <c r="G67" i="12"/>
  <c r="F67" i="12"/>
  <c r="E67" i="12"/>
  <c r="D67" i="12"/>
  <c r="C67" i="12"/>
  <c r="B67" i="12"/>
  <c r="M66" i="12"/>
  <c r="L66" i="12"/>
  <c r="K66" i="12"/>
  <c r="J66" i="12"/>
  <c r="H66" i="12"/>
  <c r="G66" i="12"/>
  <c r="F66" i="12"/>
  <c r="E66" i="12"/>
  <c r="D66" i="12"/>
  <c r="C66" i="12"/>
  <c r="B66" i="12"/>
  <c r="M65" i="12"/>
  <c r="L65" i="12"/>
  <c r="K65" i="12"/>
  <c r="J65" i="12"/>
  <c r="I65" i="12"/>
  <c r="G65" i="12"/>
  <c r="F65" i="12"/>
  <c r="E65" i="12"/>
  <c r="D65" i="12"/>
  <c r="C65" i="12"/>
  <c r="B65" i="12"/>
  <c r="M64" i="12"/>
  <c r="L64" i="12"/>
  <c r="K64" i="12"/>
  <c r="J64" i="12"/>
  <c r="G64" i="12"/>
  <c r="F64" i="12"/>
  <c r="E64" i="12"/>
  <c r="D64" i="12"/>
  <c r="C64" i="12"/>
  <c r="B64" i="12"/>
  <c r="M63" i="12"/>
  <c r="L63" i="12"/>
  <c r="K63" i="12"/>
  <c r="J63" i="12"/>
  <c r="G63" i="12"/>
  <c r="F63" i="12"/>
  <c r="E63" i="12"/>
  <c r="D63" i="12"/>
  <c r="C63" i="12"/>
  <c r="B63" i="12"/>
  <c r="M62" i="12"/>
  <c r="L62" i="12"/>
  <c r="K62" i="12"/>
  <c r="J62" i="12"/>
  <c r="G62" i="12"/>
  <c r="F62" i="12"/>
  <c r="E62" i="12"/>
  <c r="D62" i="12"/>
  <c r="C62" i="12"/>
  <c r="B62" i="12"/>
  <c r="M61" i="12"/>
  <c r="L61" i="12"/>
  <c r="K61" i="12"/>
  <c r="J61" i="12"/>
  <c r="G61" i="12"/>
  <c r="F61" i="12"/>
  <c r="E61" i="12"/>
  <c r="D61" i="12"/>
  <c r="C61" i="12"/>
  <c r="B61" i="12"/>
  <c r="M60" i="12"/>
  <c r="L60" i="12"/>
  <c r="K60" i="12"/>
  <c r="J60" i="12"/>
  <c r="G60" i="12"/>
  <c r="F60" i="12"/>
  <c r="E60" i="12"/>
  <c r="D60" i="12"/>
  <c r="C60" i="12"/>
  <c r="B60" i="12"/>
  <c r="M59" i="12"/>
  <c r="L59" i="12"/>
  <c r="K59" i="12"/>
  <c r="J59" i="12"/>
  <c r="I59" i="12"/>
  <c r="H59" i="12"/>
  <c r="G59" i="12"/>
  <c r="F59" i="12"/>
  <c r="E59" i="12"/>
  <c r="D59" i="12"/>
  <c r="C59" i="12"/>
  <c r="B59" i="12"/>
  <c r="M58" i="12"/>
  <c r="L58" i="12"/>
  <c r="K58" i="12"/>
  <c r="J58" i="12"/>
  <c r="G58" i="12"/>
  <c r="F58" i="12"/>
  <c r="E58" i="12"/>
  <c r="D58" i="12"/>
  <c r="C58" i="12"/>
  <c r="B58" i="12"/>
  <c r="M57" i="12"/>
  <c r="L57" i="12"/>
  <c r="K57" i="12"/>
  <c r="J57" i="12"/>
  <c r="G57" i="12"/>
  <c r="F57" i="12"/>
  <c r="E57" i="12"/>
  <c r="D57" i="12"/>
  <c r="C57" i="12"/>
  <c r="B57" i="12"/>
  <c r="M56" i="12"/>
  <c r="L56" i="12"/>
  <c r="K56" i="12"/>
  <c r="J56" i="12"/>
  <c r="G56" i="12"/>
  <c r="F56" i="12"/>
  <c r="E56" i="12"/>
  <c r="D56" i="12"/>
  <c r="C56" i="12"/>
  <c r="B56" i="12"/>
  <c r="M55" i="12"/>
  <c r="L55" i="12"/>
  <c r="K55" i="12"/>
  <c r="J55" i="12"/>
  <c r="I55" i="12"/>
  <c r="G55" i="12"/>
  <c r="F55" i="12"/>
  <c r="E55" i="12"/>
  <c r="D55" i="12"/>
  <c r="C55" i="12"/>
  <c r="B55" i="12"/>
  <c r="M54" i="12"/>
  <c r="L54" i="12"/>
  <c r="K54" i="12"/>
  <c r="J54" i="12"/>
  <c r="G54" i="12"/>
  <c r="F54" i="12"/>
  <c r="E54" i="12"/>
  <c r="D54" i="12"/>
  <c r="C54" i="12"/>
  <c r="B54" i="12"/>
  <c r="M53" i="12"/>
  <c r="L53" i="12"/>
  <c r="K53" i="12"/>
  <c r="J53" i="12"/>
  <c r="G53" i="12"/>
  <c r="F53" i="12"/>
  <c r="E53" i="12"/>
  <c r="D53" i="12"/>
  <c r="C53" i="12"/>
  <c r="B53" i="12"/>
  <c r="M52" i="12"/>
  <c r="L52" i="12"/>
  <c r="K52" i="12"/>
  <c r="J52" i="12"/>
  <c r="G52" i="12"/>
  <c r="F52" i="12"/>
  <c r="E52" i="12"/>
  <c r="D52" i="12"/>
  <c r="C52" i="12"/>
  <c r="B52" i="12"/>
  <c r="M51" i="12"/>
  <c r="L51" i="12"/>
  <c r="K51" i="12"/>
  <c r="J51" i="12"/>
  <c r="G51" i="12"/>
  <c r="F51" i="12"/>
  <c r="E51" i="12"/>
  <c r="D51" i="12"/>
  <c r="C51" i="12"/>
  <c r="B51" i="12"/>
  <c r="M50" i="12"/>
  <c r="L50" i="12"/>
  <c r="K50" i="12"/>
  <c r="J50" i="12"/>
  <c r="G50" i="12"/>
  <c r="F50" i="12"/>
  <c r="E50" i="12"/>
  <c r="D50" i="12"/>
  <c r="C50" i="12"/>
  <c r="B50" i="12"/>
  <c r="M49" i="12"/>
  <c r="L49" i="12"/>
  <c r="K49" i="12"/>
  <c r="J49" i="12"/>
  <c r="G49" i="12"/>
  <c r="F49" i="12"/>
  <c r="E49" i="12"/>
  <c r="D49" i="12"/>
  <c r="C49" i="12"/>
  <c r="B49" i="12"/>
  <c r="M48" i="12"/>
  <c r="L48" i="12"/>
  <c r="K48" i="12"/>
  <c r="J48" i="12"/>
  <c r="G48" i="12"/>
  <c r="F48" i="12"/>
  <c r="E48" i="12"/>
  <c r="D48" i="12"/>
  <c r="C48" i="12"/>
  <c r="B48" i="12"/>
  <c r="M47" i="12"/>
  <c r="L47" i="12"/>
  <c r="K47" i="12"/>
  <c r="J47" i="12"/>
  <c r="G47" i="12"/>
  <c r="F47" i="12"/>
  <c r="E47" i="12"/>
  <c r="D47" i="12"/>
  <c r="C47" i="12"/>
  <c r="B47" i="12"/>
  <c r="M46" i="12"/>
  <c r="L46" i="12"/>
  <c r="K46" i="12"/>
  <c r="J46" i="12"/>
  <c r="G46" i="12"/>
  <c r="F46" i="12"/>
  <c r="E46" i="12"/>
  <c r="D46" i="12"/>
  <c r="C46" i="12"/>
  <c r="B46" i="12"/>
  <c r="M45" i="12"/>
  <c r="L45" i="12"/>
  <c r="K45" i="12"/>
  <c r="J45" i="12"/>
  <c r="G45" i="12"/>
  <c r="F45" i="12"/>
  <c r="E45" i="12"/>
  <c r="D45" i="12"/>
  <c r="C45" i="12"/>
  <c r="B45" i="12"/>
  <c r="M44" i="12"/>
  <c r="L44" i="12"/>
  <c r="K44" i="12"/>
  <c r="J44" i="12"/>
  <c r="G44" i="12"/>
  <c r="F44" i="12"/>
  <c r="E44" i="12"/>
  <c r="D44" i="12"/>
  <c r="C44" i="12"/>
  <c r="B44" i="12"/>
  <c r="M43" i="12"/>
  <c r="L43" i="12"/>
  <c r="K43" i="12"/>
  <c r="J43" i="12"/>
  <c r="H43" i="12"/>
  <c r="G43" i="12"/>
  <c r="F43" i="12"/>
  <c r="E43" i="12"/>
  <c r="D43" i="12"/>
  <c r="C43" i="12"/>
  <c r="B43" i="12"/>
  <c r="M42" i="12"/>
  <c r="L42" i="12"/>
  <c r="K42" i="12"/>
  <c r="J42" i="12"/>
  <c r="G42" i="12"/>
  <c r="F42" i="12"/>
  <c r="E42" i="12"/>
  <c r="D42" i="12"/>
  <c r="C42" i="12"/>
  <c r="B42" i="12"/>
  <c r="M41" i="12"/>
  <c r="L41" i="12"/>
  <c r="K41" i="12"/>
  <c r="J41" i="12"/>
  <c r="G41" i="12"/>
  <c r="F41" i="12"/>
  <c r="E41" i="12"/>
  <c r="D41" i="12"/>
  <c r="C41" i="12"/>
  <c r="B41" i="12"/>
  <c r="M40" i="12"/>
  <c r="L40" i="12"/>
  <c r="K40" i="12"/>
  <c r="J40" i="12"/>
  <c r="G40" i="12"/>
  <c r="F40" i="12"/>
  <c r="E40" i="12"/>
  <c r="D40" i="12"/>
  <c r="C40" i="12"/>
  <c r="B40" i="12"/>
  <c r="M39" i="12"/>
  <c r="L39" i="12"/>
  <c r="K39" i="12"/>
  <c r="J39" i="12"/>
  <c r="I39" i="12"/>
  <c r="G39" i="12"/>
  <c r="F39" i="12"/>
  <c r="E39" i="12"/>
  <c r="D39" i="12"/>
  <c r="C39" i="12"/>
  <c r="B39" i="12"/>
  <c r="M38" i="12"/>
  <c r="L38" i="12"/>
  <c r="K38" i="12"/>
  <c r="J38" i="12"/>
  <c r="G38" i="12"/>
  <c r="F38" i="12"/>
  <c r="E38" i="12"/>
  <c r="D38" i="12"/>
  <c r="C38" i="12"/>
  <c r="B38" i="12"/>
  <c r="M37" i="12"/>
  <c r="L37" i="12"/>
  <c r="K37" i="12"/>
  <c r="J37" i="12"/>
  <c r="G37" i="12"/>
  <c r="F37" i="12"/>
  <c r="E37" i="12"/>
  <c r="D37" i="12"/>
  <c r="C37" i="12"/>
  <c r="B37" i="12"/>
  <c r="M36" i="12"/>
  <c r="L36" i="12"/>
  <c r="K36" i="12"/>
  <c r="J36" i="12"/>
  <c r="H36" i="12"/>
  <c r="G36" i="12"/>
  <c r="F36" i="12"/>
  <c r="E36" i="12"/>
  <c r="D36" i="12"/>
  <c r="C36" i="12"/>
  <c r="B36" i="12"/>
  <c r="M35" i="12"/>
  <c r="L35" i="12"/>
  <c r="K35" i="12"/>
  <c r="J35" i="12"/>
  <c r="G35" i="12"/>
  <c r="F35" i="12"/>
  <c r="E35" i="12"/>
  <c r="D35" i="12"/>
  <c r="C35" i="12"/>
  <c r="B35" i="12"/>
  <c r="M34" i="12"/>
  <c r="L34" i="12"/>
  <c r="K34" i="12"/>
  <c r="J34" i="12"/>
  <c r="G34" i="12"/>
  <c r="F34" i="12"/>
  <c r="E34" i="12"/>
  <c r="D34" i="12"/>
  <c r="C34" i="12"/>
  <c r="B34" i="12"/>
  <c r="M33" i="12"/>
  <c r="L33" i="12"/>
  <c r="K33" i="12"/>
  <c r="J33" i="12"/>
  <c r="H33" i="12"/>
  <c r="G33" i="12"/>
  <c r="F33" i="12"/>
  <c r="E33" i="12"/>
  <c r="D33" i="12"/>
  <c r="C33" i="12"/>
  <c r="B33" i="12"/>
  <c r="M32" i="12"/>
  <c r="L32" i="12"/>
  <c r="K32" i="12"/>
  <c r="J32" i="12"/>
  <c r="H32" i="12"/>
  <c r="G32" i="12"/>
  <c r="F32" i="12"/>
  <c r="E32" i="12"/>
  <c r="D32" i="12"/>
  <c r="C32" i="12"/>
  <c r="B32" i="12"/>
  <c r="M31" i="12"/>
  <c r="L31" i="12"/>
  <c r="K31" i="12"/>
  <c r="J31" i="12"/>
  <c r="H31" i="12"/>
  <c r="G31" i="12"/>
  <c r="F31" i="12"/>
  <c r="E31" i="12"/>
  <c r="D31" i="12"/>
  <c r="C31" i="12"/>
  <c r="B31" i="12"/>
  <c r="M30" i="12"/>
  <c r="L30" i="12"/>
  <c r="K30" i="12"/>
  <c r="J30" i="12"/>
  <c r="H30" i="12"/>
  <c r="G30" i="12"/>
  <c r="F30" i="12"/>
  <c r="E30" i="12"/>
  <c r="D30" i="12"/>
  <c r="C30" i="12"/>
  <c r="B30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M28" i="12"/>
  <c r="L28" i="12"/>
  <c r="K28" i="12"/>
  <c r="J28" i="12"/>
  <c r="H28" i="12"/>
  <c r="G28" i="12"/>
  <c r="F28" i="12"/>
  <c r="E28" i="12"/>
  <c r="D28" i="12"/>
  <c r="C28" i="12"/>
  <c r="B28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M24" i="12"/>
  <c r="L24" i="12"/>
  <c r="K24" i="12"/>
  <c r="J24" i="12"/>
  <c r="H24" i="12"/>
  <c r="G24" i="12"/>
  <c r="F24" i="12"/>
  <c r="E24" i="12"/>
  <c r="D24" i="12"/>
  <c r="C24" i="12"/>
  <c r="B24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M22" i="12"/>
  <c r="L22" i="12"/>
  <c r="K22" i="12"/>
  <c r="J22" i="12"/>
  <c r="H22" i="12"/>
  <c r="G22" i="12"/>
  <c r="F22" i="12"/>
  <c r="E22" i="12"/>
  <c r="D22" i="12"/>
  <c r="C22" i="12"/>
  <c r="B22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M18" i="12"/>
  <c r="L18" i="12"/>
  <c r="K18" i="12"/>
  <c r="J18" i="12"/>
  <c r="H18" i="12"/>
  <c r="G18" i="12"/>
  <c r="F18" i="12"/>
  <c r="E18" i="12"/>
  <c r="D18" i="12"/>
  <c r="C18" i="12"/>
  <c r="B18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M14" i="12"/>
  <c r="L14" i="12"/>
  <c r="K14" i="12"/>
  <c r="J14" i="12"/>
  <c r="H14" i="12"/>
  <c r="G14" i="12"/>
  <c r="F14" i="12"/>
  <c r="E14" i="12"/>
  <c r="D14" i="12"/>
  <c r="C14" i="12"/>
  <c r="B14" i="12"/>
  <c r="M13" i="12"/>
  <c r="L13" i="12"/>
  <c r="K13" i="12"/>
  <c r="J13" i="12"/>
  <c r="H13" i="12"/>
  <c r="G13" i="12"/>
  <c r="F13" i="12"/>
  <c r="E13" i="12"/>
  <c r="D13" i="12"/>
  <c r="C13" i="12"/>
  <c r="B13" i="12"/>
  <c r="M12" i="12"/>
  <c r="L12" i="12"/>
  <c r="K12" i="12"/>
  <c r="J12" i="12"/>
  <c r="H12" i="12"/>
  <c r="G12" i="12"/>
  <c r="F12" i="12"/>
  <c r="E12" i="12"/>
  <c r="D12" i="12"/>
  <c r="C12" i="12"/>
  <c r="B12" i="12"/>
  <c r="M11" i="12"/>
  <c r="L11" i="12"/>
  <c r="K11" i="12"/>
  <c r="J11" i="12"/>
  <c r="H11" i="12"/>
  <c r="G11" i="12"/>
  <c r="F11" i="12"/>
  <c r="E11" i="12"/>
  <c r="D11" i="12"/>
  <c r="C11" i="12"/>
  <c r="B11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M9" i="12"/>
  <c r="L9" i="12"/>
  <c r="K9" i="12"/>
  <c r="J9" i="12"/>
  <c r="I9" i="12"/>
  <c r="H9" i="12"/>
  <c r="G9" i="12"/>
  <c r="F9" i="12"/>
  <c r="E9" i="12"/>
  <c r="D9" i="12"/>
  <c r="C9" i="12"/>
  <c r="B9" i="12"/>
  <c r="M8" i="12"/>
  <c r="L8" i="12"/>
  <c r="K8" i="12"/>
  <c r="J8" i="12"/>
  <c r="I8" i="12"/>
  <c r="H8" i="12"/>
  <c r="G8" i="12"/>
  <c r="F8" i="12"/>
  <c r="E8" i="12"/>
  <c r="D8" i="12"/>
  <c r="C8" i="12"/>
  <c r="B8" i="12"/>
  <c r="M7" i="12"/>
  <c r="L7" i="12"/>
  <c r="K7" i="12"/>
  <c r="J7" i="12"/>
  <c r="I7" i="12"/>
  <c r="H7" i="12"/>
  <c r="G7" i="12"/>
  <c r="F7" i="12"/>
  <c r="E7" i="12"/>
  <c r="D7" i="12"/>
  <c r="C7" i="12"/>
  <c r="B7" i="12"/>
  <c r="M6" i="12"/>
  <c r="L6" i="12"/>
  <c r="K6" i="12"/>
  <c r="J6" i="12"/>
  <c r="I6" i="12"/>
  <c r="H6" i="12"/>
  <c r="G6" i="12"/>
  <c r="F6" i="12"/>
  <c r="E6" i="12"/>
  <c r="D6" i="12"/>
  <c r="C6" i="12"/>
  <c r="B6" i="12"/>
  <c r="M5" i="12"/>
  <c r="L5" i="12"/>
  <c r="K5" i="12"/>
  <c r="J5" i="12"/>
  <c r="I5" i="12"/>
  <c r="H5" i="12"/>
  <c r="G5" i="12"/>
  <c r="F5" i="12"/>
  <c r="E5" i="12"/>
  <c r="D5" i="12"/>
  <c r="C5" i="12"/>
  <c r="B5" i="12"/>
  <c r="M4" i="12"/>
  <c r="L4" i="12"/>
  <c r="K4" i="12"/>
  <c r="J4" i="12"/>
  <c r="I4" i="12"/>
  <c r="H4" i="12"/>
  <c r="G4" i="12"/>
  <c r="F4" i="12"/>
  <c r="E4" i="12"/>
  <c r="D4" i="12"/>
  <c r="C4" i="12"/>
  <c r="B4" i="12"/>
  <c r="M3" i="12"/>
  <c r="L3" i="12"/>
  <c r="K3" i="12"/>
  <c r="J3" i="12"/>
  <c r="I3" i="12"/>
  <c r="H3" i="12"/>
  <c r="G3" i="12"/>
  <c r="F3" i="12"/>
  <c r="E3" i="12"/>
  <c r="D3" i="12"/>
  <c r="C3" i="12"/>
  <c r="B3" i="12"/>
  <c r="M210" i="14"/>
  <c r="L210" i="14"/>
  <c r="K210" i="14"/>
  <c r="J210" i="14"/>
  <c r="G210" i="14"/>
  <c r="F210" i="14"/>
  <c r="E210" i="14"/>
  <c r="D210" i="14"/>
  <c r="C210" i="14"/>
  <c r="B210" i="14"/>
  <c r="M209" i="14"/>
  <c r="L209" i="14"/>
  <c r="K209" i="14"/>
  <c r="J209" i="14"/>
  <c r="G209" i="14"/>
  <c r="F209" i="14"/>
  <c r="E209" i="14"/>
  <c r="D209" i="14"/>
  <c r="C209" i="14"/>
  <c r="B209" i="14"/>
  <c r="M208" i="14"/>
  <c r="L208" i="14"/>
  <c r="K208" i="14"/>
  <c r="J208" i="14"/>
  <c r="G208" i="14"/>
  <c r="F208" i="14"/>
  <c r="E208" i="14"/>
  <c r="D208" i="14"/>
  <c r="C208" i="14"/>
  <c r="B208" i="14"/>
  <c r="M207" i="14"/>
  <c r="L207" i="14"/>
  <c r="K207" i="14"/>
  <c r="J207" i="14"/>
  <c r="G207" i="14"/>
  <c r="F207" i="14"/>
  <c r="E207" i="14"/>
  <c r="D207" i="14"/>
  <c r="C207" i="14"/>
  <c r="B207" i="14"/>
  <c r="M206" i="14"/>
  <c r="L206" i="14"/>
  <c r="K206" i="14"/>
  <c r="J206" i="14"/>
  <c r="G206" i="14"/>
  <c r="F206" i="14"/>
  <c r="E206" i="14"/>
  <c r="D206" i="14"/>
  <c r="C206" i="14"/>
  <c r="B206" i="14"/>
  <c r="M205" i="14"/>
  <c r="L205" i="14"/>
  <c r="K205" i="14"/>
  <c r="J205" i="14"/>
  <c r="G205" i="14"/>
  <c r="F205" i="14"/>
  <c r="E205" i="14"/>
  <c r="D205" i="14"/>
  <c r="C205" i="14"/>
  <c r="B205" i="14"/>
  <c r="M204" i="14"/>
  <c r="L204" i="14"/>
  <c r="K204" i="14"/>
  <c r="J204" i="14"/>
  <c r="G204" i="14"/>
  <c r="F204" i="14"/>
  <c r="E204" i="14"/>
  <c r="D204" i="14"/>
  <c r="C204" i="14"/>
  <c r="B204" i="14"/>
  <c r="M203" i="14"/>
  <c r="L203" i="14"/>
  <c r="K203" i="14"/>
  <c r="J203" i="14"/>
  <c r="G203" i="14"/>
  <c r="F203" i="14"/>
  <c r="E203" i="14"/>
  <c r="D203" i="14"/>
  <c r="C203" i="14"/>
  <c r="B203" i="14"/>
  <c r="M202" i="14"/>
  <c r="L202" i="14"/>
  <c r="K202" i="14"/>
  <c r="J202" i="14"/>
  <c r="G202" i="14"/>
  <c r="F202" i="14"/>
  <c r="E202" i="14"/>
  <c r="D202" i="14"/>
  <c r="C202" i="14"/>
  <c r="B202" i="14"/>
  <c r="M201" i="14"/>
  <c r="L201" i="14"/>
  <c r="K201" i="14"/>
  <c r="J201" i="14"/>
  <c r="G201" i="14"/>
  <c r="F201" i="14"/>
  <c r="E201" i="14"/>
  <c r="D201" i="14"/>
  <c r="C201" i="14"/>
  <c r="B201" i="14"/>
  <c r="M200" i="14"/>
  <c r="L200" i="14"/>
  <c r="K200" i="14"/>
  <c r="J200" i="14"/>
  <c r="G200" i="14"/>
  <c r="F200" i="14"/>
  <c r="E200" i="14"/>
  <c r="D200" i="14"/>
  <c r="C200" i="14"/>
  <c r="B200" i="14"/>
  <c r="M199" i="14"/>
  <c r="L199" i="14"/>
  <c r="K199" i="14"/>
  <c r="J199" i="14"/>
  <c r="G199" i="14"/>
  <c r="F199" i="14"/>
  <c r="E199" i="14"/>
  <c r="D199" i="14"/>
  <c r="C199" i="14"/>
  <c r="B199" i="14"/>
  <c r="M198" i="14"/>
  <c r="L198" i="14"/>
  <c r="K198" i="14"/>
  <c r="J198" i="14"/>
  <c r="G198" i="14"/>
  <c r="F198" i="14"/>
  <c r="E198" i="14"/>
  <c r="D198" i="14"/>
  <c r="C198" i="14"/>
  <c r="B198" i="14"/>
  <c r="M197" i="14"/>
  <c r="L197" i="14"/>
  <c r="K197" i="14"/>
  <c r="J197" i="14"/>
  <c r="G197" i="14"/>
  <c r="F197" i="14"/>
  <c r="E197" i="14"/>
  <c r="D197" i="14"/>
  <c r="C197" i="14"/>
  <c r="B197" i="14"/>
  <c r="M196" i="14"/>
  <c r="L196" i="14"/>
  <c r="K196" i="14"/>
  <c r="J196" i="14"/>
  <c r="G196" i="14"/>
  <c r="F196" i="14"/>
  <c r="E196" i="14"/>
  <c r="D196" i="14"/>
  <c r="C196" i="14"/>
  <c r="B196" i="14"/>
  <c r="M195" i="14"/>
  <c r="L195" i="14"/>
  <c r="K195" i="14"/>
  <c r="J195" i="14"/>
  <c r="G195" i="14"/>
  <c r="F195" i="14"/>
  <c r="E195" i="14"/>
  <c r="D195" i="14"/>
  <c r="C195" i="14"/>
  <c r="B195" i="14"/>
  <c r="M194" i="14"/>
  <c r="L194" i="14"/>
  <c r="K194" i="14"/>
  <c r="J194" i="14"/>
  <c r="I194" i="14"/>
  <c r="G194" i="14"/>
  <c r="F194" i="14"/>
  <c r="E194" i="14"/>
  <c r="D194" i="14"/>
  <c r="C194" i="14"/>
  <c r="B194" i="14"/>
  <c r="M193" i="14"/>
  <c r="L193" i="14"/>
  <c r="K193" i="14"/>
  <c r="J193" i="14"/>
  <c r="I193" i="14"/>
  <c r="G193" i="14"/>
  <c r="F193" i="14"/>
  <c r="E193" i="14"/>
  <c r="D193" i="14"/>
  <c r="C193" i="14"/>
  <c r="B193" i="14"/>
  <c r="M192" i="14"/>
  <c r="L192" i="14"/>
  <c r="K192" i="14"/>
  <c r="J192" i="14"/>
  <c r="G192" i="14"/>
  <c r="F192" i="14"/>
  <c r="E192" i="14"/>
  <c r="D192" i="14"/>
  <c r="C192" i="14"/>
  <c r="B192" i="14"/>
  <c r="M191" i="14"/>
  <c r="L191" i="14"/>
  <c r="K191" i="14"/>
  <c r="J191" i="14"/>
  <c r="I191" i="14"/>
  <c r="H191" i="14"/>
  <c r="G191" i="14"/>
  <c r="F191" i="14"/>
  <c r="E191" i="14"/>
  <c r="D191" i="14"/>
  <c r="C191" i="14"/>
  <c r="B191" i="14"/>
  <c r="M190" i="14"/>
  <c r="L190" i="14"/>
  <c r="K190" i="14"/>
  <c r="J190" i="14"/>
  <c r="G190" i="14"/>
  <c r="F190" i="14"/>
  <c r="E190" i="14"/>
  <c r="D190" i="14"/>
  <c r="C190" i="14"/>
  <c r="B190" i="14"/>
  <c r="M189" i="14"/>
  <c r="L189" i="14"/>
  <c r="K189" i="14"/>
  <c r="J189" i="14"/>
  <c r="G189" i="14"/>
  <c r="F189" i="14"/>
  <c r="E189" i="14"/>
  <c r="D189" i="14"/>
  <c r="C189" i="14"/>
  <c r="B189" i="14"/>
  <c r="M188" i="14"/>
  <c r="L188" i="14"/>
  <c r="K188" i="14"/>
  <c r="J188" i="14"/>
  <c r="G188" i="14"/>
  <c r="F188" i="14"/>
  <c r="E188" i="14"/>
  <c r="D188" i="14"/>
  <c r="C188" i="14"/>
  <c r="B188" i="14"/>
  <c r="M187" i="14"/>
  <c r="L187" i="14"/>
  <c r="K187" i="14"/>
  <c r="J187" i="14"/>
  <c r="I187" i="14"/>
  <c r="G187" i="14"/>
  <c r="F187" i="14"/>
  <c r="E187" i="14"/>
  <c r="D187" i="14"/>
  <c r="C187" i="14"/>
  <c r="B187" i="14"/>
  <c r="M186" i="14"/>
  <c r="L186" i="14"/>
  <c r="K186" i="14"/>
  <c r="J186" i="14"/>
  <c r="G186" i="14"/>
  <c r="F186" i="14"/>
  <c r="E186" i="14"/>
  <c r="D186" i="14"/>
  <c r="C186" i="14"/>
  <c r="B186" i="14"/>
  <c r="M185" i="14"/>
  <c r="L185" i="14"/>
  <c r="K185" i="14"/>
  <c r="J185" i="14"/>
  <c r="G185" i="14"/>
  <c r="F185" i="14"/>
  <c r="E185" i="14"/>
  <c r="D185" i="14"/>
  <c r="C185" i="14"/>
  <c r="B185" i="14"/>
  <c r="M184" i="14"/>
  <c r="L184" i="14"/>
  <c r="K184" i="14"/>
  <c r="J184" i="14"/>
  <c r="G184" i="14"/>
  <c r="F184" i="14"/>
  <c r="E184" i="14"/>
  <c r="D184" i="14"/>
  <c r="C184" i="14"/>
  <c r="B184" i="14"/>
  <c r="M183" i="14"/>
  <c r="L183" i="14"/>
  <c r="K183" i="14"/>
  <c r="J183" i="14"/>
  <c r="G183" i="14"/>
  <c r="F183" i="14"/>
  <c r="E183" i="14"/>
  <c r="D183" i="14"/>
  <c r="C183" i="14"/>
  <c r="B183" i="14"/>
  <c r="M182" i="14"/>
  <c r="L182" i="14"/>
  <c r="K182" i="14"/>
  <c r="J182" i="14"/>
  <c r="I182" i="14"/>
  <c r="G182" i="14"/>
  <c r="F182" i="14"/>
  <c r="E182" i="14"/>
  <c r="D182" i="14"/>
  <c r="C182" i="14"/>
  <c r="B182" i="14"/>
  <c r="M181" i="14"/>
  <c r="L181" i="14"/>
  <c r="K181" i="14"/>
  <c r="J181" i="14"/>
  <c r="G181" i="14"/>
  <c r="F181" i="14"/>
  <c r="E181" i="14"/>
  <c r="D181" i="14"/>
  <c r="C181" i="14"/>
  <c r="B181" i="14"/>
  <c r="M180" i="14"/>
  <c r="L180" i="14"/>
  <c r="K180" i="14"/>
  <c r="J180" i="14"/>
  <c r="I180" i="14"/>
  <c r="G180" i="14"/>
  <c r="F180" i="14"/>
  <c r="E180" i="14"/>
  <c r="D180" i="14"/>
  <c r="C180" i="14"/>
  <c r="B180" i="14"/>
  <c r="M179" i="14"/>
  <c r="L179" i="14"/>
  <c r="K179" i="14"/>
  <c r="J179" i="14"/>
  <c r="G179" i="14"/>
  <c r="F179" i="14"/>
  <c r="E179" i="14"/>
  <c r="D179" i="14"/>
  <c r="C179" i="14"/>
  <c r="B179" i="14"/>
  <c r="M178" i="14"/>
  <c r="L178" i="14"/>
  <c r="K178" i="14"/>
  <c r="J178" i="14"/>
  <c r="I178" i="14"/>
  <c r="G178" i="14"/>
  <c r="F178" i="14"/>
  <c r="E178" i="14"/>
  <c r="D178" i="14"/>
  <c r="C178" i="14"/>
  <c r="B178" i="14"/>
  <c r="M177" i="14"/>
  <c r="L177" i="14"/>
  <c r="K177" i="14"/>
  <c r="J177" i="14"/>
  <c r="G177" i="14"/>
  <c r="F177" i="14"/>
  <c r="E177" i="14"/>
  <c r="D177" i="14"/>
  <c r="C177" i="14"/>
  <c r="B177" i="14"/>
  <c r="M176" i="14"/>
  <c r="L176" i="14"/>
  <c r="K176" i="14"/>
  <c r="J176" i="14"/>
  <c r="G176" i="14"/>
  <c r="F176" i="14"/>
  <c r="E176" i="14"/>
  <c r="D176" i="14"/>
  <c r="C176" i="14"/>
  <c r="B176" i="14"/>
  <c r="M175" i="14"/>
  <c r="L175" i="14"/>
  <c r="K175" i="14"/>
  <c r="J175" i="14"/>
  <c r="I175" i="14"/>
  <c r="H175" i="14"/>
  <c r="G175" i="14"/>
  <c r="F175" i="14"/>
  <c r="E175" i="14"/>
  <c r="D175" i="14"/>
  <c r="C175" i="14"/>
  <c r="B175" i="14"/>
  <c r="M174" i="14"/>
  <c r="L174" i="14"/>
  <c r="K174" i="14"/>
  <c r="J174" i="14"/>
  <c r="G174" i="14"/>
  <c r="F174" i="14"/>
  <c r="E174" i="14"/>
  <c r="D174" i="14"/>
  <c r="C174" i="14"/>
  <c r="B174" i="14"/>
  <c r="M173" i="14"/>
  <c r="L173" i="14"/>
  <c r="K173" i="14"/>
  <c r="J173" i="14"/>
  <c r="G173" i="14"/>
  <c r="F173" i="14"/>
  <c r="E173" i="14"/>
  <c r="D173" i="14"/>
  <c r="C173" i="14"/>
  <c r="B173" i="14"/>
  <c r="M172" i="14"/>
  <c r="L172" i="14"/>
  <c r="K172" i="14"/>
  <c r="J172" i="14"/>
  <c r="G172" i="14"/>
  <c r="F172" i="14"/>
  <c r="E172" i="14"/>
  <c r="D172" i="14"/>
  <c r="C172" i="14"/>
  <c r="B172" i="14"/>
  <c r="M171" i="14"/>
  <c r="L171" i="14"/>
  <c r="K171" i="14"/>
  <c r="J171" i="14"/>
  <c r="G171" i="14"/>
  <c r="F171" i="14"/>
  <c r="E171" i="14"/>
  <c r="D171" i="14"/>
  <c r="C171" i="14"/>
  <c r="B171" i="14"/>
  <c r="M170" i="14"/>
  <c r="L170" i="14"/>
  <c r="K170" i="14"/>
  <c r="J170" i="14"/>
  <c r="I170" i="14"/>
  <c r="G170" i="14"/>
  <c r="F170" i="14"/>
  <c r="E170" i="14"/>
  <c r="D170" i="14"/>
  <c r="C170" i="14"/>
  <c r="B170" i="14"/>
  <c r="M169" i="14"/>
  <c r="L169" i="14"/>
  <c r="K169" i="14"/>
  <c r="J169" i="14"/>
  <c r="G169" i="14"/>
  <c r="F169" i="14"/>
  <c r="E169" i="14"/>
  <c r="D169" i="14"/>
  <c r="C169" i="14"/>
  <c r="B169" i="14"/>
  <c r="M168" i="14"/>
  <c r="L168" i="14"/>
  <c r="K168" i="14"/>
  <c r="J168" i="14"/>
  <c r="G168" i="14"/>
  <c r="F168" i="14"/>
  <c r="E168" i="14"/>
  <c r="D168" i="14"/>
  <c r="C168" i="14"/>
  <c r="B168" i="14"/>
  <c r="M167" i="14"/>
  <c r="L167" i="14"/>
  <c r="K167" i="14"/>
  <c r="J167" i="14"/>
  <c r="G167" i="14"/>
  <c r="F167" i="14"/>
  <c r="E167" i="14"/>
  <c r="D167" i="14"/>
  <c r="C167" i="14"/>
  <c r="B167" i="14"/>
  <c r="M166" i="14"/>
  <c r="L166" i="14"/>
  <c r="K166" i="14"/>
  <c r="J166" i="14"/>
  <c r="I166" i="14"/>
  <c r="G166" i="14"/>
  <c r="F166" i="14"/>
  <c r="E166" i="14"/>
  <c r="D166" i="14"/>
  <c r="C166" i="14"/>
  <c r="B166" i="14"/>
  <c r="M165" i="14"/>
  <c r="L165" i="14"/>
  <c r="K165" i="14"/>
  <c r="J165" i="14"/>
  <c r="I165" i="14"/>
  <c r="G165" i="14"/>
  <c r="F165" i="14"/>
  <c r="E165" i="14"/>
  <c r="D165" i="14"/>
  <c r="C165" i="14"/>
  <c r="B165" i="14"/>
  <c r="M164" i="14"/>
  <c r="L164" i="14"/>
  <c r="K164" i="14"/>
  <c r="J164" i="14"/>
  <c r="I164" i="14"/>
  <c r="G164" i="14"/>
  <c r="F164" i="14"/>
  <c r="E164" i="14"/>
  <c r="D164" i="14"/>
  <c r="C164" i="14"/>
  <c r="B164" i="14"/>
  <c r="M163" i="14"/>
  <c r="L163" i="14"/>
  <c r="K163" i="14"/>
  <c r="J163" i="14"/>
  <c r="I163" i="14"/>
  <c r="G163" i="14"/>
  <c r="F163" i="14"/>
  <c r="E163" i="14"/>
  <c r="D163" i="14"/>
  <c r="C163" i="14"/>
  <c r="B163" i="14"/>
  <c r="M162" i="14"/>
  <c r="L162" i="14"/>
  <c r="K162" i="14"/>
  <c r="J162" i="14"/>
  <c r="G162" i="14"/>
  <c r="F162" i="14"/>
  <c r="E162" i="14"/>
  <c r="D162" i="14"/>
  <c r="C162" i="14"/>
  <c r="B162" i="14"/>
  <c r="M161" i="14"/>
  <c r="L161" i="14"/>
  <c r="K161" i="14"/>
  <c r="J161" i="14"/>
  <c r="G161" i="14"/>
  <c r="F161" i="14"/>
  <c r="E161" i="14"/>
  <c r="D161" i="14"/>
  <c r="C161" i="14"/>
  <c r="B161" i="14"/>
  <c r="M160" i="14"/>
  <c r="L160" i="14"/>
  <c r="K160" i="14"/>
  <c r="J160" i="14"/>
  <c r="I160" i="14"/>
  <c r="H160" i="14"/>
  <c r="G160" i="14"/>
  <c r="F160" i="14"/>
  <c r="E160" i="14"/>
  <c r="D160" i="14"/>
  <c r="C160" i="14"/>
  <c r="B160" i="14"/>
  <c r="M159" i="14"/>
  <c r="L159" i="14"/>
  <c r="K159" i="14"/>
  <c r="J159" i="14"/>
  <c r="G159" i="14"/>
  <c r="F159" i="14"/>
  <c r="E159" i="14"/>
  <c r="D159" i="14"/>
  <c r="C159" i="14"/>
  <c r="B159" i="14"/>
  <c r="M158" i="14"/>
  <c r="L158" i="14"/>
  <c r="K158" i="14"/>
  <c r="J158" i="14"/>
  <c r="G158" i="14"/>
  <c r="F158" i="14"/>
  <c r="E158" i="14"/>
  <c r="D158" i="14"/>
  <c r="C158" i="14"/>
  <c r="B158" i="14"/>
  <c r="M157" i="14"/>
  <c r="L157" i="14"/>
  <c r="K157" i="14"/>
  <c r="J157" i="14"/>
  <c r="G157" i="14"/>
  <c r="F157" i="14"/>
  <c r="E157" i="14"/>
  <c r="D157" i="14"/>
  <c r="C157" i="14"/>
  <c r="B157" i="14"/>
  <c r="M156" i="14"/>
  <c r="L156" i="14"/>
  <c r="K156" i="14"/>
  <c r="J156" i="14"/>
  <c r="G156" i="14"/>
  <c r="F156" i="14"/>
  <c r="E156" i="14"/>
  <c r="D156" i="14"/>
  <c r="C156" i="14"/>
  <c r="B156" i="14"/>
  <c r="M155" i="14"/>
  <c r="L155" i="14"/>
  <c r="K155" i="14"/>
  <c r="J155" i="14"/>
  <c r="G155" i="14"/>
  <c r="F155" i="14"/>
  <c r="E155" i="14"/>
  <c r="D155" i="14"/>
  <c r="C155" i="14"/>
  <c r="B155" i="14"/>
  <c r="M154" i="14"/>
  <c r="L154" i="14"/>
  <c r="K154" i="14"/>
  <c r="J154" i="14"/>
  <c r="G154" i="14"/>
  <c r="F154" i="14"/>
  <c r="E154" i="14"/>
  <c r="D154" i="14"/>
  <c r="C154" i="14"/>
  <c r="B154" i="14"/>
  <c r="M153" i="14"/>
  <c r="L153" i="14"/>
  <c r="K153" i="14"/>
  <c r="J153" i="14"/>
  <c r="G153" i="14"/>
  <c r="F153" i="14"/>
  <c r="E153" i="14"/>
  <c r="D153" i="14"/>
  <c r="C153" i="14"/>
  <c r="B153" i="14"/>
  <c r="M152" i="14"/>
  <c r="L152" i="14"/>
  <c r="K152" i="14"/>
  <c r="J152" i="14"/>
  <c r="I152" i="14"/>
  <c r="G152" i="14"/>
  <c r="F152" i="14"/>
  <c r="E152" i="14"/>
  <c r="D152" i="14"/>
  <c r="C152" i="14"/>
  <c r="B152" i="14"/>
  <c r="M151" i="14"/>
  <c r="L151" i="14"/>
  <c r="K151" i="14"/>
  <c r="J151" i="14"/>
  <c r="G151" i="14"/>
  <c r="F151" i="14"/>
  <c r="E151" i="14"/>
  <c r="D151" i="14"/>
  <c r="C151" i="14"/>
  <c r="B151" i="14"/>
  <c r="M150" i="14"/>
  <c r="L150" i="14"/>
  <c r="K150" i="14"/>
  <c r="J150" i="14"/>
  <c r="G150" i="14"/>
  <c r="F150" i="14"/>
  <c r="E150" i="14"/>
  <c r="D150" i="14"/>
  <c r="C150" i="14"/>
  <c r="B150" i="14"/>
  <c r="M149" i="14"/>
  <c r="L149" i="14"/>
  <c r="K149" i="14"/>
  <c r="J149" i="14"/>
  <c r="G149" i="14"/>
  <c r="F149" i="14"/>
  <c r="E149" i="14"/>
  <c r="D149" i="14"/>
  <c r="C149" i="14"/>
  <c r="B149" i="14"/>
  <c r="M148" i="14"/>
  <c r="L148" i="14"/>
  <c r="K148" i="14"/>
  <c r="J148" i="14"/>
  <c r="G148" i="14"/>
  <c r="F148" i="14"/>
  <c r="E148" i="14"/>
  <c r="D148" i="14"/>
  <c r="C148" i="14"/>
  <c r="B148" i="14"/>
  <c r="M147" i="14"/>
  <c r="L147" i="14"/>
  <c r="K147" i="14"/>
  <c r="J147" i="14"/>
  <c r="G147" i="14"/>
  <c r="F147" i="14"/>
  <c r="E147" i="14"/>
  <c r="D147" i="14"/>
  <c r="C147" i="14"/>
  <c r="B147" i="14"/>
  <c r="M146" i="14"/>
  <c r="L146" i="14"/>
  <c r="K146" i="14"/>
  <c r="J146" i="14"/>
  <c r="G146" i="14"/>
  <c r="F146" i="14"/>
  <c r="E146" i="14"/>
  <c r="D146" i="14"/>
  <c r="C146" i="14"/>
  <c r="B146" i="14"/>
  <c r="M145" i="14"/>
  <c r="L145" i="14"/>
  <c r="K145" i="14"/>
  <c r="J145" i="14"/>
  <c r="G145" i="14"/>
  <c r="F145" i="14"/>
  <c r="E145" i="14"/>
  <c r="D145" i="14"/>
  <c r="C145" i="14"/>
  <c r="B145" i="14"/>
  <c r="M144" i="14"/>
  <c r="L144" i="14"/>
  <c r="K144" i="14"/>
  <c r="J144" i="14"/>
  <c r="G144" i="14"/>
  <c r="F144" i="14"/>
  <c r="E144" i="14"/>
  <c r="D144" i="14"/>
  <c r="C144" i="14"/>
  <c r="B144" i="14"/>
  <c r="M143" i="14"/>
  <c r="L143" i="14"/>
  <c r="K143" i="14"/>
  <c r="J143" i="14"/>
  <c r="G143" i="14"/>
  <c r="F143" i="14"/>
  <c r="E143" i="14"/>
  <c r="D143" i="14"/>
  <c r="C143" i="14"/>
  <c r="B143" i="14"/>
  <c r="M142" i="14"/>
  <c r="L142" i="14"/>
  <c r="K142" i="14"/>
  <c r="J142" i="14"/>
  <c r="I142" i="14"/>
  <c r="G142" i="14"/>
  <c r="F142" i="14"/>
  <c r="E142" i="14"/>
  <c r="D142" i="14"/>
  <c r="C142" i="14"/>
  <c r="B142" i="14"/>
  <c r="M141" i="14"/>
  <c r="L141" i="14"/>
  <c r="K141" i="14"/>
  <c r="J141" i="14"/>
  <c r="G141" i="14"/>
  <c r="F141" i="14"/>
  <c r="E141" i="14"/>
  <c r="D141" i="14"/>
  <c r="C141" i="14"/>
  <c r="B141" i="14"/>
  <c r="M140" i="14"/>
  <c r="L140" i="14"/>
  <c r="K140" i="14"/>
  <c r="J140" i="14"/>
  <c r="G140" i="14"/>
  <c r="F140" i="14"/>
  <c r="E140" i="14"/>
  <c r="D140" i="14"/>
  <c r="C140" i="14"/>
  <c r="B140" i="14"/>
  <c r="M139" i="14"/>
  <c r="L139" i="14"/>
  <c r="K139" i="14"/>
  <c r="J139" i="14"/>
  <c r="G139" i="14"/>
  <c r="F139" i="14"/>
  <c r="E139" i="14"/>
  <c r="D139" i="14"/>
  <c r="C139" i="14"/>
  <c r="B139" i="14"/>
  <c r="M138" i="14"/>
  <c r="L138" i="14"/>
  <c r="K138" i="14"/>
  <c r="J138" i="14"/>
  <c r="G138" i="14"/>
  <c r="F138" i="14"/>
  <c r="E138" i="14"/>
  <c r="D138" i="14"/>
  <c r="C138" i="14"/>
  <c r="B138" i="14"/>
  <c r="M137" i="14"/>
  <c r="L137" i="14"/>
  <c r="K137" i="14"/>
  <c r="J137" i="14"/>
  <c r="G137" i="14"/>
  <c r="F137" i="14"/>
  <c r="E137" i="14"/>
  <c r="D137" i="14"/>
  <c r="C137" i="14"/>
  <c r="B137" i="14"/>
  <c r="M136" i="14"/>
  <c r="L136" i="14"/>
  <c r="K136" i="14"/>
  <c r="J136" i="14"/>
  <c r="G136" i="14"/>
  <c r="F136" i="14"/>
  <c r="E136" i="14"/>
  <c r="D136" i="14"/>
  <c r="C136" i="14"/>
  <c r="B136" i="14"/>
  <c r="M135" i="14"/>
  <c r="L135" i="14"/>
  <c r="K135" i="14"/>
  <c r="J135" i="14"/>
  <c r="G135" i="14"/>
  <c r="F135" i="14"/>
  <c r="E135" i="14"/>
  <c r="D135" i="14"/>
  <c r="C135" i="14"/>
  <c r="B135" i="14"/>
  <c r="M134" i="14"/>
  <c r="L134" i="14"/>
  <c r="K134" i="14"/>
  <c r="J134" i="14"/>
  <c r="G134" i="14"/>
  <c r="F134" i="14"/>
  <c r="E134" i="14"/>
  <c r="D134" i="14"/>
  <c r="C134" i="14"/>
  <c r="B134" i="14"/>
  <c r="M133" i="14"/>
  <c r="L133" i="14"/>
  <c r="K133" i="14"/>
  <c r="J133" i="14"/>
  <c r="G133" i="14"/>
  <c r="F133" i="14"/>
  <c r="E133" i="14"/>
  <c r="D133" i="14"/>
  <c r="C133" i="14"/>
  <c r="B133" i="14"/>
  <c r="M132" i="14"/>
  <c r="L132" i="14"/>
  <c r="K132" i="14"/>
  <c r="J132" i="14"/>
  <c r="I132" i="14"/>
  <c r="G132" i="14"/>
  <c r="F132" i="14"/>
  <c r="E132" i="14"/>
  <c r="D132" i="14"/>
  <c r="C132" i="14"/>
  <c r="B132" i="14"/>
  <c r="M131" i="14"/>
  <c r="L131" i="14"/>
  <c r="K131" i="14"/>
  <c r="J131" i="14"/>
  <c r="I131" i="14"/>
  <c r="G131" i="14"/>
  <c r="F131" i="14"/>
  <c r="E131" i="14"/>
  <c r="D131" i="14"/>
  <c r="C131" i="14"/>
  <c r="B131" i="14"/>
  <c r="M130" i="14"/>
  <c r="L130" i="14"/>
  <c r="K130" i="14"/>
  <c r="J130" i="14"/>
  <c r="G130" i="14"/>
  <c r="F130" i="14"/>
  <c r="E130" i="14"/>
  <c r="D130" i="14"/>
  <c r="C130" i="14"/>
  <c r="B130" i="14"/>
  <c r="M129" i="14"/>
  <c r="L129" i="14"/>
  <c r="K129" i="14"/>
  <c r="J129" i="14"/>
  <c r="G129" i="14"/>
  <c r="F129" i="14"/>
  <c r="E129" i="14"/>
  <c r="D129" i="14"/>
  <c r="C129" i="14"/>
  <c r="B129" i="14"/>
  <c r="M128" i="14"/>
  <c r="L128" i="14"/>
  <c r="K128" i="14"/>
  <c r="J128" i="14"/>
  <c r="I128" i="14"/>
  <c r="G128" i="14"/>
  <c r="F128" i="14"/>
  <c r="E128" i="14"/>
  <c r="D128" i="14"/>
  <c r="C128" i="14"/>
  <c r="B128" i="14"/>
  <c r="M127" i="14"/>
  <c r="L127" i="14"/>
  <c r="K127" i="14"/>
  <c r="J127" i="14"/>
  <c r="G127" i="14"/>
  <c r="F127" i="14"/>
  <c r="E127" i="14"/>
  <c r="D127" i="14"/>
  <c r="C127" i="14"/>
  <c r="B127" i="14"/>
  <c r="M126" i="14"/>
  <c r="L126" i="14"/>
  <c r="K126" i="14"/>
  <c r="J126" i="14"/>
  <c r="G126" i="14"/>
  <c r="F126" i="14"/>
  <c r="E126" i="14"/>
  <c r="D126" i="14"/>
  <c r="C126" i="14"/>
  <c r="B126" i="14"/>
  <c r="M125" i="14"/>
  <c r="L125" i="14"/>
  <c r="K125" i="14"/>
  <c r="J125" i="14"/>
  <c r="I125" i="14"/>
  <c r="G125" i="14"/>
  <c r="F125" i="14"/>
  <c r="E125" i="14"/>
  <c r="D125" i="14"/>
  <c r="C125" i="14"/>
  <c r="B125" i="14"/>
  <c r="M124" i="14"/>
  <c r="L124" i="14"/>
  <c r="K124" i="14"/>
  <c r="J124" i="14"/>
  <c r="G124" i="14"/>
  <c r="F124" i="14"/>
  <c r="E124" i="14"/>
  <c r="D124" i="14"/>
  <c r="C124" i="14"/>
  <c r="B124" i="14"/>
  <c r="M123" i="14"/>
  <c r="L123" i="14"/>
  <c r="K123" i="14"/>
  <c r="J123" i="14"/>
  <c r="G123" i="14"/>
  <c r="F123" i="14"/>
  <c r="E123" i="14"/>
  <c r="D123" i="14"/>
  <c r="C123" i="14"/>
  <c r="B123" i="14"/>
  <c r="M122" i="14"/>
  <c r="L122" i="14"/>
  <c r="K122" i="14"/>
  <c r="J122" i="14"/>
  <c r="G122" i="14"/>
  <c r="F122" i="14"/>
  <c r="E122" i="14"/>
  <c r="D122" i="14"/>
  <c r="C122" i="14"/>
  <c r="B122" i="14"/>
  <c r="M121" i="14"/>
  <c r="L121" i="14"/>
  <c r="K121" i="14"/>
  <c r="J121" i="14"/>
  <c r="I121" i="14"/>
  <c r="H121" i="14"/>
  <c r="G121" i="14"/>
  <c r="F121" i="14"/>
  <c r="E121" i="14"/>
  <c r="D121" i="14"/>
  <c r="C121" i="14"/>
  <c r="B121" i="14"/>
  <c r="M120" i="14"/>
  <c r="L120" i="14"/>
  <c r="K120" i="14"/>
  <c r="J120" i="14"/>
  <c r="G120" i="14"/>
  <c r="F120" i="14"/>
  <c r="E120" i="14"/>
  <c r="D120" i="14"/>
  <c r="C120" i="14"/>
  <c r="B120" i="14"/>
  <c r="M119" i="14"/>
  <c r="L119" i="14"/>
  <c r="K119" i="14"/>
  <c r="J119" i="14"/>
  <c r="I119" i="14"/>
  <c r="H119" i="14"/>
  <c r="G119" i="14"/>
  <c r="F119" i="14"/>
  <c r="E119" i="14"/>
  <c r="D119" i="14"/>
  <c r="C119" i="14"/>
  <c r="B119" i="14"/>
  <c r="M118" i="14"/>
  <c r="L118" i="14"/>
  <c r="K118" i="14"/>
  <c r="J118" i="14"/>
  <c r="I118" i="14"/>
  <c r="G118" i="14"/>
  <c r="F118" i="14"/>
  <c r="E118" i="14"/>
  <c r="D118" i="14"/>
  <c r="C118" i="14"/>
  <c r="B118" i="14"/>
  <c r="M117" i="14"/>
  <c r="L117" i="14"/>
  <c r="K117" i="14"/>
  <c r="J117" i="14"/>
  <c r="G117" i="14"/>
  <c r="F117" i="14"/>
  <c r="E117" i="14"/>
  <c r="D117" i="14"/>
  <c r="C117" i="14"/>
  <c r="B117" i="14"/>
  <c r="M116" i="14"/>
  <c r="L116" i="14"/>
  <c r="K116" i="14"/>
  <c r="J116" i="14"/>
  <c r="G116" i="14"/>
  <c r="F116" i="14"/>
  <c r="E116" i="14"/>
  <c r="D116" i="14"/>
  <c r="C116" i="14"/>
  <c r="B116" i="14"/>
  <c r="M115" i="14"/>
  <c r="L115" i="14"/>
  <c r="K115" i="14"/>
  <c r="J115" i="14"/>
  <c r="G115" i="14"/>
  <c r="F115" i="14"/>
  <c r="E115" i="14"/>
  <c r="D115" i="14"/>
  <c r="C115" i="14"/>
  <c r="B115" i="14"/>
  <c r="M114" i="14"/>
  <c r="L114" i="14"/>
  <c r="K114" i="14"/>
  <c r="J114" i="14"/>
  <c r="G114" i="14"/>
  <c r="F114" i="14"/>
  <c r="E114" i="14"/>
  <c r="D114" i="14"/>
  <c r="C114" i="14"/>
  <c r="B114" i="14"/>
  <c r="M113" i="14"/>
  <c r="L113" i="14"/>
  <c r="K113" i="14"/>
  <c r="J113" i="14"/>
  <c r="G113" i="14"/>
  <c r="F113" i="14"/>
  <c r="E113" i="14"/>
  <c r="D113" i="14"/>
  <c r="C113" i="14"/>
  <c r="B113" i="14"/>
  <c r="M112" i="14"/>
  <c r="L112" i="14"/>
  <c r="K112" i="14"/>
  <c r="J112" i="14"/>
  <c r="G112" i="14"/>
  <c r="F112" i="14"/>
  <c r="E112" i="14"/>
  <c r="D112" i="14"/>
  <c r="C112" i="14"/>
  <c r="B112" i="14"/>
  <c r="M111" i="14"/>
  <c r="L111" i="14"/>
  <c r="K111" i="14"/>
  <c r="J111" i="14"/>
  <c r="G111" i="14"/>
  <c r="F111" i="14"/>
  <c r="E111" i="14"/>
  <c r="D111" i="14"/>
  <c r="C111" i="14"/>
  <c r="B111" i="14"/>
  <c r="M110" i="14"/>
  <c r="L110" i="14"/>
  <c r="K110" i="14"/>
  <c r="J110" i="14"/>
  <c r="I110" i="14"/>
  <c r="G110" i="14"/>
  <c r="F110" i="14"/>
  <c r="E110" i="14"/>
  <c r="D110" i="14"/>
  <c r="C110" i="14"/>
  <c r="B110" i="14"/>
  <c r="M109" i="14"/>
  <c r="L109" i="14"/>
  <c r="K109" i="14"/>
  <c r="J109" i="14"/>
  <c r="G109" i="14"/>
  <c r="F109" i="14"/>
  <c r="E109" i="14"/>
  <c r="D109" i="14"/>
  <c r="C109" i="14"/>
  <c r="B109" i="14"/>
  <c r="M108" i="14"/>
  <c r="L108" i="14"/>
  <c r="K108" i="14"/>
  <c r="J108" i="14"/>
  <c r="H108" i="14"/>
  <c r="G108" i="14"/>
  <c r="F108" i="14"/>
  <c r="E108" i="14"/>
  <c r="D108" i="14"/>
  <c r="C108" i="14"/>
  <c r="B108" i="14"/>
  <c r="M107" i="14"/>
  <c r="L107" i="14"/>
  <c r="K107" i="14"/>
  <c r="J107" i="14"/>
  <c r="G107" i="14"/>
  <c r="F107" i="14"/>
  <c r="E107" i="14"/>
  <c r="D107" i="14"/>
  <c r="C107" i="14"/>
  <c r="B107" i="14"/>
  <c r="M106" i="14"/>
  <c r="L106" i="14"/>
  <c r="K106" i="14"/>
  <c r="J106" i="14"/>
  <c r="I106" i="14"/>
  <c r="G106" i="14"/>
  <c r="F106" i="14"/>
  <c r="E106" i="14"/>
  <c r="D106" i="14"/>
  <c r="C106" i="14"/>
  <c r="B106" i="14"/>
  <c r="M105" i="14"/>
  <c r="L105" i="14"/>
  <c r="K105" i="14"/>
  <c r="J105" i="14"/>
  <c r="I105" i="14"/>
  <c r="G105" i="14"/>
  <c r="F105" i="14"/>
  <c r="E105" i="14"/>
  <c r="D105" i="14"/>
  <c r="C105" i="14"/>
  <c r="B105" i="14"/>
  <c r="M104" i="14"/>
  <c r="L104" i="14"/>
  <c r="K104" i="14"/>
  <c r="J104" i="14"/>
  <c r="I104" i="14"/>
  <c r="G104" i="14"/>
  <c r="F104" i="14"/>
  <c r="E104" i="14"/>
  <c r="D104" i="14"/>
  <c r="C104" i="14"/>
  <c r="B104" i="14"/>
  <c r="M103" i="14"/>
  <c r="L103" i="14"/>
  <c r="K103" i="14"/>
  <c r="J103" i="14"/>
  <c r="G103" i="14"/>
  <c r="F103" i="14"/>
  <c r="E103" i="14"/>
  <c r="D103" i="14"/>
  <c r="C103" i="14"/>
  <c r="B103" i="14"/>
  <c r="M102" i="14"/>
  <c r="L102" i="14"/>
  <c r="K102" i="14"/>
  <c r="J102" i="14"/>
  <c r="I102" i="14"/>
  <c r="G102" i="14"/>
  <c r="F102" i="14"/>
  <c r="E102" i="14"/>
  <c r="D102" i="14"/>
  <c r="C102" i="14"/>
  <c r="B102" i="14"/>
  <c r="M101" i="14"/>
  <c r="L101" i="14"/>
  <c r="K101" i="14"/>
  <c r="J101" i="14"/>
  <c r="G101" i="14"/>
  <c r="F101" i="14"/>
  <c r="E101" i="14"/>
  <c r="D101" i="14"/>
  <c r="C101" i="14"/>
  <c r="B101" i="14"/>
  <c r="M100" i="14"/>
  <c r="L100" i="14"/>
  <c r="K100" i="14"/>
  <c r="J100" i="14"/>
  <c r="I100" i="14"/>
  <c r="G100" i="14"/>
  <c r="F100" i="14"/>
  <c r="E100" i="14"/>
  <c r="D100" i="14"/>
  <c r="C100" i="14"/>
  <c r="B100" i="14"/>
  <c r="M99" i="14"/>
  <c r="L99" i="14"/>
  <c r="K99" i="14"/>
  <c r="J99" i="14"/>
  <c r="G99" i="14"/>
  <c r="F99" i="14"/>
  <c r="E99" i="14"/>
  <c r="D99" i="14"/>
  <c r="C99" i="14"/>
  <c r="B99" i="14"/>
  <c r="M98" i="14"/>
  <c r="L98" i="14"/>
  <c r="K98" i="14"/>
  <c r="J98" i="14"/>
  <c r="I98" i="14"/>
  <c r="G98" i="14"/>
  <c r="F98" i="14"/>
  <c r="E98" i="14"/>
  <c r="D98" i="14"/>
  <c r="C98" i="14"/>
  <c r="B98" i="14"/>
  <c r="M97" i="14"/>
  <c r="L97" i="14"/>
  <c r="K97" i="14"/>
  <c r="J97" i="14"/>
  <c r="I97" i="14"/>
  <c r="G97" i="14"/>
  <c r="F97" i="14"/>
  <c r="E97" i="14"/>
  <c r="D97" i="14"/>
  <c r="C97" i="14"/>
  <c r="B97" i="14"/>
  <c r="M96" i="14"/>
  <c r="L96" i="14"/>
  <c r="K96" i="14"/>
  <c r="J96" i="14"/>
  <c r="I96" i="14"/>
  <c r="G96" i="14"/>
  <c r="F96" i="14"/>
  <c r="E96" i="14"/>
  <c r="D96" i="14"/>
  <c r="C96" i="14"/>
  <c r="B96" i="14"/>
  <c r="M95" i="14"/>
  <c r="L95" i="14"/>
  <c r="K95" i="14"/>
  <c r="J95" i="14"/>
  <c r="G95" i="14"/>
  <c r="F95" i="14"/>
  <c r="E95" i="14"/>
  <c r="D95" i="14"/>
  <c r="C95" i="14"/>
  <c r="B95" i="14"/>
  <c r="M94" i="14"/>
  <c r="L94" i="14"/>
  <c r="K94" i="14"/>
  <c r="J94" i="14"/>
  <c r="G94" i="14"/>
  <c r="F94" i="14"/>
  <c r="E94" i="14"/>
  <c r="D94" i="14"/>
  <c r="C94" i="14"/>
  <c r="B94" i="14"/>
  <c r="M93" i="14"/>
  <c r="L93" i="14"/>
  <c r="K93" i="14"/>
  <c r="J93" i="14"/>
  <c r="I93" i="14"/>
  <c r="G93" i="14"/>
  <c r="F93" i="14"/>
  <c r="E93" i="14"/>
  <c r="D93" i="14"/>
  <c r="C93" i="14"/>
  <c r="B93" i="14"/>
  <c r="M92" i="14"/>
  <c r="L92" i="14"/>
  <c r="K92" i="14"/>
  <c r="J92" i="14"/>
  <c r="G92" i="14"/>
  <c r="F92" i="14"/>
  <c r="E92" i="14"/>
  <c r="D92" i="14"/>
  <c r="C92" i="14"/>
  <c r="B92" i="14"/>
  <c r="M91" i="14"/>
  <c r="L91" i="14"/>
  <c r="K91" i="14"/>
  <c r="J91" i="14"/>
  <c r="G91" i="14"/>
  <c r="F91" i="14"/>
  <c r="E91" i="14"/>
  <c r="D91" i="14"/>
  <c r="C91" i="14"/>
  <c r="B91" i="14"/>
  <c r="M90" i="14"/>
  <c r="L90" i="14"/>
  <c r="K90" i="14"/>
  <c r="J90" i="14"/>
  <c r="I90" i="14"/>
  <c r="G90" i="14"/>
  <c r="F90" i="14"/>
  <c r="E90" i="14"/>
  <c r="D90" i="14"/>
  <c r="C90" i="14"/>
  <c r="B90" i="14"/>
  <c r="M89" i="14"/>
  <c r="L89" i="14"/>
  <c r="K89" i="14"/>
  <c r="J89" i="14"/>
  <c r="G89" i="14"/>
  <c r="F89" i="14"/>
  <c r="E89" i="14"/>
  <c r="D89" i="14"/>
  <c r="C89" i="14"/>
  <c r="B89" i="14"/>
  <c r="M88" i="14"/>
  <c r="L88" i="14"/>
  <c r="K88" i="14"/>
  <c r="J88" i="14"/>
  <c r="I88" i="14"/>
  <c r="H88" i="14"/>
  <c r="G88" i="14"/>
  <c r="F88" i="14"/>
  <c r="E88" i="14"/>
  <c r="D88" i="14"/>
  <c r="C88" i="14"/>
  <c r="B88" i="14"/>
  <c r="M87" i="14"/>
  <c r="L87" i="14"/>
  <c r="K87" i="14"/>
  <c r="J87" i="14"/>
  <c r="I87" i="14"/>
  <c r="G87" i="14"/>
  <c r="F87" i="14"/>
  <c r="E87" i="14"/>
  <c r="D87" i="14"/>
  <c r="C87" i="14"/>
  <c r="B87" i="14"/>
  <c r="M86" i="14"/>
  <c r="L86" i="14"/>
  <c r="K86" i="14"/>
  <c r="J86" i="14"/>
  <c r="G86" i="14"/>
  <c r="F86" i="14"/>
  <c r="E86" i="14"/>
  <c r="D86" i="14"/>
  <c r="C86" i="14"/>
  <c r="B86" i="14"/>
  <c r="M85" i="14"/>
  <c r="L85" i="14"/>
  <c r="K85" i="14"/>
  <c r="J85" i="14"/>
  <c r="I85" i="14"/>
  <c r="G85" i="14"/>
  <c r="F85" i="14"/>
  <c r="E85" i="14"/>
  <c r="D85" i="14"/>
  <c r="C85" i="14"/>
  <c r="B85" i="14"/>
  <c r="M84" i="14"/>
  <c r="L84" i="14"/>
  <c r="K84" i="14"/>
  <c r="J84" i="14"/>
  <c r="G84" i="14"/>
  <c r="F84" i="14"/>
  <c r="E84" i="14"/>
  <c r="D84" i="14"/>
  <c r="C84" i="14"/>
  <c r="B84" i="14"/>
  <c r="M83" i="14"/>
  <c r="L83" i="14"/>
  <c r="K83" i="14"/>
  <c r="J83" i="14"/>
  <c r="I83" i="14"/>
  <c r="G83" i="14"/>
  <c r="F83" i="14"/>
  <c r="E83" i="14"/>
  <c r="D83" i="14"/>
  <c r="C83" i="14"/>
  <c r="B83" i="14"/>
  <c r="M82" i="14"/>
  <c r="L82" i="14"/>
  <c r="K82" i="14"/>
  <c r="J82" i="14"/>
  <c r="I82" i="14"/>
  <c r="G82" i="14"/>
  <c r="F82" i="14"/>
  <c r="E82" i="14"/>
  <c r="D82" i="14"/>
  <c r="C82" i="14"/>
  <c r="B82" i="14"/>
  <c r="M81" i="14"/>
  <c r="L81" i="14"/>
  <c r="K81" i="14"/>
  <c r="J81" i="14"/>
  <c r="I81" i="14"/>
  <c r="G81" i="14"/>
  <c r="F81" i="14"/>
  <c r="E81" i="14"/>
  <c r="D81" i="14"/>
  <c r="C81" i="14"/>
  <c r="B81" i="14"/>
  <c r="M80" i="14"/>
  <c r="L80" i="14"/>
  <c r="K80" i="14"/>
  <c r="J80" i="14"/>
  <c r="I80" i="14"/>
  <c r="G80" i="14"/>
  <c r="F80" i="14"/>
  <c r="E80" i="14"/>
  <c r="D80" i="14"/>
  <c r="C80" i="14"/>
  <c r="B80" i="14"/>
  <c r="M79" i="14"/>
  <c r="L79" i="14"/>
  <c r="K79" i="14"/>
  <c r="J79" i="14"/>
  <c r="I79" i="14"/>
  <c r="G79" i="14"/>
  <c r="F79" i="14"/>
  <c r="E79" i="14"/>
  <c r="D79" i="14"/>
  <c r="C79" i="14"/>
  <c r="B79" i="14"/>
  <c r="M78" i="14"/>
  <c r="L78" i="14"/>
  <c r="K78" i="14"/>
  <c r="J78" i="14"/>
  <c r="I78" i="14"/>
  <c r="G78" i="14"/>
  <c r="F78" i="14"/>
  <c r="E78" i="14"/>
  <c r="D78" i="14"/>
  <c r="C78" i="14"/>
  <c r="B78" i="14"/>
  <c r="M77" i="14"/>
  <c r="L77" i="14"/>
  <c r="K77" i="14"/>
  <c r="J77" i="14"/>
  <c r="I77" i="14"/>
  <c r="G77" i="14"/>
  <c r="F77" i="14"/>
  <c r="E77" i="14"/>
  <c r="D77" i="14"/>
  <c r="C77" i="14"/>
  <c r="B77" i="14"/>
  <c r="M76" i="14"/>
  <c r="L76" i="14"/>
  <c r="K76" i="14"/>
  <c r="J76" i="14"/>
  <c r="H76" i="14"/>
  <c r="G76" i="14"/>
  <c r="F76" i="14"/>
  <c r="E76" i="14"/>
  <c r="D76" i="14"/>
  <c r="C76" i="14"/>
  <c r="B76" i="14"/>
  <c r="M75" i="14"/>
  <c r="L75" i="14"/>
  <c r="K75" i="14"/>
  <c r="J75" i="14"/>
  <c r="I75" i="14"/>
  <c r="G75" i="14"/>
  <c r="F75" i="14"/>
  <c r="E75" i="14"/>
  <c r="D75" i="14"/>
  <c r="C75" i="14"/>
  <c r="B75" i="14"/>
  <c r="M74" i="14"/>
  <c r="L74" i="14"/>
  <c r="K74" i="14"/>
  <c r="J74" i="14"/>
  <c r="I74" i="14"/>
  <c r="G74" i="14"/>
  <c r="F74" i="14"/>
  <c r="E74" i="14"/>
  <c r="D74" i="14"/>
  <c r="C74" i="14"/>
  <c r="B74" i="14"/>
  <c r="M73" i="14"/>
  <c r="L73" i="14"/>
  <c r="K73" i="14"/>
  <c r="J73" i="14"/>
  <c r="I73" i="14"/>
  <c r="G73" i="14"/>
  <c r="F73" i="14"/>
  <c r="E73" i="14"/>
  <c r="D73" i="14"/>
  <c r="C73" i="14"/>
  <c r="B73" i="14"/>
  <c r="M72" i="14"/>
  <c r="L72" i="14"/>
  <c r="K72" i="14"/>
  <c r="J72" i="14"/>
  <c r="H72" i="14"/>
  <c r="G72" i="14"/>
  <c r="F72" i="14"/>
  <c r="E72" i="14"/>
  <c r="D72" i="14"/>
  <c r="C72" i="14"/>
  <c r="B72" i="14"/>
  <c r="M71" i="14"/>
  <c r="L71" i="14"/>
  <c r="K71" i="14"/>
  <c r="J71" i="14"/>
  <c r="G71" i="14"/>
  <c r="F71" i="14"/>
  <c r="E71" i="14"/>
  <c r="D71" i="14"/>
  <c r="C71" i="14"/>
  <c r="B71" i="14"/>
  <c r="M70" i="14"/>
  <c r="L70" i="14"/>
  <c r="K70" i="14"/>
  <c r="J70" i="14"/>
  <c r="G70" i="14"/>
  <c r="F70" i="14"/>
  <c r="E70" i="14"/>
  <c r="D70" i="14"/>
  <c r="C70" i="14"/>
  <c r="B70" i="14"/>
  <c r="M69" i="14"/>
  <c r="L69" i="14"/>
  <c r="K69" i="14"/>
  <c r="J69" i="14"/>
  <c r="G69" i="14"/>
  <c r="F69" i="14"/>
  <c r="E69" i="14"/>
  <c r="D69" i="14"/>
  <c r="C69" i="14"/>
  <c r="B69" i="14"/>
  <c r="M68" i="14"/>
  <c r="L68" i="14"/>
  <c r="K68" i="14"/>
  <c r="J68" i="14"/>
  <c r="G68" i="14"/>
  <c r="F68" i="14"/>
  <c r="E68" i="14"/>
  <c r="D68" i="14"/>
  <c r="C68" i="14"/>
  <c r="B68" i="14"/>
  <c r="M67" i="14"/>
  <c r="L67" i="14"/>
  <c r="K67" i="14"/>
  <c r="J67" i="14"/>
  <c r="G67" i="14"/>
  <c r="F67" i="14"/>
  <c r="E67" i="14"/>
  <c r="D67" i="14"/>
  <c r="C67" i="14"/>
  <c r="B67" i="14"/>
  <c r="M66" i="14"/>
  <c r="L66" i="14"/>
  <c r="K66" i="14"/>
  <c r="J66" i="14"/>
  <c r="H66" i="14"/>
  <c r="G66" i="14"/>
  <c r="F66" i="14"/>
  <c r="E66" i="14"/>
  <c r="D66" i="14"/>
  <c r="C66" i="14"/>
  <c r="B66" i="14"/>
  <c r="M65" i="14"/>
  <c r="L65" i="14"/>
  <c r="K65" i="14"/>
  <c r="J65" i="14"/>
  <c r="I65" i="14"/>
  <c r="G65" i="14"/>
  <c r="F65" i="14"/>
  <c r="E65" i="14"/>
  <c r="D65" i="14"/>
  <c r="C65" i="14"/>
  <c r="B65" i="14"/>
  <c r="M64" i="14"/>
  <c r="L64" i="14"/>
  <c r="K64" i="14"/>
  <c r="J64" i="14"/>
  <c r="G64" i="14"/>
  <c r="F64" i="14"/>
  <c r="E64" i="14"/>
  <c r="D64" i="14"/>
  <c r="C64" i="14"/>
  <c r="B64" i="14"/>
  <c r="M63" i="14"/>
  <c r="L63" i="14"/>
  <c r="K63" i="14"/>
  <c r="J63" i="14"/>
  <c r="G63" i="14"/>
  <c r="F63" i="14"/>
  <c r="E63" i="14"/>
  <c r="D63" i="14"/>
  <c r="C63" i="14"/>
  <c r="B63" i="14"/>
  <c r="M62" i="14"/>
  <c r="L62" i="14"/>
  <c r="K62" i="14"/>
  <c r="J62" i="14"/>
  <c r="G62" i="14"/>
  <c r="F62" i="14"/>
  <c r="E62" i="14"/>
  <c r="D62" i="14"/>
  <c r="C62" i="14"/>
  <c r="B62" i="14"/>
  <c r="M61" i="14"/>
  <c r="L61" i="14"/>
  <c r="K61" i="14"/>
  <c r="J61" i="14"/>
  <c r="G61" i="14"/>
  <c r="F61" i="14"/>
  <c r="E61" i="14"/>
  <c r="D61" i="14"/>
  <c r="C61" i="14"/>
  <c r="B61" i="14"/>
  <c r="M60" i="14"/>
  <c r="L60" i="14"/>
  <c r="K60" i="14"/>
  <c r="J60" i="14"/>
  <c r="G60" i="14"/>
  <c r="F60" i="14"/>
  <c r="E60" i="14"/>
  <c r="D60" i="14"/>
  <c r="C60" i="14"/>
  <c r="B60" i="14"/>
  <c r="M59" i="14"/>
  <c r="L59" i="14"/>
  <c r="K59" i="14"/>
  <c r="J59" i="14"/>
  <c r="I59" i="14"/>
  <c r="H59" i="14"/>
  <c r="G59" i="14"/>
  <c r="F59" i="14"/>
  <c r="E59" i="14"/>
  <c r="D59" i="14"/>
  <c r="C59" i="14"/>
  <c r="B59" i="14"/>
  <c r="M58" i="14"/>
  <c r="L58" i="14"/>
  <c r="K58" i="14"/>
  <c r="J58" i="14"/>
  <c r="G58" i="14"/>
  <c r="F58" i="14"/>
  <c r="E58" i="14"/>
  <c r="D58" i="14"/>
  <c r="C58" i="14"/>
  <c r="B58" i="14"/>
  <c r="M57" i="14"/>
  <c r="L57" i="14"/>
  <c r="K57" i="14"/>
  <c r="J57" i="14"/>
  <c r="G57" i="14"/>
  <c r="F57" i="14"/>
  <c r="E57" i="14"/>
  <c r="D57" i="14"/>
  <c r="C57" i="14"/>
  <c r="B57" i="14"/>
  <c r="M56" i="14"/>
  <c r="L56" i="14"/>
  <c r="K56" i="14"/>
  <c r="J56" i="14"/>
  <c r="G56" i="14"/>
  <c r="F56" i="14"/>
  <c r="E56" i="14"/>
  <c r="D56" i="14"/>
  <c r="C56" i="14"/>
  <c r="B56" i="14"/>
  <c r="M55" i="14"/>
  <c r="L55" i="14"/>
  <c r="K55" i="14"/>
  <c r="J55" i="14"/>
  <c r="I55" i="14"/>
  <c r="G55" i="14"/>
  <c r="F55" i="14"/>
  <c r="E55" i="14"/>
  <c r="D55" i="14"/>
  <c r="C55" i="14"/>
  <c r="B55" i="14"/>
  <c r="M54" i="14"/>
  <c r="L54" i="14"/>
  <c r="K54" i="14"/>
  <c r="J54" i="14"/>
  <c r="G54" i="14"/>
  <c r="F54" i="14"/>
  <c r="E54" i="14"/>
  <c r="D54" i="14"/>
  <c r="C54" i="14"/>
  <c r="B54" i="14"/>
  <c r="M53" i="14"/>
  <c r="L53" i="14"/>
  <c r="K53" i="14"/>
  <c r="J53" i="14"/>
  <c r="G53" i="14"/>
  <c r="F53" i="14"/>
  <c r="E53" i="14"/>
  <c r="D53" i="14"/>
  <c r="C53" i="14"/>
  <c r="B53" i="14"/>
  <c r="M52" i="14"/>
  <c r="L52" i="14"/>
  <c r="K52" i="14"/>
  <c r="J52" i="14"/>
  <c r="G52" i="14"/>
  <c r="F52" i="14"/>
  <c r="E52" i="14"/>
  <c r="D52" i="14"/>
  <c r="C52" i="14"/>
  <c r="B52" i="14"/>
  <c r="M51" i="14"/>
  <c r="L51" i="14"/>
  <c r="K51" i="14"/>
  <c r="J51" i="14"/>
  <c r="G51" i="14"/>
  <c r="F51" i="14"/>
  <c r="E51" i="14"/>
  <c r="D51" i="14"/>
  <c r="C51" i="14"/>
  <c r="B51" i="14"/>
  <c r="M50" i="14"/>
  <c r="L50" i="14"/>
  <c r="K50" i="14"/>
  <c r="J50" i="14"/>
  <c r="G50" i="14"/>
  <c r="F50" i="14"/>
  <c r="E50" i="14"/>
  <c r="D50" i="14"/>
  <c r="C50" i="14"/>
  <c r="B50" i="14"/>
  <c r="M49" i="14"/>
  <c r="L49" i="14"/>
  <c r="K49" i="14"/>
  <c r="J49" i="14"/>
  <c r="G49" i="14"/>
  <c r="F49" i="14"/>
  <c r="E49" i="14"/>
  <c r="D49" i="14"/>
  <c r="C49" i="14"/>
  <c r="B49" i="14"/>
  <c r="M48" i="14"/>
  <c r="L48" i="14"/>
  <c r="K48" i="14"/>
  <c r="J48" i="14"/>
  <c r="G48" i="14"/>
  <c r="F48" i="14"/>
  <c r="E48" i="14"/>
  <c r="D48" i="14"/>
  <c r="C48" i="14"/>
  <c r="B48" i="14"/>
  <c r="M47" i="14"/>
  <c r="L47" i="14"/>
  <c r="K47" i="14"/>
  <c r="J47" i="14"/>
  <c r="G47" i="14"/>
  <c r="F47" i="14"/>
  <c r="E47" i="14"/>
  <c r="D47" i="14"/>
  <c r="C47" i="14"/>
  <c r="B47" i="14"/>
  <c r="M46" i="14"/>
  <c r="L46" i="14"/>
  <c r="K46" i="14"/>
  <c r="J46" i="14"/>
  <c r="G46" i="14"/>
  <c r="F46" i="14"/>
  <c r="E46" i="14"/>
  <c r="D46" i="14"/>
  <c r="C46" i="14"/>
  <c r="B46" i="14"/>
  <c r="M45" i="14"/>
  <c r="L45" i="14"/>
  <c r="K45" i="14"/>
  <c r="J45" i="14"/>
  <c r="G45" i="14"/>
  <c r="F45" i="14"/>
  <c r="E45" i="14"/>
  <c r="D45" i="14"/>
  <c r="C45" i="14"/>
  <c r="B45" i="14"/>
  <c r="M44" i="14"/>
  <c r="L44" i="14"/>
  <c r="K44" i="14"/>
  <c r="J44" i="14"/>
  <c r="G44" i="14"/>
  <c r="F44" i="14"/>
  <c r="E44" i="14"/>
  <c r="D44" i="14"/>
  <c r="C44" i="14"/>
  <c r="B44" i="14"/>
  <c r="M43" i="14"/>
  <c r="L43" i="14"/>
  <c r="K43" i="14"/>
  <c r="J43" i="14"/>
  <c r="H43" i="14"/>
  <c r="G43" i="14"/>
  <c r="F43" i="14"/>
  <c r="E43" i="14"/>
  <c r="D43" i="14"/>
  <c r="C43" i="14"/>
  <c r="B43" i="14"/>
  <c r="M42" i="14"/>
  <c r="L42" i="14"/>
  <c r="K42" i="14"/>
  <c r="J42" i="14"/>
  <c r="G42" i="14"/>
  <c r="F42" i="14"/>
  <c r="E42" i="14"/>
  <c r="D42" i="14"/>
  <c r="C42" i="14"/>
  <c r="B42" i="14"/>
  <c r="M41" i="14"/>
  <c r="L41" i="14"/>
  <c r="K41" i="14"/>
  <c r="J41" i="14"/>
  <c r="G41" i="14"/>
  <c r="F41" i="14"/>
  <c r="E41" i="14"/>
  <c r="D41" i="14"/>
  <c r="C41" i="14"/>
  <c r="B41" i="14"/>
  <c r="M40" i="14"/>
  <c r="L40" i="14"/>
  <c r="K40" i="14"/>
  <c r="J40" i="14"/>
  <c r="G40" i="14"/>
  <c r="F40" i="14"/>
  <c r="E40" i="14"/>
  <c r="D40" i="14"/>
  <c r="C40" i="14"/>
  <c r="B40" i="14"/>
  <c r="M39" i="14"/>
  <c r="L39" i="14"/>
  <c r="K39" i="14"/>
  <c r="J39" i="14"/>
  <c r="I39" i="14"/>
  <c r="G39" i="14"/>
  <c r="F39" i="14"/>
  <c r="E39" i="14"/>
  <c r="D39" i="14"/>
  <c r="C39" i="14"/>
  <c r="B39" i="14"/>
  <c r="M38" i="14"/>
  <c r="L38" i="14"/>
  <c r="K38" i="14"/>
  <c r="J38" i="14"/>
  <c r="G38" i="14"/>
  <c r="F38" i="14"/>
  <c r="E38" i="14"/>
  <c r="D38" i="14"/>
  <c r="C38" i="14"/>
  <c r="B38" i="14"/>
  <c r="M37" i="14"/>
  <c r="L37" i="14"/>
  <c r="K37" i="14"/>
  <c r="J37" i="14"/>
  <c r="G37" i="14"/>
  <c r="F37" i="14"/>
  <c r="E37" i="14"/>
  <c r="D37" i="14"/>
  <c r="C37" i="14"/>
  <c r="B37" i="14"/>
  <c r="M36" i="14"/>
  <c r="L36" i="14"/>
  <c r="K36" i="14"/>
  <c r="J36" i="14"/>
  <c r="H36" i="14"/>
  <c r="G36" i="14"/>
  <c r="F36" i="14"/>
  <c r="E36" i="14"/>
  <c r="D36" i="14"/>
  <c r="C36" i="14"/>
  <c r="B36" i="14"/>
  <c r="M35" i="14"/>
  <c r="L35" i="14"/>
  <c r="K35" i="14"/>
  <c r="J35" i="14"/>
  <c r="G35" i="14"/>
  <c r="F35" i="14"/>
  <c r="E35" i="14"/>
  <c r="D35" i="14"/>
  <c r="C35" i="14"/>
  <c r="B35" i="14"/>
  <c r="M34" i="14"/>
  <c r="L34" i="14"/>
  <c r="K34" i="14"/>
  <c r="J34" i="14"/>
  <c r="G34" i="14"/>
  <c r="F34" i="14"/>
  <c r="E34" i="14"/>
  <c r="D34" i="14"/>
  <c r="C34" i="14"/>
  <c r="B34" i="14"/>
  <c r="M33" i="14"/>
  <c r="L33" i="14"/>
  <c r="K33" i="14"/>
  <c r="J33" i="14"/>
  <c r="H33" i="14"/>
  <c r="G33" i="14"/>
  <c r="F33" i="14"/>
  <c r="E33" i="14"/>
  <c r="D33" i="14"/>
  <c r="C33" i="14"/>
  <c r="B33" i="14"/>
  <c r="M32" i="14"/>
  <c r="L32" i="14"/>
  <c r="K32" i="14"/>
  <c r="J32" i="14"/>
  <c r="H32" i="14"/>
  <c r="G32" i="14"/>
  <c r="F32" i="14"/>
  <c r="E32" i="14"/>
  <c r="D32" i="14"/>
  <c r="C32" i="14"/>
  <c r="B32" i="14"/>
  <c r="M31" i="14"/>
  <c r="L31" i="14"/>
  <c r="K31" i="14"/>
  <c r="J31" i="14"/>
  <c r="H31" i="14"/>
  <c r="G31" i="14"/>
  <c r="F31" i="14"/>
  <c r="E31" i="14"/>
  <c r="D31" i="14"/>
  <c r="C31" i="14"/>
  <c r="B31" i="14"/>
  <c r="M30" i="14"/>
  <c r="L30" i="14"/>
  <c r="K30" i="14"/>
  <c r="J30" i="14"/>
  <c r="H30" i="14"/>
  <c r="G30" i="14"/>
  <c r="F30" i="14"/>
  <c r="E30" i="14"/>
  <c r="D30" i="14"/>
  <c r="C30" i="14"/>
  <c r="B30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M28" i="14"/>
  <c r="L28" i="14"/>
  <c r="K28" i="14"/>
  <c r="J28" i="14"/>
  <c r="H28" i="14"/>
  <c r="G28" i="14"/>
  <c r="F28" i="14"/>
  <c r="E28" i="14"/>
  <c r="D28" i="14"/>
  <c r="C28" i="14"/>
  <c r="B28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M24" i="14"/>
  <c r="L24" i="14"/>
  <c r="K24" i="14"/>
  <c r="J24" i="14"/>
  <c r="H24" i="14"/>
  <c r="G24" i="14"/>
  <c r="F24" i="14"/>
  <c r="E24" i="14"/>
  <c r="D24" i="14"/>
  <c r="C24" i="14"/>
  <c r="B24" i="14"/>
  <c r="M23" i="14"/>
  <c r="L23" i="14"/>
  <c r="K23" i="14"/>
  <c r="J23" i="14"/>
  <c r="I23" i="14"/>
  <c r="H23" i="14"/>
  <c r="G23" i="14"/>
  <c r="F23" i="14"/>
  <c r="E23" i="14"/>
  <c r="D23" i="14"/>
  <c r="C23" i="14"/>
  <c r="B23" i="14"/>
  <c r="M22" i="14"/>
  <c r="L22" i="14"/>
  <c r="K22" i="14"/>
  <c r="J22" i="14"/>
  <c r="H22" i="14"/>
  <c r="G22" i="14"/>
  <c r="F22" i="14"/>
  <c r="E22" i="14"/>
  <c r="D22" i="14"/>
  <c r="C22" i="14"/>
  <c r="B22" i="14"/>
  <c r="M21" i="14"/>
  <c r="L21" i="14"/>
  <c r="K21" i="14"/>
  <c r="J21" i="14"/>
  <c r="I21" i="14"/>
  <c r="H21" i="14"/>
  <c r="G21" i="14"/>
  <c r="F21" i="14"/>
  <c r="E21" i="14"/>
  <c r="D21" i="14"/>
  <c r="C21" i="14"/>
  <c r="B21" i="14"/>
  <c r="M20" i="14"/>
  <c r="L20" i="14"/>
  <c r="K20" i="14"/>
  <c r="J20" i="14"/>
  <c r="I20" i="14"/>
  <c r="H20" i="14"/>
  <c r="G20" i="14"/>
  <c r="F20" i="14"/>
  <c r="E20" i="14"/>
  <c r="D20" i="14"/>
  <c r="C20" i="14"/>
  <c r="B20" i="14"/>
  <c r="M19" i="14"/>
  <c r="L19" i="14"/>
  <c r="K19" i="14"/>
  <c r="J19" i="14"/>
  <c r="I19" i="14"/>
  <c r="H19" i="14"/>
  <c r="G19" i="14"/>
  <c r="F19" i="14"/>
  <c r="E19" i="14"/>
  <c r="D19" i="14"/>
  <c r="C19" i="14"/>
  <c r="B19" i="14"/>
  <c r="M18" i="14"/>
  <c r="L18" i="14"/>
  <c r="K18" i="14"/>
  <c r="J18" i="14"/>
  <c r="H18" i="14"/>
  <c r="G18" i="14"/>
  <c r="F18" i="14"/>
  <c r="E18" i="14"/>
  <c r="D18" i="14"/>
  <c r="C18" i="14"/>
  <c r="B18" i="14"/>
  <c r="M17" i="14"/>
  <c r="L17" i="14"/>
  <c r="K17" i="14"/>
  <c r="J17" i="14"/>
  <c r="I17" i="14"/>
  <c r="H17" i="14"/>
  <c r="G17" i="14"/>
  <c r="F17" i="14"/>
  <c r="E17" i="14"/>
  <c r="D17" i="14"/>
  <c r="C17" i="14"/>
  <c r="B17" i="14"/>
  <c r="M16" i="14"/>
  <c r="L16" i="14"/>
  <c r="K16" i="14"/>
  <c r="J16" i="14"/>
  <c r="I16" i="14"/>
  <c r="H16" i="14"/>
  <c r="G16" i="14"/>
  <c r="F16" i="14"/>
  <c r="E16" i="14"/>
  <c r="D16" i="14"/>
  <c r="C16" i="14"/>
  <c r="B16" i="14"/>
  <c r="M15" i="14"/>
  <c r="L15" i="14"/>
  <c r="K15" i="14"/>
  <c r="J15" i="14"/>
  <c r="I15" i="14"/>
  <c r="H15" i="14"/>
  <c r="G15" i="14"/>
  <c r="F15" i="14"/>
  <c r="E15" i="14"/>
  <c r="D15" i="14"/>
  <c r="C15" i="14"/>
  <c r="B15" i="14"/>
  <c r="M14" i="14"/>
  <c r="L14" i="14"/>
  <c r="K14" i="14"/>
  <c r="J14" i="14"/>
  <c r="H14" i="14"/>
  <c r="G14" i="14"/>
  <c r="F14" i="14"/>
  <c r="E14" i="14"/>
  <c r="D14" i="14"/>
  <c r="C14" i="14"/>
  <c r="B14" i="14"/>
  <c r="M13" i="14"/>
  <c r="L13" i="14"/>
  <c r="K13" i="14"/>
  <c r="J13" i="14"/>
  <c r="H13" i="14"/>
  <c r="G13" i="14"/>
  <c r="F13" i="14"/>
  <c r="E13" i="14"/>
  <c r="D13" i="14"/>
  <c r="C13" i="14"/>
  <c r="B13" i="14"/>
  <c r="M12" i="14"/>
  <c r="L12" i="14"/>
  <c r="K12" i="14"/>
  <c r="J12" i="14"/>
  <c r="H12" i="14"/>
  <c r="G12" i="14"/>
  <c r="F12" i="14"/>
  <c r="E12" i="14"/>
  <c r="D12" i="14"/>
  <c r="C12" i="14"/>
  <c r="B12" i="14"/>
  <c r="M11" i="14"/>
  <c r="L11" i="14"/>
  <c r="K11" i="14"/>
  <c r="J11" i="14"/>
  <c r="H11" i="14"/>
  <c r="G11" i="14"/>
  <c r="F11" i="14"/>
  <c r="E11" i="14"/>
  <c r="D11" i="14"/>
  <c r="C11" i="14"/>
  <c r="B11" i="14"/>
  <c r="M10" i="14"/>
  <c r="L10" i="14"/>
  <c r="K10" i="14"/>
  <c r="J10" i="14"/>
  <c r="I10" i="14"/>
  <c r="H10" i="14"/>
  <c r="G10" i="14"/>
  <c r="F10" i="14"/>
  <c r="E10" i="14"/>
  <c r="D10" i="14"/>
  <c r="C10" i="14"/>
  <c r="B10" i="14"/>
  <c r="M9" i="14"/>
  <c r="L9" i="14"/>
  <c r="K9" i="14"/>
  <c r="J9" i="14"/>
  <c r="I9" i="14"/>
  <c r="H9" i="14"/>
  <c r="G9" i="14"/>
  <c r="F9" i="14"/>
  <c r="E9" i="14"/>
  <c r="D9" i="14"/>
  <c r="C9" i="14"/>
  <c r="B9" i="14"/>
  <c r="M8" i="14"/>
  <c r="L8" i="14"/>
  <c r="K8" i="14"/>
  <c r="J8" i="14"/>
  <c r="I8" i="14"/>
  <c r="H8" i="14"/>
  <c r="G8" i="14"/>
  <c r="F8" i="14"/>
  <c r="E8" i="14"/>
  <c r="D8" i="14"/>
  <c r="C8" i="14"/>
  <c r="B8" i="14"/>
  <c r="M7" i="14"/>
  <c r="L7" i="14"/>
  <c r="K7" i="14"/>
  <c r="J7" i="14"/>
  <c r="I7" i="14"/>
  <c r="H7" i="14"/>
  <c r="G7" i="14"/>
  <c r="F7" i="14"/>
  <c r="E7" i="14"/>
  <c r="D7" i="14"/>
  <c r="C7" i="14"/>
  <c r="B7" i="14"/>
  <c r="M6" i="14"/>
  <c r="L6" i="14"/>
  <c r="K6" i="14"/>
  <c r="J6" i="14"/>
  <c r="I6" i="14"/>
  <c r="H6" i="14"/>
  <c r="G6" i="14"/>
  <c r="F6" i="14"/>
  <c r="E6" i="14"/>
  <c r="D6" i="14"/>
  <c r="C6" i="14"/>
  <c r="B6" i="14"/>
  <c r="M5" i="14"/>
  <c r="L5" i="14"/>
  <c r="K5" i="14"/>
  <c r="J5" i="14"/>
  <c r="I5" i="14"/>
  <c r="H5" i="14"/>
  <c r="G5" i="14"/>
  <c r="F5" i="14"/>
  <c r="E5" i="14"/>
  <c r="D5" i="14"/>
  <c r="C5" i="14"/>
  <c r="B5" i="14"/>
  <c r="M4" i="14"/>
  <c r="L4" i="14"/>
  <c r="K4" i="14"/>
  <c r="J4" i="14"/>
  <c r="I4" i="14"/>
  <c r="H4" i="14"/>
  <c r="G4" i="14"/>
  <c r="F4" i="14"/>
  <c r="E4" i="14"/>
  <c r="D4" i="14"/>
  <c r="C4" i="14"/>
  <c r="B4" i="14"/>
  <c r="M3" i="14"/>
  <c r="L3" i="14"/>
  <c r="K3" i="14"/>
  <c r="J3" i="14"/>
  <c r="I3" i="14"/>
  <c r="H3" i="14"/>
  <c r="G3" i="14"/>
  <c r="F3" i="14"/>
  <c r="E3" i="14"/>
  <c r="D3" i="14"/>
  <c r="C3" i="14"/>
  <c r="B3" i="14"/>
  <c r="F7" i="50"/>
  <c r="G7" i="50"/>
  <c r="J7" i="50"/>
  <c r="Q7" i="50"/>
  <c r="R7" i="50"/>
  <c r="S7" i="50"/>
  <c r="T7" i="50"/>
  <c r="AA5" i="50"/>
  <c r="AB5" i="50"/>
  <c r="AC5" i="50"/>
  <c r="AD5" i="50"/>
  <c r="AA6" i="50"/>
  <c r="AB6" i="50"/>
  <c r="AC6" i="50"/>
  <c r="AD6" i="50"/>
  <c r="AA7" i="50"/>
  <c r="AB7" i="50"/>
  <c r="AC7" i="50"/>
  <c r="AD7" i="50"/>
  <c r="AA8" i="50"/>
  <c r="AB8" i="50"/>
  <c r="AC8" i="50"/>
  <c r="AD8" i="50"/>
  <c r="AA9" i="50"/>
  <c r="AB9" i="50"/>
  <c r="AC9" i="50"/>
  <c r="AD9" i="50"/>
  <c r="V5" i="50"/>
  <c r="W5" i="50"/>
  <c r="X5" i="50"/>
  <c r="Y5" i="50"/>
  <c r="V6" i="50"/>
  <c r="W6" i="50"/>
  <c r="X6" i="50"/>
  <c r="Y6" i="50"/>
  <c r="V7" i="50"/>
  <c r="W7" i="50"/>
  <c r="X7" i="50"/>
  <c r="Y7" i="50"/>
  <c r="V8" i="50"/>
  <c r="W8" i="50"/>
  <c r="X8" i="50"/>
  <c r="Y8" i="50"/>
  <c r="V9" i="50"/>
  <c r="W9" i="50"/>
  <c r="X9" i="50"/>
  <c r="Y9" i="50"/>
  <c r="L5" i="50"/>
  <c r="M5" i="50"/>
  <c r="N5" i="50"/>
  <c r="O5" i="50"/>
  <c r="L6" i="50"/>
  <c r="M6" i="50"/>
  <c r="N6" i="50"/>
  <c r="O6" i="50"/>
  <c r="L7" i="50"/>
  <c r="M7" i="50"/>
  <c r="N7" i="50"/>
  <c r="O7" i="50"/>
  <c r="L8" i="50"/>
  <c r="M8" i="50"/>
  <c r="N8" i="50"/>
  <c r="O8" i="50"/>
  <c r="L9" i="50"/>
  <c r="M9" i="50"/>
  <c r="N9" i="50"/>
  <c r="O9" i="50"/>
  <c r="S35" i="47" l="1"/>
  <c r="S34" i="47"/>
  <c r="S33" i="47"/>
  <c r="S32" i="47"/>
  <c r="S31" i="47"/>
  <c r="S30" i="47"/>
  <c r="S29" i="47"/>
  <c r="D26" i="8" l="1"/>
  <c r="E26" i="8"/>
  <c r="F26" i="8"/>
  <c r="G26" i="8"/>
  <c r="H26" i="8"/>
  <c r="I26" i="8"/>
  <c r="D27" i="8"/>
  <c r="E27" i="8"/>
  <c r="F27" i="8"/>
  <c r="G27" i="8"/>
  <c r="H27" i="8"/>
  <c r="I27" i="8"/>
  <c r="P27" i="8"/>
  <c r="Q27" i="8"/>
  <c r="R27" i="8"/>
  <c r="S27" i="8"/>
  <c r="T27" i="8"/>
  <c r="O27" i="8"/>
  <c r="P26" i="8"/>
  <c r="Q26" i="8"/>
  <c r="R26" i="8"/>
  <c r="S26" i="8"/>
  <c r="T26" i="8"/>
  <c r="O26" i="8"/>
  <c r="P25" i="8"/>
  <c r="Q25" i="8"/>
  <c r="R25" i="8"/>
  <c r="S25" i="8"/>
  <c r="T25" i="8"/>
  <c r="O25" i="8"/>
  <c r="D15" i="8"/>
  <c r="E15" i="8"/>
  <c r="F15" i="8"/>
  <c r="G15" i="8"/>
  <c r="H15" i="8"/>
  <c r="I15" i="8"/>
  <c r="D16" i="8"/>
  <c r="E16" i="8"/>
  <c r="F16" i="8"/>
  <c r="G16" i="8"/>
  <c r="H16" i="8"/>
  <c r="I16" i="8"/>
  <c r="P17" i="8"/>
  <c r="Q17" i="8"/>
  <c r="R17" i="8"/>
  <c r="S17" i="8"/>
  <c r="T17" i="8"/>
  <c r="O17" i="8"/>
  <c r="P16" i="8"/>
  <c r="Q16" i="8"/>
  <c r="R16" i="8"/>
  <c r="S16" i="8"/>
  <c r="T16" i="8"/>
  <c r="O16" i="8"/>
  <c r="P15" i="8"/>
  <c r="Q15" i="8"/>
  <c r="R15" i="8"/>
  <c r="S15" i="8"/>
  <c r="T15" i="8"/>
  <c r="O15" i="8"/>
  <c r="K16" i="8" l="1"/>
  <c r="K26" i="8"/>
  <c r="K27" i="8"/>
  <c r="K15" i="8"/>
  <c r="D4" i="8"/>
  <c r="E4" i="8"/>
  <c r="F4" i="8"/>
  <c r="G4" i="8"/>
  <c r="H4" i="8"/>
  <c r="I4" i="8"/>
  <c r="D5" i="8"/>
  <c r="E5" i="8"/>
  <c r="F5" i="8"/>
  <c r="G5" i="8"/>
  <c r="H5" i="8"/>
  <c r="I5" i="8"/>
  <c r="P6" i="8"/>
  <c r="Q6" i="8"/>
  <c r="R6" i="8"/>
  <c r="S6" i="8"/>
  <c r="T6" i="8"/>
  <c r="O6" i="8"/>
  <c r="P5" i="8"/>
  <c r="Q5" i="8"/>
  <c r="R5" i="8"/>
  <c r="S5" i="8"/>
  <c r="T5" i="8"/>
  <c r="O5" i="8"/>
  <c r="P4" i="8"/>
  <c r="Q4" i="8"/>
  <c r="R4" i="8"/>
  <c r="S4" i="8"/>
  <c r="T4" i="8"/>
  <c r="O4" i="8"/>
  <c r="K5" i="8" l="1"/>
  <c r="K4" i="8"/>
  <c r="S108" i="47" l="1"/>
  <c r="S28" i="47" l="1"/>
  <c r="AH31" i="50" l="1"/>
  <c r="AI31" i="50"/>
  <c r="AJ31" i="50"/>
  <c r="AH32" i="50"/>
  <c r="AI32" i="50"/>
  <c r="AJ32" i="50"/>
  <c r="AH33" i="50"/>
  <c r="AI33" i="50"/>
  <c r="AJ33" i="50"/>
  <c r="AH34" i="50"/>
  <c r="AI34" i="50"/>
  <c r="AJ34" i="50"/>
  <c r="AH30" i="50"/>
  <c r="AI30" i="50"/>
  <c r="AJ30" i="50"/>
  <c r="AG31" i="50"/>
  <c r="AG32" i="50"/>
  <c r="AG33" i="50"/>
  <c r="AG34" i="50"/>
  <c r="AG30" i="50"/>
  <c r="AF31" i="50"/>
  <c r="AF32" i="50"/>
  <c r="AF33" i="50"/>
  <c r="AF34" i="50"/>
  <c r="AF30" i="50"/>
  <c r="AI27" i="50"/>
  <c r="AH27" i="50"/>
  <c r="AG27" i="50"/>
  <c r="AI26" i="50"/>
  <c r="AH26" i="50"/>
  <c r="AG26" i="50"/>
  <c r="AI25" i="50"/>
  <c r="AH25" i="50"/>
  <c r="AG25" i="50"/>
  <c r="AI24" i="50"/>
  <c r="AH24" i="50"/>
  <c r="AG24" i="50"/>
  <c r="AI23" i="50"/>
  <c r="AH23" i="50"/>
  <c r="AG23" i="50"/>
  <c r="AF24" i="50"/>
  <c r="AF25" i="50"/>
  <c r="AF26" i="50"/>
  <c r="AF27" i="50"/>
  <c r="AF23" i="50"/>
  <c r="AI21" i="50"/>
  <c r="AH21" i="50"/>
  <c r="AG21" i="50"/>
  <c r="AI20" i="50"/>
  <c r="AH20" i="50"/>
  <c r="AG20" i="50"/>
  <c r="AI19" i="50"/>
  <c r="AH19" i="50"/>
  <c r="AG19" i="50"/>
  <c r="AI18" i="50"/>
  <c r="AH18" i="50"/>
  <c r="AG18" i="50"/>
  <c r="AI17" i="50"/>
  <c r="AH17" i="50"/>
  <c r="AG17" i="50"/>
  <c r="AF18" i="50"/>
  <c r="AF19" i="50"/>
  <c r="AF20" i="50"/>
  <c r="AF21" i="50"/>
  <c r="AF17" i="50"/>
  <c r="AI15" i="50"/>
  <c r="AI14" i="50"/>
  <c r="AI13" i="50"/>
  <c r="AI12" i="50"/>
  <c r="AI11" i="50"/>
  <c r="AH15" i="50"/>
  <c r="AH14" i="50"/>
  <c r="AH13" i="50"/>
  <c r="AH12" i="50"/>
  <c r="AH11" i="50"/>
  <c r="AG15" i="50"/>
  <c r="AG14" i="50"/>
  <c r="AG13" i="50"/>
  <c r="AG12" i="50"/>
  <c r="AG11" i="50"/>
  <c r="AF12" i="50"/>
  <c r="AF13" i="50"/>
  <c r="AF14" i="50"/>
  <c r="AF15" i="50"/>
  <c r="AF11" i="50"/>
  <c r="AI9" i="50"/>
  <c r="AI8" i="50"/>
  <c r="AI7" i="50"/>
  <c r="AI6" i="50"/>
  <c r="AI5" i="50"/>
  <c r="AH9" i="50"/>
  <c r="AH8" i="50"/>
  <c r="AH7" i="50"/>
  <c r="AH6" i="50"/>
  <c r="AH5" i="50"/>
  <c r="AG9" i="50"/>
  <c r="AG8" i="50"/>
  <c r="AG7" i="50"/>
  <c r="AG6" i="50"/>
  <c r="AG5" i="50"/>
  <c r="AF6" i="50"/>
  <c r="AF7" i="50"/>
  <c r="AF8" i="50"/>
  <c r="AF9" i="50"/>
  <c r="AF5" i="50"/>
  <c r="Q5" i="50" l="1"/>
  <c r="R5" i="50"/>
  <c r="S5" i="50"/>
  <c r="T5" i="50"/>
  <c r="Q6" i="50"/>
  <c r="R6" i="50"/>
  <c r="S6" i="50"/>
  <c r="T6" i="50"/>
  <c r="Q8" i="50"/>
  <c r="R8" i="50"/>
  <c r="S8" i="50"/>
  <c r="T8" i="50"/>
  <c r="Q9" i="50"/>
  <c r="R9" i="50"/>
  <c r="S9" i="50"/>
  <c r="T9" i="50"/>
  <c r="AI32" i="14" l="1"/>
  <c r="AH32" i="14"/>
  <c r="AG32" i="14"/>
  <c r="AF32" i="14"/>
  <c r="AI31" i="14"/>
  <c r="AH31" i="14"/>
  <c r="M2" i="48"/>
  <c r="L2" i="48"/>
  <c r="K2" i="48"/>
  <c r="J2" i="48"/>
  <c r="I2" i="48"/>
  <c r="H2" i="48"/>
  <c r="G2" i="48"/>
  <c r="F2" i="48"/>
  <c r="E2" i="48"/>
  <c r="D2" i="48"/>
  <c r="C2" i="48"/>
  <c r="B2" i="48"/>
  <c r="S162" i="47"/>
  <c r="S161" i="47"/>
  <c r="S159" i="47"/>
  <c r="S158" i="47"/>
  <c r="S157" i="47"/>
  <c r="S156" i="47"/>
  <c r="S155" i="47"/>
  <c r="S154" i="47"/>
  <c r="S153" i="47"/>
  <c r="S152" i="47"/>
  <c r="S151" i="47"/>
  <c r="S150" i="47"/>
  <c r="S149" i="47"/>
  <c r="S148" i="47"/>
  <c r="S147" i="47"/>
  <c r="S146" i="47"/>
  <c r="S145" i="47"/>
  <c r="S144" i="47"/>
  <c r="S143" i="47"/>
  <c r="S142" i="47"/>
  <c r="S141" i="47"/>
  <c r="S140" i="47"/>
  <c r="S139" i="47"/>
  <c r="S138" i="47"/>
  <c r="S137" i="47"/>
  <c r="S136" i="47"/>
  <c r="S135" i="47"/>
  <c r="S134" i="47"/>
  <c r="S133" i="47"/>
  <c r="S132" i="47"/>
  <c r="S131" i="47"/>
  <c r="S130" i="47"/>
  <c r="S129" i="47"/>
  <c r="S128" i="47"/>
  <c r="S127" i="47"/>
  <c r="S126" i="47"/>
  <c r="S125" i="47"/>
  <c r="S124" i="47"/>
  <c r="S123" i="47"/>
  <c r="S122" i="47"/>
  <c r="S120" i="47"/>
  <c r="S119" i="47"/>
  <c r="S118" i="47"/>
  <c r="S117" i="47"/>
  <c r="S116" i="47"/>
  <c r="S115" i="47"/>
  <c r="S114" i="47"/>
  <c r="S113" i="47"/>
  <c r="S112" i="47"/>
  <c r="S111" i="47"/>
  <c r="S110" i="47"/>
  <c r="S109" i="47"/>
  <c r="S107" i="47"/>
  <c r="S106" i="47"/>
  <c r="S105" i="47"/>
  <c r="S104" i="47"/>
  <c r="S103" i="47"/>
  <c r="S102" i="47"/>
  <c r="S101" i="47"/>
  <c r="S100" i="47"/>
  <c r="S99" i="47"/>
  <c r="S98" i="47"/>
  <c r="S97" i="47"/>
  <c r="S96" i="47"/>
  <c r="S95" i="47"/>
  <c r="S94" i="47"/>
  <c r="S93" i="47"/>
  <c r="S92" i="47"/>
  <c r="S91" i="47"/>
  <c r="S90" i="47"/>
  <c r="S89" i="47"/>
  <c r="S87" i="47"/>
  <c r="S86" i="47"/>
  <c r="S85" i="47"/>
  <c r="S84" i="47"/>
  <c r="S83" i="47"/>
  <c r="S82" i="47"/>
  <c r="S81" i="47"/>
  <c r="S80" i="47"/>
  <c r="S79" i="47"/>
  <c r="S78" i="47"/>
  <c r="S77" i="47"/>
  <c r="S76" i="47"/>
  <c r="S75" i="47"/>
  <c r="S74" i="47"/>
  <c r="S73" i="47"/>
  <c r="S72" i="47"/>
  <c r="S71" i="47"/>
  <c r="S70" i="47"/>
  <c r="S69" i="47"/>
  <c r="S68" i="47"/>
  <c r="S67" i="47"/>
  <c r="S66" i="47"/>
  <c r="S65" i="47"/>
  <c r="S64" i="47"/>
  <c r="S63" i="47"/>
  <c r="S62" i="47"/>
  <c r="S61" i="47"/>
  <c r="S60" i="47"/>
  <c r="S58" i="47"/>
  <c r="S57" i="47"/>
  <c r="S56" i="47"/>
  <c r="S55" i="47"/>
  <c r="S54" i="47"/>
  <c r="S53" i="47"/>
  <c r="S52" i="47"/>
  <c r="S51" i="47"/>
  <c r="S50" i="47"/>
  <c r="S49" i="47"/>
  <c r="S48" i="47"/>
  <c r="S47" i="47"/>
  <c r="S46" i="47"/>
  <c r="S45" i="47"/>
  <c r="S44" i="47"/>
  <c r="S43" i="47"/>
  <c r="S42" i="47"/>
  <c r="S41" i="47"/>
  <c r="S40" i="47"/>
  <c r="S39" i="47"/>
  <c r="S38" i="47"/>
  <c r="S37" i="47"/>
  <c r="S36" i="47"/>
  <c r="AJ210" i="14"/>
  <c r="AI210" i="14"/>
  <c r="AH210" i="14"/>
  <c r="AG210" i="14"/>
  <c r="AF210" i="14"/>
  <c r="AE210" i="14"/>
  <c r="AC210" i="14"/>
  <c r="U210" i="14"/>
  <c r="AJ209" i="14"/>
  <c r="AI209" i="14"/>
  <c r="AH209" i="14"/>
  <c r="AG209" i="14"/>
  <c r="AF209" i="14"/>
  <c r="AC209" i="14"/>
  <c r="U209" i="14"/>
  <c r="AJ208" i="14"/>
  <c r="AI208" i="14"/>
  <c r="AH208" i="14"/>
  <c r="AG208" i="14"/>
  <c r="AF208" i="14"/>
  <c r="AC208" i="14"/>
  <c r="U208" i="14"/>
  <c r="AJ207" i="14"/>
  <c r="AI207" i="14"/>
  <c r="AH207" i="14"/>
  <c r="AG207" i="14"/>
  <c r="AF207" i="14"/>
  <c r="AE207" i="14"/>
  <c r="AC207" i="14"/>
  <c r="U207" i="14"/>
  <c r="AJ206" i="14"/>
  <c r="AI206" i="14"/>
  <c r="AH206" i="14"/>
  <c r="AG206" i="14"/>
  <c r="AF206" i="14"/>
  <c r="AC206" i="14"/>
  <c r="U206" i="14"/>
  <c r="AJ205" i="14"/>
  <c r="AI205" i="14"/>
  <c r="H6" i="8" s="1"/>
  <c r="H7" i="8" s="1"/>
  <c r="H8" i="8" s="1"/>
  <c r="AH205" i="14"/>
  <c r="G6" i="8" s="1"/>
  <c r="G7" i="8" s="1"/>
  <c r="G8" i="8" s="1"/>
  <c r="AG205" i="14"/>
  <c r="F6" i="8" s="1"/>
  <c r="F7" i="8" s="1"/>
  <c r="F8" i="8" s="1"/>
  <c r="AF205" i="14"/>
  <c r="E6" i="8" s="1"/>
  <c r="E7" i="8" s="1"/>
  <c r="E8" i="8" s="1"/>
  <c r="AE205" i="14"/>
  <c r="D6" i="8" s="1"/>
  <c r="AC205" i="14"/>
  <c r="U205" i="14"/>
  <c r="AJ204" i="14"/>
  <c r="AI204" i="14"/>
  <c r="AH204" i="14"/>
  <c r="AG204" i="14"/>
  <c r="AF204" i="14"/>
  <c r="AC204" i="14"/>
  <c r="U204" i="14"/>
  <c r="AC203" i="14"/>
  <c r="U203" i="14"/>
  <c r="AJ202" i="14"/>
  <c r="AI202" i="14"/>
  <c r="AH202" i="14"/>
  <c r="AG202" i="14"/>
  <c r="AF202" i="14"/>
  <c r="AE202" i="14"/>
  <c r="AC202" i="14"/>
  <c r="U202" i="14"/>
  <c r="AJ201" i="14"/>
  <c r="AI201" i="14"/>
  <c r="AH201" i="14"/>
  <c r="AG201" i="14"/>
  <c r="AC201" i="14"/>
  <c r="U201" i="14"/>
  <c r="AJ200" i="14"/>
  <c r="AI200" i="14"/>
  <c r="AH200" i="14"/>
  <c r="AG200" i="14"/>
  <c r="AF200" i="14"/>
  <c r="AE200" i="14"/>
  <c r="AC200" i="14"/>
  <c r="U200" i="14"/>
  <c r="AJ199" i="14"/>
  <c r="AI199" i="14"/>
  <c r="AH199" i="14"/>
  <c r="AG199" i="14"/>
  <c r="AF199" i="14"/>
  <c r="AC199" i="14"/>
  <c r="U199" i="14"/>
  <c r="AC198" i="14"/>
  <c r="U198" i="14"/>
  <c r="AJ197" i="14"/>
  <c r="AI197" i="14"/>
  <c r="AH197" i="14"/>
  <c r="AG197" i="14"/>
  <c r="AF197" i="14"/>
  <c r="AE197" i="14"/>
  <c r="AC197" i="14"/>
  <c r="U197" i="14"/>
  <c r="AJ196" i="14"/>
  <c r="AI196" i="14"/>
  <c r="H17" i="8" s="1"/>
  <c r="H18" i="8" s="1"/>
  <c r="H19" i="8" s="1"/>
  <c r="AH196" i="14"/>
  <c r="G17" i="8" s="1"/>
  <c r="G18" i="8" s="1"/>
  <c r="G19" i="8" s="1"/>
  <c r="AG196" i="14"/>
  <c r="F17" i="8" s="1"/>
  <c r="F18" i="8" s="1"/>
  <c r="F19" i="8" s="1"/>
  <c r="AF196" i="14"/>
  <c r="E17" i="8" s="1"/>
  <c r="E18" i="8" s="1"/>
  <c r="AE196" i="14"/>
  <c r="D17" i="8" s="1"/>
  <c r="AC196" i="14"/>
  <c r="U196" i="14"/>
  <c r="AJ195" i="14"/>
  <c r="AI195" i="14"/>
  <c r="AH195" i="14"/>
  <c r="AG195" i="14"/>
  <c r="AF195" i="14"/>
  <c r="AE195" i="14"/>
  <c r="AC195" i="14"/>
  <c r="U195" i="14"/>
  <c r="AC194" i="14"/>
  <c r="U194" i="14"/>
  <c r="AC193" i="14"/>
  <c r="U193" i="14"/>
  <c r="AJ192" i="14"/>
  <c r="AI192" i="14"/>
  <c r="AH192" i="14"/>
  <c r="AC192" i="14"/>
  <c r="U192" i="14"/>
  <c r="AC191" i="14"/>
  <c r="U191" i="14"/>
  <c r="AJ190" i="14"/>
  <c r="AI190" i="14"/>
  <c r="H28" i="8" s="1"/>
  <c r="H29" i="8" s="1"/>
  <c r="H30" i="8" s="1"/>
  <c r="AH190" i="14"/>
  <c r="G28" i="8" s="1"/>
  <c r="G29" i="8" s="1"/>
  <c r="G30" i="8" s="1"/>
  <c r="AG190" i="14"/>
  <c r="F28" i="8" s="1"/>
  <c r="F29" i="8" s="1"/>
  <c r="F30" i="8" s="1"/>
  <c r="AF190" i="14"/>
  <c r="E28" i="8" s="1"/>
  <c r="E29" i="8" s="1"/>
  <c r="E30" i="8" s="1"/>
  <c r="AE190" i="14"/>
  <c r="D28" i="8" s="1"/>
  <c r="AC190" i="14"/>
  <c r="U190" i="14"/>
  <c r="AJ189" i="14"/>
  <c r="AI189" i="14"/>
  <c r="AH189" i="14"/>
  <c r="AG189" i="14"/>
  <c r="AF189" i="14"/>
  <c r="AE189" i="14"/>
  <c r="AC189" i="14"/>
  <c r="U189" i="14"/>
  <c r="AJ188" i="14"/>
  <c r="AI188" i="14"/>
  <c r="AH188" i="14"/>
  <c r="AC188" i="14"/>
  <c r="U188" i="14"/>
  <c r="AC187" i="14"/>
  <c r="U187" i="14"/>
  <c r="AJ186" i="14"/>
  <c r="AI186" i="14"/>
  <c r="AH186" i="14"/>
  <c r="AG186" i="14"/>
  <c r="AC186" i="14"/>
  <c r="U186" i="14"/>
  <c r="AJ185" i="14"/>
  <c r="AC185" i="14"/>
  <c r="U185" i="14"/>
  <c r="AJ184" i="14"/>
  <c r="AI184" i="14"/>
  <c r="AH184" i="14"/>
  <c r="AG184" i="14"/>
  <c r="AF184" i="14"/>
  <c r="AE184" i="14"/>
  <c r="AC184" i="14"/>
  <c r="U184" i="14"/>
  <c r="AJ183" i="14"/>
  <c r="AI183" i="14"/>
  <c r="AC183" i="14"/>
  <c r="U183" i="14"/>
  <c r="AC182" i="14"/>
  <c r="U182" i="14"/>
  <c r="AJ181" i="14"/>
  <c r="AI181" i="14"/>
  <c r="AH181" i="14"/>
  <c r="AG181" i="14"/>
  <c r="AF181" i="14"/>
  <c r="AE181" i="14"/>
  <c r="AC181" i="14"/>
  <c r="U181" i="14"/>
  <c r="AC180" i="14"/>
  <c r="U180" i="14"/>
  <c r="AJ179" i="14"/>
  <c r="AI179" i="14"/>
  <c r="AH179" i="14"/>
  <c r="AC179" i="14"/>
  <c r="U179" i="14"/>
  <c r="AC178" i="14"/>
  <c r="U178" i="14"/>
  <c r="AJ177" i="14"/>
  <c r="AI177" i="14"/>
  <c r="AH177" i="14"/>
  <c r="AG177" i="14"/>
  <c r="AF177" i="14"/>
  <c r="AE177" i="14"/>
  <c r="AC177" i="14"/>
  <c r="U177" i="14"/>
  <c r="AJ176" i="14"/>
  <c r="AC176" i="14"/>
  <c r="U176" i="14"/>
  <c r="AJ174" i="14"/>
  <c r="AI174" i="14"/>
  <c r="AH174" i="14"/>
  <c r="AG174" i="14"/>
  <c r="AF174" i="14"/>
  <c r="AC174" i="14"/>
  <c r="U174" i="14"/>
  <c r="AJ173" i="14"/>
  <c r="AI173" i="14"/>
  <c r="AH173" i="14"/>
  <c r="AG173" i="14"/>
  <c r="AF173" i="14"/>
  <c r="AE173" i="14"/>
  <c r="AC173" i="14"/>
  <c r="U173" i="14"/>
  <c r="AC172" i="14"/>
  <c r="U172" i="14"/>
  <c r="AJ171" i="14"/>
  <c r="AI171" i="14"/>
  <c r="AH171" i="14"/>
  <c r="AG171" i="14"/>
  <c r="AF171" i="14"/>
  <c r="AE171" i="14"/>
  <c r="AC171" i="14"/>
  <c r="U171" i="14"/>
  <c r="AC170" i="14"/>
  <c r="U170" i="14"/>
  <c r="AJ169" i="14"/>
  <c r="AI169" i="14"/>
  <c r="AH169" i="14"/>
  <c r="AG169" i="14"/>
  <c r="AC169" i="14"/>
  <c r="U169" i="14"/>
  <c r="AC168" i="14"/>
  <c r="U168" i="14"/>
  <c r="AJ167" i="14"/>
  <c r="AI167" i="14"/>
  <c r="AH167" i="14"/>
  <c r="AG167" i="14"/>
  <c r="AC167" i="14"/>
  <c r="U167" i="14"/>
  <c r="AC166" i="14"/>
  <c r="U166" i="14"/>
  <c r="AC165" i="14"/>
  <c r="U165" i="14"/>
  <c r="AC164" i="14"/>
  <c r="U164" i="14"/>
  <c r="AC163" i="14"/>
  <c r="U163" i="14"/>
  <c r="AJ162" i="14"/>
  <c r="AI162" i="14"/>
  <c r="AH162" i="14"/>
  <c r="AG162" i="14"/>
  <c r="AF162" i="14"/>
  <c r="AE162" i="14"/>
  <c r="AC162" i="14"/>
  <c r="U162" i="14"/>
  <c r="AJ161" i="14"/>
  <c r="AI161" i="14"/>
  <c r="AH161" i="14"/>
  <c r="AG161" i="14"/>
  <c r="AC161" i="14"/>
  <c r="U161" i="14"/>
  <c r="AJ159" i="14"/>
  <c r="AI159" i="14"/>
  <c r="AH159" i="14"/>
  <c r="AG159" i="14"/>
  <c r="AF159" i="14"/>
  <c r="AC159" i="14"/>
  <c r="U159" i="14"/>
  <c r="AC158" i="14"/>
  <c r="U158" i="14"/>
  <c r="AJ157" i="14"/>
  <c r="AI157" i="14"/>
  <c r="AH157" i="14"/>
  <c r="AG157" i="14"/>
  <c r="AF157" i="14"/>
  <c r="AC157" i="14"/>
  <c r="U157" i="14"/>
  <c r="AJ156" i="14"/>
  <c r="AI156" i="14"/>
  <c r="AH156" i="14"/>
  <c r="AC156" i="14"/>
  <c r="U156" i="14"/>
  <c r="AC155" i="14"/>
  <c r="U155" i="14"/>
  <c r="AJ154" i="14"/>
  <c r="AI154" i="14"/>
  <c r="AH154" i="14"/>
  <c r="AC154" i="14"/>
  <c r="U154" i="14"/>
  <c r="AJ153" i="14"/>
  <c r="AI153" i="14"/>
  <c r="AH153" i="14"/>
  <c r="AG153" i="14"/>
  <c r="AF153" i="14"/>
  <c r="AE153" i="14"/>
  <c r="AC153" i="14"/>
  <c r="U153" i="14"/>
  <c r="AC152" i="14"/>
  <c r="U152" i="14"/>
  <c r="AJ151" i="14"/>
  <c r="AI151" i="14"/>
  <c r="AC151" i="14"/>
  <c r="U151" i="14"/>
  <c r="AJ150" i="14"/>
  <c r="AI150" i="14"/>
  <c r="AH150" i="14"/>
  <c r="AG150" i="14"/>
  <c r="AF150" i="14"/>
  <c r="AE150" i="14"/>
  <c r="AC150" i="14"/>
  <c r="U150" i="14"/>
  <c r="AC149" i="14"/>
  <c r="U149" i="14"/>
  <c r="AC148" i="14"/>
  <c r="U148" i="14"/>
  <c r="AJ147" i="14"/>
  <c r="AI147" i="14"/>
  <c r="AH147" i="14"/>
  <c r="AC147" i="14"/>
  <c r="U147" i="14"/>
  <c r="AJ146" i="14"/>
  <c r="AI146" i="14"/>
  <c r="AH146" i="14"/>
  <c r="AG146" i="14"/>
  <c r="AF146" i="14"/>
  <c r="AC146" i="14"/>
  <c r="U146" i="14"/>
  <c r="AJ145" i="14"/>
  <c r="AI145" i="14"/>
  <c r="AH145" i="14"/>
  <c r="AC145" i="14"/>
  <c r="U145" i="14"/>
  <c r="AJ144" i="14"/>
  <c r="AI144" i="14"/>
  <c r="AH144" i="14"/>
  <c r="AG144" i="14"/>
  <c r="AC144" i="14"/>
  <c r="U144" i="14"/>
  <c r="AJ143" i="14"/>
  <c r="AC143" i="14"/>
  <c r="U143" i="14"/>
  <c r="AC142" i="14"/>
  <c r="U142" i="14"/>
  <c r="AC141" i="14"/>
  <c r="U141" i="14"/>
  <c r="AJ140" i="14"/>
  <c r="AI140" i="14"/>
  <c r="AH140" i="14"/>
  <c r="AG140" i="14"/>
  <c r="AF140" i="14"/>
  <c r="AE140" i="14"/>
  <c r="AC140" i="14"/>
  <c r="U140" i="14"/>
  <c r="AC139" i="14"/>
  <c r="U139" i="14"/>
  <c r="AC138" i="14"/>
  <c r="U138" i="14"/>
  <c r="AJ137" i="14"/>
  <c r="AI137" i="14"/>
  <c r="AH137" i="14"/>
  <c r="AG137" i="14"/>
  <c r="AF137" i="14"/>
  <c r="AE137" i="14"/>
  <c r="AC137" i="14"/>
  <c r="U137" i="14"/>
  <c r="AI136" i="14"/>
  <c r="AH136" i="14"/>
  <c r="AC136" i="14"/>
  <c r="U136" i="14"/>
  <c r="AC135" i="14"/>
  <c r="U135" i="14"/>
  <c r="AI134" i="14"/>
  <c r="AH134" i="14"/>
  <c r="AG134" i="14"/>
  <c r="AF134" i="14"/>
  <c r="AC134" i="14"/>
  <c r="U134" i="14"/>
  <c r="AC133" i="14"/>
  <c r="U133" i="14"/>
  <c r="AC132" i="14"/>
  <c r="U132" i="14"/>
  <c r="AC131" i="14"/>
  <c r="U131" i="14"/>
  <c r="AI130" i="14"/>
  <c r="AH130" i="14"/>
  <c r="AC130" i="14"/>
  <c r="U130" i="14"/>
  <c r="AC129" i="14"/>
  <c r="U129" i="14"/>
  <c r="AC128" i="14"/>
  <c r="U128" i="14"/>
  <c r="AH127" i="14"/>
  <c r="AG127" i="14"/>
  <c r="AF127" i="14"/>
  <c r="AE127" i="14"/>
  <c r="AC127" i="14"/>
  <c r="U127" i="14"/>
  <c r="AC126" i="14"/>
  <c r="U126" i="14"/>
  <c r="AC125" i="14"/>
  <c r="U125" i="14"/>
  <c r="AH124" i="14"/>
  <c r="AC124" i="14"/>
  <c r="U124" i="14"/>
  <c r="AC123" i="14"/>
  <c r="U123" i="14"/>
  <c r="AC122" i="14"/>
  <c r="U122" i="14"/>
  <c r="AJ120" i="14"/>
  <c r="AI120" i="14"/>
  <c r="AH120" i="14"/>
  <c r="AG120" i="14"/>
  <c r="AF120" i="14"/>
  <c r="AE120" i="14"/>
  <c r="AC120" i="14"/>
  <c r="U120" i="14"/>
  <c r="AC119" i="14"/>
  <c r="U119" i="14"/>
  <c r="AC118" i="14"/>
  <c r="U118" i="14"/>
  <c r="AJ117" i="14"/>
  <c r="AI117" i="14"/>
  <c r="AH117" i="14"/>
  <c r="AG117" i="14"/>
  <c r="AC117" i="14"/>
  <c r="U117" i="14"/>
  <c r="AJ116" i="14"/>
  <c r="AI116" i="14"/>
  <c r="AH116" i="14"/>
  <c r="AC116" i="14"/>
  <c r="U116" i="14"/>
  <c r="AJ115" i="14"/>
  <c r="AC115" i="14"/>
  <c r="U115" i="14"/>
  <c r="AJ114" i="14"/>
  <c r="AI114" i="14"/>
  <c r="AH114" i="14"/>
  <c r="AG114" i="14"/>
  <c r="AF114" i="14"/>
  <c r="AE114" i="14"/>
  <c r="AC114" i="14"/>
  <c r="U114" i="14"/>
  <c r="AI113" i="14"/>
  <c r="AH113" i="14"/>
  <c r="AG113" i="14"/>
  <c r="AC113" i="14"/>
  <c r="U113" i="14"/>
  <c r="AI112" i="14"/>
  <c r="AH112" i="14"/>
  <c r="AG112" i="14"/>
  <c r="AF112" i="14"/>
  <c r="AC112" i="14"/>
  <c r="U112" i="14"/>
  <c r="AI111" i="14"/>
  <c r="AC111" i="14"/>
  <c r="U111" i="14"/>
  <c r="AC110" i="14"/>
  <c r="U110" i="14"/>
  <c r="AI109" i="14"/>
  <c r="AH109" i="14"/>
  <c r="AG109" i="14"/>
  <c r="AC109" i="14"/>
  <c r="U109" i="14"/>
  <c r="AI108" i="14"/>
  <c r="AH108" i="14"/>
  <c r="AG108" i="14"/>
  <c r="AF108" i="14"/>
  <c r="AE108" i="14"/>
  <c r="AC108" i="14"/>
  <c r="U108" i="14"/>
  <c r="AI107" i="14"/>
  <c r="AH107" i="14"/>
  <c r="AG107" i="14"/>
  <c r="AC107" i="14"/>
  <c r="U107" i="14"/>
  <c r="AC106" i="14"/>
  <c r="U106" i="14"/>
  <c r="AC105" i="14"/>
  <c r="U105" i="14"/>
  <c r="AC104" i="14"/>
  <c r="U104" i="14"/>
  <c r="AI103" i="14"/>
  <c r="AH103" i="14"/>
  <c r="AC103" i="14"/>
  <c r="U103" i="14"/>
  <c r="AC102" i="14"/>
  <c r="U102" i="14"/>
  <c r="AI101" i="14"/>
  <c r="AH101" i="14"/>
  <c r="AG101" i="14"/>
  <c r="AC101" i="14"/>
  <c r="U101" i="14"/>
  <c r="AC100" i="14"/>
  <c r="U100" i="14"/>
  <c r="AI99" i="14"/>
  <c r="AH99" i="14"/>
  <c r="AC99" i="14"/>
  <c r="U99" i="14"/>
  <c r="AC98" i="14"/>
  <c r="U98" i="14"/>
  <c r="AC97" i="14"/>
  <c r="U97" i="14"/>
  <c r="AC96" i="14"/>
  <c r="U96" i="14"/>
  <c r="AI95" i="14"/>
  <c r="AH95" i="14"/>
  <c r="AG95" i="14"/>
  <c r="AF95" i="14"/>
  <c r="AC95" i="14"/>
  <c r="U95" i="14"/>
  <c r="AI94" i="14"/>
  <c r="AH94" i="14"/>
  <c r="AC94" i="14"/>
  <c r="U94" i="14"/>
  <c r="AC93" i="14"/>
  <c r="U93" i="14"/>
  <c r="AI92" i="14"/>
  <c r="AH92" i="14"/>
  <c r="AG92" i="14"/>
  <c r="AC92" i="14"/>
  <c r="U92" i="14"/>
  <c r="AI91" i="14"/>
  <c r="AH91" i="14"/>
  <c r="AG91" i="14"/>
  <c r="AF91" i="14"/>
  <c r="AC91" i="14"/>
  <c r="U91" i="14"/>
  <c r="AC90" i="14"/>
  <c r="U90" i="14"/>
  <c r="AH89" i="14"/>
  <c r="AC89" i="14"/>
  <c r="U89" i="14"/>
  <c r="AC87" i="14"/>
  <c r="U87" i="14"/>
  <c r="AH86" i="14"/>
  <c r="AC86" i="14"/>
  <c r="U86" i="14"/>
  <c r="AC85" i="14"/>
  <c r="U85" i="14"/>
  <c r="AH84" i="14"/>
  <c r="AC84" i="14"/>
  <c r="U84" i="14"/>
  <c r="AC83" i="14"/>
  <c r="U83" i="14"/>
  <c r="AC82" i="14"/>
  <c r="U82" i="14"/>
  <c r="AC81" i="14"/>
  <c r="U81" i="14"/>
  <c r="AC80" i="14"/>
  <c r="U80" i="14"/>
  <c r="AC79" i="14"/>
  <c r="U79" i="14"/>
  <c r="AC78" i="14"/>
  <c r="U78" i="14"/>
  <c r="AC77" i="14"/>
  <c r="U77" i="14"/>
  <c r="AH76" i="14"/>
  <c r="AG76" i="14"/>
  <c r="AC76" i="14"/>
  <c r="U76" i="14"/>
  <c r="AC75" i="14"/>
  <c r="U75" i="14"/>
  <c r="AC74" i="14"/>
  <c r="U74" i="14"/>
  <c r="AC73" i="14"/>
  <c r="U73" i="14"/>
  <c r="AI72" i="14"/>
  <c r="AH72" i="14"/>
  <c r="AG72" i="14"/>
  <c r="AC72" i="14"/>
  <c r="U72" i="14"/>
  <c r="AI71" i="14"/>
  <c r="AC71" i="14"/>
  <c r="U71" i="14"/>
  <c r="AI70" i="14"/>
  <c r="AC70" i="14"/>
  <c r="U70" i="14"/>
  <c r="AC69" i="14"/>
  <c r="U69" i="14"/>
  <c r="AC68" i="14"/>
  <c r="U68" i="14"/>
  <c r="AI67" i="14"/>
  <c r="AH67" i="14"/>
  <c r="AG67" i="14"/>
  <c r="AF67" i="14"/>
  <c r="AE67" i="14"/>
  <c r="AC67" i="14"/>
  <c r="U67" i="14"/>
  <c r="AI66" i="14"/>
  <c r="AH66" i="14"/>
  <c r="AC66" i="14"/>
  <c r="U66" i="14"/>
  <c r="AC65" i="14"/>
  <c r="U65" i="14"/>
  <c r="AI64" i="14"/>
  <c r="AH64" i="14"/>
  <c r="AG64" i="14"/>
  <c r="AC64" i="14"/>
  <c r="U64" i="14"/>
  <c r="AI63" i="14"/>
  <c r="AC63" i="14"/>
  <c r="U63" i="14"/>
  <c r="AC62" i="14"/>
  <c r="U62" i="14"/>
  <c r="AI61" i="14"/>
  <c r="AH61" i="14"/>
  <c r="AG61" i="14"/>
  <c r="AC61" i="14"/>
  <c r="U61" i="14"/>
  <c r="AI60" i="14"/>
  <c r="AH60" i="14"/>
  <c r="AC60" i="14"/>
  <c r="U60" i="14"/>
  <c r="AC58" i="14"/>
  <c r="U58" i="14"/>
  <c r="AC57" i="14"/>
  <c r="U57" i="14"/>
  <c r="AI56" i="14"/>
  <c r="AH56" i="14"/>
  <c r="AG56" i="14"/>
  <c r="AF56" i="14"/>
  <c r="AC56" i="14"/>
  <c r="U56" i="14"/>
  <c r="AC55" i="14"/>
  <c r="U55" i="14"/>
  <c r="AI54" i="14"/>
  <c r="AH54" i="14"/>
  <c r="AG54" i="14"/>
  <c r="AF54" i="14"/>
  <c r="AE54" i="14"/>
  <c r="AC54" i="14"/>
  <c r="U54" i="14"/>
  <c r="AC53" i="14"/>
  <c r="U53" i="14"/>
  <c r="AH52" i="14"/>
  <c r="AG52" i="14"/>
  <c r="AC52" i="14"/>
  <c r="U52" i="14"/>
  <c r="AC51" i="14"/>
  <c r="U51" i="14"/>
  <c r="AC50" i="14"/>
  <c r="U50" i="14"/>
  <c r="AH49" i="14"/>
  <c r="AG49" i="14"/>
  <c r="AC49" i="14"/>
  <c r="U49" i="14"/>
  <c r="AC48" i="14"/>
  <c r="U48" i="14"/>
  <c r="AC47" i="14"/>
  <c r="U47" i="14"/>
  <c r="AC46" i="14"/>
  <c r="U46" i="14"/>
  <c r="AC45" i="14"/>
  <c r="U45" i="14"/>
  <c r="AC44" i="14"/>
  <c r="U44" i="14"/>
  <c r="AC43" i="14"/>
  <c r="U43" i="14"/>
  <c r="AH42" i="14"/>
  <c r="AG42" i="14"/>
  <c r="AC42" i="14"/>
  <c r="U42" i="14"/>
  <c r="AC41" i="14"/>
  <c r="U41" i="14"/>
  <c r="AC40" i="14"/>
  <c r="U40" i="14"/>
  <c r="AC39" i="14"/>
  <c r="U39" i="14"/>
  <c r="AC38" i="14"/>
  <c r="U38" i="14"/>
  <c r="AC37" i="14"/>
  <c r="U37" i="14"/>
  <c r="AC36" i="14"/>
  <c r="U36" i="14"/>
  <c r="AC35" i="14"/>
  <c r="U35" i="14"/>
  <c r="U33" i="14"/>
  <c r="U32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U18" i="14"/>
  <c r="U17" i="14"/>
  <c r="U16" i="14"/>
  <c r="U15" i="14"/>
  <c r="U14" i="14"/>
  <c r="U13" i="14"/>
  <c r="U12" i="14"/>
  <c r="U11" i="14"/>
  <c r="U10" i="14"/>
  <c r="U9" i="14"/>
  <c r="U8" i="14"/>
  <c r="U6" i="14"/>
  <c r="U5" i="14"/>
  <c r="U4" i="14"/>
  <c r="U3" i="14"/>
  <c r="U2" i="14"/>
  <c r="I28" i="8" l="1"/>
  <c r="I29" i="8" s="1"/>
  <c r="I30" i="8" s="1"/>
  <c r="H202" i="14"/>
  <c r="H202" i="48"/>
  <c r="H202" i="47"/>
  <c r="H202" i="49"/>
  <c r="H202" i="12"/>
  <c r="I17" i="8"/>
  <c r="I18" i="8" s="1"/>
  <c r="I19" i="8" s="1"/>
  <c r="H209" i="47"/>
  <c r="H209" i="49"/>
  <c r="H209" i="12"/>
  <c r="H209" i="14"/>
  <c r="H209" i="48"/>
  <c r="H171" i="48"/>
  <c r="H171" i="47"/>
  <c r="H171" i="49"/>
  <c r="H171" i="12"/>
  <c r="H171" i="14"/>
  <c r="H150" i="49"/>
  <c r="H150" i="12"/>
  <c r="H150" i="14"/>
  <c r="H150" i="48"/>
  <c r="H150" i="47"/>
  <c r="H140" i="48"/>
  <c r="H140" i="47"/>
  <c r="H140" i="49"/>
  <c r="H140" i="12"/>
  <c r="H140" i="14"/>
  <c r="H162" i="12"/>
  <c r="H162" i="14"/>
  <c r="H162" i="48"/>
  <c r="H162" i="47"/>
  <c r="H162" i="49"/>
  <c r="H173" i="14"/>
  <c r="H173" i="48"/>
  <c r="H173" i="47"/>
  <c r="H173" i="49"/>
  <c r="H173" i="12"/>
  <c r="H208" i="47"/>
  <c r="H208" i="49"/>
  <c r="H208" i="12"/>
  <c r="H208" i="14"/>
  <c r="H208" i="48"/>
  <c r="I6" i="8"/>
  <c r="I7" i="8" s="1"/>
  <c r="I8" i="8" s="1"/>
  <c r="H186" i="48"/>
  <c r="H186" i="47"/>
  <c r="H186" i="49"/>
  <c r="H186" i="12"/>
  <c r="H186" i="14"/>
  <c r="H210" i="47"/>
  <c r="H210" i="49"/>
  <c r="H210" i="12"/>
  <c r="H210" i="14"/>
  <c r="H210" i="48"/>
  <c r="D18" i="8"/>
  <c r="D19" i="8" s="1"/>
  <c r="E19" i="8"/>
  <c r="D7" i="8"/>
  <c r="D29" i="8"/>
  <c r="AK31" i="14"/>
  <c r="AK151" i="14"/>
  <c r="AK86" i="14"/>
  <c r="AK84" i="14"/>
  <c r="AK112" i="14"/>
  <c r="AK157" i="14"/>
  <c r="AK159" i="14"/>
  <c r="AK32" i="14"/>
  <c r="AK91" i="14"/>
  <c r="AK89" i="14"/>
  <c r="AK76" i="14"/>
  <c r="AK120" i="14"/>
  <c r="AK171" i="14"/>
  <c r="AK188" i="14"/>
  <c r="AK200" i="14"/>
  <c r="AK202" i="14"/>
  <c r="AK209" i="14"/>
  <c r="AK190" i="14"/>
  <c r="AK204" i="14"/>
  <c r="AK206" i="14"/>
  <c r="AK192" i="14"/>
  <c r="AK196" i="14"/>
  <c r="AK173" i="14"/>
  <c r="AK176" i="14"/>
  <c r="AK137" i="14"/>
  <c r="AK143" i="14"/>
  <c r="AK153" i="14"/>
  <c r="AK127" i="14"/>
  <c r="AK92" i="14"/>
  <c r="AK95" i="14"/>
  <c r="AK101" i="14"/>
  <c r="AK107" i="14"/>
  <c r="AK99" i="14"/>
  <c r="AK103" i="14"/>
  <c r="AK94" i="14"/>
  <c r="AK108" i="14"/>
  <c r="AK114" i="14"/>
  <c r="AK116" i="14"/>
  <c r="AK186" i="14"/>
  <c r="AK184" i="14"/>
  <c r="AK49" i="14"/>
  <c r="AK60" i="14"/>
  <c r="AK64" i="14"/>
  <c r="AK145" i="14"/>
  <c r="AK147" i="14"/>
  <c r="AK66" i="14"/>
  <c r="AK70" i="14"/>
  <c r="AK72" i="14"/>
  <c r="AK162" i="14"/>
  <c r="AK208" i="14"/>
  <c r="AK42" i="14"/>
  <c r="AK109" i="14"/>
  <c r="AK111" i="14"/>
  <c r="AK113" i="14"/>
  <c r="AK115" i="14"/>
  <c r="AK117" i="14"/>
  <c r="AK174" i="14"/>
  <c r="AK177" i="14"/>
  <c r="AK179" i="14"/>
  <c r="AK181" i="14"/>
  <c r="AK183" i="14"/>
  <c r="AK185" i="14"/>
  <c r="AK210" i="14"/>
  <c r="AK124" i="14"/>
  <c r="AK130" i="14"/>
  <c r="AK134" i="14"/>
  <c r="AK136" i="14"/>
  <c r="AK189" i="14"/>
  <c r="AK52" i="14"/>
  <c r="AK54" i="14"/>
  <c r="AK56" i="14"/>
  <c r="AK61" i="14"/>
  <c r="AK63" i="14"/>
  <c r="AK140" i="14"/>
  <c r="AK144" i="14"/>
  <c r="AK146" i="14"/>
  <c r="AK195" i="14"/>
  <c r="AK197" i="14"/>
  <c r="AK199" i="14"/>
  <c r="AK201" i="14"/>
  <c r="AK67" i="14"/>
  <c r="AK71" i="14"/>
  <c r="AK150" i="14"/>
  <c r="AK154" i="14"/>
  <c r="AK156" i="14"/>
  <c r="AK161" i="14"/>
  <c r="AK205" i="14"/>
  <c r="AK207" i="14"/>
  <c r="AK167" i="14"/>
  <c r="AK169" i="14"/>
  <c r="K28" i="8" l="1"/>
  <c r="K6" i="8"/>
  <c r="K17" i="8"/>
  <c r="I63" i="48"/>
  <c r="I63" i="47"/>
  <c r="I63" i="49"/>
  <c r="I63" i="12"/>
  <c r="I63" i="14"/>
  <c r="I107" i="12"/>
  <c r="I107" i="14"/>
  <c r="I107" i="48"/>
  <c r="I107" i="47"/>
  <c r="I107" i="49"/>
  <c r="I134" i="12"/>
  <c r="I134" i="14"/>
  <c r="I134" i="48"/>
  <c r="I134" i="47"/>
  <c r="I134" i="49"/>
  <c r="I150" i="49"/>
  <c r="I150" i="12"/>
  <c r="I150" i="14"/>
  <c r="I150" i="48"/>
  <c r="I150" i="47"/>
  <c r="I140" i="47"/>
  <c r="I140" i="49"/>
  <c r="I140" i="12"/>
  <c r="I140" i="14"/>
  <c r="I140" i="48"/>
  <c r="I138" i="47"/>
  <c r="I138" i="49"/>
  <c r="I138" i="12"/>
  <c r="I138" i="14"/>
  <c r="I138" i="48"/>
  <c r="I177" i="12"/>
  <c r="I177" i="14"/>
  <c r="I177" i="48"/>
  <c r="I177" i="47"/>
  <c r="I177" i="49"/>
  <c r="I72" i="49"/>
  <c r="I72" i="12"/>
  <c r="I72" i="14"/>
  <c r="I72" i="48"/>
  <c r="I72" i="47"/>
  <c r="I53" i="14"/>
  <c r="I53" i="48"/>
  <c r="I53" i="47"/>
  <c r="I53" i="49"/>
  <c r="I53" i="12"/>
  <c r="I99" i="47"/>
  <c r="I99" i="49"/>
  <c r="I99" i="12"/>
  <c r="I99" i="14"/>
  <c r="I99" i="48"/>
  <c r="I139" i="47"/>
  <c r="I139" i="49"/>
  <c r="I139" i="12"/>
  <c r="I139" i="14"/>
  <c r="I139" i="48"/>
  <c r="I198" i="48"/>
  <c r="I198" i="47"/>
  <c r="I198" i="49"/>
  <c r="I198" i="12"/>
  <c r="I198" i="14"/>
  <c r="I159" i="14"/>
  <c r="I159" i="48"/>
  <c r="I159" i="47"/>
  <c r="I159" i="49"/>
  <c r="I159" i="12"/>
  <c r="I51" i="48"/>
  <c r="I51" i="47"/>
  <c r="I51" i="49"/>
  <c r="I51" i="12"/>
  <c r="I51" i="14"/>
  <c r="I117" i="48"/>
  <c r="I117" i="47"/>
  <c r="I117" i="49"/>
  <c r="I117" i="12"/>
  <c r="I117" i="14"/>
  <c r="I101" i="48"/>
  <c r="I101" i="47"/>
  <c r="I101" i="49"/>
  <c r="I101" i="12"/>
  <c r="I101" i="14"/>
  <c r="I169" i="48"/>
  <c r="I169" i="47"/>
  <c r="I169" i="49"/>
  <c r="I169" i="12"/>
  <c r="I169" i="14"/>
  <c r="I67" i="14"/>
  <c r="I67" i="48"/>
  <c r="I67" i="47"/>
  <c r="I67" i="49"/>
  <c r="I67" i="12"/>
  <c r="I58" i="47"/>
  <c r="I58" i="49"/>
  <c r="I58" i="12"/>
  <c r="I58" i="14"/>
  <c r="I58" i="48"/>
  <c r="I130" i="48"/>
  <c r="I130" i="47"/>
  <c r="I130" i="49"/>
  <c r="I130" i="12"/>
  <c r="I130" i="14"/>
  <c r="I115" i="48"/>
  <c r="I115" i="47"/>
  <c r="I115" i="49"/>
  <c r="I115" i="12"/>
  <c r="I115" i="14"/>
  <c r="I66" i="48"/>
  <c r="I66" i="47"/>
  <c r="I66" i="49"/>
  <c r="I66" i="12"/>
  <c r="I66" i="14"/>
  <c r="I47" i="47"/>
  <c r="I47" i="49"/>
  <c r="I47" i="12"/>
  <c r="I47" i="14"/>
  <c r="I47" i="48"/>
  <c r="I95" i="12"/>
  <c r="I95" i="14"/>
  <c r="I95" i="48"/>
  <c r="I95" i="47"/>
  <c r="I95" i="49"/>
  <c r="I173" i="48"/>
  <c r="I173" i="47"/>
  <c r="I173" i="49"/>
  <c r="I173" i="12"/>
  <c r="I173" i="14"/>
  <c r="I120" i="14"/>
  <c r="I120" i="48"/>
  <c r="I120" i="47"/>
  <c r="I120" i="49"/>
  <c r="I120" i="12"/>
  <c r="I40" i="14"/>
  <c r="I40" i="48"/>
  <c r="I40" i="47"/>
  <c r="I40" i="49"/>
  <c r="I40" i="12"/>
  <c r="I69" i="12"/>
  <c r="I69" i="14"/>
  <c r="I69" i="48"/>
  <c r="I69" i="47"/>
  <c r="I69" i="49"/>
  <c r="I176" i="14"/>
  <c r="I176" i="48"/>
  <c r="I176" i="47"/>
  <c r="I176" i="49"/>
  <c r="I176" i="12"/>
  <c r="I56" i="49"/>
  <c r="I56" i="12"/>
  <c r="I56" i="14"/>
  <c r="I56" i="48"/>
  <c r="I56" i="47"/>
  <c r="I126" i="47"/>
  <c r="I126" i="49"/>
  <c r="I126" i="12"/>
  <c r="I126" i="14"/>
  <c r="I126" i="48"/>
  <c r="I113" i="47"/>
  <c r="I113" i="49"/>
  <c r="I113" i="12"/>
  <c r="I113" i="14"/>
  <c r="I113" i="48"/>
  <c r="I149" i="49"/>
  <c r="I149" i="12"/>
  <c r="I149" i="14"/>
  <c r="I149" i="48"/>
  <c r="I149" i="47"/>
  <c r="I45" i="49"/>
  <c r="I45" i="12"/>
  <c r="I45" i="14"/>
  <c r="I45" i="48"/>
  <c r="I45" i="47"/>
  <c r="I92" i="48"/>
  <c r="I92" i="47"/>
  <c r="I92" i="49"/>
  <c r="I92" i="12"/>
  <c r="I92" i="14"/>
  <c r="I196" i="47"/>
  <c r="I196" i="49"/>
  <c r="I196" i="12"/>
  <c r="I196" i="14"/>
  <c r="I196" i="48"/>
  <c r="I30" i="47"/>
  <c r="I30" i="49"/>
  <c r="I30" i="12"/>
  <c r="I30" i="14"/>
  <c r="I30" i="48"/>
  <c r="I38" i="48"/>
  <c r="I38" i="47"/>
  <c r="I38" i="49"/>
  <c r="I38" i="12"/>
  <c r="I38" i="14"/>
  <c r="I49" i="48"/>
  <c r="I49" i="47"/>
  <c r="I49" i="49"/>
  <c r="I49" i="12"/>
  <c r="I49" i="14"/>
  <c r="I124" i="49"/>
  <c r="I124" i="12"/>
  <c r="I124" i="14"/>
  <c r="I124" i="48"/>
  <c r="I124" i="47"/>
  <c r="I147" i="12"/>
  <c r="I147" i="14"/>
  <c r="I147" i="48"/>
  <c r="I147" i="47"/>
  <c r="I147" i="49"/>
  <c r="I184" i="48"/>
  <c r="I184" i="47"/>
  <c r="I184" i="49"/>
  <c r="I184" i="12"/>
  <c r="I184" i="14"/>
  <c r="I127" i="47"/>
  <c r="I127" i="49"/>
  <c r="I127" i="12"/>
  <c r="I127" i="14"/>
  <c r="I127" i="48"/>
  <c r="I192" i="12"/>
  <c r="I192" i="14"/>
  <c r="I192" i="48"/>
  <c r="I192" i="47"/>
  <c r="I192" i="49"/>
  <c r="I76" i="48"/>
  <c r="I76" i="47"/>
  <c r="I76" i="49"/>
  <c r="I7" i="50"/>
  <c r="I76" i="12"/>
  <c r="I76" i="14"/>
  <c r="I112" i="47"/>
  <c r="I112" i="49"/>
  <c r="I112" i="12"/>
  <c r="I112" i="14"/>
  <c r="I112" i="48"/>
  <c r="I41" i="12"/>
  <c r="I41" i="14"/>
  <c r="I41" i="48"/>
  <c r="I41" i="47"/>
  <c r="I41" i="49"/>
  <c r="I54" i="12"/>
  <c r="I54" i="14"/>
  <c r="I54" i="48"/>
  <c r="I54" i="47"/>
  <c r="I54" i="49"/>
  <c r="I111" i="49"/>
  <c r="I111" i="12"/>
  <c r="I111" i="14"/>
  <c r="I111" i="48"/>
  <c r="I111" i="47"/>
  <c r="I205" i="12"/>
  <c r="I205" i="14"/>
  <c r="I205" i="48"/>
  <c r="I205" i="47"/>
  <c r="I205" i="49"/>
  <c r="I199" i="48"/>
  <c r="I199" i="47"/>
  <c r="I199" i="49"/>
  <c r="I199" i="12"/>
  <c r="I199" i="14"/>
  <c r="I52" i="48"/>
  <c r="I52" i="47"/>
  <c r="I52" i="49"/>
  <c r="I52" i="12"/>
  <c r="I52" i="14"/>
  <c r="I122" i="12"/>
  <c r="I122" i="14"/>
  <c r="I122" i="48"/>
  <c r="I122" i="47"/>
  <c r="I122" i="49"/>
  <c r="I109" i="12"/>
  <c r="I109" i="14"/>
  <c r="I109" i="48"/>
  <c r="I109" i="47"/>
  <c r="I109" i="49"/>
  <c r="I145" i="48"/>
  <c r="I145" i="47"/>
  <c r="I145" i="49"/>
  <c r="I145" i="12"/>
  <c r="I145" i="14"/>
  <c r="I186" i="48"/>
  <c r="I186" i="47"/>
  <c r="I186" i="49"/>
  <c r="I186" i="12"/>
  <c r="I186" i="14"/>
  <c r="I123" i="12"/>
  <c r="I123" i="14"/>
  <c r="I123" i="48"/>
  <c r="I123" i="47"/>
  <c r="I123" i="49"/>
  <c r="I206" i="49"/>
  <c r="I206" i="12"/>
  <c r="I206" i="14"/>
  <c r="I206" i="48"/>
  <c r="I206" i="47"/>
  <c r="I89" i="48"/>
  <c r="I89" i="47"/>
  <c r="I89" i="49"/>
  <c r="I89" i="12"/>
  <c r="I89" i="14"/>
  <c r="I84" i="49"/>
  <c r="I84" i="12"/>
  <c r="I84" i="14"/>
  <c r="I84" i="48"/>
  <c r="I84" i="47"/>
  <c r="I157" i="48"/>
  <c r="I157" i="47"/>
  <c r="I157" i="49"/>
  <c r="I157" i="12"/>
  <c r="I157" i="14"/>
  <c r="I201" i="14"/>
  <c r="I201" i="48"/>
  <c r="I201" i="47"/>
  <c r="I201" i="49"/>
  <c r="I201" i="12"/>
  <c r="I203" i="14"/>
  <c r="I203" i="48"/>
  <c r="I203" i="47"/>
  <c r="I203" i="49"/>
  <c r="I203" i="12"/>
  <c r="I197" i="48"/>
  <c r="I197" i="47"/>
  <c r="I197" i="49"/>
  <c r="I197" i="12"/>
  <c r="I197" i="14"/>
  <c r="I50" i="48"/>
  <c r="I50" i="47"/>
  <c r="I50" i="49"/>
  <c r="I50" i="12"/>
  <c r="I50" i="14"/>
  <c r="I210" i="49"/>
  <c r="I210" i="12"/>
  <c r="I210" i="14"/>
  <c r="I210" i="48"/>
  <c r="I210" i="47"/>
  <c r="I42" i="12"/>
  <c r="I42" i="14"/>
  <c r="I42" i="48"/>
  <c r="I42" i="47"/>
  <c r="I42" i="49"/>
  <c r="I141" i="48"/>
  <c r="I141" i="47"/>
  <c r="I141" i="49"/>
  <c r="I141" i="12"/>
  <c r="I141" i="14"/>
  <c r="I116" i="48"/>
  <c r="I116" i="47"/>
  <c r="I116" i="49"/>
  <c r="I116" i="12"/>
  <c r="I116" i="14"/>
  <c r="I135" i="12"/>
  <c r="I135" i="14"/>
  <c r="I135" i="48"/>
  <c r="I135" i="47"/>
  <c r="I135" i="49"/>
  <c r="I204" i="12"/>
  <c r="I204" i="14"/>
  <c r="I204" i="48"/>
  <c r="I204" i="47"/>
  <c r="I204" i="49"/>
  <c r="I91" i="48"/>
  <c r="I91" i="47"/>
  <c r="I91" i="49"/>
  <c r="I91" i="12"/>
  <c r="I91" i="14"/>
  <c r="I86" i="47"/>
  <c r="I86" i="49"/>
  <c r="I86" i="12"/>
  <c r="I86" i="14"/>
  <c r="I86" i="48"/>
  <c r="I70" i="49"/>
  <c r="I70" i="12"/>
  <c r="I70" i="14"/>
  <c r="I70" i="48"/>
  <c r="I70" i="47"/>
  <c r="I68" i="12"/>
  <c r="I68" i="14"/>
  <c r="I68" i="48"/>
  <c r="I68" i="47"/>
  <c r="I68" i="49"/>
  <c r="I35" i="48"/>
  <c r="I35" i="47"/>
  <c r="I35" i="49"/>
  <c r="I35" i="12"/>
  <c r="I35" i="14"/>
  <c r="I195" i="47"/>
  <c r="I195" i="49"/>
  <c r="I195" i="12"/>
  <c r="I195" i="14"/>
  <c r="I195" i="48"/>
  <c r="I185" i="48"/>
  <c r="I185" i="47"/>
  <c r="I185" i="49"/>
  <c r="I185" i="12"/>
  <c r="I185" i="14"/>
  <c r="I36" i="48"/>
  <c r="I36" i="47"/>
  <c r="I36" i="49"/>
  <c r="I36" i="12"/>
  <c r="I36" i="14"/>
  <c r="I64" i="48"/>
  <c r="I64" i="47"/>
  <c r="I64" i="49"/>
  <c r="I64" i="12"/>
  <c r="I64" i="14"/>
  <c r="I114" i="48"/>
  <c r="I114" i="47"/>
  <c r="I114" i="49"/>
  <c r="I114" i="12"/>
  <c r="I114" i="14"/>
  <c r="I133" i="14"/>
  <c r="I133" i="48"/>
  <c r="I133" i="47"/>
  <c r="I133" i="49"/>
  <c r="I133" i="12"/>
  <c r="I190" i="12"/>
  <c r="I190" i="14"/>
  <c r="I190" i="48"/>
  <c r="I190" i="47"/>
  <c r="I190" i="49"/>
  <c r="I32" i="47"/>
  <c r="I32" i="49"/>
  <c r="I32" i="12"/>
  <c r="I32" i="14"/>
  <c r="I32" i="48"/>
  <c r="I151" i="49"/>
  <c r="I151" i="12"/>
  <c r="I151" i="14"/>
  <c r="I151" i="48"/>
  <c r="I151" i="47"/>
  <c r="I136" i="49"/>
  <c r="I136" i="12"/>
  <c r="I136" i="14"/>
  <c r="I136" i="48"/>
  <c r="I136" i="47"/>
  <c r="I137" i="49"/>
  <c r="I137" i="12"/>
  <c r="I137" i="14"/>
  <c r="I137" i="48"/>
  <c r="I137" i="47"/>
  <c r="I207" i="49"/>
  <c r="I207" i="12"/>
  <c r="I207" i="14"/>
  <c r="I207" i="48"/>
  <c r="I207" i="47"/>
  <c r="I161" i="12"/>
  <c r="I161" i="14"/>
  <c r="I161" i="48"/>
  <c r="I161" i="47"/>
  <c r="I161" i="49"/>
  <c r="I158" i="48"/>
  <c r="I158" i="47"/>
  <c r="I158" i="49"/>
  <c r="I158" i="12"/>
  <c r="I158" i="14"/>
  <c r="I46" i="47"/>
  <c r="I46" i="49"/>
  <c r="I46" i="12"/>
  <c r="I46" i="14"/>
  <c r="I46" i="48"/>
  <c r="I183" i="48"/>
  <c r="I183" i="47"/>
  <c r="I183" i="49"/>
  <c r="I183" i="12"/>
  <c r="I183" i="14"/>
  <c r="I172" i="48"/>
  <c r="I172" i="47"/>
  <c r="I172" i="49"/>
  <c r="I172" i="12"/>
  <c r="I172" i="14"/>
  <c r="I62" i="48"/>
  <c r="I62" i="47"/>
  <c r="I62" i="49"/>
  <c r="I62" i="12"/>
  <c r="I62" i="14"/>
  <c r="I108" i="12"/>
  <c r="I108" i="14"/>
  <c r="I108" i="48"/>
  <c r="I108" i="47"/>
  <c r="I108" i="49"/>
  <c r="I129" i="48"/>
  <c r="I129" i="47"/>
  <c r="I129" i="49"/>
  <c r="I129" i="12"/>
  <c r="I129" i="14"/>
  <c r="I209" i="49"/>
  <c r="I209" i="12"/>
  <c r="I209" i="14"/>
  <c r="I209" i="48"/>
  <c r="I209" i="47"/>
  <c r="I155" i="48"/>
  <c r="I155" i="47"/>
  <c r="I155" i="49"/>
  <c r="I155" i="12"/>
  <c r="I155" i="14"/>
  <c r="I31" i="47"/>
  <c r="I31" i="49"/>
  <c r="I31" i="12"/>
  <c r="I31" i="14"/>
  <c r="I31" i="48"/>
  <c r="I174" i="14"/>
  <c r="I174" i="48"/>
  <c r="I174" i="47"/>
  <c r="I174" i="49"/>
  <c r="I174" i="12"/>
  <c r="I61" i="48"/>
  <c r="I61" i="47"/>
  <c r="I61" i="49"/>
  <c r="I61" i="12"/>
  <c r="I61" i="14"/>
  <c r="I171" i="48"/>
  <c r="I171" i="47"/>
  <c r="I171" i="49"/>
  <c r="I171" i="12"/>
  <c r="I171" i="14"/>
  <c r="I167" i="47"/>
  <c r="I167" i="49"/>
  <c r="I167" i="12"/>
  <c r="I167" i="14"/>
  <c r="I167" i="48"/>
  <c r="I48" i="48"/>
  <c r="I48" i="47"/>
  <c r="I48" i="49"/>
  <c r="I48" i="12"/>
  <c r="I48" i="14"/>
  <c r="I148" i="12"/>
  <c r="I148" i="14"/>
  <c r="I148" i="48"/>
  <c r="I148" i="47"/>
  <c r="I148" i="49"/>
  <c r="I156" i="48"/>
  <c r="I156" i="47"/>
  <c r="I156" i="49"/>
  <c r="I156" i="12"/>
  <c r="I156" i="14"/>
  <c r="I146" i="14"/>
  <c r="I146" i="48"/>
  <c r="I146" i="47"/>
  <c r="I146" i="49"/>
  <c r="I146" i="12"/>
  <c r="I44" i="49"/>
  <c r="I44" i="12"/>
  <c r="I44" i="14"/>
  <c r="I44" i="48"/>
  <c r="I44" i="47"/>
  <c r="I181" i="47"/>
  <c r="I181" i="49"/>
  <c r="I181" i="12"/>
  <c r="I181" i="14"/>
  <c r="I181" i="48"/>
  <c r="I208" i="49"/>
  <c r="I208" i="12"/>
  <c r="I208" i="14"/>
  <c r="I208" i="48"/>
  <c r="I208" i="47"/>
  <c r="I60" i="47"/>
  <c r="I60" i="49"/>
  <c r="I60" i="12"/>
  <c r="I60" i="14"/>
  <c r="I60" i="48"/>
  <c r="I94" i="14"/>
  <c r="I94" i="48"/>
  <c r="I94" i="47"/>
  <c r="I94" i="49"/>
  <c r="I94" i="12"/>
  <c r="I153" i="47"/>
  <c r="I153" i="49"/>
  <c r="I153" i="12"/>
  <c r="I153" i="14"/>
  <c r="I153" i="48"/>
  <c r="I202" i="14"/>
  <c r="I202" i="48"/>
  <c r="I202" i="47"/>
  <c r="I202" i="49"/>
  <c r="I202" i="12"/>
  <c r="I43" i="12"/>
  <c r="I43" i="14"/>
  <c r="I43" i="48"/>
  <c r="I43" i="47"/>
  <c r="I43" i="49"/>
  <c r="I71" i="49"/>
  <c r="I71" i="12"/>
  <c r="I71" i="14"/>
  <c r="I71" i="48"/>
  <c r="I71" i="47"/>
  <c r="I188" i="14"/>
  <c r="I188" i="48"/>
  <c r="I188" i="47"/>
  <c r="I188" i="49"/>
  <c r="I188" i="12"/>
  <c r="I154" i="48"/>
  <c r="I154" i="47"/>
  <c r="I154" i="49"/>
  <c r="I154" i="12"/>
  <c r="I154" i="14"/>
  <c r="I144" i="48"/>
  <c r="I144" i="47"/>
  <c r="I144" i="49"/>
  <c r="I144" i="12"/>
  <c r="I144" i="14"/>
  <c r="I189" i="14"/>
  <c r="I189" i="48"/>
  <c r="I189" i="47"/>
  <c r="I189" i="49"/>
  <c r="I189" i="12"/>
  <c r="I179" i="49"/>
  <c r="I179" i="12"/>
  <c r="I179" i="14"/>
  <c r="I179" i="48"/>
  <c r="I179" i="47"/>
  <c r="I162" i="12"/>
  <c r="I162" i="14"/>
  <c r="I162" i="48"/>
  <c r="I162" i="47"/>
  <c r="I162" i="49"/>
  <c r="I57" i="49"/>
  <c r="I57" i="12"/>
  <c r="I57" i="14"/>
  <c r="I57" i="48"/>
  <c r="I57" i="47"/>
  <c r="I103" i="48"/>
  <c r="I103" i="47"/>
  <c r="I103" i="49"/>
  <c r="I103" i="12"/>
  <c r="I103" i="14"/>
  <c r="I143" i="48"/>
  <c r="I143" i="47"/>
  <c r="I143" i="49"/>
  <c r="I143" i="12"/>
  <c r="I143" i="14"/>
  <c r="I200" i="48"/>
  <c r="I200" i="47"/>
  <c r="I200" i="49"/>
  <c r="I200" i="12"/>
  <c r="I200" i="14"/>
  <c r="I37" i="48"/>
  <c r="I37" i="47"/>
  <c r="I37" i="49"/>
  <c r="I37" i="12"/>
  <c r="I37" i="14"/>
  <c r="D30" i="8"/>
  <c r="K29" i="8"/>
  <c r="K7" i="8"/>
  <c r="D8" i="8"/>
  <c r="K18" i="8"/>
  <c r="D20" i="8"/>
  <c r="E20" i="8" s="1"/>
  <c r="F20" i="8" s="1"/>
  <c r="G20" i="8" s="1"/>
  <c r="H20" i="8" s="1"/>
  <c r="I20" i="8" s="1"/>
  <c r="K19" i="8"/>
  <c r="K20" i="8" s="1"/>
  <c r="S174" i="48"/>
  <c r="AG34" i="14"/>
  <c r="AF34" i="14"/>
  <c r="AE34" i="14"/>
  <c r="AI33" i="14"/>
  <c r="AH33" i="14"/>
  <c r="AG33" i="14"/>
  <c r="AF33" i="14"/>
  <c r="AE33" i="14"/>
  <c r="AH24" i="14"/>
  <c r="AG24" i="14"/>
  <c r="AH22" i="14"/>
  <c r="AH18" i="14"/>
  <c r="AG18" i="14"/>
  <c r="AH14" i="14"/>
  <c r="AG14" i="14"/>
  <c r="AF14" i="14"/>
  <c r="AH13" i="14"/>
  <c r="AH12" i="14"/>
  <c r="AG12" i="14"/>
  <c r="AF12" i="14"/>
  <c r="AE12" i="14"/>
  <c r="AH11" i="14"/>
  <c r="K8" i="8" l="1"/>
  <c r="K9" i="8" s="1"/>
  <c r="D9" i="8"/>
  <c r="E9" i="8" s="1"/>
  <c r="F9" i="8" s="1"/>
  <c r="G9" i="8" s="1"/>
  <c r="H9" i="8" s="1"/>
  <c r="I9" i="8" s="1"/>
  <c r="D31" i="8"/>
  <c r="E31" i="8" s="1"/>
  <c r="F31" i="8" s="1"/>
  <c r="G31" i="8" s="1"/>
  <c r="H31" i="8" s="1"/>
  <c r="I31" i="8" s="1"/>
  <c r="K30" i="8"/>
  <c r="K31" i="8" s="1"/>
  <c r="AK18" i="14"/>
  <c r="AK11" i="14"/>
  <c r="I5" i="50" s="1"/>
  <c r="AK22" i="14"/>
  <c r="AK13" i="14"/>
  <c r="AK12" i="14"/>
  <c r="AK14" i="14"/>
  <c r="AK24" i="14"/>
  <c r="AK34" i="14"/>
  <c r="AK33" i="14"/>
  <c r="G9" i="50"/>
  <c r="F9" i="50"/>
  <c r="E9" i="50"/>
  <c r="J8" i="50"/>
  <c r="I8" i="50"/>
  <c r="G8" i="50"/>
  <c r="F8" i="50"/>
  <c r="E8" i="50"/>
  <c r="E7" i="50"/>
  <c r="J6" i="50"/>
  <c r="G6" i="50"/>
  <c r="F6" i="50"/>
  <c r="E6" i="50"/>
  <c r="J5" i="50"/>
  <c r="E5" i="50"/>
  <c r="I12" i="47" l="1"/>
  <c r="I12" i="49"/>
  <c r="I12" i="12"/>
  <c r="I12" i="14"/>
  <c r="I12" i="48"/>
  <c r="I13" i="47"/>
  <c r="I13" i="49"/>
  <c r="I13" i="12"/>
  <c r="I13" i="14"/>
  <c r="I13" i="48"/>
  <c r="I18" i="47"/>
  <c r="I18" i="49"/>
  <c r="I18" i="12"/>
  <c r="I18" i="14"/>
  <c r="I18" i="48"/>
  <c r="I24" i="47"/>
  <c r="I24" i="49"/>
  <c r="I24" i="12"/>
  <c r="I24" i="14"/>
  <c r="I24" i="48"/>
  <c r="I28" i="47"/>
  <c r="I28" i="49"/>
  <c r="I28" i="12"/>
  <c r="I28" i="14"/>
  <c r="I28" i="48"/>
  <c r="I11" i="47"/>
  <c r="I11" i="49"/>
  <c r="I11" i="12"/>
  <c r="I11" i="14"/>
  <c r="I11" i="48"/>
  <c r="I14" i="47"/>
  <c r="I14" i="49"/>
  <c r="I14" i="12"/>
  <c r="I14" i="14"/>
  <c r="I14" i="48"/>
  <c r="I22" i="47"/>
  <c r="I22" i="49"/>
  <c r="I22" i="12"/>
  <c r="I22" i="14"/>
  <c r="I22" i="48"/>
  <c r="I33" i="47"/>
  <c r="I33" i="49"/>
  <c r="I33" i="12"/>
  <c r="I33" i="14"/>
  <c r="I33" i="48"/>
  <c r="I34" i="48"/>
  <c r="I34" i="47"/>
  <c r="I34" i="49"/>
  <c r="I34" i="12"/>
  <c r="I34" i="14"/>
  <c r="E11" i="50"/>
  <c r="J9" i="50"/>
  <c r="J11" i="50" s="1"/>
  <c r="I9" i="50" l="1"/>
  <c r="AC34" i="14"/>
  <c r="AC33" i="14"/>
  <c r="AC32" i="14"/>
  <c r="AC31" i="14"/>
  <c r="AC30" i="14"/>
  <c r="AC29" i="14"/>
  <c r="AC28" i="14"/>
  <c r="AC27" i="14"/>
  <c r="AC26" i="14"/>
  <c r="AC25" i="14"/>
  <c r="AC24" i="14"/>
  <c r="AC23" i="14"/>
  <c r="AC22" i="14"/>
  <c r="S210" i="47" l="1"/>
  <c r="S209" i="47"/>
  <c r="S208" i="47"/>
  <c r="S207" i="47"/>
  <c r="S206" i="47"/>
  <c r="S205" i="47"/>
  <c r="S204" i="47"/>
  <c r="S203" i="47"/>
  <c r="S202" i="47"/>
  <c r="S201" i="47"/>
  <c r="S200" i="47"/>
  <c r="S199" i="47"/>
  <c r="S198" i="47"/>
  <c r="S197" i="47"/>
  <c r="S196" i="47"/>
  <c r="S195" i="47"/>
  <c r="S194" i="47"/>
  <c r="S193" i="47"/>
  <c r="S192" i="47"/>
  <c r="S191" i="47"/>
  <c r="S190" i="47"/>
  <c r="S189" i="47"/>
  <c r="S188" i="47"/>
  <c r="S187" i="47"/>
  <c r="S186" i="47"/>
  <c r="S185" i="47"/>
  <c r="S184" i="47"/>
  <c r="S183" i="47"/>
  <c r="S182" i="47"/>
  <c r="S181" i="47"/>
  <c r="S180" i="47"/>
  <c r="S179" i="47"/>
  <c r="S178" i="47"/>
  <c r="S177" i="47"/>
  <c r="S176" i="47"/>
  <c r="S174" i="47"/>
  <c r="S173" i="47"/>
  <c r="S172" i="47"/>
  <c r="S171" i="47"/>
  <c r="S170" i="47"/>
  <c r="S169" i="47"/>
  <c r="S168" i="47"/>
  <c r="S167" i="47"/>
  <c r="S166" i="47"/>
  <c r="S165" i="47"/>
  <c r="S164" i="47"/>
  <c r="S163" i="47"/>
  <c r="S27" i="47"/>
  <c r="S26" i="47"/>
  <c r="S25" i="47"/>
  <c r="S24" i="47"/>
  <c r="S23" i="47"/>
  <c r="S22" i="47"/>
  <c r="S21" i="47"/>
  <c r="S20" i="47"/>
  <c r="S19" i="47"/>
  <c r="S18" i="47"/>
  <c r="S17" i="47"/>
  <c r="S16" i="47"/>
  <c r="S15" i="47"/>
  <c r="S14" i="47"/>
  <c r="S13" i="47"/>
  <c r="S12" i="47"/>
  <c r="S11" i="47"/>
  <c r="S10" i="47"/>
  <c r="S9" i="47"/>
  <c r="S8" i="47"/>
  <c r="S6" i="47"/>
  <c r="S5" i="47"/>
  <c r="S4" i="47"/>
  <c r="S3" i="47"/>
  <c r="S2" i="47"/>
  <c r="I6" i="50" l="1"/>
  <c r="S139" i="57"/>
  <c r="R139" i="57"/>
  <c r="Q139" i="57"/>
  <c r="S138" i="57"/>
  <c r="R138" i="57"/>
  <c r="Q138" i="57"/>
  <c r="S137" i="57"/>
  <c r="R137" i="57"/>
  <c r="Q137" i="57"/>
  <c r="S136" i="57"/>
  <c r="R136" i="57"/>
  <c r="Q136" i="57"/>
  <c r="S135" i="57"/>
  <c r="R135" i="57"/>
  <c r="Q135" i="57"/>
  <c r="S134" i="57"/>
  <c r="R134" i="57"/>
  <c r="Q134" i="57"/>
  <c r="S133" i="57"/>
  <c r="R133" i="57"/>
  <c r="Q133" i="57"/>
  <c r="S132" i="57"/>
  <c r="R132" i="57"/>
  <c r="Q132" i="57"/>
  <c r="S131" i="57"/>
  <c r="R131" i="57"/>
  <c r="Q131" i="57"/>
  <c r="S130" i="57"/>
  <c r="R130" i="57"/>
  <c r="Q130" i="57"/>
  <c r="S129" i="57"/>
  <c r="R129" i="57"/>
  <c r="Q129" i="57"/>
  <c r="S128" i="57"/>
  <c r="R128" i="57"/>
  <c r="Q128" i="57"/>
  <c r="S127" i="57"/>
  <c r="R127" i="57"/>
  <c r="Q127" i="57"/>
  <c r="S126" i="57"/>
  <c r="R126" i="57"/>
  <c r="Q126" i="57"/>
  <c r="S125" i="57"/>
  <c r="R125" i="57"/>
  <c r="Q125" i="57"/>
  <c r="S124" i="57"/>
  <c r="R124" i="57"/>
  <c r="Q124" i="57"/>
  <c r="S123" i="57"/>
  <c r="R123" i="57"/>
  <c r="Q123" i="57"/>
  <c r="S122" i="57"/>
  <c r="R122" i="57"/>
  <c r="Q122" i="57"/>
  <c r="S121" i="57"/>
  <c r="R121" i="57"/>
  <c r="Q121" i="57"/>
  <c r="S120" i="57"/>
  <c r="R120" i="57"/>
  <c r="Q120" i="57"/>
  <c r="S119" i="57"/>
  <c r="R119" i="57"/>
  <c r="Q119" i="57"/>
  <c r="S118" i="57"/>
  <c r="R118" i="57"/>
  <c r="Q118" i="57"/>
  <c r="S117" i="57"/>
  <c r="R117" i="57"/>
  <c r="Q117" i="57"/>
  <c r="S116" i="57"/>
  <c r="R116" i="57"/>
  <c r="Q116" i="57"/>
  <c r="S115" i="57"/>
  <c r="R115" i="57"/>
  <c r="Q115" i="57"/>
  <c r="S114" i="57"/>
  <c r="R114" i="57"/>
  <c r="Q114" i="57"/>
  <c r="S113" i="57"/>
  <c r="R113" i="57"/>
  <c r="Q113" i="57"/>
  <c r="S112" i="57"/>
  <c r="R112" i="57"/>
  <c r="Q112" i="57"/>
  <c r="S111" i="57"/>
  <c r="R111" i="57"/>
  <c r="Q111" i="57"/>
  <c r="S110" i="57"/>
  <c r="R110" i="57"/>
  <c r="Q110" i="57"/>
  <c r="S109" i="57"/>
  <c r="R109" i="57"/>
  <c r="Q109" i="57"/>
  <c r="S108" i="57"/>
  <c r="R108" i="57"/>
  <c r="Q108" i="57"/>
  <c r="S107" i="57"/>
  <c r="R107" i="57"/>
  <c r="Q107" i="57"/>
  <c r="S106" i="57"/>
  <c r="R106" i="57"/>
  <c r="Q106" i="57"/>
  <c r="S105" i="57"/>
  <c r="R105" i="57"/>
  <c r="Q105" i="57"/>
  <c r="S104" i="57"/>
  <c r="R104" i="57"/>
  <c r="Q104" i="57"/>
  <c r="S103" i="57"/>
  <c r="R103" i="57"/>
  <c r="Q103" i="57"/>
  <c r="S102" i="57"/>
  <c r="R102" i="57"/>
  <c r="Q102" i="57"/>
  <c r="S101" i="57"/>
  <c r="R101" i="57"/>
  <c r="Q101" i="57"/>
  <c r="S100" i="57"/>
  <c r="R100" i="57"/>
  <c r="Q100" i="57"/>
  <c r="S99" i="57"/>
  <c r="R99" i="57"/>
  <c r="Q99" i="57"/>
  <c r="S98" i="57"/>
  <c r="R98" i="57"/>
  <c r="Q98" i="57"/>
  <c r="S97" i="57"/>
  <c r="R97" i="57"/>
  <c r="Q97" i="57"/>
  <c r="S96" i="57"/>
  <c r="R96" i="57"/>
  <c r="Q96" i="57"/>
  <c r="S95" i="57"/>
  <c r="R95" i="57"/>
  <c r="Q95" i="57"/>
  <c r="S94" i="57"/>
  <c r="R94" i="57"/>
  <c r="Q94" i="57"/>
  <c r="S93" i="57"/>
  <c r="R93" i="57"/>
  <c r="Q93" i="57"/>
  <c r="S92" i="57"/>
  <c r="R92" i="57"/>
  <c r="Q92" i="57"/>
  <c r="S91" i="57"/>
  <c r="R91" i="57"/>
  <c r="Q91" i="57"/>
  <c r="S90" i="57"/>
  <c r="R90" i="57"/>
  <c r="Q90" i="57"/>
  <c r="S89" i="57"/>
  <c r="R89" i="57"/>
  <c r="Q89" i="57"/>
  <c r="S88" i="57"/>
  <c r="R88" i="57"/>
  <c r="Q88" i="57"/>
  <c r="S87" i="57"/>
  <c r="R87" i="57"/>
  <c r="Q87" i="57"/>
  <c r="S86" i="57"/>
  <c r="R86" i="57"/>
  <c r="Q86" i="57"/>
  <c r="S85" i="57"/>
  <c r="R85" i="57"/>
  <c r="Q85" i="57"/>
  <c r="S84" i="57"/>
  <c r="R84" i="57"/>
  <c r="Q84" i="57"/>
  <c r="S83" i="57"/>
  <c r="R83" i="57"/>
  <c r="Q83" i="57"/>
  <c r="S82" i="57"/>
  <c r="R82" i="57"/>
  <c r="Q82" i="57"/>
  <c r="S81" i="57"/>
  <c r="R81" i="57"/>
  <c r="Q81" i="57"/>
  <c r="S80" i="57"/>
  <c r="R80" i="57"/>
  <c r="Q80" i="57"/>
  <c r="S79" i="57"/>
  <c r="R79" i="57"/>
  <c r="Q79" i="57"/>
  <c r="S78" i="57"/>
  <c r="R78" i="57"/>
  <c r="Q78" i="57"/>
  <c r="S77" i="57"/>
  <c r="R77" i="57"/>
  <c r="Q77" i="57"/>
  <c r="S76" i="57"/>
  <c r="R76" i="57"/>
  <c r="Q76" i="57"/>
  <c r="S75" i="57"/>
  <c r="R75" i="57"/>
  <c r="Q75" i="57"/>
  <c r="S74" i="57"/>
  <c r="R74" i="57"/>
  <c r="Q74" i="57"/>
  <c r="S73" i="57"/>
  <c r="R73" i="57"/>
  <c r="Q73" i="57"/>
  <c r="S72" i="57"/>
  <c r="R72" i="57"/>
  <c r="Q72" i="57"/>
  <c r="S71" i="57"/>
  <c r="R71" i="57"/>
  <c r="Q71" i="57"/>
  <c r="S70" i="57"/>
  <c r="R70" i="57"/>
  <c r="Q70" i="57"/>
  <c r="S69" i="57"/>
  <c r="R69" i="57"/>
  <c r="Q69" i="57"/>
  <c r="S68" i="57"/>
  <c r="R68" i="57"/>
  <c r="Q68" i="57"/>
  <c r="S67" i="57"/>
  <c r="R67" i="57"/>
  <c r="Q67" i="57"/>
  <c r="S66" i="57"/>
  <c r="R66" i="57"/>
  <c r="Q66" i="57"/>
  <c r="S65" i="57"/>
  <c r="R65" i="57"/>
  <c r="Q65" i="57"/>
  <c r="S64" i="57"/>
  <c r="R64" i="57"/>
  <c r="Q64" i="57"/>
  <c r="S63" i="57"/>
  <c r="R63" i="57"/>
  <c r="Q63" i="57"/>
  <c r="S62" i="57"/>
  <c r="R62" i="57"/>
  <c r="Q62" i="57"/>
  <c r="S61" i="57"/>
  <c r="R61" i="57"/>
  <c r="Q61" i="57"/>
  <c r="S60" i="57"/>
  <c r="R60" i="57"/>
  <c r="Q60" i="57"/>
  <c r="S59" i="57"/>
  <c r="R59" i="57"/>
  <c r="Q59" i="57"/>
  <c r="S58" i="57"/>
  <c r="R58" i="57"/>
  <c r="Q58" i="57"/>
  <c r="S57" i="57"/>
  <c r="R57" i="57"/>
  <c r="Q57" i="57"/>
  <c r="S56" i="57"/>
  <c r="R56" i="57"/>
  <c r="Q56" i="57"/>
  <c r="S55" i="57"/>
  <c r="R55" i="57"/>
  <c r="Q55" i="57"/>
  <c r="S54" i="57"/>
  <c r="R54" i="57"/>
  <c r="Q54" i="57"/>
  <c r="S53" i="57"/>
  <c r="R53" i="57"/>
  <c r="Q53" i="57"/>
  <c r="S52" i="57"/>
  <c r="R52" i="57"/>
  <c r="Q52" i="57"/>
  <c r="S51" i="57"/>
  <c r="R51" i="57"/>
  <c r="Q51" i="57"/>
  <c r="S50" i="57"/>
  <c r="R50" i="57"/>
  <c r="Q50" i="57"/>
  <c r="S49" i="57"/>
  <c r="R49" i="57"/>
  <c r="Q49" i="57"/>
  <c r="S48" i="57"/>
  <c r="R48" i="57"/>
  <c r="Q48" i="57"/>
  <c r="S47" i="57"/>
  <c r="R47" i="57"/>
  <c r="Q47" i="57"/>
  <c r="S46" i="57"/>
  <c r="R46" i="57"/>
  <c r="Q46" i="57"/>
  <c r="S45" i="57"/>
  <c r="R45" i="57"/>
  <c r="Q45" i="57"/>
  <c r="S44" i="57"/>
  <c r="R44" i="57"/>
  <c r="Q44" i="57"/>
  <c r="S43" i="57"/>
  <c r="R43" i="57"/>
  <c r="Q43" i="57"/>
  <c r="S42" i="57"/>
  <c r="R42" i="57"/>
  <c r="Q42" i="57"/>
  <c r="S41" i="57"/>
  <c r="R41" i="57"/>
  <c r="Q41" i="57"/>
  <c r="S40" i="57"/>
  <c r="R40" i="57"/>
  <c r="Q40" i="57"/>
  <c r="S39" i="57"/>
  <c r="R39" i="57"/>
  <c r="Q39" i="57"/>
  <c r="S38" i="57"/>
  <c r="R38" i="57"/>
  <c r="Q38" i="57"/>
  <c r="S37" i="57"/>
  <c r="R37" i="57"/>
  <c r="Q37" i="57"/>
  <c r="S36" i="57"/>
  <c r="R36" i="57"/>
  <c r="Q36" i="57"/>
  <c r="S35" i="57"/>
  <c r="R35" i="57"/>
  <c r="Q35" i="57"/>
  <c r="S34" i="57"/>
  <c r="R34" i="57"/>
  <c r="Q34" i="57"/>
  <c r="S33" i="57"/>
  <c r="R33" i="57"/>
  <c r="Q33" i="57"/>
  <c r="S32" i="57"/>
  <c r="R32" i="57"/>
  <c r="Q32" i="57"/>
  <c r="S31" i="57"/>
  <c r="R31" i="57"/>
  <c r="Q31" i="57"/>
  <c r="S30" i="57"/>
  <c r="R30" i="57"/>
  <c r="Q30" i="57"/>
  <c r="S29" i="57"/>
  <c r="R29" i="57"/>
  <c r="Q29" i="57"/>
  <c r="S28" i="57"/>
  <c r="R28" i="57"/>
  <c r="Q28" i="57"/>
  <c r="S27" i="57"/>
  <c r="R27" i="57"/>
  <c r="Q27" i="57"/>
  <c r="S26" i="57"/>
  <c r="R26" i="57"/>
  <c r="Q26" i="57"/>
  <c r="S25" i="57"/>
  <c r="R25" i="57"/>
  <c r="Q25" i="57"/>
  <c r="S24" i="57"/>
  <c r="R24" i="57"/>
  <c r="Q24" i="57"/>
  <c r="S23" i="57"/>
  <c r="R23" i="57"/>
  <c r="Q23" i="57"/>
  <c r="S22" i="57"/>
  <c r="R22" i="57"/>
  <c r="Q22" i="57"/>
  <c r="S21" i="57"/>
  <c r="R21" i="57"/>
  <c r="Q21" i="57"/>
  <c r="S20" i="57"/>
  <c r="R20" i="57"/>
  <c r="Q20" i="57"/>
  <c r="S19" i="57"/>
  <c r="R19" i="57"/>
  <c r="Q19" i="57"/>
  <c r="S18" i="57"/>
  <c r="R18" i="57"/>
  <c r="Q18" i="57"/>
  <c r="N139" i="57"/>
  <c r="M139" i="57"/>
  <c r="L139" i="57"/>
  <c r="K139" i="57"/>
  <c r="J139" i="57"/>
  <c r="I139" i="57"/>
  <c r="H139" i="57"/>
  <c r="G139" i="57"/>
  <c r="F139" i="57"/>
  <c r="E139" i="57"/>
  <c r="D139" i="57"/>
  <c r="N138" i="57"/>
  <c r="M138" i="57"/>
  <c r="L138" i="57"/>
  <c r="K138" i="57"/>
  <c r="J138" i="57"/>
  <c r="I138" i="57"/>
  <c r="H138" i="57"/>
  <c r="G138" i="57"/>
  <c r="F138" i="57"/>
  <c r="E138" i="57"/>
  <c r="D138" i="57"/>
  <c r="N137" i="57"/>
  <c r="M137" i="57"/>
  <c r="L137" i="57"/>
  <c r="K137" i="57"/>
  <c r="J137" i="57"/>
  <c r="I137" i="57"/>
  <c r="H137" i="57"/>
  <c r="G137" i="57"/>
  <c r="F137" i="57"/>
  <c r="E137" i="57"/>
  <c r="D137" i="57"/>
  <c r="N136" i="57"/>
  <c r="M136" i="57"/>
  <c r="L136" i="57"/>
  <c r="K136" i="57"/>
  <c r="J136" i="57"/>
  <c r="I136" i="57"/>
  <c r="H136" i="57"/>
  <c r="G136" i="57"/>
  <c r="F136" i="57"/>
  <c r="E136" i="57"/>
  <c r="D136" i="57"/>
  <c r="N135" i="57"/>
  <c r="M135" i="57"/>
  <c r="L135" i="57"/>
  <c r="K135" i="57"/>
  <c r="J135" i="57"/>
  <c r="I135" i="57"/>
  <c r="H135" i="57"/>
  <c r="G135" i="57"/>
  <c r="F135" i="57"/>
  <c r="E135" i="57"/>
  <c r="D135" i="57"/>
  <c r="N134" i="57"/>
  <c r="M134" i="57"/>
  <c r="L134" i="57"/>
  <c r="K134" i="57"/>
  <c r="J134" i="57"/>
  <c r="I134" i="57"/>
  <c r="H134" i="57"/>
  <c r="G134" i="57"/>
  <c r="F134" i="57"/>
  <c r="E134" i="57"/>
  <c r="D134" i="57"/>
  <c r="N133" i="57"/>
  <c r="M133" i="57"/>
  <c r="L133" i="57"/>
  <c r="K133" i="57"/>
  <c r="J133" i="57"/>
  <c r="I133" i="57"/>
  <c r="H133" i="57"/>
  <c r="G133" i="57"/>
  <c r="F133" i="57"/>
  <c r="E133" i="57"/>
  <c r="D133" i="57"/>
  <c r="N132" i="57"/>
  <c r="M132" i="57"/>
  <c r="L132" i="57"/>
  <c r="K132" i="57"/>
  <c r="J132" i="57"/>
  <c r="I132" i="57"/>
  <c r="H132" i="57"/>
  <c r="G132" i="57"/>
  <c r="F132" i="57"/>
  <c r="E132" i="57"/>
  <c r="D132" i="57"/>
  <c r="N131" i="57"/>
  <c r="M131" i="57"/>
  <c r="L131" i="57"/>
  <c r="K131" i="57"/>
  <c r="J131" i="57"/>
  <c r="I131" i="57"/>
  <c r="H131" i="57"/>
  <c r="G131" i="57"/>
  <c r="F131" i="57"/>
  <c r="E131" i="57"/>
  <c r="D131" i="57"/>
  <c r="N130" i="57"/>
  <c r="M130" i="57"/>
  <c r="L130" i="57"/>
  <c r="K130" i="57"/>
  <c r="J130" i="57"/>
  <c r="I130" i="57"/>
  <c r="H130" i="57"/>
  <c r="G130" i="57"/>
  <c r="F130" i="57"/>
  <c r="E130" i="57"/>
  <c r="D130" i="57"/>
  <c r="N129" i="57"/>
  <c r="M129" i="57"/>
  <c r="L129" i="57"/>
  <c r="K129" i="57"/>
  <c r="J129" i="57"/>
  <c r="I129" i="57"/>
  <c r="H129" i="57"/>
  <c r="G129" i="57"/>
  <c r="F129" i="57"/>
  <c r="E129" i="57"/>
  <c r="D129" i="57"/>
  <c r="N128" i="57"/>
  <c r="M128" i="57"/>
  <c r="L128" i="57"/>
  <c r="K128" i="57"/>
  <c r="J128" i="57"/>
  <c r="I128" i="57"/>
  <c r="H128" i="57"/>
  <c r="G128" i="57"/>
  <c r="F128" i="57"/>
  <c r="E128" i="57"/>
  <c r="D128" i="57"/>
  <c r="N127" i="57"/>
  <c r="M127" i="57"/>
  <c r="L127" i="57"/>
  <c r="K127" i="57"/>
  <c r="J127" i="57"/>
  <c r="I127" i="57"/>
  <c r="H127" i="57"/>
  <c r="G127" i="57"/>
  <c r="F127" i="57"/>
  <c r="E127" i="57"/>
  <c r="D127" i="57"/>
  <c r="N126" i="57"/>
  <c r="M126" i="57"/>
  <c r="L126" i="57"/>
  <c r="K126" i="57"/>
  <c r="J126" i="57"/>
  <c r="I126" i="57"/>
  <c r="H126" i="57"/>
  <c r="G126" i="57"/>
  <c r="F126" i="57"/>
  <c r="E126" i="57"/>
  <c r="D126" i="57"/>
  <c r="N125" i="57"/>
  <c r="M125" i="57"/>
  <c r="L125" i="57"/>
  <c r="K125" i="57"/>
  <c r="J125" i="57"/>
  <c r="I125" i="57"/>
  <c r="H125" i="57"/>
  <c r="G125" i="57"/>
  <c r="F125" i="57"/>
  <c r="E125" i="57"/>
  <c r="D125" i="57"/>
  <c r="N124" i="57"/>
  <c r="M124" i="57"/>
  <c r="L124" i="57"/>
  <c r="K124" i="57"/>
  <c r="J124" i="57"/>
  <c r="I124" i="57"/>
  <c r="H124" i="57"/>
  <c r="G124" i="57"/>
  <c r="F124" i="57"/>
  <c r="E124" i="57"/>
  <c r="D124" i="57"/>
  <c r="N123" i="57"/>
  <c r="M123" i="57"/>
  <c r="L123" i="57"/>
  <c r="K123" i="57"/>
  <c r="J123" i="57"/>
  <c r="I123" i="57"/>
  <c r="H123" i="57"/>
  <c r="G123" i="57"/>
  <c r="F123" i="57"/>
  <c r="E123" i="57"/>
  <c r="D123" i="57"/>
  <c r="N122" i="57"/>
  <c r="M122" i="57"/>
  <c r="L122" i="57"/>
  <c r="K122" i="57"/>
  <c r="J122" i="57"/>
  <c r="I122" i="57"/>
  <c r="H122" i="57"/>
  <c r="G122" i="57"/>
  <c r="F122" i="57"/>
  <c r="E122" i="57"/>
  <c r="D122" i="57"/>
  <c r="N121" i="57"/>
  <c r="M121" i="57"/>
  <c r="L121" i="57"/>
  <c r="K121" i="57"/>
  <c r="J121" i="57"/>
  <c r="I121" i="57"/>
  <c r="H121" i="57"/>
  <c r="G121" i="57"/>
  <c r="F121" i="57"/>
  <c r="E121" i="57"/>
  <c r="D121" i="57"/>
  <c r="N120" i="57"/>
  <c r="M120" i="57"/>
  <c r="L120" i="57"/>
  <c r="K120" i="57"/>
  <c r="J120" i="57"/>
  <c r="I120" i="57"/>
  <c r="H120" i="57"/>
  <c r="G120" i="57"/>
  <c r="F120" i="57"/>
  <c r="E120" i="57"/>
  <c r="D120" i="57"/>
  <c r="N119" i="57"/>
  <c r="M119" i="57"/>
  <c r="L119" i="57"/>
  <c r="K119" i="57"/>
  <c r="J119" i="57"/>
  <c r="I119" i="57"/>
  <c r="H119" i="57"/>
  <c r="G119" i="57"/>
  <c r="F119" i="57"/>
  <c r="E119" i="57"/>
  <c r="D119" i="57"/>
  <c r="N118" i="57"/>
  <c r="M118" i="57"/>
  <c r="L118" i="57"/>
  <c r="K118" i="57"/>
  <c r="J118" i="57"/>
  <c r="I118" i="57"/>
  <c r="H118" i="57"/>
  <c r="G118" i="57"/>
  <c r="F118" i="57"/>
  <c r="E118" i="57"/>
  <c r="D118" i="57"/>
  <c r="N117" i="57"/>
  <c r="M117" i="57"/>
  <c r="L117" i="57"/>
  <c r="K117" i="57"/>
  <c r="J117" i="57"/>
  <c r="I117" i="57"/>
  <c r="H117" i="57"/>
  <c r="G117" i="57"/>
  <c r="F117" i="57"/>
  <c r="E117" i="57"/>
  <c r="D117" i="57"/>
  <c r="N116" i="57"/>
  <c r="M116" i="57"/>
  <c r="L116" i="57"/>
  <c r="K116" i="57"/>
  <c r="J116" i="57"/>
  <c r="I116" i="57"/>
  <c r="H116" i="57"/>
  <c r="G116" i="57"/>
  <c r="F116" i="57"/>
  <c r="E116" i="57"/>
  <c r="D116" i="57"/>
  <c r="N115" i="57"/>
  <c r="M115" i="57"/>
  <c r="L115" i="57"/>
  <c r="K115" i="57"/>
  <c r="J115" i="57"/>
  <c r="I115" i="57"/>
  <c r="H115" i="57"/>
  <c r="G115" i="57"/>
  <c r="F115" i="57"/>
  <c r="E115" i="57"/>
  <c r="D115" i="57"/>
  <c r="N114" i="57"/>
  <c r="M114" i="57"/>
  <c r="L114" i="57"/>
  <c r="K114" i="57"/>
  <c r="J114" i="57"/>
  <c r="I114" i="57"/>
  <c r="H114" i="57"/>
  <c r="G114" i="57"/>
  <c r="F114" i="57"/>
  <c r="E114" i="57"/>
  <c r="D114" i="57"/>
  <c r="N113" i="57"/>
  <c r="M113" i="57"/>
  <c r="L113" i="57"/>
  <c r="K113" i="57"/>
  <c r="J113" i="57"/>
  <c r="I113" i="57"/>
  <c r="H113" i="57"/>
  <c r="G113" i="57"/>
  <c r="F113" i="57"/>
  <c r="E113" i="57"/>
  <c r="D113" i="57"/>
  <c r="N112" i="57"/>
  <c r="M112" i="57"/>
  <c r="L112" i="57"/>
  <c r="K112" i="57"/>
  <c r="J112" i="57"/>
  <c r="I112" i="57"/>
  <c r="H112" i="57"/>
  <c r="G112" i="57"/>
  <c r="F112" i="57"/>
  <c r="E112" i="57"/>
  <c r="D112" i="57"/>
  <c r="N111" i="57"/>
  <c r="M111" i="57"/>
  <c r="L111" i="57"/>
  <c r="K111" i="57"/>
  <c r="J111" i="57"/>
  <c r="I111" i="57"/>
  <c r="H111" i="57"/>
  <c r="G111" i="57"/>
  <c r="F111" i="57"/>
  <c r="E111" i="57"/>
  <c r="D111" i="57"/>
  <c r="N110" i="57"/>
  <c r="M110" i="57"/>
  <c r="L110" i="57"/>
  <c r="K110" i="57"/>
  <c r="J110" i="57"/>
  <c r="I110" i="57"/>
  <c r="H110" i="57"/>
  <c r="G110" i="57"/>
  <c r="F110" i="57"/>
  <c r="E110" i="57"/>
  <c r="D110" i="57"/>
  <c r="N109" i="57"/>
  <c r="M109" i="57"/>
  <c r="L109" i="57"/>
  <c r="K109" i="57"/>
  <c r="J109" i="57"/>
  <c r="I109" i="57"/>
  <c r="H109" i="57"/>
  <c r="G109" i="57"/>
  <c r="F109" i="57"/>
  <c r="E109" i="57"/>
  <c r="D109" i="57"/>
  <c r="N108" i="57"/>
  <c r="M108" i="57"/>
  <c r="L108" i="57"/>
  <c r="K108" i="57"/>
  <c r="J108" i="57"/>
  <c r="I108" i="57"/>
  <c r="H108" i="57"/>
  <c r="G108" i="57"/>
  <c r="F108" i="57"/>
  <c r="E108" i="57"/>
  <c r="D108" i="57"/>
  <c r="N107" i="57"/>
  <c r="M107" i="57"/>
  <c r="L107" i="57"/>
  <c r="K107" i="57"/>
  <c r="J107" i="57"/>
  <c r="I107" i="57"/>
  <c r="H107" i="57"/>
  <c r="G107" i="57"/>
  <c r="F107" i="57"/>
  <c r="E107" i="57"/>
  <c r="D107" i="57"/>
  <c r="N106" i="57"/>
  <c r="M106" i="57"/>
  <c r="L106" i="57"/>
  <c r="K106" i="57"/>
  <c r="J106" i="57"/>
  <c r="I106" i="57"/>
  <c r="H106" i="57"/>
  <c r="G106" i="57"/>
  <c r="F106" i="57"/>
  <c r="E106" i="57"/>
  <c r="D106" i="57"/>
  <c r="N105" i="57"/>
  <c r="M105" i="57"/>
  <c r="L105" i="57"/>
  <c r="K105" i="57"/>
  <c r="J105" i="57"/>
  <c r="I105" i="57"/>
  <c r="H105" i="57"/>
  <c r="G105" i="57"/>
  <c r="F105" i="57"/>
  <c r="E105" i="57"/>
  <c r="D105" i="57"/>
  <c r="N104" i="57"/>
  <c r="M104" i="57"/>
  <c r="L104" i="57"/>
  <c r="K104" i="57"/>
  <c r="J104" i="57"/>
  <c r="I104" i="57"/>
  <c r="H104" i="57"/>
  <c r="G104" i="57"/>
  <c r="F104" i="57"/>
  <c r="E104" i="57"/>
  <c r="D104" i="57"/>
  <c r="N103" i="57"/>
  <c r="M103" i="57"/>
  <c r="L103" i="57"/>
  <c r="K103" i="57"/>
  <c r="J103" i="57"/>
  <c r="I103" i="57"/>
  <c r="H103" i="57"/>
  <c r="G103" i="57"/>
  <c r="F103" i="57"/>
  <c r="E103" i="57"/>
  <c r="D103" i="57"/>
  <c r="N102" i="57"/>
  <c r="M102" i="57"/>
  <c r="L102" i="57"/>
  <c r="K102" i="57"/>
  <c r="J102" i="57"/>
  <c r="I102" i="57"/>
  <c r="H102" i="57"/>
  <c r="G102" i="57"/>
  <c r="F102" i="57"/>
  <c r="E102" i="57"/>
  <c r="D102" i="57"/>
  <c r="N101" i="57"/>
  <c r="M101" i="57"/>
  <c r="L101" i="57"/>
  <c r="K101" i="57"/>
  <c r="J101" i="57"/>
  <c r="I101" i="57"/>
  <c r="H101" i="57"/>
  <c r="G101" i="57"/>
  <c r="F101" i="57"/>
  <c r="E101" i="57"/>
  <c r="D101" i="57"/>
  <c r="N100" i="57"/>
  <c r="M100" i="57"/>
  <c r="L100" i="57"/>
  <c r="K100" i="57"/>
  <c r="J100" i="57"/>
  <c r="I100" i="57"/>
  <c r="H100" i="57"/>
  <c r="G100" i="57"/>
  <c r="F100" i="57"/>
  <c r="E100" i="57"/>
  <c r="D100" i="57"/>
  <c r="N99" i="57"/>
  <c r="M99" i="57"/>
  <c r="L99" i="57"/>
  <c r="K99" i="57"/>
  <c r="J99" i="57"/>
  <c r="I99" i="57"/>
  <c r="H99" i="57"/>
  <c r="G99" i="57"/>
  <c r="F99" i="57"/>
  <c r="E99" i="57"/>
  <c r="D99" i="57"/>
  <c r="N98" i="57"/>
  <c r="M98" i="57"/>
  <c r="L98" i="57"/>
  <c r="K98" i="57"/>
  <c r="J98" i="57"/>
  <c r="I98" i="57"/>
  <c r="H98" i="57"/>
  <c r="G98" i="57"/>
  <c r="F98" i="57"/>
  <c r="E98" i="57"/>
  <c r="D98" i="57"/>
  <c r="N97" i="57"/>
  <c r="M97" i="57"/>
  <c r="L97" i="57"/>
  <c r="K97" i="57"/>
  <c r="J97" i="57"/>
  <c r="I97" i="57"/>
  <c r="H97" i="57"/>
  <c r="G97" i="57"/>
  <c r="F97" i="57"/>
  <c r="E97" i="57"/>
  <c r="D97" i="57"/>
  <c r="N96" i="57"/>
  <c r="M96" i="57"/>
  <c r="L96" i="57"/>
  <c r="K96" i="57"/>
  <c r="J96" i="57"/>
  <c r="I96" i="57"/>
  <c r="H96" i="57"/>
  <c r="G96" i="57"/>
  <c r="F96" i="57"/>
  <c r="E96" i="57"/>
  <c r="D96" i="57"/>
  <c r="N95" i="57"/>
  <c r="M95" i="57"/>
  <c r="L95" i="57"/>
  <c r="K95" i="57"/>
  <c r="J95" i="57"/>
  <c r="I95" i="57"/>
  <c r="H95" i="57"/>
  <c r="G95" i="57"/>
  <c r="F95" i="57"/>
  <c r="E95" i="57"/>
  <c r="D95" i="57"/>
  <c r="N94" i="57"/>
  <c r="M94" i="57"/>
  <c r="L94" i="57"/>
  <c r="K94" i="57"/>
  <c r="J94" i="57"/>
  <c r="I94" i="57"/>
  <c r="H94" i="57"/>
  <c r="G94" i="57"/>
  <c r="F94" i="57"/>
  <c r="E94" i="57"/>
  <c r="D94" i="57"/>
  <c r="N93" i="57"/>
  <c r="M93" i="57"/>
  <c r="L93" i="57"/>
  <c r="K93" i="57"/>
  <c r="J93" i="57"/>
  <c r="I93" i="57"/>
  <c r="H93" i="57"/>
  <c r="G93" i="57"/>
  <c r="F93" i="57"/>
  <c r="E93" i="57"/>
  <c r="D93" i="57"/>
  <c r="N92" i="57"/>
  <c r="M92" i="57"/>
  <c r="L92" i="57"/>
  <c r="K92" i="57"/>
  <c r="J92" i="57"/>
  <c r="I92" i="57"/>
  <c r="H92" i="57"/>
  <c r="G92" i="57"/>
  <c r="F92" i="57"/>
  <c r="E92" i="57"/>
  <c r="D92" i="57"/>
  <c r="N91" i="57"/>
  <c r="M91" i="57"/>
  <c r="L91" i="57"/>
  <c r="K91" i="57"/>
  <c r="J91" i="57"/>
  <c r="I91" i="57"/>
  <c r="H91" i="57"/>
  <c r="G91" i="57"/>
  <c r="F91" i="57"/>
  <c r="E91" i="57"/>
  <c r="D91" i="57"/>
  <c r="N90" i="57"/>
  <c r="M90" i="57"/>
  <c r="L90" i="57"/>
  <c r="K90" i="57"/>
  <c r="J90" i="57"/>
  <c r="I90" i="57"/>
  <c r="H90" i="57"/>
  <c r="G90" i="57"/>
  <c r="F90" i="57"/>
  <c r="E90" i="57"/>
  <c r="D90" i="57"/>
  <c r="N89" i="57"/>
  <c r="M89" i="57"/>
  <c r="L89" i="57"/>
  <c r="K89" i="57"/>
  <c r="J89" i="57"/>
  <c r="I89" i="57"/>
  <c r="H89" i="57"/>
  <c r="G89" i="57"/>
  <c r="F89" i="57"/>
  <c r="E89" i="57"/>
  <c r="D89" i="57"/>
  <c r="N88" i="57"/>
  <c r="M88" i="57"/>
  <c r="L88" i="57"/>
  <c r="K88" i="57"/>
  <c r="J88" i="57"/>
  <c r="I88" i="57"/>
  <c r="H88" i="57"/>
  <c r="G88" i="57"/>
  <c r="F88" i="57"/>
  <c r="E88" i="57"/>
  <c r="D88" i="57"/>
  <c r="N87" i="57"/>
  <c r="M87" i="57"/>
  <c r="L87" i="57"/>
  <c r="K87" i="57"/>
  <c r="J87" i="57"/>
  <c r="I87" i="57"/>
  <c r="H87" i="57"/>
  <c r="G87" i="57"/>
  <c r="F87" i="57"/>
  <c r="E87" i="57"/>
  <c r="D87" i="57"/>
  <c r="N86" i="57"/>
  <c r="M86" i="57"/>
  <c r="L86" i="57"/>
  <c r="K86" i="57"/>
  <c r="J86" i="57"/>
  <c r="I86" i="57"/>
  <c r="H86" i="57"/>
  <c r="G86" i="57"/>
  <c r="F86" i="57"/>
  <c r="E86" i="57"/>
  <c r="D86" i="57"/>
  <c r="N85" i="57"/>
  <c r="M85" i="57"/>
  <c r="L85" i="57"/>
  <c r="K85" i="57"/>
  <c r="J85" i="57"/>
  <c r="I85" i="57"/>
  <c r="H85" i="57"/>
  <c r="G85" i="57"/>
  <c r="F85" i="57"/>
  <c r="E85" i="57"/>
  <c r="D85" i="57"/>
  <c r="N84" i="57"/>
  <c r="M84" i="57"/>
  <c r="L84" i="57"/>
  <c r="K84" i="57"/>
  <c r="J84" i="57"/>
  <c r="I84" i="57"/>
  <c r="H84" i="57"/>
  <c r="G84" i="57"/>
  <c r="F84" i="57"/>
  <c r="E84" i="57"/>
  <c r="D84" i="57"/>
  <c r="N83" i="57"/>
  <c r="M83" i="57"/>
  <c r="L83" i="57"/>
  <c r="K83" i="57"/>
  <c r="J83" i="57"/>
  <c r="I83" i="57"/>
  <c r="H83" i="57"/>
  <c r="G83" i="57"/>
  <c r="F83" i="57"/>
  <c r="E83" i="57"/>
  <c r="D83" i="57"/>
  <c r="N82" i="57"/>
  <c r="M82" i="57"/>
  <c r="L82" i="57"/>
  <c r="K82" i="57"/>
  <c r="J82" i="57"/>
  <c r="I82" i="57"/>
  <c r="H82" i="57"/>
  <c r="G82" i="57"/>
  <c r="F82" i="57"/>
  <c r="E82" i="57"/>
  <c r="D82" i="57"/>
  <c r="N81" i="57"/>
  <c r="M81" i="57"/>
  <c r="L81" i="57"/>
  <c r="K81" i="57"/>
  <c r="J81" i="57"/>
  <c r="I81" i="57"/>
  <c r="H81" i="57"/>
  <c r="G81" i="57"/>
  <c r="F81" i="57"/>
  <c r="E81" i="57"/>
  <c r="D81" i="57"/>
  <c r="N80" i="57"/>
  <c r="M80" i="57"/>
  <c r="L80" i="57"/>
  <c r="K80" i="57"/>
  <c r="J80" i="57"/>
  <c r="I80" i="57"/>
  <c r="H80" i="57"/>
  <c r="G80" i="57"/>
  <c r="F80" i="57"/>
  <c r="E80" i="57"/>
  <c r="D80" i="57"/>
  <c r="N79" i="57"/>
  <c r="M79" i="57"/>
  <c r="L79" i="57"/>
  <c r="K79" i="57"/>
  <c r="J79" i="57"/>
  <c r="I79" i="57"/>
  <c r="H79" i="57"/>
  <c r="G79" i="57"/>
  <c r="F79" i="57"/>
  <c r="E79" i="57"/>
  <c r="D79" i="57"/>
  <c r="N78" i="57"/>
  <c r="M78" i="57"/>
  <c r="L78" i="57"/>
  <c r="K78" i="57"/>
  <c r="J78" i="57"/>
  <c r="I78" i="57"/>
  <c r="H78" i="57"/>
  <c r="G78" i="57"/>
  <c r="F78" i="57"/>
  <c r="E78" i="57"/>
  <c r="D78" i="57"/>
  <c r="N77" i="57"/>
  <c r="M77" i="57"/>
  <c r="L77" i="57"/>
  <c r="K77" i="57"/>
  <c r="J77" i="57"/>
  <c r="I77" i="57"/>
  <c r="H77" i="57"/>
  <c r="G77" i="57"/>
  <c r="F77" i="57"/>
  <c r="E77" i="57"/>
  <c r="D77" i="57"/>
  <c r="N76" i="57"/>
  <c r="M76" i="57"/>
  <c r="L76" i="57"/>
  <c r="K76" i="57"/>
  <c r="J76" i="57"/>
  <c r="I76" i="57"/>
  <c r="H76" i="57"/>
  <c r="G76" i="57"/>
  <c r="F76" i="57"/>
  <c r="E76" i="57"/>
  <c r="D76" i="57"/>
  <c r="N75" i="57"/>
  <c r="M75" i="57"/>
  <c r="L75" i="57"/>
  <c r="K75" i="57"/>
  <c r="J75" i="57"/>
  <c r="I75" i="57"/>
  <c r="H75" i="57"/>
  <c r="G75" i="57"/>
  <c r="F75" i="57"/>
  <c r="E75" i="57"/>
  <c r="D75" i="57"/>
  <c r="N74" i="57"/>
  <c r="M74" i="57"/>
  <c r="L74" i="57"/>
  <c r="K74" i="57"/>
  <c r="J74" i="57"/>
  <c r="I74" i="57"/>
  <c r="H74" i="57"/>
  <c r="G74" i="57"/>
  <c r="F74" i="57"/>
  <c r="E74" i="57"/>
  <c r="D74" i="57"/>
  <c r="N73" i="57"/>
  <c r="M73" i="57"/>
  <c r="L73" i="57"/>
  <c r="K73" i="57"/>
  <c r="J73" i="57"/>
  <c r="I73" i="57"/>
  <c r="H73" i="57"/>
  <c r="G73" i="57"/>
  <c r="F73" i="57"/>
  <c r="E73" i="57"/>
  <c r="D73" i="57"/>
  <c r="N72" i="57"/>
  <c r="M72" i="57"/>
  <c r="L72" i="57"/>
  <c r="K72" i="57"/>
  <c r="J72" i="57"/>
  <c r="I72" i="57"/>
  <c r="H72" i="57"/>
  <c r="G72" i="57"/>
  <c r="F72" i="57"/>
  <c r="E72" i="57"/>
  <c r="D72" i="57"/>
  <c r="N71" i="57"/>
  <c r="M71" i="57"/>
  <c r="L71" i="57"/>
  <c r="K71" i="57"/>
  <c r="J71" i="57"/>
  <c r="I71" i="57"/>
  <c r="H71" i="57"/>
  <c r="G71" i="57"/>
  <c r="F71" i="57"/>
  <c r="E71" i="57"/>
  <c r="D71" i="57"/>
  <c r="N70" i="57"/>
  <c r="M70" i="57"/>
  <c r="L70" i="57"/>
  <c r="K70" i="57"/>
  <c r="J70" i="57"/>
  <c r="I70" i="57"/>
  <c r="H70" i="57"/>
  <c r="G70" i="57"/>
  <c r="F70" i="57"/>
  <c r="E70" i="57"/>
  <c r="D70" i="57"/>
  <c r="N69" i="57"/>
  <c r="M69" i="57"/>
  <c r="L69" i="57"/>
  <c r="K69" i="57"/>
  <c r="J69" i="57"/>
  <c r="I69" i="57"/>
  <c r="H69" i="57"/>
  <c r="G69" i="57"/>
  <c r="F69" i="57"/>
  <c r="E69" i="57"/>
  <c r="D69" i="57"/>
  <c r="N68" i="57"/>
  <c r="M68" i="57"/>
  <c r="L68" i="57"/>
  <c r="K68" i="57"/>
  <c r="J68" i="57"/>
  <c r="I68" i="57"/>
  <c r="H68" i="57"/>
  <c r="G68" i="57"/>
  <c r="F68" i="57"/>
  <c r="E68" i="57"/>
  <c r="D68" i="57"/>
  <c r="N67" i="57"/>
  <c r="M67" i="57"/>
  <c r="L67" i="57"/>
  <c r="K67" i="57"/>
  <c r="J67" i="57"/>
  <c r="I67" i="57"/>
  <c r="H67" i="57"/>
  <c r="G67" i="57"/>
  <c r="F67" i="57"/>
  <c r="E67" i="57"/>
  <c r="D67" i="57"/>
  <c r="N66" i="57"/>
  <c r="M66" i="57"/>
  <c r="L66" i="57"/>
  <c r="K66" i="57"/>
  <c r="J66" i="57"/>
  <c r="I66" i="57"/>
  <c r="H66" i="57"/>
  <c r="G66" i="57"/>
  <c r="F66" i="57"/>
  <c r="E66" i="57"/>
  <c r="D66" i="57"/>
  <c r="N65" i="57"/>
  <c r="M65" i="57"/>
  <c r="L65" i="57"/>
  <c r="K65" i="57"/>
  <c r="J65" i="57"/>
  <c r="I65" i="57"/>
  <c r="H65" i="57"/>
  <c r="G65" i="57"/>
  <c r="F65" i="57"/>
  <c r="E65" i="57"/>
  <c r="D65" i="57"/>
  <c r="N64" i="57"/>
  <c r="M64" i="57"/>
  <c r="L64" i="57"/>
  <c r="K64" i="57"/>
  <c r="J64" i="57"/>
  <c r="I64" i="57"/>
  <c r="H64" i="57"/>
  <c r="G64" i="57"/>
  <c r="F64" i="57"/>
  <c r="E64" i="57"/>
  <c r="D64" i="57"/>
  <c r="N63" i="57"/>
  <c r="M63" i="57"/>
  <c r="L63" i="57"/>
  <c r="K63" i="57"/>
  <c r="J63" i="57"/>
  <c r="I63" i="57"/>
  <c r="H63" i="57"/>
  <c r="G63" i="57"/>
  <c r="F63" i="57"/>
  <c r="E63" i="57"/>
  <c r="D63" i="57"/>
  <c r="N62" i="57"/>
  <c r="M62" i="57"/>
  <c r="L62" i="57"/>
  <c r="K62" i="57"/>
  <c r="J62" i="57"/>
  <c r="I62" i="57"/>
  <c r="H62" i="57"/>
  <c r="G62" i="57"/>
  <c r="F62" i="57"/>
  <c r="E62" i="57"/>
  <c r="D62" i="57"/>
  <c r="N61" i="57"/>
  <c r="M61" i="57"/>
  <c r="L61" i="57"/>
  <c r="K61" i="57"/>
  <c r="J61" i="57"/>
  <c r="I61" i="57"/>
  <c r="H61" i="57"/>
  <c r="G61" i="57"/>
  <c r="F61" i="57"/>
  <c r="E61" i="57"/>
  <c r="D61" i="57"/>
  <c r="N60" i="57"/>
  <c r="M60" i="57"/>
  <c r="L60" i="57"/>
  <c r="K60" i="57"/>
  <c r="J60" i="57"/>
  <c r="I60" i="57"/>
  <c r="H60" i="57"/>
  <c r="G60" i="57"/>
  <c r="F60" i="57"/>
  <c r="E60" i="57"/>
  <c r="D60" i="57"/>
  <c r="N59" i="57"/>
  <c r="M59" i="57"/>
  <c r="L59" i="57"/>
  <c r="K59" i="57"/>
  <c r="J59" i="57"/>
  <c r="I59" i="57"/>
  <c r="H59" i="57"/>
  <c r="G59" i="57"/>
  <c r="F59" i="57"/>
  <c r="E59" i="57"/>
  <c r="D59" i="57"/>
  <c r="N58" i="57"/>
  <c r="M58" i="57"/>
  <c r="L58" i="57"/>
  <c r="K58" i="57"/>
  <c r="J58" i="57"/>
  <c r="I58" i="57"/>
  <c r="H58" i="57"/>
  <c r="G58" i="57"/>
  <c r="F58" i="57"/>
  <c r="E58" i="57"/>
  <c r="D58" i="57"/>
  <c r="N57" i="57"/>
  <c r="M57" i="57"/>
  <c r="L57" i="57"/>
  <c r="K57" i="57"/>
  <c r="J57" i="57"/>
  <c r="I57" i="57"/>
  <c r="H57" i="57"/>
  <c r="G57" i="57"/>
  <c r="F57" i="57"/>
  <c r="E57" i="57"/>
  <c r="D57" i="57"/>
  <c r="N56" i="57"/>
  <c r="M56" i="57"/>
  <c r="L56" i="57"/>
  <c r="K56" i="57"/>
  <c r="J56" i="57"/>
  <c r="I56" i="57"/>
  <c r="H56" i="57"/>
  <c r="G56" i="57"/>
  <c r="F56" i="57"/>
  <c r="E56" i="57"/>
  <c r="D56" i="57"/>
  <c r="N55" i="57"/>
  <c r="M55" i="57"/>
  <c r="L55" i="57"/>
  <c r="K55" i="57"/>
  <c r="J55" i="57"/>
  <c r="I55" i="57"/>
  <c r="H55" i="57"/>
  <c r="G55" i="57"/>
  <c r="F55" i="57"/>
  <c r="E55" i="57"/>
  <c r="D55" i="57"/>
  <c r="N54" i="57"/>
  <c r="M54" i="57"/>
  <c r="L54" i="57"/>
  <c r="K54" i="57"/>
  <c r="J54" i="57"/>
  <c r="I54" i="57"/>
  <c r="H54" i="57"/>
  <c r="G54" i="57"/>
  <c r="F54" i="57"/>
  <c r="E54" i="57"/>
  <c r="D54" i="57"/>
  <c r="N53" i="57"/>
  <c r="M53" i="57"/>
  <c r="L53" i="57"/>
  <c r="K53" i="57"/>
  <c r="J53" i="57"/>
  <c r="I53" i="57"/>
  <c r="H53" i="57"/>
  <c r="G53" i="57"/>
  <c r="F53" i="57"/>
  <c r="E53" i="57"/>
  <c r="D53" i="57"/>
  <c r="N52" i="57"/>
  <c r="M52" i="57"/>
  <c r="L52" i="57"/>
  <c r="K52" i="57"/>
  <c r="J52" i="57"/>
  <c r="I52" i="57"/>
  <c r="H52" i="57"/>
  <c r="G52" i="57"/>
  <c r="F52" i="57"/>
  <c r="E52" i="57"/>
  <c r="D52" i="57"/>
  <c r="N51" i="57"/>
  <c r="M51" i="57"/>
  <c r="L51" i="57"/>
  <c r="K51" i="57"/>
  <c r="J51" i="57"/>
  <c r="I51" i="57"/>
  <c r="H51" i="57"/>
  <c r="G51" i="57"/>
  <c r="F51" i="57"/>
  <c r="E51" i="57"/>
  <c r="D51" i="57"/>
  <c r="N50" i="57"/>
  <c r="M50" i="57"/>
  <c r="L50" i="57"/>
  <c r="K50" i="57"/>
  <c r="J50" i="57"/>
  <c r="I50" i="57"/>
  <c r="H50" i="57"/>
  <c r="G50" i="57"/>
  <c r="F50" i="57"/>
  <c r="E50" i="57"/>
  <c r="D50" i="57"/>
  <c r="N49" i="57"/>
  <c r="M49" i="57"/>
  <c r="L49" i="57"/>
  <c r="K49" i="57"/>
  <c r="J49" i="57"/>
  <c r="I49" i="57"/>
  <c r="H49" i="57"/>
  <c r="G49" i="57"/>
  <c r="F49" i="57"/>
  <c r="E49" i="57"/>
  <c r="D49" i="57"/>
  <c r="N48" i="57"/>
  <c r="M48" i="57"/>
  <c r="L48" i="57"/>
  <c r="K48" i="57"/>
  <c r="J48" i="57"/>
  <c r="I48" i="57"/>
  <c r="H48" i="57"/>
  <c r="G48" i="57"/>
  <c r="F48" i="57"/>
  <c r="E48" i="57"/>
  <c r="D48" i="57"/>
  <c r="N47" i="57"/>
  <c r="M47" i="57"/>
  <c r="L47" i="57"/>
  <c r="K47" i="57"/>
  <c r="J47" i="57"/>
  <c r="I47" i="57"/>
  <c r="H47" i="57"/>
  <c r="G47" i="57"/>
  <c r="F47" i="57"/>
  <c r="E47" i="57"/>
  <c r="D47" i="57"/>
  <c r="N46" i="57"/>
  <c r="M46" i="57"/>
  <c r="L46" i="57"/>
  <c r="K46" i="57"/>
  <c r="J46" i="57"/>
  <c r="I46" i="57"/>
  <c r="H46" i="57"/>
  <c r="G46" i="57"/>
  <c r="F46" i="57"/>
  <c r="E46" i="57"/>
  <c r="D46" i="57"/>
  <c r="N45" i="57"/>
  <c r="M45" i="57"/>
  <c r="L45" i="57"/>
  <c r="K45" i="57"/>
  <c r="J45" i="57"/>
  <c r="I45" i="57"/>
  <c r="H45" i="57"/>
  <c r="G45" i="57"/>
  <c r="F45" i="57"/>
  <c r="E45" i="57"/>
  <c r="D45" i="57"/>
  <c r="N44" i="57"/>
  <c r="M44" i="57"/>
  <c r="L44" i="57"/>
  <c r="K44" i="57"/>
  <c r="J44" i="57"/>
  <c r="I44" i="57"/>
  <c r="H44" i="57"/>
  <c r="G44" i="57"/>
  <c r="F44" i="57"/>
  <c r="E44" i="57"/>
  <c r="D44" i="57"/>
  <c r="N43" i="57"/>
  <c r="M43" i="57"/>
  <c r="L43" i="57"/>
  <c r="K43" i="57"/>
  <c r="J43" i="57"/>
  <c r="I43" i="57"/>
  <c r="H43" i="57"/>
  <c r="G43" i="57"/>
  <c r="F43" i="57"/>
  <c r="E43" i="57"/>
  <c r="D43" i="57"/>
  <c r="N42" i="57"/>
  <c r="M42" i="57"/>
  <c r="L42" i="57"/>
  <c r="K42" i="57"/>
  <c r="J42" i="57"/>
  <c r="I42" i="57"/>
  <c r="H42" i="57"/>
  <c r="G42" i="57"/>
  <c r="F42" i="57"/>
  <c r="E42" i="57"/>
  <c r="D42" i="57"/>
  <c r="N41" i="57"/>
  <c r="M41" i="57"/>
  <c r="L41" i="57"/>
  <c r="K41" i="57"/>
  <c r="J41" i="57"/>
  <c r="I41" i="57"/>
  <c r="H41" i="57"/>
  <c r="G41" i="57"/>
  <c r="F41" i="57"/>
  <c r="E41" i="57"/>
  <c r="D41" i="57"/>
  <c r="N40" i="57"/>
  <c r="M40" i="57"/>
  <c r="L40" i="57"/>
  <c r="K40" i="57"/>
  <c r="J40" i="57"/>
  <c r="I40" i="57"/>
  <c r="H40" i="57"/>
  <c r="G40" i="57"/>
  <c r="F40" i="57"/>
  <c r="E40" i="57"/>
  <c r="D40" i="57"/>
  <c r="N39" i="57"/>
  <c r="M39" i="57"/>
  <c r="L39" i="57"/>
  <c r="K39" i="57"/>
  <c r="J39" i="57"/>
  <c r="I39" i="57"/>
  <c r="H39" i="57"/>
  <c r="G39" i="57"/>
  <c r="F39" i="57"/>
  <c r="E39" i="57"/>
  <c r="D39" i="57"/>
  <c r="N38" i="57"/>
  <c r="M38" i="57"/>
  <c r="L38" i="57"/>
  <c r="K38" i="57"/>
  <c r="J38" i="57"/>
  <c r="I38" i="57"/>
  <c r="H38" i="57"/>
  <c r="G38" i="57"/>
  <c r="F38" i="57"/>
  <c r="E38" i="57"/>
  <c r="D38" i="57"/>
  <c r="N37" i="57"/>
  <c r="M37" i="57"/>
  <c r="L37" i="57"/>
  <c r="K37" i="57"/>
  <c r="J37" i="57"/>
  <c r="I37" i="57"/>
  <c r="H37" i="57"/>
  <c r="G37" i="57"/>
  <c r="F37" i="57"/>
  <c r="E37" i="57"/>
  <c r="D37" i="57"/>
  <c r="N36" i="57"/>
  <c r="M36" i="57"/>
  <c r="L36" i="57"/>
  <c r="K36" i="57"/>
  <c r="J36" i="57"/>
  <c r="I36" i="57"/>
  <c r="H36" i="57"/>
  <c r="G36" i="57"/>
  <c r="F36" i="57"/>
  <c r="E36" i="57"/>
  <c r="D36" i="57"/>
  <c r="N35" i="57"/>
  <c r="M35" i="57"/>
  <c r="L35" i="57"/>
  <c r="K35" i="57"/>
  <c r="J35" i="57"/>
  <c r="I35" i="57"/>
  <c r="H35" i="57"/>
  <c r="G35" i="57"/>
  <c r="F35" i="57"/>
  <c r="E35" i="57"/>
  <c r="D35" i="57"/>
  <c r="N34" i="57"/>
  <c r="M34" i="57"/>
  <c r="L34" i="57"/>
  <c r="K34" i="57"/>
  <c r="J34" i="57"/>
  <c r="I34" i="57"/>
  <c r="H34" i="57"/>
  <c r="G34" i="57"/>
  <c r="F34" i="57"/>
  <c r="E34" i="57"/>
  <c r="D34" i="57"/>
  <c r="N33" i="57"/>
  <c r="M33" i="57"/>
  <c r="L33" i="57"/>
  <c r="K33" i="57"/>
  <c r="J33" i="57"/>
  <c r="I33" i="57"/>
  <c r="H33" i="57"/>
  <c r="G33" i="57"/>
  <c r="F33" i="57"/>
  <c r="E33" i="57"/>
  <c r="D33" i="57"/>
  <c r="N32" i="57"/>
  <c r="M32" i="57"/>
  <c r="L32" i="57"/>
  <c r="K32" i="57"/>
  <c r="J32" i="57"/>
  <c r="I32" i="57"/>
  <c r="H32" i="57"/>
  <c r="G32" i="57"/>
  <c r="F32" i="57"/>
  <c r="E32" i="57"/>
  <c r="D32" i="57"/>
  <c r="N31" i="57"/>
  <c r="M31" i="57"/>
  <c r="L31" i="57"/>
  <c r="K31" i="57"/>
  <c r="J31" i="57"/>
  <c r="I31" i="57"/>
  <c r="H31" i="57"/>
  <c r="G31" i="57"/>
  <c r="F31" i="57"/>
  <c r="E31" i="57"/>
  <c r="D31" i="57"/>
  <c r="N30" i="57"/>
  <c r="M30" i="57"/>
  <c r="L30" i="57"/>
  <c r="K30" i="57"/>
  <c r="J30" i="57"/>
  <c r="I30" i="57"/>
  <c r="H30" i="57"/>
  <c r="G30" i="57"/>
  <c r="F30" i="57"/>
  <c r="E30" i="57"/>
  <c r="D30" i="57"/>
  <c r="N29" i="57"/>
  <c r="M29" i="57"/>
  <c r="L29" i="57"/>
  <c r="K29" i="57"/>
  <c r="J29" i="57"/>
  <c r="I29" i="57"/>
  <c r="H29" i="57"/>
  <c r="G29" i="57"/>
  <c r="F29" i="57"/>
  <c r="E29" i="57"/>
  <c r="D29" i="57"/>
  <c r="N28" i="57"/>
  <c r="M28" i="57"/>
  <c r="L28" i="57"/>
  <c r="K28" i="57"/>
  <c r="J28" i="57"/>
  <c r="I28" i="57"/>
  <c r="H28" i="57"/>
  <c r="G28" i="57"/>
  <c r="F28" i="57"/>
  <c r="E28" i="57"/>
  <c r="D28" i="57"/>
  <c r="N27" i="57"/>
  <c r="M27" i="57"/>
  <c r="L27" i="57"/>
  <c r="K27" i="57"/>
  <c r="J27" i="57"/>
  <c r="I27" i="57"/>
  <c r="H27" i="57"/>
  <c r="G27" i="57"/>
  <c r="F27" i="57"/>
  <c r="E27" i="57"/>
  <c r="D27" i="57"/>
  <c r="N26" i="57"/>
  <c r="M26" i="57"/>
  <c r="L26" i="57"/>
  <c r="K26" i="57"/>
  <c r="J26" i="57"/>
  <c r="I26" i="57"/>
  <c r="H26" i="57"/>
  <c r="G26" i="57"/>
  <c r="F26" i="57"/>
  <c r="E26" i="57"/>
  <c r="D26" i="57"/>
  <c r="N25" i="57"/>
  <c r="M25" i="57"/>
  <c r="L25" i="57"/>
  <c r="K25" i="57"/>
  <c r="J25" i="57"/>
  <c r="I25" i="57"/>
  <c r="H25" i="57"/>
  <c r="G25" i="57"/>
  <c r="F25" i="57"/>
  <c r="E25" i="57"/>
  <c r="D25" i="57"/>
  <c r="N24" i="57"/>
  <c r="M24" i="57"/>
  <c r="L24" i="57"/>
  <c r="K24" i="57"/>
  <c r="J24" i="57"/>
  <c r="I24" i="57"/>
  <c r="H24" i="57"/>
  <c r="G24" i="57"/>
  <c r="F24" i="57"/>
  <c r="E24" i="57"/>
  <c r="D24" i="57"/>
  <c r="N23" i="57"/>
  <c r="M23" i="57"/>
  <c r="L23" i="57"/>
  <c r="K23" i="57"/>
  <c r="J23" i="57"/>
  <c r="I23" i="57"/>
  <c r="H23" i="57"/>
  <c r="G23" i="57"/>
  <c r="F23" i="57"/>
  <c r="E23" i="57"/>
  <c r="D23" i="57"/>
  <c r="N22" i="57"/>
  <c r="M22" i="57"/>
  <c r="L22" i="57"/>
  <c r="K22" i="57"/>
  <c r="J22" i="57"/>
  <c r="I22" i="57"/>
  <c r="H22" i="57"/>
  <c r="G22" i="57"/>
  <c r="F22" i="57"/>
  <c r="E22" i="57"/>
  <c r="D22" i="57"/>
  <c r="N21" i="57"/>
  <c r="M21" i="57"/>
  <c r="L21" i="57"/>
  <c r="K21" i="57"/>
  <c r="J21" i="57"/>
  <c r="I21" i="57"/>
  <c r="H21" i="57"/>
  <c r="G21" i="57"/>
  <c r="F21" i="57"/>
  <c r="E21" i="57"/>
  <c r="D21" i="57"/>
  <c r="N20" i="57"/>
  <c r="M20" i="57"/>
  <c r="L20" i="57"/>
  <c r="K20" i="57"/>
  <c r="J20" i="57"/>
  <c r="I20" i="57"/>
  <c r="H20" i="57"/>
  <c r="G20" i="57"/>
  <c r="F20" i="57"/>
  <c r="E20" i="57"/>
  <c r="D20" i="57"/>
  <c r="N19" i="57"/>
  <c r="M19" i="57"/>
  <c r="L19" i="57"/>
  <c r="K19" i="57"/>
  <c r="J19" i="57"/>
  <c r="I19" i="57"/>
  <c r="H19" i="57"/>
  <c r="G19" i="57"/>
  <c r="F19" i="57"/>
  <c r="E19" i="57"/>
  <c r="D19" i="57"/>
  <c r="D18" i="57"/>
  <c r="E18" i="57"/>
  <c r="F18" i="57"/>
  <c r="G18" i="57"/>
  <c r="H18" i="57"/>
  <c r="I18" i="57"/>
  <c r="J18" i="57"/>
  <c r="K18" i="57"/>
  <c r="L18" i="57"/>
  <c r="M18" i="57"/>
  <c r="N18" i="57"/>
  <c r="C139" i="57"/>
  <c r="C138" i="57"/>
  <c r="C137" i="57"/>
  <c r="C136" i="57"/>
  <c r="C135" i="57"/>
  <c r="C134" i="57"/>
  <c r="C133" i="57"/>
  <c r="C132" i="57"/>
  <c r="C131" i="57"/>
  <c r="C130" i="57"/>
  <c r="C129" i="57"/>
  <c r="C128" i="57"/>
  <c r="C127" i="57"/>
  <c r="C126" i="57"/>
  <c r="C125" i="57"/>
  <c r="C124" i="57"/>
  <c r="C123" i="57"/>
  <c r="C122" i="57"/>
  <c r="C121" i="57"/>
  <c r="C120" i="57"/>
  <c r="C119" i="57"/>
  <c r="C118" i="57"/>
  <c r="C117" i="57"/>
  <c r="C116" i="57"/>
  <c r="C115" i="57"/>
  <c r="C114" i="57"/>
  <c r="C113" i="57"/>
  <c r="C112" i="57"/>
  <c r="C111" i="57"/>
  <c r="C110" i="57"/>
  <c r="C109" i="57"/>
  <c r="C108" i="57"/>
  <c r="C107" i="57"/>
  <c r="C106" i="57"/>
  <c r="C105" i="57"/>
  <c r="C104" i="57"/>
  <c r="C103" i="57"/>
  <c r="C102" i="57"/>
  <c r="C101" i="57"/>
  <c r="C100" i="57"/>
  <c r="C99" i="57"/>
  <c r="C98" i="57"/>
  <c r="C97" i="57"/>
  <c r="C96" i="57"/>
  <c r="C95" i="57"/>
  <c r="C94" i="57"/>
  <c r="C93" i="57"/>
  <c r="C92" i="57"/>
  <c r="C91" i="57"/>
  <c r="C90" i="57"/>
  <c r="C89" i="57"/>
  <c r="C88" i="57"/>
  <c r="C87" i="57"/>
  <c r="C86" i="57"/>
  <c r="C85" i="57"/>
  <c r="C84" i="57"/>
  <c r="C83" i="57"/>
  <c r="C82" i="57"/>
  <c r="C81" i="57"/>
  <c r="C80" i="57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B139" i="57"/>
  <c r="B138" i="57"/>
  <c r="B137" i="57"/>
  <c r="B136" i="57"/>
  <c r="B135" i="57"/>
  <c r="B134" i="57"/>
  <c r="B133" i="57"/>
  <c r="B132" i="57"/>
  <c r="B131" i="57"/>
  <c r="B130" i="57"/>
  <c r="B129" i="57"/>
  <c r="B128" i="57"/>
  <c r="B127" i="57"/>
  <c r="B126" i="57"/>
  <c r="B125" i="57"/>
  <c r="B124" i="57"/>
  <c r="B123" i="57"/>
  <c r="B122" i="57"/>
  <c r="B121" i="57"/>
  <c r="B120" i="57"/>
  <c r="B119" i="57"/>
  <c r="B118" i="57"/>
  <c r="B117" i="57"/>
  <c r="B116" i="57"/>
  <c r="B115" i="57"/>
  <c r="B114" i="57"/>
  <c r="B113" i="57"/>
  <c r="B112" i="57"/>
  <c r="B111" i="57"/>
  <c r="B110" i="57"/>
  <c r="B109" i="57"/>
  <c r="B108" i="57"/>
  <c r="B107" i="57"/>
  <c r="B106" i="57"/>
  <c r="B105" i="57"/>
  <c r="B104" i="57"/>
  <c r="B103" i="57"/>
  <c r="B102" i="57"/>
  <c r="B101" i="57"/>
  <c r="B100" i="57"/>
  <c r="B99" i="57"/>
  <c r="B98" i="57"/>
  <c r="B97" i="57"/>
  <c r="B96" i="57"/>
  <c r="B95" i="57"/>
  <c r="B94" i="57"/>
  <c r="B93" i="57"/>
  <c r="B92" i="57"/>
  <c r="B91" i="57"/>
  <c r="B90" i="57"/>
  <c r="B89" i="57"/>
  <c r="B88" i="57"/>
  <c r="B87" i="57"/>
  <c r="B86" i="57"/>
  <c r="B85" i="57"/>
  <c r="B84" i="57"/>
  <c r="B83" i="57"/>
  <c r="B82" i="57"/>
  <c r="B81" i="57"/>
  <c r="B80" i="57"/>
  <c r="B79" i="57"/>
  <c r="B78" i="57"/>
  <c r="B77" i="57"/>
  <c r="B76" i="57"/>
  <c r="B75" i="57"/>
  <c r="B74" i="57"/>
  <c r="B73" i="57"/>
  <c r="B72" i="57"/>
  <c r="B71" i="57"/>
  <c r="B70" i="57"/>
  <c r="B69" i="57"/>
  <c r="B68" i="57"/>
  <c r="B67" i="57"/>
  <c r="B66" i="57"/>
  <c r="B65" i="57"/>
  <c r="B64" i="57"/>
  <c r="B63" i="57"/>
  <c r="B62" i="57"/>
  <c r="B61" i="57"/>
  <c r="B60" i="57"/>
  <c r="B59" i="57"/>
  <c r="B58" i="57"/>
  <c r="B57" i="57"/>
  <c r="B56" i="57"/>
  <c r="B55" i="57"/>
  <c r="B54" i="57"/>
  <c r="B53" i="57"/>
  <c r="B52" i="57"/>
  <c r="B51" i="57"/>
  <c r="B50" i="57"/>
  <c r="B49" i="57"/>
  <c r="B48" i="57"/>
  <c r="B47" i="57"/>
  <c r="B46" i="57"/>
  <c r="B45" i="57"/>
  <c r="B44" i="57"/>
  <c r="B43" i="57"/>
  <c r="B42" i="57"/>
  <c r="B41" i="57"/>
  <c r="B40" i="57"/>
  <c r="B39" i="57"/>
  <c r="B38" i="57"/>
  <c r="B37" i="57"/>
  <c r="B36" i="57"/>
  <c r="B35" i="57"/>
  <c r="B34" i="57"/>
  <c r="B33" i="57"/>
  <c r="B32" i="57"/>
  <c r="B31" i="57"/>
  <c r="B30" i="57"/>
  <c r="B29" i="57"/>
  <c r="B28" i="57"/>
  <c r="B27" i="57"/>
  <c r="B26" i="57"/>
  <c r="B25" i="57"/>
  <c r="B24" i="57"/>
  <c r="B23" i="57"/>
  <c r="B22" i="57"/>
  <c r="B21" i="57"/>
  <c r="B20" i="57"/>
  <c r="B19" i="57"/>
  <c r="B18" i="57"/>
  <c r="I11" i="50" l="1"/>
  <c r="I12" i="50" s="1"/>
  <c r="F5" i="50" l="1"/>
  <c r="F11" i="50" s="1"/>
  <c r="F12" i="50" s="1"/>
  <c r="G5" i="50"/>
  <c r="G11" i="50" s="1"/>
  <c r="G12" i="50" s="1"/>
  <c r="H40" i="48" l="1"/>
  <c r="H40" i="49"/>
  <c r="H40" i="47"/>
  <c r="H40" i="12"/>
  <c r="H40" i="14"/>
  <c r="H41" i="48"/>
  <c r="H41" i="47"/>
  <c r="H41" i="49"/>
  <c r="H41" i="12"/>
  <c r="H41" i="14"/>
  <c r="H44" i="48"/>
  <c r="H44" i="47"/>
  <c r="H44" i="49"/>
  <c r="H44" i="12"/>
  <c r="H44" i="14"/>
  <c r="H96" i="48"/>
  <c r="H96" i="47"/>
  <c r="H96" i="49"/>
  <c r="H96" i="12"/>
  <c r="H96" i="14"/>
  <c r="H47" i="48"/>
  <c r="H47" i="47"/>
  <c r="H47" i="49"/>
  <c r="H47" i="12"/>
  <c r="H47" i="14"/>
  <c r="H104" i="48"/>
  <c r="H104" i="47"/>
  <c r="H104" i="49"/>
  <c r="H104" i="12"/>
  <c r="H104" i="14"/>
  <c r="H48" i="48"/>
  <c r="H48" i="47"/>
  <c r="H48" i="49"/>
  <c r="H48" i="12"/>
  <c r="H48" i="14"/>
  <c r="H122" i="48"/>
  <c r="H122" i="47"/>
  <c r="H122" i="49"/>
  <c r="H122" i="12"/>
  <c r="H122" i="14"/>
  <c r="H58" i="48"/>
  <c r="H58" i="47"/>
  <c r="H58" i="49"/>
  <c r="H58" i="12"/>
  <c r="H58" i="14"/>
  <c r="H125" i="48"/>
  <c r="H125" i="47"/>
  <c r="H125" i="12"/>
  <c r="H125" i="49"/>
  <c r="H125" i="14"/>
  <c r="H128" i="48"/>
  <c r="H128" i="47"/>
  <c r="H128" i="49"/>
  <c r="H128" i="12"/>
  <c r="H128" i="14"/>
  <c r="H118" i="48"/>
  <c r="H118" i="47"/>
  <c r="H118" i="49"/>
  <c r="H118" i="12"/>
  <c r="H118" i="14"/>
  <c r="H73" i="48"/>
  <c r="H73" i="47"/>
  <c r="H73" i="49"/>
  <c r="H73" i="12"/>
  <c r="H73" i="14"/>
  <c r="H35" i="48"/>
  <c r="H35" i="47"/>
  <c r="H35" i="49"/>
  <c r="H35" i="12"/>
  <c r="H35" i="14"/>
  <c r="H74" i="48"/>
  <c r="H74" i="49"/>
  <c r="H74" i="47"/>
  <c r="H74" i="12"/>
  <c r="H74" i="14"/>
  <c r="H132" i="48"/>
  <c r="H132" i="47"/>
  <c r="H132" i="49"/>
  <c r="H132" i="12"/>
  <c r="H132" i="14"/>
  <c r="H79" i="48"/>
  <c r="H79" i="49"/>
  <c r="H79" i="47"/>
  <c r="H79" i="12"/>
  <c r="H79" i="14"/>
  <c r="H51" i="48"/>
  <c r="H51" i="47"/>
  <c r="H51" i="49"/>
  <c r="H51" i="12"/>
  <c r="H51" i="14"/>
  <c r="H34" i="48"/>
  <c r="H34" i="49"/>
  <c r="H34" i="47"/>
  <c r="H34" i="12"/>
  <c r="H34" i="14"/>
  <c r="H37" i="48"/>
  <c r="H37" i="49"/>
  <c r="H37" i="47"/>
  <c r="H37" i="12"/>
  <c r="H37" i="14"/>
  <c r="H75" i="48"/>
  <c r="H75" i="47"/>
  <c r="H75" i="49"/>
  <c r="H75" i="12"/>
  <c r="H75" i="14"/>
  <c r="H139" i="48"/>
  <c r="H139" i="47"/>
  <c r="H139" i="49"/>
  <c r="H139" i="12"/>
  <c r="H139" i="14"/>
  <c r="H77" i="48"/>
  <c r="H77" i="47"/>
  <c r="H77" i="49"/>
  <c r="H77" i="12"/>
  <c r="H77" i="14"/>
  <c r="H138" i="48"/>
  <c r="H138" i="47"/>
  <c r="H138" i="49"/>
  <c r="H138" i="12"/>
  <c r="H138" i="14"/>
  <c r="H38" i="48"/>
  <c r="H38" i="49"/>
  <c r="H38" i="47"/>
  <c r="H38" i="12"/>
  <c r="H38" i="14"/>
  <c r="H39" i="48"/>
  <c r="H39" i="47"/>
  <c r="H39" i="49"/>
  <c r="H39" i="12"/>
  <c r="H39" i="14"/>
  <c r="H78" i="48"/>
  <c r="H78" i="47"/>
  <c r="H78" i="49"/>
  <c r="H78" i="12"/>
  <c r="H78" i="14"/>
  <c r="H149" i="48"/>
  <c r="H149" i="47"/>
  <c r="H149" i="12"/>
  <c r="H149" i="49"/>
  <c r="H149" i="14"/>
  <c r="H165" i="48"/>
  <c r="H165" i="47"/>
  <c r="H165" i="49"/>
  <c r="H165" i="12"/>
  <c r="H165" i="14"/>
  <c r="H81" i="48"/>
  <c r="H81" i="47"/>
  <c r="H81" i="49"/>
  <c r="H81" i="12"/>
  <c r="H81" i="14"/>
  <c r="H170" i="48"/>
  <c r="H170" i="47"/>
  <c r="H170" i="12"/>
  <c r="H170" i="49"/>
  <c r="H170" i="14"/>
  <c r="H193" i="48"/>
  <c r="H193" i="47"/>
  <c r="H193" i="49"/>
  <c r="H193" i="12"/>
  <c r="H193" i="14"/>
  <c r="J2" i="49"/>
  <c r="J2" i="47"/>
  <c r="J2" i="12"/>
  <c r="J2" i="14"/>
  <c r="H197" i="48" l="1"/>
  <c r="H197" i="47"/>
  <c r="H197" i="12"/>
  <c r="H197" i="49"/>
  <c r="H197" i="14"/>
  <c r="H198" i="48"/>
  <c r="H198" i="47"/>
  <c r="H198" i="49"/>
  <c r="H198" i="12"/>
  <c r="H198" i="14"/>
  <c r="H55" i="48"/>
  <c r="H55" i="47"/>
  <c r="H55" i="49"/>
  <c r="H55" i="12"/>
  <c r="H55" i="14"/>
  <c r="H54" i="48" l="1"/>
  <c r="H54" i="47"/>
  <c r="H54" i="49"/>
  <c r="H54" i="12"/>
  <c r="H54" i="14"/>
  <c r="H2" i="14" l="1"/>
  <c r="H2" i="12"/>
  <c r="H2" i="49"/>
  <c r="H2" i="47"/>
  <c r="H92" i="48" l="1"/>
  <c r="H92" i="47"/>
  <c r="H92" i="49"/>
  <c r="H92" i="12"/>
  <c r="H92" i="14"/>
  <c r="AC21" i="14" l="1"/>
  <c r="AC20" i="14"/>
  <c r="AC19" i="14"/>
  <c r="AC18" i="14"/>
  <c r="AC17" i="14"/>
  <c r="AC16" i="14"/>
  <c r="AC15" i="14"/>
  <c r="AC13" i="14"/>
  <c r="AC12" i="14"/>
  <c r="AC11" i="14"/>
  <c r="AC10" i="14"/>
  <c r="AC9" i="14"/>
  <c r="AC8" i="14"/>
  <c r="AC6" i="14"/>
  <c r="AC5" i="14"/>
  <c r="AC4" i="14"/>
  <c r="AC3" i="14"/>
  <c r="AC2" i="14"/>
  <c r="U34" i="14"/>
  <c r="H46" i="48" l="1"/>
  <c r="H46" i="47"/>
  <c r="H46" i="49"/>
  <c r="H46" i="12"/>
  <c r="H46" i="14"/>
  <c r="H123" i="48"/>
  <c r="H123" i="47"/>
  <c r="H123" i="49"/>
  <c r="H123" i="12"/>
  <c r="H123" i="14"/>
  <c r="M2" i="47"/>
  <c r="L2" i="47"/>
  <c r="K2" i="47"/>
  <c r="I2" i="47"/>
  <c r="G2" i="47"/>
  <c r="F2" i="47"/>
  <c r="E2" i="47"/>
  <c r="D2" i="47"/>
  <c r="C2" i="47"/>
  <c r="B2" i="47"/>
  <c r="M2" i="49"/>
  <c r="L2" i="49"/>
  <c r="K2" i="49"/>
  <c r="I2" i="49"/>
  <c r="G2" i="49"/>
  <c r="F2" i="49"/>
  <c r="E2" i="49"/>
  <c r="D2" i="49"/>
  <c r="C2" i="49"/>
  <c r="B2" i="49"/>
  <c r="M2" i="12"/>
  <c r="L2" i="12"/>
  <c r="K2" i="12"/>
  <c r="I2" i="12"/>
  <c r="G2" i="12"/>
  <c r="F2" i="12"/>
  <c r="E2" i="12"/>
  <c r="D2" i="12"/>
  <c r="C2" i="12"/>
  <c r="B2" i="12"/>
  <c r="H63" i="48" l="1"/>
  <c r="H63" i="47"/>
  <c r="H63" i="49"/>
  <c r="H63" i="12"/>
  <c r="H63" i="14"/>
  <c r="H126" i="48"/>
  <c r="H126" i="47"/>
  <c r="H126" i="49"/>
  <c r="H126" i="12"/>
  <c r="H126" i="14"/>
  <c r="H85" i="48"/>
  <c r="H85" i="47"/>
  <c r="H85" i="49"/>
  <c r="H85" i="12"/>
  <c r="H85" i="14"/>
  <c r="H52" i="48"/>
  <c r="H52" i="47"/>
  <c r="H52" i="49"/>
  <c r="H52" i="12"/>
  <c r="H52" i="14"/>
  <c r="H206" i="48"/>
  <c r="H206" i="47"/>
  <c r="H206" i="49"/>
  <c r="H206" i="12"/>
  <c r="H206" i="14"/>
  <c r="H50" i="48"/>
  <c r="H50" i="49"/>
  <c r="H50" i="47"/>
  <c r="H50" i="12"/>
  <c r="H50" i="14"/>
  <c r="H100" i="48"/>
  <c r="H100" i="47"/>
  <c r="H100" i="49"/>
  <c r="H100" i="12"/>
  <c r="H100" i="14"/>
  <c r="H147" i="48"/>
  <c r="H147" i="47"/>
  <c r="H147" i="49"/>
  <c r="H147" i="12"/>
  <c r="H147" i="14"/>
  <c r="H168" i="48"/>
  <c r="H168" i="47"/>
  <c r="H168" i="49"/>
  <c r="H168" i="12"/>
  <c r="H168" i="14"/>
  <c r="H53" i="48"/>
  <c r="H53" i="47"/>
  <c r="H53" i="49"/>
  <c r="H53" i="12"/>
  <c r="H53" i="14"/>
  <c r="H60" i="48"/>
  <c r="H60" i="49"/>
  <c r="H60" i="47"/>
  <c r="H60" i="12"/>
  <c r="H60" i="14"/>
  <c r="H114" i="48"/>
  <c r="H114" i="47"/>
  <c r="H114" i="49"/>
  <c r="H114" i="12"/>
  <c r="H114" i="14"/>
  <c r="H172" i="48"/>
  <c r="H172" i="47"/>
  <c r="H172" i="12"/>
  <c r="H172" i="49"/>
  <c r="H172" i="14"/>
  <c r="H120" i="48"/>
  <c r="H120" i="47"/>
  <c r="H120" i="49"/>
  <c r="H120" i="12"/>
  <c r="H120" i="14"/>
  <c r="H49" i="48"/>
  <c r="H49" i="47"/>
  <c r="H49" i="49"/>
  <c r="H49" i="12"/>
  <c r="H49" i="14"/>
  <c r="H196" i="48"/>
  <c r="H196" i="47"/>
  <c r="H196" i="49"/>
  <c r="H196" i="12"/>
  <c r="H196" i="14"/>
  <c r="H95" i="48"/>
  <c r="H95" i="47"/>
  <c r="H95" i="49"/>
  <c r="H95" i="12"/>
  <c r="H95" i="14"/>
  <c r="H176" i="48"/>
  <c r="H176" i="47"/>
  <c r="H176" i="49"/>
  <c r="H176" i="12"/>
  <c r="H176" i="14"/>
  <c r="H201" i="48"/>
  <c r="H201" i="47"/>
  <c r="H201" i="49"/>
  <c r="H201" i="12"/>
  <c r="H201" i="14"/>
  <c r="H185" i="48"/>
  <c r="H185" i="47"/>
  <c r="H185" i="12"/>
  <c r="H185" i="49"/>
  <c r="H185" i="14"/>
  <c r="H84" i="48"/>
  <c r="H84" i="49"/>
  <c r="H84" i="47"/>
  <c r="H84" i="12"/>
  <c r="H84" i="14"/>
  <c r="H163" i="48"/>
  <c r="H163" i="47"/>
  <c r="H163" i="12"/>
  <c r="H163" i="49"/>
  <c r="H163" i="14"/>
  <c r="H180" i="48"/>
  <c r="H180" i="47"/>
  <c r="H180" i="49"/>
  <c r="H180" i="12"/>
  <c r="H180" i="14"/>
  <c r="H148" i="48"/>
  <c r="H148" i="47"/>
  <c r="H148" i="49"/>
  <c r="H148" i="12"/>
  <c r="H148" i="14"/>
  <c r="H204" i="48"/>
  <c r="H204" i="47"/>
  <c r="H204" i="12"/>
  <c r="H204" i="49"/>
  <c r="H204" i="14"/>
  <c r="H69" i="48"/>
  <c r="H69" i="47"/>
  <c r="H69" i="49"/>
  <c r="H69" i="12"/>
  <c r="H69" i="14"/>
  <c r="H203" i="48"/>
  <c r="H203" i="47"/>
  <c r="H203" i="12"/>
  <c r="H203" i="49"/>
  <c r="H203" i="14"/>
  <c r="H136" i="48"/>
  <c r="H136" i="47"/>
  <c r="H136" i="49"/>
  <c r="H136" i="12"/>
  <c r="H136" i="14"/>
  <c r="H93" i="48"/>
  <c r="H93" i="47"/>
  <c r="H93" i="49"/>
  <c r="H93" i="12"/>
  <c r="H93" i="14"/>
  <c r="H98" i="48"/>
  <c r="H98" i="47"/>
  <c r="H98" i="49"/>
  <c r="H98" i="12"/>
  <c r="H98" i="14"/>
  <c r="H161" i="48"/>
  <c r="H161" i="47"/>
  <c r="H161" i="49"/>
  <c r="H161" i="12"/>
  <c r="H161" i="14"/>
  <c r="H45" i="48"/>
  <c r="H45" i="49"/>
  <c r="H45" i="47"/>
  <c r="H45" i="12"/>
  <c r="H45" i="14"/>
  <c r="H207" i="48"/>
  <c r="H207" i="47"/>
  <c r="H207" i="12"/>
  <c r="H207" i="49"/>
  <c r="H207" i="14"/>
  <c r="H115" i="48"/>
  <c r="H115" i="47"/>
  <c r="H115" i="49"/>
  <c r="H115" i="12"/>
  <c r="H115" i="14"/>
  <c r="H42" i="48"/>
  <c r="H42" i="47"/>
  <c r="H42" i="49"/>
  <c r="H42" i="12"/>
  <c r="H42" i="14"/>
  <c r="H83" i="48"/>
  <c r="H83" i="47"/>
  <c r="H83" i="49"/>
  <c r="H83" i="12"/>
  <c r="H83" i="14"/>
  <c r="H199" i="48"/>
  <c r="H199" i="47"/>
  <c r="H199" i="12"/>
  <c r="H199" i="49"/>
  <c r="H199" i="14"/>
  <c r="H205" i="48"/>
  <c r="H205" i="47"/>
  <c r="H205" i="12"/>
  <c r="H205" i="49"/>
  <c r="H205" i="14"/>
  <c r="H200" i="48"/>
  <c r="H200" i="47"/>
  <c r="H200" i="49"/>
  <c r="H200" i="12"/>
  <c r="H200" i="14"/>
  <c r="H137" i="48"/>
  <c r="H137" i="47"/>
  <c r="H137" i="49"/>
  <c r="H137" i="12"/>
  <c r="H137" i="14"/>
  <c r="H80" i="48"/>
  <c r="H80" i="49"/>
  <c r="H80" i="47"/>
  <c r="H80" i="12"/>
  <c r="H80" i="14"/>
  <c r="H5" i="50"/>
  <c r="H7" i="50" l="1"/>
  <c r="H135" i="48"/>
  <c r="H135" i="47"/>
  <c r="H135" i="49"/>
  <c r="H135" i="12"/>
  <c r="H135" i="14"/>
  <c r="H67" i="48"/>
  <c r="H67" i="49"/>
  <c r="H67" i="47"/>
  <c r="H67" i="12"/>
  <c r="H67" i="14"/>
  <c r="H101" i="48"/>
  <c r="H101" i="47"/>
  <c r="H101" i="49"/>
  <c r="H101" i="12"/>
  <c r="H101" i="14"/>
  <c r="H117" i="48"/>
  <c r="H117" i="47"/>
  <c r="H117" i="49"/>
  <c r="H117" i="12"/>
  <c r="H117" i="14"/>
  <c r="H90" i="48"/>
  <c r="H90" i="47"/>
  <c r="H90" i="49"/>
  <c r="H90" i="12"/>
  <c r="H90" i="14"/>
  <c r="H143" i="48"/>
  <c r="H143" i="47"/>
  <c r="H143" i="49"/>
  <c r="H143" i="12"/>
  <c r="H143" i="14"/>
  <c r="H127" i="48"/>
  <c r="H127" i="47"/>
  <c r="H127" i="49"/>
  <c r="H127" i="12"/>
  <c r="H127" i="14"/>
  <c r="H112" i="48"/>
  <c r="H112" i="47"/>
  <c r="H112" i="49"/>
  <c r="H112" i="12"/>
  <c r="H112" i="14"/>
  <c r="H183" i="48"/>
  <c r="H183" i="47"/>
  <c r="H183" i="49"/>
  <c r="H183" i="12"/>
  <c r="H183" i="14"/>
  <c r="H116" i="48"/>
  <c r="H116" i="47"/>
  <c r="H116" i="49"/>
  <c r="H116" i="12"/>
  <c r="H116" i="14"/>
  <c r="H192" i="48"/>
  <c r="H192" i="47"/>
  <c r="H192" i="12"/>
  <c r="H192" i="49"/>
  <c r="H192" i="14"/>
  <c r="H91" i="48"/>
  <c r="H91" i="49"/>
  <c r="H91" i="47"/>
  <c r="H91" i="12"/>
  <c r="H91" i="14"/>
  <c r="H111" i="48"/>
  <c r="H111" i="47"/>
  <c r="H111" i="49"/>
  <c r="H111" i="12"/>
  <c r="H111" i="14"/>
  <c r="H113" i="48"/>
  <c r="H113" i="47"/>
  <c r="H113" i="49"/>
  <c r="H113" i="12"/>
  <c r="H113" i="14"/>
  <c r="H142" i="48"/>
  <c r="H142" i="47"/>
  <c r="H142" i="49"/>
  <c r="H142" i="12"/>
  <c r="H142" i="14"/>
  <c r="H106" i="48"/>
  <c r="H106" i="47"/>
  <c r="H106" i="49"/>
  <c r="H106" i="12"/>
  <c r="H106" i="14"/>
  <c r="H87" i="48"/>
  <c r="H87" i="47"/>
  <c r="H87" i="49"/>
  <c r="H87" i="12"/>
  <c r="H87" i="14"/>
  <c r="H189" i="48"/>
  <c r="H189" i="47"/>
  <c r="H189" i="49"/>
  <c r="H189" i="12"/>
  <c r="H189" i="14"/>
  <c r="H82" i="48"/>
  <c r="H82" i="47"/>
  <c r="H82" i="49"/>
  <c r="H82" i="12"/>
  <c r="H82" i="14"/>
  <c r="H141" i="48"/>
  <c r="H141" i="47"/>
  <c r="H141" i="12"/>
  <c r="H141" i="49"/>
  <c r="H141" i="14"/>
  <c r="H65" i="48"/>
  <c r="H65" i="47"/>
  <c r="H65" i="49"/>
  <c r="H65" i="12"/>
  <c r="H65" i="14"/>
  <c r="H145" i="48"/>
  <c r="H145" i="47"/>
  <c r="H145" i="49"/>
  <c r="H145" i="12"/>
  <c r="H145" i="14"/>
  <c r="H107" i="48"/>
  <c r="H107" i="47"/>
  <c r="H107" i="49"/>
  <c r="H107" i="12"/>
  <c r="H107" i="14"/>
  <c r="H89" i="48"/>
  <c r="H89" i="47"/>
  <c r="H89" i="49"/>
  <c r="H89" i="12"/>
  <c r="H89" i="14"/>
  <c r="H68" i="48"/>
  <c r="H68" i="49"/>
  <c r="H68" i="47"/>
  <c r="H68" i="12"/>
  <c r="H68" i="14"/>
  <c r="H158" i="48"/>
  <c r="H158" i="47"/>
  <c r="H158" i="12"/>
  <c r="H158" i="49"/>
  <c r="H158" i="14"/>
  <c r="H94" i="48"/>
  <c r="H94" i="47"/>
  <c r="H94" i="49"/>
  <c r="H94" i="12"/>
  <c r="H94" i="14"/>
  <c r="H110" i="48"/>
  <c r="H110" i="47"/>
  <c r="H110" i="49"/>
  <c r="H110" i="12"/>
  <c r="H110" i="14"/>
  <c r="H144" i="48"/>
  <c r="H144" i="47"/>
  <c r="H144" i="49"/>
  <c r="H144" i="12"/>
  <c r="H144" i="14"/>
  <c r="H62" i="48"/>
  <c r="H62" i="47"/>
  <c r="H62" i="49"/>
  <c r="H62" i="12"/>
  <c r="H62" i="14"/>
  <c r="H167" i="48"/>
  <c r="H167" i="47"/>
  <c r="H167" i="12"/>
  <c r="H167" i="49"/>
  <c r="H167" i="14"/>
  <c r="H61" i="48"/>
  <c r="H61" i="49"/>
  <c r="H61" i="47"/>
  <c r="H61" i="12"/>
  <c r="H61" i="14"/>
  <c r="H71" i="48"/>
  <c r="H71" i="47"/>
  <c r="H71" i="49"/>
  <c r="H71" i="12"/>
  <c r="H71" i="14"/>
  <c r="H156" i="48"/>
  <c r="H156" i="47"/>
  <c r="H156" i="49"/>
  <c r="H156" i="12"/>
  <c r="H156" i="14"/>
  <c r="H129" i="48"/>
  <c r="H129" i="47"/>
  <c r="H129" i="12"/>
  <c r="H129" i="49"/>
  <c r="H129" i="14"/>
  <c r="H190" i="48"/>
  <c r="H190" i="47"/>
  <c r="H190" i="49"/>
  <c r="H190" i="12"/>
  <c r="H190" i="14"/>
  <c r="H64" i="48"/>
  <c r="H64" i="49"/>
  <c r="H64" i="47"/>
  <c r="H64" i="12"/>
  <c r="H64" i="14"/>
  <c r="H164" i="48"/>
  <c r="H164" i="47"/>
  <c r="H164" i="12"/>
  <c r="H164" i="49"/>
  <c r="H164" i="14"/>
  <c r="H155" i="48"/>
  <c r="H155" i="47"/>
  <c r="H155" i="49"/>
  <c r="H155" i="12"/>
  <c r="H155" i="14"/>
  <c r="H134" i="48"/>
  <c r="H134" i="47"/>
  <c r="H134" i="49"/>
  <c r="H134" i="12"/>
  <c r="H134" i="14"/>
  <c r="H194" i="48"/>
  <c r="H194" i="47"/>
  <c r="H194" i="49"/>
  <c r="H194" i="12"/>
  <c r="H194" i="14"/>
  <c r="H166" i="48"/>
  <c r="H166" i="47"/>
  <c r="H166" i="49"/>
  <c r="H166" i="12"/>
  <c r="H166" i="14"/>
  <c r="H174" i="48"/>
  <c r="H174" i="47"/>
  <c r="H174" i="49"/>
  <c r="H174" i="12"/>
  <c r="H174" i="14"/>
  <c r="H178" i="48"/>
  <c r="H178" i="47"/>
  <c r="H178" i="49"/>
  <c r="H178" i="12"/>
  <c r="H178" i="14"/>
  <c r="H130" i="48"/>
  <c r="H130" i="47"/>
  <c r="H130" i="12"/>
  <c r="H130" i="49"/>
  <c r="H130" i="14"/>
  <c r="H154" i="48"/>
  <c r="H154" i="47"/>
  <c r="H154" i="49"/>
  <c r="H154" i="12"/>
  <c r="H154" i="14"/>
  <c r="H133" i="48"/>
  <c r="H133" i="47"/>
  <c r="H133" i="12"/>
  <c r="H133" i="49"/>
  <c r="H133" i="14"/>
  <c r="H146" i="48"/>
  <c r="H146" i="47"/>
  <c r="H146" i="12"/>
  <c r="H146" i="49"/>
  <c r="H146" i="14"/>
  <c r="H157" i="48"/>
  <c r="H157" i="47"/>
  <c r="H157" i="49"/>
  <c r="H157" i="12"/>
  <c r="H157" i="14"/>
  <c r="H159" i="48"/>
  <c r="H159" i="47"/>
  <c r="H159" i="49"/>
  <c r="H159" i="12"/>
  <c r="H159" i="14"/>
  <c r="H105" i="48"/>
  <c r="H105" i="47"/>
  <c r="H105" i="49"/>
  <c r="H105" i="12"/>
  <c r="H105" i="14"/>
  <c r="H195" i="48"/>
  <c r="H195" i="47"/>
  <c r="H195" i="49"/>
  <c r="H195" i="12"/>
  <c r="H195" i="14"/>
  <c r="H169" i="48"/>
  <c r="H169" i="47"/>
  <c r="H169" i="49"/>
  <c r="H169" i="12"/>
  <c r="H169" i="14"/>
  <c r="H151" i="48"/>
  <c r="H151" i="47"/>
  <c r="H151" i="49"/>
  <c r="H151" i="12"/>
  <c r="H151" i="14"/>
  <c r="H179" i="48"/>
  <c r="H179" i="47"/>
  <c r="H179" i="49"/>
  <c r="H179" i="12"/>
  <c r="H179" i="14"/>
  <c r="H102" i="48"/>
  <c r="H102" i="47"/>
  <c r="H102" i="49"/>
  <c r="H102" i="12"/>
  <c r="H102" i="14"/>
  <c r="H177" i="48"/>
  <c r="H177" i="47"/>
  <c r="H177" i="49"/>
  <c r="H177" i="12"/>
  <c r="H177" i="14"/>
  <c r="H131" i="48"/>
  <c r="H131" i="47"/>
  <c r="H131" i="49"/>
  <c r="H131" i="12"/>
  <c r="H131" i="14"/>
  <c r="H109" i="48"/>
  <c r="H109" i="47"/>
  <c r="H109" i="49"/>
  <c r="H109" i="12"/>
  <c r="H109" i="14"/>
  <c r="H57" i="48"/>
  <c r="H57" i="47"/>
  <c r="H57" i="49"/>
  <c r="H57" i="12"/>
  <c r="H57" i="14"/>
  <c r="H182" i="48"/>
  <c r="H182" i="47"/>
  <c r="H182" i="12"/>
  <c r="H182" i="49"/>
  <c r="H182" i="14"/>
  <c r="H152" i="48"/>
  <c r="H152" i="47"/>
  <c r="H152" i="12"/>
  <c r="H152" i="49"/>
  <c r="H152" i="14"/>
  <c r="H99" i="48"/>
  <c r="H99" i="47"/>
  <c r="H99" i="49"/>
  <c r="H99" i="12"/>
  <c r="H99" i="14"/>
  <c r="H187" i="48"/>
  <c r="H187" i="47"/>
  <c r="H187" i="49"/>
  <c r="H187" i="12"/>
  <c r="H187" i="14"/>
  <c r="H70" i="48"/>
  <c r="H70" i="47"/>
  <c r="H70" i="49"/>
  <c r="H70" i="12"/>
  <c r="H70" i="14"/>
  <c r="H86" i="48"/>
  <c r="H86" i="49"/>
  <c r="H86" i="47"/>
  <c r="H86" i="12"/>
  <c r="H86" i="14"/>
  <c r="H124" i="48"/>
  <c r="H124" i="47"/>
  <c r="H124" i="49"/>
  <c r="H124" i="12"/>
  <c r="H124" i="14"/>
  <c r="H97" i="48"/>
  <c r="H97" i="47"/>
  <c r="H97" i="49"/>
  <c r="H97" i="12"/>
  <c r="H97" i="14"/>
  <c r="H103" i="48"/>
  <c r="H103" i="47"/>
  <c r="H103" i="49"/>
  <c r="H103" i="12"/>
  <c r="H103" i="14"/>
  <c r="H56" i="48"/>
  <c r="H56" i="49"/>
  <c r="H56" i="47"/>
  <c r="H56" i="12"/>
  <c r="H56" i="14"/>
  <c r="H184" i="48"/>
  <c r="H184" i="47"/>
  <c r="H184" i="49"/>
  <c r="H184" i="12"/>
  <c r="H184" i="14"/>
  <c r="H181" i="48"/>
  <c r="H181" i="47"/>
  <c r="H181" i="49"/>
  <c r="H181" i="12"/>
  <c r="H181" i="14"/>
  <c r="H153" i="48"/>
  <c r="H153" i="47"/>
  <c r="H153" i="49"/>
  <c r="H153" i="12"/>
  <c r="H153" i="14"/>
  <c r="H188" i="48"/>
  <c r="H188" i="47"/>
  <c r="H188" i="12"/>
  <c r="H188" i="49"/>
  <c r="H188" i="14"/>
  <c r="H8" i="50"/>
  <c r="H6" i="50"/>
  <c r="H9" i="50"/>
  <c r="H11" i="50" l="1"/>
  <c r="H12" i="50" s="1"/>
  <c r="B2" i="14"/>
  <c r="M2" i="14" l="1"/>
  <c r="L2" i="14"/>
  <c r="K2" i="14"/>
  <c r="I2" i="14"/>
  <c r="G2" i="14"/>
  <c r="F2" i="14"/>
  <c r="E2" i="14"/>
  <c r="D2" i="14"/>
  <c r="C2" i="14"/>
</calcChain>
</file>

<file path=xl/sharedStrings.xml><?xml version="1.0" encoding="utf-8"?>
<sst xmlns="http://schemas.openxmlformats.org/spreadsheetml/2006/main" count="9117" uniqueCount="529">
  <si>
    <t>Hennessey</t>
  </si>
  <si>
    <t>Venom F5</t>
  </si>
  <si>
    <t>N°</t>
  </si>
  <si>
    <t>Marque</t>
  </si>
  <si>
    <t>Modèle</t>
  </si>
  <si>
    <t>*</t>
  </si>
  <si>
    <t>**</t>
  </si>
  <si>
    <t>***</t>
  </si>
  <si>
    <t>****</t>
  </si>
  <si>
    <t>*****</t>
  </si>
  <si>
    <t>******</t>
  </si>
  <si>
    <t>Total</t>
  </si>
  <si>
    <t>Blueprints</t>
  </si>
  <si>
    <t>:</t>
  </si>
  <si>
    <t>=SOMME(D4:I4)</t>
  </si>
  <si>
    <t>=BPS!O</t>
  </si>
  <si>
    <t>=BPS!P</t>
  </si>
  <si>
    <t>=BPS!Q</t>
  </si>
  <si>
    <t>=BPS!R</t>
  </si>
  <si>
    <t>=BPS!S</t>
  </si>
  <si>
    <t>=BPS!T</t>
  </si>
  <si>
    <t>Bps Goned</t>
  </si>
  <si>
    <t>=SOMME(D5:I5)</t>
  </si>
  <si>
    <t>=BPS!W</t>
  </si>
  <si>
    <t>=BPS!X</t>
  </si>
  <si>
    <t>=BPS!Y</t>
  </si>
  <si>
    <t>=BPS!Z</t>
  </si>
  <si>
    <t>=BPS!AA</t>
  </si>
  <si>
    <t>=BPS!AB</t>
  </si>
  <si>
    <t>Bps Missed</t>
  </si>
  <si>
    <t>=SOMME(D6:I6)</t>
  </si>
  <si>
    <t>=BPS!AE</t>
  </si>
  <si>
    <t>=BPS!AF</t>
  </si>
  <si>
    <t>=BPS!AG</t>
  </si>
  <si>
    <t>=BPS!AH</t>
  </si>
  <si>
    <t>=BPS!AI</t>
  </si>
  <si>
    <t>=BPS!AJ</t>
  </si>
  <si>
    <t>Packs to buy</t>
  </si>
  <si>
    <t>'=ARRONDI.SUP(D6/Crédits!$J$5;0)</t>
  </si>
  <si>
    <t>'=ARRONDI.SUP(E6/Crédits!$J$5;0)</t>
  </si>
  <si>
    <t>'=ARRONDI.SUP(F6/Crédits!$J$5;0)</t>
  </si>
  <si>
    <t>'=ARRONDI.SUP(G6/Crédits!$J$5;0)</t>
  </si>
  <si>
    <t>'=ARRONDI.SUP(H6/Crédits!$J$5;0)</t>
  </si>
  <si>
    <t>'=ARRONDI.SUP(I6/Crédits!$J$5;0)</t>
  </si>
  <si>
    <t>=SOMME(D7:I7)</t>
  </si>
  <si>
    <t>Token Cost</t>
  </si>
  <si>
    <t>'=D7*Crédits!$I$5</t>
  </si>
  <si>
    <t>'=E7*Crédits!$I$5</t>
  </si>
  <si>
    <t>'=F7*Crédits!$I$5</t>
  </si>
  <si>
    <t>'=G7*Crédits!$I$5</t>
  </si>
  <si>
    <t>'=H7*Crédits!$I$5</t>
  </si>
  <si>
    <t>'=I7*Crédits!$I$5</t>
  </si>
  <si>
    <t>=SOMME(D8:I8)</t>
  </si>
  <si>
    <t>Token Rest</t>
  </si>
  <si>
    <t>=Crédits!$E$2-Cars!D8</t>
  </si>
  <si>
    <t>'=D9-E8</t>
  </si>
  <si>
    <t>'=E9-F8</t>
  </si>
  <si>
    <t>'=F9-G8</t>
  </si>
  <si>
    <t>'=G9-H8</t>
  </si>
  <si>
    <t>'=H9-I8</t>
  </si>
  <si>
    <t>=Crédits!$E$2-Cars!K8</t>
  </si>
  <si>
    <t>Toroidion</t>
  </si>
  <si>
    <t>1MW</t>
  </si>
  <si>
    <t>Ajlani</t>
  </si>
  <si>
    <t>Drakuma</t>
  </si>
  <si>
    <t xml:space="preserve">  Class</t>
  </si>
  <si>
    <t>Plage</t>
  </si>
  <si>
    <t xml:space="preserve"> Nbr/Cl</t>
  </si>
  <si>
    <t xml:space="preserve"> Lock</t>
  </si>
  <si>
    <t xml:space="preserve"> Unlock</t>
  </si>
  <si>
    <t xml:space="preserve"> Full</t>
  </si>
  <si>
    <t xml:space="preserve"> Gold</t>
  </si>
  <si>
    <t xml:space="preserve"> Upgrade</t>
  </si>
  <si>
    <t xml:space="preserve"> Install</t>
  </si>
  <si>
    <t xml:space="preserve"> To Do</t>
  </si>
  <si>
    <t xml:space="preserve"> None</t>
  </si>
  <si>
    <t xml:space="preserve"> Total</t>
  </si>
  <si>
    <t>Formules</t>
  </si>
  <si>
    <t>Upgrades</t>
  </si>
  <si>
    <t>Commons</t>
  </si>
  <si>
    <t>Rares</t>
  </si>
  <si>
    <t>Epics</t>
  </si>
  <si>
    <t>'=SOMME(Garage!</t>
  </si>
  <si>
    <t>:Garage!</t>
  </si>
  <si>
    <t>)</t>
  </si>
  <si>
    <t>G</t>
  </si>
  <si>
    <t>H</t>
  </si>
  <si>
    <t>I</t>
  </si>
  <si>
    <t>J</t>
  </si>
  <si>
    <t>W</t>
  </si>
  <si>
    <t>X</t>
  </si>
  <si>
    <t>Y</t>
  </si>
  <si>
    <t>Z</t>
  </si>
  <si>
    <t>AB</t>
  </si>
  <si>
    <t>AC</t>
  </si>
  <si>
    <t>AD</t>
  </si>
  <si>
    <t>AE</t>
  </si>
  <si>
    <t>AG</t>
  </si>
  <si>
    <t>AH</t>
  </si>
  <si>
    <t>AI</t>
  </si>
  <si>
    <t>AJ</t>
  </si>
  <si>
    <t>AL</t>
  </si>
  <si>
    <t>AM</t>
  </si>
  <si>
    <t>AN</t>
  </si>
  <si>
    <t>AO</t>
  </si>
  <si>
    <t>'=NB.SI(Garage!</t>
  </si>
  <si>
    <t>;"N")</t>
  </si>
  <si>
    <t>;"O")</t>
  </si>
  <si>
    <t>Class D</t>
  </si>
  <si>
    <t>Class C</t>
  </si>
  <si>
    <t>Class B</t>
  </si>
  <si>
    <t>Class A</t>
  </si>
  <si>
    <t>Class S</t>
  </si>
  <si>
    <t xml:space="preserve"> line</t>
  </si>
  <si>
    <t xml:space="preserve"> ###</t>
  </si>
  <si>
    <t xml:space="preserve"> Order</t>
  </si>
  <si>
    <t xml:space="preserve"> Update</t>
  </si>
  <si>
    <t xml:space="preserve"> Group</t>
  </si>
  <si>
    <t>Upgrade</t>
  </si>
  <si>
    <t xml:space="preserve"> Class</t>
  </si>
  <si>
    <t xml:space="preserve"> Brand</t>
  </si>
  <si>
    <t xml:space="preserve"> Model</t>
  </si>
  <si>
    <t>--</t>
  </si>
  <si>
    <t>N</t>
  </si>
  <si>
    <t>D</t>
  </si>
  <si>
    <t>KTM</t>
  </si>
  <si>
    <t>X-Bow GTX</t>
  </si>
  <si>
    <t>---</t>
  </si>
  <si>
    <t>C</t>
  </si>
  <si>
    <t>Maserati</t>
  </si>
  <si>
    <t>MC12</t>
  </si>
  <si>
    <t>L</t>
  </si>
  <si>
    <t>O</t>
  </si>
  <si>
    <t>B</t>
  </si>
  <si>
    <t>Lamborghini</t>
  </si>
  <si>
    <t>Revuelto</t>
  </si>
  <si>
    <t>Kepler</t>
  </si>
  <si>
    <t>Motion</t>
  </si>
  <si>
    <t>A</t>
  </si>
  <si>
    <t>Jaguar</t>
  </si>
  <si>
    <t>XJR-9</t>
  </si>
  <si>
    <t>S</t>
  </si>
  <si>
    <t>FV Frangivento</t>
  </si>
  <si>
    <t>Sorpasso GT3</t>
  </si>
  <si>
    <t>Apollo</t>
  </si>
  <si>
    <t>IE</t>
  </si>
  <si>
    <t>McLaren</t>
  </si>
  <si>
    <t>Elva</t>
  </si>
  <si>
    <t>Renault</t>
  </si>
  <si>
    <t>TreZor</t>
  </si>
  <si>
    <t>Sián FKP 37</t>
  </si>
  <si>
    <t xml:space="preserve"> Level</t>
  </si>
  <si>
    <t xml:space="preserve"> Common</t>
  </si>
  <si>
    <t xml:space="preserve"> Rare</t>
  </si>
  <si>
    <t xml:space="preserve"> Epic</t>
  </si>
  <si>
    <t>SettingGarage</t>
  </si>
  <si>
    <t>SettingUnitPrice</t>
  </si>
  <si>
    <t>Mitsubishi</t>
  </si>
  <si>
    <t>Lancer Evolution</t>
  </si>
  <si>
    <t>BMW</t>
  </si>
  <si>
    <t>Z4 LCI E89</t>
  </si>
  <si>
    <t>Chevrolet</t>
  </si>
  <si>
    <t>Camaro LT</t>
  </si>
  <si>
    <t>Nissan</t>
  </si>
  <si>
    <t>Leaf Nismo RC</t>
  </si>
  <si>
    <t>37OZ Nismo</t>
  </si>
  <si>
    <t>Volkswagen</t>
  </si>
  <si>
    <t>XL Sport Concept</t>
  </si>
  <si>
    <t>DS Automobiles</t>
  </si>
  <si>
    <t>DS E-Tense</t>
  </si>
  <si>
    <t>Dodge</t>
  </si>
  <si>
    <t>Pack Challenger 392 Hemi Scat</t>
  </si>
  <si>
    <t>Dezir</t>
  </si>
  <si>
    <t>Italdesign</t>
  </si>
  <si>
    <t>DaVinci</t>
  </si>
  <si>
    <t>I8 Roadster</t>
  </si>
  <si>
    <t>Peugeot</t>
  </si>
  <si>
    <t>SR1</t>
  </si>
  <si>
    <t>P</t>
  </si>
  <si>
    <t>Porsche</t>
  </si>
  <si>
    <t>718 Cayman</t>
  </si>
  <si>
    <t>Infiniti</t>
  </si>
  <si>
    <t>Projet Black S</t>
  </si>
  <si>
    <t>Lotus</t>
  </si>
  <si>
    <t>Elise Sprint 220</t>
  </si>
  <si>
    <t>Countach 25th Anniversary</t>
  </si>
  <si>
    <t>Ford</t>
  </si>
  <si>
    <t>Shelby GT350R</t>
  </si>
  <si>
    <t>911 Targa 4S</t>
  </si>
  <si>
    <t>Emira</t>
  </si>
  <si>
    <t>Prague</t>
  </si>
  <si>
    <t>R1</t>
  </si>
  <si>
    <t>Ginetta</t>
  </si>
  <si>
    <t>G60</t>
  </si>
  <si>
    <t>Honda</t>
  </si>
  <si>
    <t>Civic Type-R</t>
  </si>
  <si>
    <t>Taycan Turbo S</t>
  </si>
  <si>
    <t>TVR</t>
  </si>
  <si>
    <t>Griffith</t>
  </si>
  <si>
    <t>Bentley</t>
  </si>
  <si>
    <t>Continental GT3</t>
  </si>
  <si>
    <t>Mazda</t>
  </si>
  <si>
    <t>Furai</t>
  </si>
  <si>
    <t>Corvette C7.R</t>
  </si>
  <si>
    <t>Huracan Super Trofeo Evo</t>
  </si>
  <si>
    <t>Electric R</t>
  </si>
  <si>
    <t>Glickhaus</t>
  </si>
  <si>
    <t>004C</t>
  </si>
  <si>
    <t>Challenger SRT8</t>
  </si>
  <si>
    <t>3.0 CSL Hommage</t>
  </si>
  <si>
    <t>Boxster 25th</t>
  </si>
  <si>
    <t>Camaro ZL1 50th Edition</t>
  </si>
  <si>
    <t>Evora Sport 410</t>
  </si>
  <si>
    <t>Mercedes-Benz</t>
  </si>
  <si>
    <t>AMG GT S</t>
  </si>
  <si>
    <t>M4 GTS</t>
  </si>
  <si>
    <t>Rezvani</t>
  </si>
  <si>
    <t>Beast X</t>
  </si>
  <si>
    <t>Aston Martin</t>
  </si>
  <si>
    <t>V12 Speedster</t>
  </si>
  <si>
    <t>Donkervoort</t>
  </si>
  <si>
    <t>D8 GTO</t>
  </si>
  <si>
    <t>Viper ACR</t>
  </si>
  <si>
    <t>Bolwell</t>
  </si>
  <si>
    <t>MK X Nagari 500</t>
  </si>
  <si>
    <t>Shelby GR-1</t>
  </si>
  <si>
    <t>Pininfarina</t>
  </si>
  <si>
    <t>H2 Speed</t>
  </si>
  <si>
    <t>Artega</t>
  </si>
  <si>
    <t>Scalo Superelletra</t>
  </si>
  <si>
    <t>Saleen</t>
  </si>
  <si>
    <t>S1</t>
  </si>
  <si>
    <t>Acura</t>
  </si>
  <si>
    <t>2017 NSX</t>
  </si>
  <si>
    <t>Alfieri</t>
  </si>
  <si>
    <t>F</t>
  </si>
  <si>
    <t>Ferrari</t>
  </si>
  <si>
    <t>Monza SP1</t>
  </si>
  <si>
    <t>ATS Automobili</t>
  </si>
  <si>
    <t>Corsa RRTurbo</t>
  </si>
  <si>
    <t>XE SV Project 8</t>
  </si>
  <si>
    <t>F40</t>
  </si>
  <si>
    <t>R.S. 01</t>
  </si>
  <si>
    <t>NSX GT3 EVO</t>
  </si>
  <si>
    <t>Vencer</t>
  </si>
  <si>
    <t>Sarthe</t>
  </si>
  <si>
    <t>Mulliner Bacalar</t>
  </si>
  <si>
    <t>Miura Concept</t>
  </si>
  <si>
    <t>718 Cayman GT4 Clubsport</t>
  </si>
  <si>
    <t>Corvette Stingray</t>
  </si>
  <si>
    <t>Brabham</t>
  </si>
  <si>
    <t>BT62</t>
  </si>
  <si>
    <t>599XX EVO</t>
  </si>
  <si>
    <t>Ares</t>
  </si>
  <si>
    <t>Diablo GT</t>
  </si>
  <si>
    <t>Arrinera</t>
  </si>
  <si>
    <t>Hussarya 33</t>
  </si>
  <si>
    <t>Bugatti</t>
  </si>
  <si>
    <t>EB110</t>
  </si>
  <si>
    <t>Gallardo LP560-4</t>
  </si>
  <si>
    <t>M</t>
  </si>
  <si>
    <t>GT</t>
  </si>
  <si>
    <t>AMG GT Black Series</t>
  </si>
  <si>
    <t>911 GTS Coupé</t>
  </si>
  <si>
    <t>DB11</t>
  </si>
  <si>
    <t>F-Type SVR</t>
  </si>
  <si>
    <t>F50</t>
  </si>
  <si>
    <t>Exotic Rides</t>
  </si>
  <si>
    <t>W70</t>
  </si>
  <si>
    <t>911 GT1 Evolution</t>
  </si>
  <si>
    <t>Asterion</t>
  </si>
  <si>
    <t>Roma</t>
  </si>
  <si>
    <t>Arash</t>
  </si>
  <si>
    <t>AF10</t>
  </si>
  <si>
    <t>Cadillac</t>
  </si>
  <si>
    <t>Cien Concept</t>
  </si>
  <si>
    <t>GT MK II</t>
  </si>
  <si>
    <t>Zerouno</t>
  </si>
  <si>
    <t>AF8 Falcon Edition</t>
  </si>
  <si>
    <t>488 GTB</t>
  </si>
  <si>
    <t>Drako</t>
  </si>
  <si>
    <t>GTE</t>
  </si>
  <si>
    <t>003S</t>
  </si>
  <si>
    <t>R390 GT1</t>
  </si>
  <si>
    <t>F12TDF</t>
  </si>
  <si>
    <t>Murcielago LP 640 Roadster</t>
  </si>
  <si>
    <t>765LT</t>
  </si>
  <si>
    <t>Corvette Grand Sport</t>
  </si>
  <si>
    <t>Vantage GT12</t>
  </si>
  <si>
    <t>Apex</t>
  </si>
  <si>
    <t>AP-0</t>
  </si>
  <si>
    <t>Sin</t>
  </si>
  <si>
    <t>R1 550</t>
  </si>
  <si>
    <t>Reventón Roadster</t>
  </si>
  <si>
    <t>Enzo Ferrari</t>
  </si>
  <si>
    <t>One77</t>
  </si>
  <si>
    <t>SLR McLaren</t>
  </si>
  <si>
    <t>DBS Superleggera</t>
  </si>
  <si>
    <t>Essenza SCV12</t>
  </si>
  <si>
    <t>600LT Spider</t>
  </si>
  <si>
    <t>Puritalia</t>
  </si>
  <si>
    <t>Berlinetta</t>
  </si>
  <si>
    <t>Huracán Evo Spyder</t>
  </si>
  <si>
    <t>Carrera GT</t>
  </si>
  <si>
    <t>GTR-50 Italdesign</t>
  </si>
  <si>
    <t>Zenvo</t>
  </si>
  <si>
    <t>TSR-S</t>
  </si>
  <si>
    <t>Sesto Elemento</t>
  </si>
  <si>
    <t>911 GT3 RS</t>
  </si>
  <si>
    <t>488 GTB Challenge EVO</t>
  </si>
  <si>
    <t>Evija</t>
  </si>
  <si>
    <t>F1 LM</t>
  </si>
  <si>
    <t>W12 Coupe</t>
  </si>
  <si>
    <t>Pagani</t>
  </si>
  <si>
    <t>Huayra R</t>
  </si>
  <si>
    <t>Vulcan</t>
  </si>
  <si>
    <t>GT-R Nismo</t>
  </si>
  <si>
    <t>Nio</t>
  </si>
  <si>
    <t>EP9</t>
  </si>
  <si>
    <t>J50</t>
  </si>
  <si>
    <t>Viper GTS</t>
  </si>
  <si>
    <t>Continental GT Speed</t>
  </si>
  <si>
    <t>LaFerrari</t>
  </si>
  <si>
    <t>P1</t>
  </si>
  <si>
    <t>Zonda HP Barchetta</t>
  </si>
  <si>
    <t>Aventador SV Coupé</t>
  </si>
  <si>
    <t>812 Superfast</t>
  </si>
  <si>
    <t>Corvette ZR1</t>
  </si>
  <si>
    <t>C-X75</t>
  </si>
  <si>
    <t>VLF</t>
  </si>
  <si>
    <t>Force 1 V10</t>
  </si>
  <si>
    <t>Senna GTR</t>
  </si>
  <si>
    <t>Aventador SVJ Roadster</t>
  </si>
  <si>
    <t>Vanda Electrics</t>
  </si>
  <si>
    <t>Dendrobium</t>
  </si>
  <si>
    <t>918 Spyder</t>
  </si>
  <si>
    <t>9X8</t>
  </si>
  <si>
    <t>570S Spider</t>
  </si>
  <si>
    <t>Aventador J</t>
  </si>
  <si>
    <t>Onyx</t>
  </si>
  <si>
    <t>Zonda R</t>
  </si>
  <si>
    <t>007S</t>
  </si>
  <si>
    <t>Citroen</t>
  </si>
  <si>
    <t>GT by Citroen</t>
  </si>
  <si>
    <t>Victor</t>
  </si>
  <si>
    <t>911 GT2 RS Clubsport</t>
  </si>
  <si>
    <t>Huayra BC</t>
  </si>
  <si>
    <t>650S GT3</t>
  </si>
  <si>
    <t>SC18</t>
  </si>
  <si>
    <t>LaFerrari Aperta</t>
  </si>
  <si>
    <t>F8 Tributo</t>
  </si>
  <si>
    <t>SC20</t>
  </si>
  <si>
    <t>Genty</t>
  </si>
  <si>
    <t>Akylone</t>
  </si>
  <si>
    <t>Techrules</t>
  </si>
  <si>
    <t>AT96 track version</t>
  </si>
  <si>
    <t>Rimac</t>
  </si>
  <si>
    <t>Concept_One</t>
  </si>
  <si>
    <t>Valhalla Concept Car</t>
  </si>
  <si>
    <t>Imola</t>
  </si>
  <si>
    <t>Countach LPI 800-4</t>
  </si>
  <si>
    <t>Lego Technic McLaren</t>
  </si>
  <si>
    <t>Centenario</t>
  </si>
  <si>
    <t>FXX K</t>
  </si>
  <si>
    <t>Icona</t>
  </si>
  <si>
    <t>Vulcano Titanium</t>
  </si>
  <si>
    <t>W Motors</t>
  </si>
  <si>
    <t>Lykan Hypersport</t>
  </si>
  <si>
    <t>Raesr</t>
  </si>
  <si>
    <t>Tachyon Speed</t>
  </si>
  <si>
    <t>Veneno</t>
  </si>
  <si>
    <t>XJ220S TWR</t>
  </si>
  <si>
    <t>Egoista</t>
  </si>
  <si>
    <t>Chrysler</t>
  </si>
  <si>
    <t>ME412</t>
  </si>
  <si>
    <t>Trion</t>
  </si>
  <si>
    <t>Nemesis</t>
  </si>
  <si>
    <t>Spania GTA</t>
  </si>
  <si>
    <t>2015 GTA Spano</t>
  </si>
  <si>
    <t>SF90 Stradale</t>
  </si>
  <si>
    <t>Senna</t>
  </si>
  <si>
    <t>Veyron 16.4 Grand Sport Vitesse</t>
  </si>
  <si>
    <t>Terzo Millennio</t>
  </si>
  <si>
    <t>Vision</t>
  </si>
  <si>
    <t>Fenyr Supersport</t>
  </si>
  <si>
    <t>Valkyrie</t>
  </si>
  <si>
    <t>TS1 GT Anniversary</t>
  </si>
  <si>
    <t>Automobili Pininfarina</t>
  </si>
  <si>
    <t>Battista</t>
  </si>
  <si>
    <t>Naran</t>
  </si>
  <si>
    <t>Hyper Coupé</t>
  </si>
  <si>
    <t>Speedtail</t>
  </si>
  <si>
    <t>Faraday</t>
  </si>
  <si>
    <t>FFZero1</t>
  </si>
  <si>
    <t>Koenigsegg</t>
  </si>
  <si>
    <t>Regera</t>
  </si>
  <si>
    <t>Ultima</t>
  </si>
  <si>
    <t>RS</t>
  </si>
  <si>
    <t>Torino Design</t>
  </si>
  <si>
    <t>Super Sport</t>
  </si>
  <si>
    <t>Inferno Automobili</t>
  </si>
  <si>
    <t>Inferno</t>
  </si>
  <si>
    <t>Chiron</t>
  </si>
  <si>
    <t>BXR</t>
  </si>
  <si>
    <t>Bailey Blade GT1</t>
  </si>
  <si>
    <t>Mazzanti</t>
  </si>
  <si>
    <t>Evantra Millecavalli</t>
  </si>
  <si>
    <t>TD</t>
  </si>
  <si>
    <t>Settimo Cerchio</t>
  </si>
  <si>
    <t>Jesko</t>
  </si>
  <si>
    <t>Centodieci</t>
  </si>
  <si>
    <t>Aspark</t>
  </si>
  <si>
    <t>Owl</t>
  </si>
  <si>
    <t>Nevera</t>
  </si>
  <si>
    <t>Agera RS</t>
  </si>
  <si>
    <t>SSC</t>
  </si>
  <si>
    <t>Tuatara</t>
  </si>
  <si>
    <t>La Voiture Noire</t>
  </si>
  <si>
    <t>Gemera</t>
  </si>
  <si>
    <t>Tushek</t>
  </si>
  <si>
    <t>TS 900 Racer Pro</t>
  </si>
  <si>
    <t>Bolide</t>
  </si>
  <si>
    <t>C TWO</t>
  </si>
  <si>
    <t>Divo</t>
  </si>
  <si>
    <t xml:space="preserve"> *</t>
  </si>
  <si>
    <t xml:space="preserve"> **</t>
  </si>
  <si>
    <t xml:space="preserve"> ***</t>
  </si>
  <si>
    <t xml:space="preserve"> ****</t>
  </si>
  <si>
    <t xml:space="preserve"> *****</t>
  </si>
  <si>
    <t xml:space="preserve"> ******</t>
  </si>
  <si>
    <t xml:space="preserve"> Got</t>
  </si>
  <si>
    <t xml:space="preserve"> Missed</t>
  </si>
  <si>
    <t>Key</t>
  </si>
  <si>
    <t xml:space="preserve"> Speed</t>
  </si>
  <si>
    <t xml:space="preserve"> Accel.</t>
  </si>
  <si>
    <t xml:space="preserve"> Handly</t>
  </si>
  <si>
    <t xml:space="preserve"> Nitro</t>
  </si>
  <si>
    <t>-</t>
  </si>
  <si>
    <t xml:space="preserve"> Start</t>
  </si>
  <si>
    <t xml:space="preserve"> Accel,</t>
  </si>
  <si>
    <t xml:space="preserve"> Average</t>
  </si>
  <si>
    <t>=1;0;'$ Unit'!$P</t>
  </si>
  <si>
    <t>=SI(Upg!$P</t>
  </si>
  <si>
    <t>)+SI(Upg!$Q</t>
  </si>
  <si>
    <t>)+SI(Upg!$R</t>
  </si>
  <si>
    <t>)+SI(Upg!$S</t>
  </si>
  <si>
    <t>='$ Unit'!AD</t>
  </si>
  <si>
    <t>*Garage!AD</t>
  </si>
  <si>
    <t>=1;0;'$ Unit'!$Q</t>
  </si>
  <si>
    <t>=SI(Upg!$T</t>
  </si>
  <si>
    <t>)+SI(Upg!$U</t>
  </si>
  <si>
    <t>)+SI(Upg!$V</t>
  </si>
  <si>
    <t>)+SI(Upg!$W</t>
  </si>
  <si>
    <t>='$ Unit'!AE</t>
  </si>
  <si>
    <t>*Garage!AI</t>
  </si>
  <si>
    <t>=1;0;'$ Unit'!$R</t>
  </si>
  <si>
    <t>=SI(Upg!$X</t>
  </si>
  <si>
    <t>)+SI(Upg!$Y</t>
  </si>
  <si>
    <t>)+SI(Upg!$Z</t>
  </si>
  <si>
    <t>)+SI(Upg!$AA</t>
  </si>
  <si>
    <t>='$ Unit'!AF</t>
  </si>
  <si>
    <t>*Garage!AN</t>
  </si>
  <si>
    <t>=1;0;'$ Unit'!$S</t>
  </si>
  <si>
    <t>=SI(Upg!$AB</t>
  </si>
  <si>
    <t>)+SI(Upg!$AC</t>
  </si>
  <si>
    <t>)+SI(Upg!$AD</t>
  </si>
  <si>
    <t>)+SI(Upg!$AE</t>
  </si>
  <si>
    <t>=1;0;'$ Unit'!$T</t>
  </si>
  <si>
    <t>=SI(Upg!$AF</t>
  </si>
  <si>
    <t>)+SI(Upg!$AG</t>
  </si>
  <si>
    <t>)+SI(Upg!$AH</t>
  </si>
  <si>
    <t>)+SI(Upg!$AI</t>
  </si>
  <si>
    <t>=1;0;'$ Unit'!$U</t>
  </si>
  <si>
    <t>=SI(Upg!$AJ</t>
  </si>
  <si>
    <t>)+SI(Upg!$AK</t>
  </si>
  <si>
    <t>)+SI(Upg!$AL</t>
  </si>
  <si>
    <t>)+SI(Upg!$AM</t>
  </si>
  <si>
    <t>=1;0;'$ Unit'!$V</t>
  </si>
  <si>
    <t>=SI(Upg!$AN</t>
  </si>
  <si>
    <t>)+SI(Upg!$AO</t>
  </si>
  <si>
    <t>)+SI(Upg!$AP</t>
  </si>
  <si>
    <t>)+SI(Upg!$AQ</t>
  </si>
  <si>
    <t>=1;0;'$ Unit'!$W</t>
  </si>
  <si>
    <t>=SI(Upg!$AR</t>
  </si>
  <si>
    <t>)+SI(Upg!$AS</t>
  </si>
  <si>
    <t>)+SI(Upg!$AT</t>
  </si>
  <si>
    <t>)+SI(Upg!$AU</t>
  </si>
  <si>
    <t>=1;0;'$ Unit'!$X</t>
  </si>
  <si>
    <t>=SI(Upg!$AV</t>
  </si>
  <si>
    <t>)+SI(Upg!$AW</t>
  </si>
  <si>
    <t>)+SI(Upg!$AX</t>
  </si>
  <si>
    <t>)+SI(Upg!$AY</t>
  </si>
  <si>
    <t>=1;0;'$ Unit'!$Y</t>
  </si>
  <si>
    <t>=SI(Upg!$AZ</t>
  </si>
  <si>
    <t>)+SI(Upg!$BA</t>
  </si>
  <si>
    <t>)+SI(Upg!$BB</t>
  </si>
  <si>
    <t>)+SI(Upg!$BC</t>
  </si>
  <si>
    <t>=1;0;'$ Unit'!$Z</t>
  </si>
  <si>
    <t>=SI(Upg!$BD</t>
  </si>
  <si>
    <t>)+SI(Upg!$BE</t>
  </si>
  <si>
    <t>)+SI(Upg!$BF</t>
  </si>
  <si>
    <t>)+SI(Upg!$BG</t>
  </si>
  <si>
    <t>=1;0;'$ Unit'!$AA</t>
  </si>
  <si>
    <t>=SI(Upg!$BH</t>
  </si>
  <si>
    <t>)+SI(Upg!$BI</t>
  </si>
  <si>
    <t>)+SI(Upg!$BJ</t>
  </si>
  <si>
    <t>)+SI(Upg!$BK</t>
  </si>
  <si>
    <t>=1;0;'$ Unit'!$AB</t>
  </si>
  <si>
    <t>=SI(Upg!$BL</t>
  </si>
  <si>
    <t>)+SI(Upg!$BM</t>
  </si>
  <si>
    <t>)+SI(Upg!$BN</t>
  </si>
  <si>
    <t>)+SI(Upg!$BO</t>
  </si>
  <si>
    <t>LIGNE</t>
  </si>
  <si>
    <t>LVL 1</t>
  </si>
  <si>
    <t>LVL 2</t>
  </si>
  <si>
    <t>LVL 3</t>
  </si>
  <si>
    <t>LVL 4</t>
  </si>
  <si>
    <t>LVL 5</t>
  </si>
  <si>
    <t>LVL 6</t>
  </si>
  <si>
    <t>LVL 7</t>
  </si>
  <si>
    <t>LVL 8</t>
  </si>
  <si>
    <t>LVL 9</t>
  </si>
  <si>
    <t>LVL 10</t>
  </si>
  <si>
    <t>LVL 11</t>
  </si>
  <si>
    <t>LVL 12</t>
  </si>
  <si>
    <t>LVL 13</t>
  </si>
  <si>
    <t>commons</t>
  </si>
  <si>
    <t>rares</t>
  </si>
  <si>
    <t>epics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</si>
</sst>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-* #,##0\ _€_-;\-* #,##0\ _€_-;_-* &quot;-&quot;\ _€_-;_-@_-"/>
  </numFmts>
  <fonts count="30" x14ac:knownFonts="1">
    <font>
      <sz val="9"/>
      <color theme="0" tint="-0.14996795556505021"/>
      <name val="Cascadia Code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rgb="FFC00000"/>
      <name val="Segoe UI Semibold"/>
      <family val="2"/>
    </font>
    <font>
      <sz val="9"/>
      <color theme="0" tint="-0.14996795556505021"/>
      <name val="Cascadia Code"/>
      <family val="3"/>
    </font>
    <font>
      <sz val="9"/>
      <color theme="9" tint="-0.24994659260841701"/>
      <name val="Segoe UI Semibold"/>
      <family val="2"/>
    </font>
    <font>
      <sz val="9"/>
      <color theme="7" tint="-0.24994659260841701"/>
      <name val="Segoe UI Semibold"/>
      <family val="2"/>
    </font>
    <font>
      <sz val="9"/>
      <color theme="4" tint="-0.24994659260841701"/>
      <name val="Segoe UI Semibold"/>
      <family val="2"/>
    </font>
    <font>
      <b/>
      <sz val="24"/>
      <color theme="0" tint="-0.14996795556505021"/>
      <name val="Cascadia Code"/>
      <family val="3"/>
    </font>
    <font>
      <b/>
      <sz val="11"/>
      <color rgb="FFFFC000"/>
      <name val="Cascadia Code"/>
      <family val="3"/>
    </font>
    <font>
      <sz val="9"/>
      <color rgb="FF006100"/>
      <name val="Cascadia Code"/>
      <family val="3"/>
    </font>
    <font>
      <sz val="9"/>
      <color rgb="FF9C0006"/>
      <name val="Cascadia Code"/>
      <family val="3"/>
    </font>
    <font>
      <sz val="9"/>
      <color rgb="FF9C6500"/>
      <name val="Cascadia Code"/>
      <family val="3"/>
    </font>
    <font>
      <u/>
      <sz val="9"/>
      <color theme="10"/>
      <name val="Cascadia Code"/>
      <family val="3"/>
    </font>
    <font>
      <u/>
      <sz val="9"/>
      <color theme="11"/>
      <name val="Cascadia Code"/>
      <family val="3"/>
    </font>
    <font>
      <sz val="9"/>
      <color theme="0" tint="-0.14999847407452621"/>
      <name val="Segoe UI Semibold"/>
      <family val="2"/>
    </font>
  </fonts>
  <fills count="4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74996185186315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2" tint="-0.74999237037263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dashed">
        <color theme="2"/>
      </top>
      <bottom style="dashed">
        <color theme="2"/>
      </bottom>
      <diagonal/>
    </border>
    <border>
      <left/>
      <right/>
      <top/>
      <bottom style="dashed">
        <color theme="2"/>
      </bottom>
      <diagonal/>
    </border>
    <border>
      <left/>
      <right style="dashed">
        <color theme="2"/>
      </right>
      <top/>
      <bottom style="dashed">
        <color theme="2"/>
      </bottom>
      <diagonal/>
    </border>
    <border>
      <left/>
      <right style="dashed">
        <color theme="2"/>
      </right>
      <top/>
      <bottom/>
      <diagonal/>
    </border>
    <border>
      <left style="dashed">
        <color theme="2"/>
      </left>
      <right/>
      <top/>
      <bottom/>
      <diagonal/>
    </border>
    <border>
      <left style="dashed">
        <color theme="2"/>
      </left>
      <right/>
      <top/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/>
      <right style="dashed">
        <color theme="2"/>
      </right>
      <top style="dashed">
        <color theme="2"/>
      </top>
      <bottom style="dashed">
        <color theme="2"/>
      </bottom>
      <diagonal/>
    </border>
    <border>
      <left style="dotted">
        <color theme="2"/>
      </left>
      <right style="dotted">
        <color theme="2"/>
      </right>
      <top style="dotted">
        <color theme="2"/>
      </top>
      <bottom style="dotted">
        <color theme="2"/>
      </bottom>
      <diagonal/>
    </border>
    <border>
      <left style="thin">
        <color theme="2"/>
      </left>
      <right/>
      <top style="dashed">
        <color theme="2"/>
      </top>
      <bottom style="dashed">
        <color theme="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61">
    <xf numFmtId="0" fontId="0" fillId="35" borderId="0">
      <alignment vertical="center"/>
    </xf>
    <xf numFmtId="164" fontId="1" fillId="0" borderId="0" applyFont="0" applyFill="0" applyBorder="0" applyProtection="0">
      <alignment horizontal="right" vertical="center"/>
    </xf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4" applyNumberFormat="0" applyAlignment="0" applyProtection="0"/>
    <xf numFmtId="0" fontId="7" fillId="3" borderId="5" applyNumberFormat="0" applyAlignment="0" applyProtection="0"/>
    <xf numFmtId="0" fontId="8" fillId="3" borderId="4" applyNumberFormat="0" applyAlignment="0" applyProtection="0"/>
    <xf numFmtId="0" fontId="9" fillId="0" borderId="6" applyNumberFormat="0" applyFill="0" applyAlignment="0" applyProtection="0"/>
    <xf numFmtId="0" fontId="10" fillId="4" borderId="7" applyNumberFormat="0" applyAlignment="0" applyProtection="0"/>
    <xf numFmtId="0" fontId="11" fillId="0" borderId="0" applyNumberFormat="0" applyFill="0" applyBorder="0" applyAlignment="0" applyProtection="0"/>
    <xf numFmtId="0" fontId="1" fillId="5" borderId="8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14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4" fillId="29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" fontId="20" fillId="30" borderId="0" applyFill="0" applyBorder="0">
      <alignment horizontal="right" vertical="center"/>
    </xf>
    <xf numFmtId="3" fontId="17" fillId="30" borderId="0" applyFill="0" applyBorder="0">
      <alignment horizontal="right" vertical="center"/>
    </xf>
    <xf numFmtId="3" fontId="19" fillId="30" borderId="0" applyFill="0" applyBorder="0">
      <alignment horizontal="right" vertical="center"/>
    </xf>
    <xf numFmtId="0" fontId="24" fillId="31" borderId="0" applyNumberFormat="0" applyBorder="0" applyAlignment="0" applyProtection="0"/>
    <xf numFmtId="0" fontId="25" fillId="32" borderId="0" applyNumberFormat="0" applyBorder="0" applyAlignment="0" applyProtection="0"/>
    <xf numFmtId="0" fontId="26" fillId="33" borderId="0" applyNumberFormat="0" applyBorder="0" applyAlignment="0" applyProtection="0"/>
    <xf numFmtId="0" fontId="18" fillId="38" borderId="18" applyAlignment="0"/>
    <xf numFmtId="0" fontId="18" fillId="36" borderId="18" applyAlignment="0"/>
    <xf numFmtId="3" fontId="21" fillId="30" borderId="0" applyFill="0" applyBorder="0">
      <alignment horizontal="right" vertical="center"/>
    </xf>
    <xf numFmtId="49" fontId="18" fillId="34" borderId="0" applyBorder="0">
      <alignment horizontal="center" textRotation="90"/>
    </xf>
    <xf numFmtId="0" fontId="27" fillId="35" borderId="0" applyNumberFormat="0" applyFill="0" applyBorder="0" applyAlignment="0" applyProtection="0">
      <alignment vertical="center"/>
    </xf>
    <xf numFmtId="0" fontId="28" fillId="35" borderId="0" applyNumberFormat="0" applyFill="0" applyBorder="0" applyAlignment="0" applyProtection="0">
      <alignment vertical="center"/>
    </xf>
    <xf numFmtId="9" fontId="18" fillId="0" borderId="0" applyFont="0" applyFill="0" applyBorder="0" applyAlignment="0" applyProtection="0"/>
  </cellStyleXfs>
  <cellXfs count="84">
    <xf numFmtId="0" fontId="0" fillId="35" borderId="0" xfId="0">
      <alignment vertical="center"/>
    </xf>
    <xf numFmtId="0" fontId="0" fillId="35" borderId="0" xfId="0" applyAlignment="1">
      <alignment horizontal="left" vertical="center"/>
    </xf>
    <xf numFmtId="0" fontId="0" fillId="35" borderId="0" xfId="0" applyAlignment="1">
      <alignment horizontal="center" vertical="center"/>
    </xf>
    <xf numFmtId="0" fontId="0" fillId="35" borderId="0" xfId="0" applyAlignment="1">
      <alignment textRotation="90"/>
    </xf>
    <xf numFmtId="0" fontId="0" fillId="35" borderId="0" xfId="0" applyAlignment="1">
      <alignment horizontal="left" vertical="center" indent="1"/>
    </xf>
    <xf numFmtId="0" fontId="0" fillId="35" borderId="0" xfId="0" applyAlignment="1">
      <alignment horizontal="center" vertical="center" textRotation="90"/>
    </xf>
    <xf numFmtId="49" fontId="18" fillId="34" borderId="0" xfId="57" applyBorder="1">
      <alignment horizontal="center" textRotation="90"/>
    </xf>
    <xf numFmtId="49" fontId="0" fillId="34" borderId="0" xfId="57" applyFont="1" applyBorder="1">
      <alignment horizontal="center" textRotation="90"/>
    </xf>
    <xf numFmtId="0" fontId="18" fillId="38" borderId="18" xfId="54" applyAlignment="1">
      <alignment horizontal="center" vertical="center"/>
    </xf>
    <xf numFmtId="0" fontId="18" fillId="38" borderId="18" xfId="54" applyAlignment="1">
      <alignment horizontal="left" vertical="center"/>
    </xf>
    <xf numFmtId="0" fontId="18" fillId="36" borderId="18" xfId="55" applyAlignment="1">
      <alignment horizontal="center" vertical="center"/>
    </xf>
    <xf numFmtId="0" fontId="18" fillId="36" borderId="18" xfId="55" applyAlignment="1">
      <alignment horizontal="left" vertical="center"/>
    </xf>
    <xf numFmtId="0" fontId="0" fillId="35" borderId="0" xfId="0" applyAlignment="1">
      <alignment horizontal="right" vertical="center"/>
    </xf>
    <xf numFmtId="0" fontId="18" fillId="38" borderId="11" xfId="54" applyBorder="1" applyAlignment="1">
      <alignment horizontal="center" vertical="center"/>
    </xf>
    <xf numFmtId="0" fontId="18" fillId="38" borderId="12" xfId="54" applyBorder="1" applyAlignment="1">
      <alignment horizontal="center" vertical="center"/>
    </xf>
    <xf numFmtId="0" fontId="18" fillId="36" borderId="11" xfId="55" applyBorder="1" applyAlignment="1">
      <alignment horizontal="center" vertical="center"/>
    </xf>
    <xf numFmtId="0" fontId="18" fillId="36" borderId="12" xfId="55" applyBorder="1" applyAlignment="1">
      <alignment horizontal="center" vertical="center"/>
    </xf>
    <xf numFmtId="0" fontId="18" fillId="38" borderId="15" xfId="54" applyBorder="1" applyAlignment="1">
      <alignment horizontal="center" vertical="center"/>
    </xf>
    <xf numFmtId="0" fontId="18" fillId="36" borderId="15" xfId="55" applyBorder="1" applyAlignment="1">
      <alignment horizontal="center" vertical="center"/>
    </xf>
    <xf numFmtId="49" fontId="18" fillId="34" borderId="14" xfId="57" applyBorder="1">
      <alignment horizontal="center" textRotation="90"/>
    </xf>
    <xf numFmtId="49" fontId="18" fillId="34" borderId="13" xfId="57" applyBorder="1">
      <alignment horizontal="center" textRotation="90"/>
    </xf>
    <xf numFmtId="0" fontId="18" fillId="38" borderId="10" xfId="54" applyBorder="1" applyAlignment="1">
      <alignment horizontal="center" vertical="center"/>
    </xf>
    <xf numFmtId="0" fontId="18" fillId="38" borderId="17" xfId="54" applyBorder="1" applyAlignment="1">
      <alignment horizontal="center" vertical="center"/>
    </xf>
    <xf numFmtId="0" fontId="23" fillId="37" borderId="0" xfId="0" applyFont="1" applyFill="1" applyAlignment="1">
      <alignment horizontal="center" vertical="center"/>
    </xf>
    <xf numFmtId="3" fontId="19" fillId="35" borderId="0" xfId="50" applyFill="1" applyBorder="1" applyAlignment="1">
      <alignment horizontal="center" vertical="center"/>
    </xf>
    <xf numFmtId="3" fontId="21" fillId="35" borderId="0" xfId="56" applyFill="1" applyBorder="1" applyAlignment="1">
      <alignment horizontal="center" vertical="center"/>
    </xf>
    <xf numFmtId="3" fontId="19" fillId="38" borderId="15" xfId="50" applyFill="1" applyBorder="1" applyAlignment="1">
      <alignment horizontal="center" vertical="center"/>
    </xf>
    <xf numFmtId="3" fontId="19" fillId="38" borderId="11" xfId="50" applyFill="1" applyBorder="1" applyAlignment="1">
      <alignment horizontal="center" vertical="center"/>
    </xf>
    <xf numFmtId="3" fontId="19" fillId="38" borderId="12" xfId="50" applyFill="1" applyBorder="1" applyAlignment="1">
      <alignment horizontal="center" vertical="center"/>
    </xf>
    <xf numFmtId="3" fontId="19" fillId="36" borderId="15" xfId="50" applyFill="1" applyBorder="1" applyAlignment="1">
      <alignment horizontal="center" vertical="center"/>
    </xf>
    <xf numFmtId="3" fontId="19" fillId="36" borderId="11" xfId="50" applyFill="1" applyBorder="1" applyAlignment="1">
      <alignment horizontal="center" vertical="center"/>
    </xf>
    <xf numFmtId="3" fontId="19" fillId="36" borderId="12" xfId="50" applyFill="1" applyBorder="1" applyAlignment="1">
      <alignment horizontal="center" vertical="center"/>
    </xf>
    <xf numFmtId="3" fontId="17" fillId="38" borderId="15" xfId="49" applyFill="1" applyBorder="1" applyAlignment="1">
      <alignment horizontal="center" vertical="center"/>
    </xf>
    <xf numFmtId="3" fontId="17" fillId="38" borderId="11" xfId="49" applyFill="1" applyBorder="1" applyAlignment="1">
      <alignment horizontal="center" vertical="center"/>
    </xf>
    <xf numFmtId="3" fontId="17" fillId="38" borderId="12" xfId="49" applyFill="1" applyBorder="1" applyAlignment="1">
      <alignment horizontal="center" vertical="center"/>
    </xf>
    <xf numFmtId="3" fontId="17" fillId="36" borderId="15" xfId="49" applyFill="1" applyBorder="1" applyAlignment="1">
      <alignment horizontal="center" vertical="center"/>
    </xf>
    <xf numFmtId="3" fontId="17" fillId="36" borderId="11" xfId="49" applyFill="1" applyBorder="1" applyAlignment="1">
      <alignment horizontal="center" vertical="center"/>
    </xf>
    <xf numFmtId="3" fontId="17" fillId="36" borderId="12" xfId="49" applyFill="1" applyBorder="1" applyAlignment="1">
      <alignment horizontal="center" vertical="center"/>
    </xf>
    <xf numFmtId="0" fontId="0" fillId="36" borderId="18" xfId="55" applyFont="1" applyAlignment="1">
      <alignment horizontal="center" vertical="center"/>
    </xf>
    <xf numFmtId="0" fontId="0" fillId="38" borderId="18" xfId="54" applyFont="1" applyAlignment="1">
      <alignment horizontal="center" vertical="center"/>
    </xf>
    <xf numFmtId="3" fontId="17" fillId="35" borderId="0" xfId="49" applyFill="1" applyBorder="1" applyAlignment="1">
      <alignment horizontal="center" vertical="center"/>
    </xf>
    <xf numFmtId="0" fontId="18" fillId="38" borderId="19" xfId="54" applyBorder="1" applyAlignment="1">
      <alignment horizontal="center" vertical="center"/>
    </xf>
    <xf numFmtId="0" fontId="18" fillId="39" borderId="19" xfId="54" applyFill="1" applyBorder="1" applyAlignment="1">
      <alignment horizontal="center" vertical="center"/>
    </xf>
    <xf numFmtId="0" fontId="18" fillId="39" borderId="12" xfId="55" applyFill="1" applyBorder="1" applyAlignment="1">
      <alignment horizontal="center" vertical="center"/>
    </xf>
    <xf numFmtId="0" fontId="18" fillId="39" borderId="11" xfId="55" applyFill="1" applyBorder="1" applyAlignment="1">
      <alignment horizontal="center" vertical="center"/>
    </xf>
    <xf numFmtId="2" fontId="0" fillId="38" borderId="18" xfId="54" applyNumberFormat="1" applyFont="1" applyAlignment="1">
      <alignment horizontal="center" vertical="center"/>
    </xf>
    <xf numFmtId="2" fontId="18" fillId="36" borderId="18" xfId="55" applyNumberFormat="1" applyAlignment="1">
      <alignment horizontal="center" vertical="center"/>
    </xf>
    <xf numFmtId="2" fontId="0" fillId="38" borderId="18" xfId="54" applyNumberFormat="1" applyFont="1" applyAlignment="1">
      <alignment horizontal="right" vertical="center"/>
    </xf>
    <xf numFmtId="2" fontId="18" fillId="36" borderId="18" xfId="55" applyNumberFormat="1" applyAlignment="1">
      <alignment horizontal="right" vertical="center"/>
    </xf>
    <xf numFmtId="3" fontId="29" fillId="38" borderId="12" xfId="49" applyFont="1" applyFill="1" applyBorder="1" applyAlignment="1">
      <alignment horizontal="center" vertical="center"/>
    </xf>
    <xf numFmtId="3" fontId="29" fillId="36" borderId="12" xfId="49" applyFont="1" applyFill="1" applyBorder="1" applyAlignment="1">
      <alignment horizontal="center" vertical="center"/>
    </xf>
    <xf numFmtId="0" fontId="0" fillId="36" borderId="18" xfId="55" applyFont="1" applyAlignment="1">
      <alignment horizontal="left" vertical="center"/>
    </xf>
    <xf numFmtId="0" fontId="22" fillId="34" borderId="0" xfId="57" quotePrefix="1" applyNumberFormat="1" applyFont="1" applyBorder="1" applyAlignment="1">
      <alignment horizontal="center" vertical="center"/>
    </xf>
    <xf numFmtId="0" fontId="22" fillId="34" borderId="0" xfId="57" applyNumberFormat="1" applyFont="1" applyBorder="1" applyAlignment="1">
      <alignment horizontal="center" vertical="center"/>
    </xf>
    <xf numFmtId="3" fontId="21" fillId="35" borderId="0" xfId="56" applyFill="1" applyBorder="1" applyAlignment="1">
      <alignment horizontal="left" vertical="center"/>
    </xf>
    <xf numFmtId="49" fontId="0" fillId="35" borderId="0" xfId="0" applyNumberFormat="1" applyAlignment="1">
      <alignment horizontal="left" vertical="center"/>
    </xf>
    <xf numFmtId="49" fontId="0" fillId="35" borderId="0" xfId="0" quotePrefix="1" applyNumberFormat="1" applyAlignment="1">
      <alignment horizontal="left" vertical="center"/>
    </xf>
    <xf numFmtId="49" fontId="19" fillId="35" borderId="0" xfId="50" applyNumberFormat="1" applyFill="1" applyBorder="1" applyAlignment="1">
      <alignment horizontal="left" vertical="center"/>
    </xf>
    <xf numFmtId="49" fontId="17" fillId="35" borderId="0" xfId="49" quotePrefix="1" applyNumberFormat="1" applyFill="1" applyBorder="1" applyAlignment="1">
      <alignment horizontal="left" vertical="center"/>
    </xf>
    <xf numFmtId="0" fontId="0" fillId="35" borderId="0" xfId="0" quotePrefix="1">
      <alignment vertical="center"/>
    </xf>
    <xf numFmtId="0" fontId="0" fillId="35" borderId="20" xfId="0" applyBorder="1">
      <alignment vertical="center"/>
    </xf>
    <xf numFmtId="49" fontId="0" fillId="35" borderId="0" xfId="0" applyNumberFormat="1">
      <alignment vertical="center"/>
    </xf>
    <xf numFmtId="0" fontId="18" fillId="38" borderId="16" xfId="54" applyBorder="1" applyAlignment="1">
      <alignment horizontal="left" vertical="center"/>
    </xf>
    <xf numFmtId="0" fontId="18" fillId="36" borderId="15" xfId="55" applyBorder="1" applyAlignment="1">
      <alignment horizontal="left" vertical="center"/>
    </xf>
    <xf numFmtId="0" fontId="0" fillId="38" borderId="18" xfId="54" quotePrefix="1" applyFont="1" applyAlignment="1">
      <alignment horizontal="center" vertical="center"/>
    </xf>
    <xf numFmtId="2" fontId="0" fillId="35" borderId="0" xfId="0" applyNumberFormat="1" applyAlignment="1">
      <alignment horizontal="center" vertical="center"/>
    </xf>
    <xf numFmtId="0" fontId="0" fillId="35" borderId="11" xfId="0" applyBorder="1" applyAlignment="1">
      <alignment horizontal="center" vertical="center"/>
    </xf>
    <xf numFmtId="3" fontId="0" fillId="35" borderId="0" xfId="0" applyNumberFormat="1" applyAlignment="1">
      <alignment horizontal="center" vertical="center"/>
    </xf>
    <xf numFmtId="0" fontId="19" fillId="35" borderId="0" xfId="50" applyNumberFormat="1" applyFill="1" applyBorder="1" applyAlignment="1">
      <alignment horizontal="center" vertical="center"/>
    </xf>
    <xf numFmtId="0" fontId="17" fillId="35" borderId="0" xfId="49" applyNumberFormat="1" applyFill="1" applyBorder="1" applyAlignment="1">
      <alignment horizontal="center" vertical="center"/>
    </xf>
    <xf numFmtId="0" fontId="0" fillId="35" borderId="0" xfId="0" quotePrefix="1" applyAlignment="1">
      <alignment horizontal="left" vertical="center"/>
    </xf>
    <xf numFmtId="0" fontId="21" fillId="35" borderId="0" xfId="56" quotePrefix="1" applyNumberFormat="1" applyFill="1" applyBorder="1" applyAlignment="1">
      <alignment horizontal="left" vertical="center"/>
    </xf>
    <xf numFmtId="0" fontId="21" fillId="35" borderId="0" xfId="56" applyNumberFormat="1" applyFill="1" applyBorder="1" applyAlignment="1">
      <alignment horizontal="center" vertical="center"/>
    </xf>
    <xf numFmtId="0" fontId="21" fillId="35" borderId="0" xfId="56" applyNumberFormat="1" applyFill="1" applyBorder="1" applyAlignment="1">
      <alignment horizontal="left" vertical="center"/>
    </xf>
    <xf numFmtId="0" fontId="19" fillId="35" borderId="0" xfId="50" quotePrefix="1" applyNumberFormat="1" applyFill="1" applyBorder="1" applyAlignment="1">
      <alignment horizontal="left" vertical="center"/>
    </xf>
    <xf numFmtId="0" fontId="17" fillId="35" borderId="0" xfId="49" quotePrefix="1" applyNumberFormat="1" applyFill="1" applyBorder="1" applyAlignment="1">
      <alignment horizontal="left" vertical="center"/>
    </xf>
    <xf numFmtId="3" fontId="21" fillId="35" borderId="0" xfId="56" quotePrefix="1" applyFill="1" applyBorder="1" applyAlignment="1">
      <alignment horizontal="left" vertical="center"/>
    </xf>
    <xf numFmtId="9" fontId="0" fillId="35" borderId="0" xfId="60" applyFont="1" applyFill="1" applyBorder="1" applyAlignment="1">
      <alignment vertical="center"/>
    </xf>
    <xf numFmtId="49" fontId="22" fillId="34" borderId="0" xfId="57" applyFont="1" applyBorder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11" xfId="0" applyBorder="1" applyAlignment="1">
      <alignment horizontal="center" vertical="center"/>
    </xf>
    <xf numFmtId="49" fontId="18" fillId="34" borderId="0" xfId="57" applyBorder="1" applyAlignment="1">
      <alignment horizontal="center" vertical="center"/>
    </xf>
    <xf numFmtId="49" fontId="18" fillId="34" borderId="13" xfId="57" applyBorder="1" applyAlignment="1">
      <alignment horizontal="center" vertical="center"/>
    </xf>
    <xf numFmtId="49" fontId="18" fillId="34" borderId="14" xfId="57" applyBorder="1" applyAlignment="1">
      <alignment horizontal="center" vertical="center"/>
    </xf>
  </cellXfs>
  <cellStyles count="61">
    <cellStyle name="20 % - Accent1" xfId="19" builtinId="30" hidden="1"/>
    <cellStyle name="20 % - Accent2" xfId="23" builtinId="34" hidden="1"/>
    <cellStyle name="20 % - Accent3" xfId="27" builtinId="38" hidden="1"/>
    <cellStyle name="20 % - Accent4" xfId="31" builtinId="42" hidden="1"/>
    <cellStyle name="20 % - Accent5" xfId="35" builtinId="46" hidden="1"/>
    <cellStyle name="20 % - Accent6" xfId="39" builtinId="50" hidden="1"/>
    <cellStyle name="40 % - Accent1" xfId="20" builtinId="31" hidden="1"/>
    <cellStyle name="40 % - Accent2" xfId="24" builtinId="35" hidden="1"/>
    <cellStyle name="40 % - Accent3" xfId="28" builtinId="39" hidden="1"/>
    <cellStyle name="40 % - Accent4" xfId="32" builtinId="43" hidden="1"/>
    <cellStyle name="40 % - Accent5" xfId="36" builtinId="47" hidden="1"/>
    <cellStyle name="40 % - Accent6" xfId="40" builtinId="51" hidden="1"/>
    <cellStyle name="60 % - Accent1" xfId="21" builtinId="32" hidden="1"/>
    <cellStyle name="60 % - Accent2" xfId="25" builtinId="36" hidden="1"/>
    <cellStyle name="60 % - Accent3" xfId="29" builtinId="40" hidden="1"/>
    <cellStyle name="60 % - Accent4" xfId="33" builtinId="44" hidden="1"/>
    <cellStyle name="60 % - Accent5" xfId="37" builtinId="48" hidden="1"/>
    <cellStyle name="60 % - Accent6" xfId="41" builtinId="52" hidden="1"/>
    <cellStyle name="A - Even" xfId="54"/>
    <cellStyle name="A - Odd" xfId="55"/>
    <cellStyle name="Accent1" xfId="18" builtinId="29" hidden="1"/>
    <cellStyle name="Accent2" xfId="22" builtinId="33" hidden="1"/>
    <cellStyle name="Accent3" xfId="26" builtinId="37" hidden="1"/>
    <cellStyle name="Accent4" xfId="30" builtinId="41" hidden="1"/>
    <cellStyle name="Accent5" xfId="34" builtinId="45" hidden="1"/>
    <cellStyle name="Accent6" xfId="38" builtinId="49" hidden="1"/>
    <cellStyle name="Avertissement" xfId="14" builtinId="11" hidden="1"/>
    <cellStyle name="B - Header" xfId="57"/>
    <cellStyle name="Blueprint" xfId="50"/>
    <cellStyle name="Calcul" xfId="11" builtinId="22" hidden="1"/>
    <cellStyle name="Cellule liée" xfId="12" builtinId="24" hidden="1"/>
    <cellStyle name="Credits" xfId="48"/>
    <cellStyle name="Entrée" xfId="9" builtinId="20" hidden="1"/>
    <cellStyle name="Epic" xfId="49"/>
    <cellStyle name="Insatisfaisant" xfId="52" builtinId="27" customBuiltin="1"/>
    <cellStyle name="Lien hypertexte" xfId="42" builtinId="8" hidden="1"/>
    <cellStyle name="Lien hypertexte" xfId="58" builtinId="8" hidden="1"/>
    <cellStyle name="Lien hypertexte" xfId="44" builtinId="8" hidden="1"/>
    <cellStyle name="Lien hypertexte" xfId="46" builtinId="8" hidden="1"/>
    <cellStyle name="Lien hypertexte visité" xfId="43" builtinId="9" hidden="1"/>
    <cellStyle name="Lien hypertexte visité" xfId="59" builtinId="9" hidden="1"/>
    <cellStyle name="Lien hypertexte visité" xfId="45" builtinId="9" hidden="1"/>
    <cellStyle name="Lien hypertexte visité" xfId="47" builtinId="9" hidden="1"/>
    <cellStyle name="Milliers [0]" xfId="1" builtinId="6" customBuiltin="1"/>
    <cellStyle name="Monétaire" xfId="2" builtinId="4" hidden="1"/>
    <cellStyle name="Monétaire [0]" xfId="3" builtinId="7" hidden="1"/>
    <cellStyle name="Neutre" xfId="53" builtinId="28" customBuiltin="1"/>
    <cellStyle name="Normal" xfId="0" builtinId="0" customBuiltin="1"/>
    <cellStyle name="Note" xfId="15" builtinId="10" hidden="1"/>
    <cellStyle name="Pourcentage" xfId="60" builtinId="5"/>
    <cellStyle name="Satisfaisant" xfId="51" builtinId="26" customBuiltin="1"/>
    <cellStyle name="Sortie" xfId="10" builtinId="21" hidden="1"/>
    <cellStyle name="Texte explicatif" xfId="16" builtinId="53" hidden="1"/>
    <cellStyle name="Titre" xfId="4" builtinId="15" hidden="1"/>
    <cellStyle name="Titre 1" xfId="5" builtinId="16" hidden="1"/>
    <cellStyle name="Titre 2" xfId="6" builtinId="17" hidden="1"/>
    <cellStyle name="Titre 3" xfId="7" builtinId="18" hidden="1"/>
    <cellStyle name="Titre 4" xfId="8" builtinId="19" hidden="1"/>
    <cellStyle name="Token" xfId="56"/>
    <cellStyle name="Total" xfId="17" builtinId="25" hidden="1"/>
    <cellStyle name="Vérification" xfId="13" builtinId="23" hidden="1"/>
  </cellStyles>
  <dxfs count="0"/>
  <tableStyles count="0" defaultTableStyle="TableStyleDark1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AG31"/>
  <sheetViews>
    <sheetView showGridLines="0" zoomScaleNormal="100" workbookViewId="0"/>
  </sheetViews>
  <sheetFormatPr baseColWidth="10" defaultColWidth="3.7109375" defaultRowHeight="18" customHeight="1" x14ac:dyDescent="0.2"/>
  <cols>
    <col min="2" max="2" width="16.7109375" style="12" customWidth="1"/>
    <col min="3" max="3" width="2" bestFit="1" customWidth="1"/>
    <col min="4" max="4" width="10.7109375" customWidth="1"/>
    <col min="5" max="9" width="10.7109375" style="2" customWidth="1"/>
    <col min="11" max="11" width="10.7109375" style="2" customWidth="1"/>
    <col min="13" max="13" width="16.7109375" style="12" customWidth="1"/>
    <col min="14" max="14" width="2" bestFit="1" customWidth="1"/>
    <col min="15" max="15" width="10.7109375" customWidth="1"/>
    <col min="16" max="20" width="10.7109375" style="2" customWidth="1"/>
    <col min="22" max="22" width="10.7109375" style="2" customWidth="1"/>
    <col min="24" max="24" width="16.7109375" style="12" customWidth="1"/>
    <col min="25" max="25" width="2" bestFit="1" customWidth="1"/>
    <col min="26" max="26" width="10.7109375" customWidth="1"/>
    <col min="27" max="31" width="10.7109375" style="2" customWidth="1"/>
    <col min="33" max="33" width="10.7109375" style="2" customWidth="1"/>
  </cols>
  <sheetData>
    <row r="1" spans="2:33" ht="50.1" customHeight="1" x14ac:dyDescent="0.2">
      <c r="B1" s="53">
        <v>199</v>
      </c>
      <c r="C1" s="78" t="s">
        <v>0</v>
      </c>
      <c r="D1" s="78"/>
      <c r="E1" s="78"/>
      <c r="F1" s="78"/>
      <c r="G1" s="78" t="s">
        <v>1</v>
      </c>
      <c r="H1" s="78"/>
      <c r="I1" s="78"/>
      <c r="J1" s="78"/>
      <c r="K1" s="78"/>
      <c r="M1" s="53">
        <v>199</v>
      </c>
      <c r="N1" s="78" t="s">
        <v>0</v>
      </c>
      <c r="O1" s="78"/>
      <c r="P1" s="78"/>
      <c r="Q1" s="78"/>
      <c r="R1" s="78" t="s">
        <v>1</v>
      </c>
      <c r="S1" s="78"/>
      <c r="T1" s="78"/>
      <c r="U1" s="78"/>
      <c r="V1" s="78"/>
      <c r="X1" s="53" t="s">
        <v>2</v>
      </c>
      <c r="Y1" s="78" t="s">
        <v>3</v>
      </c>
      <c r="Z1" s="78"/>
      <c r="AA1" s="78"/>
      <c r="AB1" s="78"/>
      <c r="AC1" s="78" t="s">
        <v>4</v>
      </c>
      <c r="AD1" s="78"/>
      <c r="AE1" s="78"/>
      <c r="AF1" s="78"/>
      <c r="AG1" s="78"/>
    </row>
    <row r="2" spans="2:33" ht="9" customHeight="1" x14ac:dyDescent="0.2"/>
    <row r="3" spans="2:33" ht="18" customHeight="1" x14ac:dyDescent="0.2">
      <c r="B3" s="23"/>
      <c r="C3" s="23"/>
      <c r="D3" s="23" t="s">
        <v>5</v>
      </c>
      <c r="E3" s="23" t="s">
        <v>6</v>
      </c>
      <c r="F3" s="23" t="s">
        <v>7</v>
      </c>
      <c r="G3" s="23" t="s">
        <v>8</v>
      </c>
      <c r="H3" s="23" t="s">
        <v>9</v>
      </c>
      <c r="I3" s="23" t="s">
        <v>10</v>
      </c>
      <c r="K3" s="23" t="s">
        <v>11</v>
      </c>
      <c r="M3" s="23"/>
      <c r="N3" s="23"/>
      <c r="O3" s="23" t="s">
        <v>5</v>
      </c>
      <c r="P3" s="23" t="s">
        <v>6</v>
      </c>
      <c r="Q3" s="23" t="s">
        <v>7</v>
      </c>
      <c r="R3" s="23" t="s">
        <v>8</v>
      </c>
      <c r="S3" s="23" t="s">
        <v>9</v>
      </c>
      <c r="T3" s="23" t="s">
        <v>10</v>
      </c>
      <c r="V3" s="23" t="s">
        <v>11</v>
      </c>
      <c r="X3" s="23"/>
      <c r="Y3" s="23"/>
      <c r="Z3" s="23" t="s">
        <v>5</v>
      </c>
      <c r="AA3" s="23" t="s">
        <v>6</v>
      </c>
      <c r="AB3" s="23" t="s">
        <v>7</v>
      </c>
      <c r="AC3" s="23" t="s">
        <v>8</v>
      </c>
      <c r="AD3" s="23" t="s">
        <v>9</v>
      </c>
      <c r="AE3" s="23" t="s">
        <v>10</v>
      </c>
      <c r="AG3" s="23" t="s">
        <v>11</v>
      </c>
    </row>
    <row r="4" spans="2:33" ht="18" customHeight="1" x14ac:dyDescent="0.2">
      <c r="B4" s="12" t="s">
        <v>12</v>
      </c>
      <c r="C4" t="s">
        <v>13</v>
      </c>
      <c r="D4" s="2">
        <f>blueprint!O205</f>
        <v>85</v>
      </c>
      <c r="E4" s="2">
        <f>blueprint!P205</f>
        <v>25</v>
      </c>
      <c r="F4" s="2">
        <f>blueprint!Q205</f>
        <v>29</v>
      </c>
      <c r="G4" s="2">
        <f>blueprint!R205</f>
        <v>38</v>
      </c>
      <c r="H4" s="2">
        <f>blueprint!S205</f>
        <v>54</v>
      </c>
      <c r="I4" s="67">
        <f>blueprint!T205</f>
        <v>69</v>
      </c>
      <c r="J4" s="2"/>
      <c r="K4" s="67">
        <f>SUM(D4:I4)</f>
        <v>300</v>
      </c>
      <c r="M4" s="12" t="s">
        <v>12</v>
      </c>
      <c r="N4" t="s">
        <v>13</v>
      </c>
      <c r="O4" s="74" t="str">
        <f>CONCATENATE(Z$4,$M1)</f>
        <v>=BPS!O199</v>
      </c>
      <c r="P4" s="74" t="str">
        <f t="shared" ref="P4:T4" si="0">CONCATENATE(AA$4,$M1)</f>
        <v>=BPS!P199</v>
      </c>
      <c r="Q4" s="74" t="str">
        <f t="shared" si="0"/>
        <v>=BPS!Q199</v>
      </c>
      <c r="R4" s="74" t="str">
        <f t="shared" si="0"/>
        <v>=BPS!R199</v>
      </c>
      <c r="S4" s="74" t="str">
        <f t="shared" si="0"/>
        <v>=BPS!S199</v>
      </c>
      <c r="T4" s="74" t="str">
        <f t="shared" si="0"/>
        <v>=BPS!T199</v>
      </c>
      <c r="U4" s="1"/>
      <c r="V4" s="70" t="s">
        <v>14</v>
      </c>
      <c r="X4" s="12" t="s">
        <v>12</v>
      </c>
      <c r="Y4" t="s">
        <v>13</v>
      </c>
      <c r="Z4" s="57" t="s">
        <v>15</v>
      </c>
      <c r="AA4" s="57" t="s">
        <v>16</v>
      </c>
      <c r="AB4" s="57" t="s">
        <v>17</v>
      </c>
      <c r="AC4" s="57" t="s">
        <v>18</v>
      </c>
      <c r="AD4" s="57" t="s">
        <v>19</v>
      </c>
      <c r="AE4" s="57" t="s">
        <v>20</v>
      </c>
      <c r="AF4" s="55"/>
      <c r="AG4" s="56"/>
    </row>
    <row r="5" spans="2:33" ht="18" customHeight="1" x14ac:dyDescent="0.2">
      <c r="B5" s="12" t="s">
        <v>21</v>
      </c>
      <c r="C5" t="s">
        <v>13</v>
      </c>
      <c r="D5" s="24">
        <f>blueprint!W205</f>
        <v>9</v>
      </c>
      <c r="E5" s="24">
        <f>blueprint!X205</f>
        <v>0</v>
      </c>
      <c r="F5" s="24">
        <f>blueprint!Y205</f>
        <v>0</v>
      </c>
      <c r="G5" s="24">
        <f>blueprint!Z205</f>
        <v>0</v>
      </c>
      <c r="H5" s="24">
        <f>blueprint!AA205</f>
        <v>0</v>
      </c>
      <c r="I5" s="24">
        <f>blueprint!AB205</f>
        <v>0</v>
      </c>
      <c r="K5" s="24">
        <f>SUM(D5:I5)</f>
        <v>9</v>
      </c>
      <c r="M5" s="12" t="s">
        <v>21</v>
      </c>
      <c r="N5" t="s">
        <v>13</v>
      </c>
      <c r="O5" s="74" t="str">
        <f>CONCATENATE(Z$5,$M$1)</f>
        <v>=BPS!W199</v>
      </c>
      <c r="P5" s="74" t="str">
        <f t="shared" ref="P5:T5" si="1">CONCATENATE(AA$5,$M$1)</f>
        <v>=BPS!X199</v>
      </c>
      <c r="Q5" s="74" t="str">
        <f t="shared" si="1"/>
        <v>=BPS!Y199</v>
      </c>
      <c r="R5" s="74" t="str">
        <f t="shared" si="1"/>
        <v>=BPS!Z199</v>
      </c>
      <c r="S5" s="74" t="str">
        <f t="shared" si="1"/>
        <v>=BPS!AA199</v>
      </c>
      <c r="T5" s="74" t="str">
        <f t="shared" si="1"/>
        <v>=BPS!AB199</v>
      </c>
      <c r="U5" s="1"/>
      <c r="V5" s="70" t="s">
        <v>22</v>
      </c>
      <c r="X5" s="12" t="s">
        <v>21</v>
      </c>
      <c r="Y5" t="s">
        <v>13</v>
      </c>
      <c r="Z5" s="57" t="s">
        <v>23</v>
      </c>
      <c r="AA5" s="57" t="s">
        <v>24</v>
      </c>
      <c r="AB5" s="57" t="s">
        <v>25</v>
      </c>
      <c r="AC5" s="57" t="s">
        <v>26</v>
      </c>
      <c r="AD5" s="57" t="s">
        <v>27</v>
      </c>
      <c r="AE5" s="57" t="s">
        <v>28</v>
      </c>
      <c r="AF5" s="55"/>
      <c r="AG5" s="56"/>
    </row>
    <row r="6" spans="2:33" ht="18" customHeight="1" x14ac:dyDescent="0.2">
      <c r="B6" s="12" t="s">
        <v>29</v>
      </c>
      <c r="C6" t="s">
        <v>13</v>
      </c>
      <c r="D6" s="40">
        <f>blueprint!AE205</f>
        <v>76</v>
      </c>
      <c r="E6" s="40">
        <f>blueprint!AF205</f>
        <v>25</v>
      </c>
      <c r="F6" s="40">
        <f>blueprint!AG205</f>
        <v>29</v>
      </c>
      <c r="G6" s="40">
        <f>blueprint!AH205</f>
        <v>38</v>
      </c>
      <c r="H6" s="40">
        <f>blueprint!AI205</f>
        <v>54</v>
      </c>
      <c r="I6" s="40">
        <f>blueprint!AJ205</f>
        <v>69</v>
      </c>
      <c r="K6" s="40">
        <f>SUM(D6:I6)</f>
        <v>291</v>
      </c>
      <c r="M6" s="12" t="s">
        <v>29</v>
      </c>
      <c r="N6" t="s">
        <v>13</v>
      </c>
      <c r="O6" s="75" t="str">
        <f>CONCATENATE(Z$6,$M$1)</f>
        <v>=BPS!AE199</v>
      </c>
      <c r="P6" s="75" t="str">
        <f t="shared" ref="P6:T6" si="2">CONCATENATE(AA$6,$M$1)</f>
        <v>=BPS!AF199</v>
      </c>
      <c r="Q6" s="75" t="str">
        <f t="shared" si="2"/>
        <v>=BPS!AG199</v>
      </c>
      <c r="R6" s="75" t="str">
        <f t="shared" si="2"/>
        <v>=BPS!AH199</v>
      </c>
      <c r="S6" s="75" t="str">
        <f t="shared" si="2"/>
        <v>=BPS!AI199</v>
      </c>
      <c r="T6" s="75" t="str">
        <f t="shared" si="2"/>
        <v>=BPS!AJ199</v>
      </c>
      <c r="U6" s="1"/>
      <c r="V6" s="75" t="s">
        <v>30</v>
      </c>
      <c r="X6" s="12" t="s">
        <v>29</v>
      </c>
      <c r="Y6" t="s">
        <v>13</v>
      </c>
      <c r="Z6" s="58" t="s">
        <v>31</v>
      </c>
      <c r="AA6" s="58" t="s">
        <v>32</v>
      </c>
      <c r="AB6" s="58" t="s">
        <v>33</v>
      </c>
      <c r="AC6" s="58" t="s">
        <v>34</v>
      </c>
      <c r="AD6" s="58" t="s">
        <v>35</v>
      </c>
      <c r="AE6" s="58" t="s">
        <v>36</v>
      </c>
      <c r="AF6" s="55"/>
      <c r="AG6" s="58"/>
    </row>
    <row r="7" spans="2:33" ht="18" customHeight="1" x14ac:dyDescent="0.2">
      <c r="B7" s="12" t="s">
        <v>37</v>
      </c>
      <c r="C7" t="s">
        <v>13</v>
      </c>
      <c r="D7" s="2" t="e">
        <f>ROUNDUP(D6/#REF!,0)</f>
        <v>#REF!</v>
      </c>
      <c r="E7" s="2" t="e">
        <f>ROUNDUP(E6/#REF!,0)</f>
        <v>#REF!</v>
      </c>
      <c r="F7" s="2" t="e">
        <f>ROUNDUP(F6/#REF!,0)</f>
        <v>#REF!</v>
      </c>
      <c r="G7" s="2" t="e">
        <f>ROUNDUP(G6/#REF!,0)</f>
        <v>#REF!</v>
      </c>
      <c r="H7" s="2" t="e">
        <f>ROUNDUP(H6/#REF!,0)</f>
        <v>#REF!</v>
      </c>
      <c r="I7" s="2" t="e">
        <f>ROUNDUP(I6/#REF!,0)</f>
        <v>#REF!</v>
      </c>
      <c r="K7" s="67" t="e">
        <f>SUM(D7:I7)</f>
        <v>#REF!</v>
      </c>
      <c r="M7" s="12" t="s">
        <v>37</v>
      </c>
      <c r="N7" t="s">
        <v>13</v>
      </c>
      <c r="O7" s="1" t="s">
        <v>38</v>
      </c>
      <c r="P7" s="1" t="s">
        <v>39</v>
      </c>
      <c r="Q7" s="1" t="s">
        <v>40</v>
      </c>
      <c r="R7" s="1" t="s">
        <v>41</v>
      </c>
      <c r="S7" s="1" t="s">
        <v>42</v>
      </c>
      <c r="T7" s="1" t="s">
        <v>43</v>
      </c>
      <c r="U7" s="1"/>
      <c r="V7" s="70" t="s">
        <v>44</v>
      </c>
      <c r="X7" s="12" t="s">
        <v>37</v>
      </c>
      <c r="Y7" t="s">
        <v>13</v>
      </c>
      <c r="Z7" s="1"/>
      <c r="AA7" s="1"/>
      <c r="AB7" s="1"/>
      <c r="AC7" s="1"/>
      <c r="AD7" s="1"/>
      <c r="AE7" s="1"/>
      <c r="AF7" s="1"/>
      <c r="AG7" s="1"/>
    </row>
    <row r="8" spans="2:33" ht="18" customHeight="1" x14ac:dyDescent="0.2">
      <c r="B8" s="12" t="s">
        <v>45</v>
      </c>
      <c r="C8" t="s">
        <v>13</v>
      </c>
      <c r="D8" s="25" t="e">
        <f>D7*#REF!</f>
        <v>#REF!</v>
      </c>
      <c r="E8" s="25" t="e">
        <f>E7*#REF!</f>
        <v>#REF!</v>
      </c>
      <c r="F8" s="25" t="e">
        <f>F7*#REF!</f>
        <v>#REF!</v>
      </c>
      <c r="G8" s="25" t="e">
        <f>G7*#REF!</f>
        <v>#REF!</v>
      </c>
      <c r="H8" s="25" t="e">
        <f>H7*#REF!</f>
        <v>#REF!</v>
      </c>
      <c r="I8" s="25" t="e">
        <f>I7*#REF!</f>
        <v>#REF!</v>
      </c>
      <c r="K8" s="25" t="e">
        <f>SUM(D8:I8)</f>
        <v>#REF!</v>
      </c>
      <c r="M8" s="12" t="s">
        <v>45</v>
      </c>
      <c r="N8" t="s">
        <v>13</v>
      </c>
      <c r="O8" s="73" t="s">
        <v>46</v>
      </c>
      <c r="P8" s="73" t="s">
        <v>47</v>
      </c>
      <c r="Q8" s="73" t="s">
        <v>48</v>
      </c>
      <c r="R8" s="73" t="s">
        <v>49</v>
      </c>
      <c r="S8" s="73" t="s">
        <v>50</v>
      </c>
      <c r="T8" s="73" t="s">
        <v>51</v>
      </c>
      <c r="U8" s="1"/>
      <c r="V8" s="71" t="s">
        <v>52</v>
      </c>
      <c r="X8" s="12" t="s">
        <v>45</v>
      </c>
      <c r="Y8" t="s">
        <v>13</v>
      </c>
      <c r="Z8" s="54"/>
      <c r="AA8" s="54"/>
      <c r="AB8" s="54"/>
      <c r="AC8" s="54"/>
      <c r="AD8" s="54"/>
      <c r="AE8" s="54"/>
      <c r="AF8" s="1"/>
      <c r="AG8" s="54"/>
    </row>
    <row r="9" spans="2:33" ht="18" customHeight="1" x14ac:dyDescent="0.2">
      <c r="B9" s="12" t="s">
        <v>53</v>
      </c>
      <c r="C9" t="s">
        <v>13</v>
      </c>
      <c r="D9" s="25" t="e">
        <f>#REF!-Cars!D8</f>
        <v>#REF!</v>
      </c>
      <c r="E9" s="25" t="e">
        <f>D9-E8</f>
        <v>#REF!</v>
      </c>
      <c r="F9" s="25" t="e">
        <f>E9-F8</f>
        <v>#REF!</v>
      </c>
      <c r="G9" s="25" t="e">
        <f>F9-G8</f>
        <v>#REF!</v>
      </c>
      <c r="H9" s="25" t="e">
        <f>G9-H8</f>
        <v>#REF!</v>
      </c>
      <c r="I9" s="25" t="e">
        <f>H9-I8</f>
        <v>#REF!</v>
      </c>
      <c r="K9" s="25" t="e">
        <f>#REF!-Cars!K8</f>
        <v>#REF!</v>
      </c>
      <c r="M9" s="12" t="s">
        <v>53</v>
      </c>
      <c r="N9" t="s">
        <v>13</v>
      </c>
      <c r="O9" s="71" t="s">
        <v>54</v>
      </c>
      <c r="P9" s="71" t="s">
        <v>55</v>
      </c>
      <c r="Q9" s="76" t="s">
        <v>56</v>
      </c>
      <c r="R9" s="73" t="s">
        <v>57</v>
      </c>
      <c r="S9" s="73" t="s">
        <v>58</v>
      </c>
      <c r="T9" s="73" t="s">
        <v>59</v>
      </c>
      <c r="U9" s="1"/>
      <c r="V9" s="71" t="s">
        <v>60</v>
      </c>
      <c r="X9" s="12" t="s">
        <v>53</v>
      </c>
      <c r="Y9" t="s">
        <v>13</v>
      </c>
      <c r="Z9" s="54"/>
      <c r="AA9" s="54"/>
      <c r="AB9" s="54"/>
      <c r="AC9" s="54"/>
      <c r="AD9" s="54"/>
      <c r="AE9" s="54"/>
      <c r="AF9" s="1"/>
      <c r="AG9" s="54"/>
    </row>
    <row r="12" spans="2:33" ht="50.1" customHeight="1" x14ac:dyDescent="0.2">
      <c r="B12" s="52">
        <v>190</v>
      </c>
      <c r="C12" s="78" t="s">
        <v>61</v>
      </c>
      <c r="D12" s="78"/>
      <c r="E12" s="78"/>
      <c r="F12" s="78"/>
      <c r="G12" s="78" t="s">
        <v>62</v>
      </c>
      <c r="H12" s="78"/>
      <c r="I12" s="78"/>
      <c r="J12" s="78"/>
      <c r="K12" s="78"/>
      <c r="M12" s="52">
        <v>190</v>
      </c>
      <c r="N12" s="78" t="s">
        <v>61</v>
      </c>
      <c r="O12" s="78"/>
      <c r="P12" s="78"/>
      <c r="Q12" s="78"/>
      <c r="R12" s="78" t="s">
        <v>62</v>
      </c>
      <c r="S12" s="78"/>
      <c r="T12" s="78"/>
      <c r="U12" s="78"/>
      <c r="V12" s="78"/>
    </row>
    <row r="14" spans="2:33" ht="18" customHeight="1" x14ac:dyDescent="0.2">
      <c r="B14" s="23"/>
      <c r="C14" s="23"/>
      <c r="D14" s="23" t="s">
        <v>5</v>
      </c>
      <c r="E14" s="23" t="s">
        <v>6</v>
      </c>
      <c r="F14" s="23" t="s">
        <v>7</v>
      </c>
      <c r="G14" s="23" t="s">
        <v>8</v>
      </c>
      <c r="H14" s="23" t="s">
        <v>9</v>
      </c>
      <c r="I14" s="23" t="s">
        <v>10</v>
      </c>
      <c r="K14" s="23" t="s">
        <v>11</v>
      </c>
      <c r="M14" s="23"/>
      <c r="N14" s="23"/>
      <c r="O14" s="23" t="s">
        <v>5</v>
      </c>
      <c r="P14" s="23" t="s">
        <v>6</v>
      </c>
      <c r="Q14" s="23" t="s">
        <v>7</v>
      </c>
      <c r="R14" s="23" t="s">
        <v>8</v>
      </c>
      <c r="S14" s="23" t="s">
        <v>9</v>
      </c>
      <c r="T14" s="23" t="s">
        <v>10</v>
      </c>
      <c r="V14" s="23" t="s">
        <v>11</v>
      </c>
    </row>
    <row r="15" spans="2:33" ht="18" customHeight="1" x14ac:dyDescent="0.2">
      <c r="B15" s="12" t="s">
        <v>12</v>
      </c>
      <c r="C15" t="s">
        <v>13</v>
      </c>
      <c r="D15" s="2">
        <f>blueprint!O196</f>
        <v>85</v>
      </c>
      <c r="E15" s="2">
        <f>blueprint!P196</f>
        <v>25</v>
      </c>
      <c r="F15" s="2">
        <f>blueprint!Q196</f>
        <v>29</v>
      </c>
      <c r="G15" s="2">
        <f>blueprint!R196</f>
        <v>38</v>
      </c>
      <c r="H15" s="2">
        <f>blueprint!S196</f>
        <v>54</v>
      </c>
      <c r="I15" s="2">
        <f>blueprint!T196</f>
        <v>69</v>
      </c>
      <c r="J15" s="2"/>
      <c r="K15" s="2">
        <f>SUM(D15:I15)</f>
        <v>300</v>
      </c>
      <c r="M15" s="12" t="s">
        <v>12</v>
      </c>
      <c r="N15" t="s">
        <v>13</v>
      </c>
      <c r="O15" s="68" t="str">
        <f>CONCATENATE(Z$4,$M$12)</f>
        <v>=BPS!O190</v>
      </c>
      <c r="P15" s="68" t="str">
        <f t="shared" ref="P15:T15" si="3">CONCATENATE(AA$4,$M$12)</f>
        <v>=BPS!P190</v>
      </c>
      <c r="Q15" s="68" t="str">
        <f t="shared" si="3"/>
        <v>=BPS!Q190</v>
      </c>
      <c r="R15" s="68" t="str">
        <f t="shared" si="3"/>
        <v>=BPS!R190</v>
      </c>
      <c r="S15" s="68" t="str">
        <f t="shared" si="3"/>
        <v>=BPS!S190</v>
      </c>
      <c r="T15" s="68" t="str">
        <f t="shared" si="3"/>
        <v>=BPS!T190</v>
      </c>
      <c r="U15" s="2"/>
    </row>
    <row r="16" spans="2:33" ht="18" customHeight="1" x14ac:dyDescent="0.2">
      <c r="B16" s="12" t="s">
        <v>21</v>
      </c>
      <c r="C16" t="s">
        <v>13</v>
      </c>
      <c r="D16" s="24">
        <f>blueprint!W196</f>
        <v>6</v>
      </c>
      <c r="E16" s="24">
        <f>blueprint!X196</f>
        <v>0</v>
      </c>
      <c r="F16" s="24">
        <f>blueprint!Y196</f>
        <v>0</v>
      </c>
      <c r="G16" s="24">
        <f>blueprint!Z196</f>
        <v>0</v>
      </c>
      <c r="H16" s="24">
        <f>blueprint!AA196</f>
        <v>0</v>
      </c>
      <c r="I16" s="24">
        <f>blueprint!AB196</f>
        <v>0</v>
      </c>
      <c r="K16" s="24">
        <f>SUM(D16:I16)</f>
        <v>6</v>
      </c>
      <c r="M16" s="12" t="s">
        <v>21</v>
      </c>
      <c r="N16" t="s">
        <v>13</v>
      </c>
      <c r="O16" s="68" t="str">
        <f>CONCATENATE(Z$5,$M$12)</f>
        <v>=BPS!W190</v>
      </c>
      <c r="P16" s="68" t="str">
        <f t="shared" ref="P16:T16" si="4">CONCATENATE(AA$5,$M$12)</f>
        <v>=BPS!X190</v>
      </c>
      <c r="Q16" s="68" t="str">
        <f t="shared" si="4"/>
        <v>=BPS!Y190</v>
      </c>
      <c r="R16" s="68" t="str">
        <f t="shared" si="4"/>
        <v>=BPS!Z190</v>
      </c>
      <c r="S16" s="68" t="str">
        <f t="shared" si="4"/>
        <v>=BPS!AA190</v>
      </c>
      <c r="T16" s="68" t="str">
        <f t="shared" si="4"/>
        <v>=BPS!AB190</v>
      </c>
      <c r="V16" s="68"/>
    </row>
    <row r="17" spans="2:33" ht="18" customHeight="1" x14ac:dyDescent="0.2">
      <c r="B17" s="12" t="s">
        <v>29</v>
      </c>
      <c r="C17" t="s">
        <v>13</v>
      </c>
      <c r="D17" s="40">
        <f>blueprint!AE196</f>
        <v>79</v>
      </c>
      <c r="E17" s="40">
        <f>blueprint!AF196</f>
        <v>25</v>
      </c>
      <c r="F17" s="40">
        <f>blueprint!AG196</f>
        <v>29</v>
      </c>
      <c r="G17" s="40">
        <f>blueprint!AH196</f>
        <v>38</v>
      </c>
      <c r="H17" s="40">
        <f>blueprint!AI196</f>
        <v>54</v>
      </c>
      <c r="I17" s="40">
        <f>blueprint!AJ196</f>
        <v>69</v>
      </c>
      <c r="K17" s="40">
        <f>SUM(D17:I17)</f>
        <v>294</v>
      </c>
      <c r="M17" s="12" t="s">
        <v>29</v>
      </c>
      <c r="N17" t="s">
        <v>13</v>
      </c>
      <c r="O17" s="69" t="str">
        <f>CONCATENATE(Z$6,$M$12)</f>
        <v>=BPS!AE190</v>
      </c>
      <c r="P17" s="69" t="str">
        <f t="shared" ref="P17:T17" si="5">CONCATENATE(AA$6,$M$12)</f>
        <v>=BPS!AF190</v>
      </c>
      <c r="Q17" s="69" t="str">
        <f t="shared" si="5"/>
        <v>=BPS!AG190</v>
      </c>
      <c r="R17" s="69" t="str">
        <f t="shared" si="5"/>
        <v>=BPS!AH190</v>
      </c>
      <c r="S17" s="69" t="str">
        <f t="shared" si="5"/>
        <v>=BPS!AI190</v>
      </c>
      <c r="T17" s="69" t="str">
        <f t="shared" si="5"/>
        <v>=BPS!AJ190</v>
      </c>
      <c r="V17" s="69"/>
    </row>
    <row r="18" spans="2:33" ht="18" customHeight="1" x14ac:dyDescent="0.2">
      <c r="B18" s="12" t="s">
        <v>37</v>
      </c>
      <c r="C18" t="s">
        <v>13</v>
      </c>
      <c r="D18" s="2" t="e">
        <f>ROUNDUP(D17/#REF!,0)</f>
        <v>#REF!</v>
      </c>
      <c r="E18" s="2" t="e">
        <f>ROUNDUP(E17/#REF!,0)</f>
        <v>#REF!</v>
      </c>
      <c r="F18" s="2" t="e">
        <f>ROUNDUP(F17/#REF!,0)</f>
        <v>#REF!</v>
      </c>
      <c r="G18" s="2" t="e">
        <f>ROUNDUP(G17/#REF!,0)</f>
        <v>#REF!</v>
      </c>
      <c r="H18" s="2" t="e">
        <f>ROUNDUP(H17/#REF!,0)</f>
        <v>#REF!</v>
      </c>
      <c r="I18" s="2" t="e">
        <f>ROUNDUP(I17/#REF!,0)</f>
        <v>#REF!</v>
      </c>
      <c r="K18" s="2" t="e">
        <f>SUM(D18:I18)</f>
        <v>#REF!</v>
      </c>
      <c r="M18" s="12" t="s">
        <v>37</v>
      </c>
      <c r="N18" t="s">
        <v>13</v>
      </c>
      <c r="O18" s="70"/>
      <c r="P18" s="70"/>
      <c r="Q18" s="1"/>
      <c r="R18" s="1"/>
      <c r="S18" s="1"/>
      <c r="T18" s="1"/>
    </row>
    <row r="19" spans="2:33" ht="18" customHeight="1" x14ac:dyDescent="0.2">
      <c r="B19" s="12" t="s">
        <v>45</v>
      </c>
      <c r="C19" t="s">
        <v>13</v>
      </c>
      <c r="D19" s="25" t="e">
        <f>D18*#REF!</f>
        <v>#REF!</v>
      </c>
      <c r="E19" s="25" t="e">
        <f>E18*#REF!</f>
        <v>#REF!</v>
      </c>
      <c r="F19" s="25" t="e">
        <f>F18*#REF!</f>
        <v>#REF!</v>
      </c>
      <c r="G19" s="25" t="e">
        <f>G18*#REF!</f>
        <v>#REF!</v>
      </c>
      <c r="H19" s="25" t="e">
        <f>H18*#REF!</f>
        <v>#REF!</v>
      </c>
      <c r="I19" s="25" t="e">
        <f>I18*#REF!</f>
        <v>#REF!</v>
      </c>
      <c r="K19" s="25" t="e">
        <f>SUM(D19:I19)</f>
        <v>#REF!</v>
      </c>
      <c r="M19" s="12" t="s">
        <v>45</v>
      </c>
      <c r="N19" t="s">
        <v>13</v>
      </c>
      <c r="O19" s="71"/>
      <c r="P19" s="71"/>
      <c r="Q19" s="71"/>
      <c r="R19" s="71"/>
      <c r="S19" s="71"/>
      <c r="T19" s="71"/>
      <c r="V19" s="72"/>
    </row>
    <row r="20" spans="2:33" ht="18" customHeight="1" x14ac:dyDescent="0.2">
      <c r="B20" s="12" t="s">
        <v>53</v>
      </c>
      <c r="C20" t="s">
        <v>13</v>
      </c>
      <c r="D20" s="25" t="e">
        <f>#REF!-Cars!D19</f>
        <v>#REF!</v>
      </c>
      <c r="E20" s="25" t="e">
        <f>D20-E19</f>
        <v>#REF!</v>
      </c>
      <c r="F20" s="25" t="e">
        <f>E20-F19</f>
        <v>#REF!</v>
      </c>
      <c r="G20" s="25" t="e">
        <f>F20-G19</f>
        <v>#REF!</v>
      </c>
      <c r="H20" s="25" t="e">
        <f>G20-H19</f>
        <v>#REF!</v>
      </c>
      <c r="I20" s="25" t="e">
        <f>H20-I19</f>
        <v>#REF!</v>
      </c>
      <c r="K20" s="25" t="e">
        <f>#REF!-Cars!K19</f>
        <v>#REF!</v>
      </c>
      <c r="M20" s="12" t="s">
        <v>53</v>
      </c>
      <c r="N20" t="s">
        <v>13</v>
      </c>
      <c r="O20" s="71"/>
      <c r="P20" s="71"/>
      <c r="Q20" s="71"/>
      <c r="R20" s="73"/>
      <c r="S20" s="73"/>
      <c r="T20" s="73"/>
      <c r="V20" s="72"/>
    </row>
    <row r="21" spans="2:33" ht="18" customHeight="1" x14ac:dyDescent="0.2">
      <c r="D21" s="25"/>
      <c r="E21" s="25"/>
      <c r="F21" s="25"/>
      <c r="G21" s="25"/>
      <c r="H21" s="25"/>
      <c r="I21" s="25"/>
      <c r="K21" s="25"/>
      <c r="O21" s="54"/>
      <c r="P21" s="54"/>
      <c r="Q21" s="54"/>
      <c r="R21" s="54"/>
      <c r="S21" s="54"/>
      <c r="T21" s="54"/>
      <c r="U21" s="1"/>
      <c r="V21" s="54"/>
    </row>
    <row r="22" spans="2:33" ht="18" customHeight="1" x14ac:dyDescent="0.2">
      <c r="D22" s="25"/>
      <c r="E22" s="25"/>
      <c r="F22" s="25"/>
      <c r="G22" s="25"/>
      <c r="H22" s="25"/>
      <c r="I22" s="25"/>
      <c r="K22" s="25"/>
      <c r="O22" s="54"/>
      <c r="P22" s="54"/>
      <c r="Q22" s="54"/>
      <c r="R22" s="54"/>
      <c r="S22" s="54"/>
      <c r="T22" s="54"/>
      <c r="U22" s="1"/>
      <c r="V22" s="54"/>
    </row>
    <row r="23" spans="2:33" ht="50.1" customHeight="1" x14ac:dyDescent="0.2">
      <c r="B23" s="53">
        <v>184</v>
      </c>
      <c r="C23" s="78" t="s">
        <v>63</v>
      </c>
      <c r="D23" s="78"/>
      <c r="E23" s="78"/>
      <c r="F23" s="78"/>
      <c r="G23" s="78" t="s">
        <v>64</v>
      </c>
      <c r="H23" s="78"/>
      <c r="I23" s="78"/>
      <c r="J23" s="78"/>
      <c r="K23" s="78"/>
      <c r="M23" s="53">
        <v>184</v>
      </c>
      <c r="N23" s="78" t="s">
        <v>63</v>
      </c>
      <c r="O23" s="78"/>
      <c r="P23" s="78"/>
      <c r="Q23" s="78"/>
      <c r="R23" s="78" t="s">
        <v>64</v>
      </c>
      <c r="S23" s="78"/>
      <c r="T23" s="78"/>
      <c r="U23" s="78"/>
      <c r="V23" s="78"/>
    </row>
    <row r="24" spans="2:33" ht="9" customHeight="1" x14ac:dyDescent="0.2"/>
    <row r="25" spans="2:33" ht="18" customHeight="1" x14ac:dyDescent="0.2">
      <c r="B25" s="23"/>
      <c r="C25" s="23"/>
      <c r="D25" s="23" t="s">
        <v>5</v>
      </c>
      <c r="E25" s="23" t="s">
        <v>6</v>
      </c>
      <c r="F25" s="23" t="s">
        <v>7</v>
      </c>
      <c r="G25" s="23" t="s">
        <v>8</v>
      </c>
      <c r="H25" s="23" t="s">
        <v>9</v>
      </c>
      <c r="I25" s="23" t="s">
        <v>10</v>
      </c>
      <c r="K25" s="23" t="s">
        <v>11</v>
      </c>
      <c r="M25" s="12" t="s">
        <v>12</v>
      </c>
      <c r="N25" t="s">
        <v>13</v>
      </c>
      <c r="O25" s="68" t="str">
        <f>CONCATENATE(Z$4,$M$23)</f>
        <v>=BPS!O184</v>
      </c>
      <c r="P25" s="68" t="str">
        <f t="shared" ref="P25:T25" si="6">CONCATENATE(AA$4,$M$23)</f>
        <v>=BPS!P184</v>
      </c>
      <c r="Q25" s="68" t="str">
        <f t="shared" si="6"/>
        <v>=BPS!Q184</v>
      </c>
      <c r="R25" s="68" t="str">
        <f t="shared" si="6"/>
        <v>=BPS!R184</v>
      </c>
      <c r="S25" s="68" t="str">
        <f t="shared" si="6"/>
        <v>=BPS!S184</v>
      </c>
      <c r="T25" s="68" t="str">
        <f t="shared" si="6"/>
        <v>=BPS!T184</v>
      </c>
      <c r="U25" s="1"/>
      <c r="V25" s="54"/>
    </row>
    <row r="26" spans="2:33" ht="18" customHeight="1" x14ac:dyDescent="0.2">
      <c r="B26" s="12" t="s">
        <v>12</v>
      </c>
      <c r="C26" t="s">
        <v>13</v>
      </c>
      <c r="D26" s="2">
        <f>blueprint!O190</f>
        <v>85</v>
      </c>
      <c r="E26" s="2">
        <f>blueprint!P190</f>
        <v>25</v>
      </c>
      <c r="F26" s="2">
        <f>blueprint!Q190</f>
        <v>29</v>
      </c>
      <c r="G26" s="2">
        <f>blueprint!R190</f>
        <v>38</v>
      </c>
      <c r="H26" s="2">
        <f>blueprint!S190</f>
        <v>54</v>
      </c>
      <c r="I26" s="2">
        <f>blueprint!T190</f>
        <v>69</v>
      </c>
      <c r="J26" s="2"/>
      <c r="K26" s="2">
        <f>SUM(D26:I26)</f>
        <v>300</v>
      </c>
      <c r="M26" s="12" t="s">
        <v>21</v>
      </c>
      <c r="N26" t="s">
        <v>13</v>
      </c>
      <c r="O26" s="68" t="str">
        <f>CONCATENATE(Z$5,$M$23)</f>
        <v>=BPS!W184</v>
      </c>
      <c r="P26" s="68" t="str">
        <f t="shared" ref="P26:T26" si="7">CONCATENATE(AA$5,$M$23)</f>
        <v>=BPS!X184</v>
      </c>
      <c r="Q26" s="68" t="str">
        <f t="shared" si="7"/>
        <v>=BPS!Y184</v>
      </c>
      <c r="R26" s="68" t="str">
        <f t="shared" si="7"/>
        <v>=BPS!Z184</v>
      </c>
      <c r="S26" s="68" t="str">
        <f t="shared" si="7"/>
        <v>=BPS!AA184</v>
      </c>
      <c r="T26" s="68" t="str">
        <f t="shared" si="7"/>
        <v>=BPS!AB184</v>
      </c>
      <c r="U26" s="1"/>
      <c r="V26" s="54"/>
      <c r="Z26" s="54"/>
      <c r="AA26" s="54"/>
      <c r="AB26" s="54"/>
      <c r="AC26" s="54"/>
      <c r="AD26" s="54"/>
      <c r="AE26" s="54"/>
      <c r="AF26" s="1"/>
      <c r="AG26" s="54"/>
    </row>
    <row r="27" spans="2:33" ht="18" customHeight="1" x14ac:dyDescent="0.2">
      <c r="B27" s="12" t="s">
        <v>21</v>
      </c>
      <c r="C27" t="s">
        <v>13</v>
      </c>
      <c r="D27" s="24">
        <f>blueprint!W190</f>
        <v>21</v>
      </c>
      <c r="E27" s="24">
        <f>blueprint!X190</f>
        <v>0</v>
      </c>
      <c r="F27" s="24">
        <f>blueprint!Y190</f>
        <v>0</v>
      </c>
      <c r="G27" s="24">
        <f>blueprint!Z190</f>
        <v>0</v>
      </c>
      <c r="H27" s="24">
        <f>blueprint!AA190</f>
        <v>0</v>
      </c>
      <c r="I27" s="24">
        <f>blueprint!AB190</f>
        <v>0</v>
      </c>
      <c r="K27" s="2">
        <f>SUM(D27:I27)</f>
        <v>21</v>
      </c>
      <c r="M27" s="12" t="s">
        <v>29</v>
      </c>
      <c r="N27" t="s">
        <v>13</v>
      </c>
      <c r="O27" s="69" t="str">
        <f>CONCATENATE(Z$6,$M$23)</f>
        <v>=BPS!AE184</v>
      </c>
      <c r="P27" s="69" t="str">
        <f t="shared" ref="P27:T27" si="8">CONCATENATE(AA$6,$M$23)</f>
        <v>=BPS!AF184</v>
      </c>
      <c r="Q27" s="69" t="str">
        <f t="shared" si="8"/>
        <v>=BPS!AG184</v>
      </c>
      <c r="R27" s="69" t="str">
        <f t="shared" si="8"/>
        <v>=BPS!AH184</v>
      </c>
      <c r="S27" s="69" t="str">
        <f t="shared" si="8"/>
        <v>=BPS!AI184</v>
      </c>
      <c r="T27" s="69" t="str">
        <f t="shared" si="8"/>
        <v>=BPS!AJ184</v>
      </c>
      <c r="U27" s="1"/>
      <c r="V27" s="54"/>
      <c r="Z27" s="54"/>
      <c r="AA27" s="54"/>
      <c r="AB27" s="54"/>
      <c r="AC27" s="54"/>
      <c r="AD27" s="54"/>
      <c r="AE27" s="54"/>
      <c r="AF27" s="1"/>
      <c r="AG27" s="54"/>
    </row>
    <row r="28" spans="2:33" ht="18" customHeight="1" x14ac:dyDescent="0.2">
      <c r="B28" s="12" t="s">
        <v>29</v>
      </c>
      <c r="C28" t="s">
        <v>13</v>
      </c>
      <c r="D28" s="40">
        <f>blueprint!AE190</f>
        <v>64</v>
      </c>
      <c r="E28" s="40">
        <f>blueprint!AF190</f>
        <v>25</v>
      </c>
      <c r="F28" s="40">
        <f>blueprint!AG190</f>
        <v>29</v>
      </c>
      <c r="G28" s="40">
        <f>blueprint!AH190</f>
        <v>38</v>
      </c>
      <c r="H28" s="40">
        <f>blueprint!AI190</f>
        <v>54</v>
      </c>
      <c r="I28" s="40">
        <f>blueprint!AJ190</f>
        <v>69</v>
      </c>
      <c r="K28" s="40">
        <f>SUM(D28:I28)</f>
        <v>279</v>
      </c>
      <c r="M28" s="12" t="s">
        <v>37</v>
      </c>
      <c r="N28" t="s">
        <v>13</v>
      </c>
      <c r="O28" s="54"/>
      <c r="P28" s="54"/>
      <c r="Q28" s="54"/>
      <c r="R28" s="54"/>
      <c r="S28" s="54"/>
      <c r="T28" s="54"/>
      <c r="U28" s="1"/>
      <c r="V28" s="54"/>
      <c r="Z28" s="54"/>
      <c r="AA28" s="54"/>
      <c r="AB28" s="54"/>
      <c r="AC28" s="54"/>
      <c r="AD28" s="54"/>
      <c r="AE28" s="54"/>
      <c r="AF28" s="1"/>
      <c r="AG28" s="54"/>
    </row>
    <row r="29" spans="2:33" ht="18" customHeight="1" x14ac:dyDescent="0.2">
      <c r="B29" s="12" t="s">
        <v>37</v>
      </c>
      <c r="C29" t="s">
        <v>13</v>
      </c>
      <c r="D29" s="2" t="e">
        <f>ROUNDUP(D28/#REF!,0)</f>
        <v>#REF!</v>
      </c>
      <c r="E29" s="2" t="e">
        <f>ROUNDUP(E28/#REF!,0)</f>
        <v>#REF!</v>
      </c>
      <c r="F29" s="2" t="e">
        <f>ROUNDUP(F28/#REF!,0)</f>
        <v>#REF!</v>
      </c>
      <c r="G29" s="2" t="e">
        <f>ROUNDUP(G28/#REF!,0)</f>
        <v>#REF!</v>
      </c>
      <c r="H29" s="2" t="e">
        <f>ROUNDUP(H28/#REF!,0)</f>
        <v>#REF!</v>
      </c>
      <c r="I29" s="2" t="e">
        <f>ROUNDUP(I28/#REF!,0)</f>
        <v>#REF!</v>
      </c>
      <c r="K29" s="2" t="e">
        <f>SUM(D29:I29)</f>
        <v>#REF!</v>
      </c>
      <c r="M29" s="12" t="s">
        <v>45</v>
      </c>
      <c r="N29" t="s">
        <v>13</v>
      </c>
      <c r="O29" s="54"/>
      <c r="P29" s="54"/>
      <c r="Q29" s="54"/>
      <c r="R29" s="54"/>
      <c r="S29" s="54"/>
      <c r="T29" s="54"/>
      <c r="U29" s="1"/>
      <c r="V29" s="54"/>
      <c r="Z29" s="54"/>
      <c r="AA29" s="54"/>
      <c r="AB29" s="54"/>
      <c r="AC29" s="54"/>
      <c r="AD29" s="54"/>
      <c r="AE29" s="54"/>
      <c r="AF29" s="1"/>
      <c r="AG29" s="54"/>
    </row>
    <row r="30" spans="2:33" ht="18" customHeight="1" x14ac:dyDescent="0.2">
      <c r="B30" s="12" t="s">
        <v>45</v>
      </c>
      <c r="C30" t="s">
        <v>13</v>
      </c>
      <c r="D30" s="25" t="e">
        <f>D29*#REF!</f>
        <v>#REF!</v>
      </c>
      <c r="E30" s="25" t="e">
        <f>E29*#REF!</f>
        <v>#REF!</v>
      </c>
      <c r="F30" s="25" t="e">
        <f>F29*#REF!</f>
        <v>#REF!</v>
      </c>
      <c r="G30" s="25" t="e">
        <f>G29*#REF!</f>
        <v>#REF!</v>
      </c>
      <c r="H30" s="25" t="e">
        <f>H29*#REF!</f>
        <v>#REF!</v>
      </c>
      <c r="I30" s="25" t="e">
        <f>I29*#REF!</f>
        <v>#REF!</v>
      </c>
      <c r="K30" s="25" t="e">
        <f>SUM(D30:I30)</f>
        <v>#REF!</v>
      </c>
      <c r="M30" s="12" t="s">
        <v>53</v>
      </c>
      <c r="N30" t="s">
        <v>13</v>
      </c>
      <c r="O30" s="54"/>
      <c r="P30" s="54"/>
      <c r="Q30" s="54"/>
      <c r="R30" s="54"/>
      <c r="S30" s="54"/>
      <c r="T30" s="54"/>
      <c r="U30" s="1"/>
      <c r="V30" s="54"/>
      <c r="Z30" s="54"/>
      <c r="AA30" s="54"/>
      <c r="AB30" s="54"/>
      <c r="AC30" s="54"/>
      <c r="AD30" s="54"/>
      <c r="AE30" s="54"/>
      <c r="AF30" s="1"/>
      <c r="AG30" s="54"/>
    </row>
    <row r="31" spans="2:33" ht="18" customHeight="1" x14ac:dyDescent="0.2">
      <c r="B31" s="12" t="s">
        <v>53</v>
      </c>
      <c r="C31" t="s">
        <v>13</v>
      </c>
      <c r="D31" s="25" t="e">
        <f>#REF!-Cars!D30</f>
        <v>#REF!</v>
      </c>
      <c r="E31" s="25" t="e">
        <f>D31-E30</f>
        <v>#REF!</v>
      </c>
      <c r="F31" s="25" t="e">
        <f>E31-F30</f>
        <v>#REF!</v>
      </c>
      <c r="G31" s="25" t="e">
        <f>F31-G30</f>
        <v>#REF!</v>
      </c>
      <c r="H31" s="25" t="e">
        <f>G31-H30</f>
        <v>#REF!</v>
      </c>
      <c r="I31" s="25" t="e">
        <f>H31-I30</f>
        <v>#REF!</v>
      </c>
      <c r="K31" s="25" t="e">
        <f>#REF!-Cars!K30</f>
        <v>#REF!</v>
      </c>
      <c r="O31" s="54"/>
      <c r="P31" s="54"/>
      <c r="Q31" s="54"/>
      <c r="R31" s="54"/>
      <c r="S31" s="54"/>
      <c r="T31" s="54"/>
      <c r="U31" s="1"/>
      <c r="V31" s="54"/>
      <c r="Z31" s="54"/>
      <c r="AA31" s="54"/>
      <c r="AB31" s="54"/>
      <c r="AC31" s="54"/>
      <c r="AD31" s="54"/>
      <c r="AE31" s="54"/>
      <c r="AF31" s="1"/>
      <c r="AG31" s="54"/>
    </row>
  </sheetData>
  <mergeCells count="14">
    <mergeCell ref="Y1:AB1"/>
    <mergeCell ref="AC1:AG1"/>
    <mergeCell ref="N1:Q1"/>
    <mergeCell ref="C1:F1"/>
    <mergeCell ref="R1:V1"/>
    <mergeCell ref="G1:K1"/>
    <mergeCell ref="C12:F12"/>
    <mergeCell ref="G12:K12"/>
    <mergeCell ref="N12:Q12"/>
    <mergeCell ref="R12:V12"/>
    <mergeCell ref="C23:F23"/>
    <mergeCell ref="G23:K23"/>
    <mergeCell ref="N23:Q23"/>
    <mergeCell ref="R23:V2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AJ34"/>
  <sheetViews>
    <sheetView showGridLines="0" workbookViewId="0">
      <selection activeCell="A2" sqref="A2"/>
    </sheetView>
  </sheetViews>
  <sheetFormatPr baseColWidth="10" defaultColWidth="3.7109375" defaultRowHeight="18" customHeight="1" x14ac:dyDescent="0.2"/>
  <cols>
    <col min="2" max="2" width="10.7109375" customWidth="1"/>
    <col min="3" max="10" width="4.7109375" customWidth="1"/>
    <col min="12" max="15" width="5.7109375" customWidth="1"/>
    <col min="17" max="20" width="5.7109375" customWidth="1"/>
    <col min="22" max="25" width="5.7109375" customWidth="1"/>
    <col min="27" max="30" width="5.7109375" customWidth="1"/>
    <col min="32" max="33" width="37.7109375" bestFit="1" customWidth="1"/>
    <col min="34" max="35" width="35.5703125" bestFit="1" customWidth="1"/>
    <col min="36" max="36" width="34.5703125" bestFit="1" customWidth="1"/>
  </cols>
  <sheetData>
    <row r="1" spans="2:36" ht="50.1" customHeight="1" x14ac:dyDescent="0.2">
      <c r="B1" s="7" t="s">
        <v>65</v>
      </c>
      <c r="C1" s="79" t="s">
        <v>66</v>
      </c>
      <c r="D1" s="79"/>
      <c r="E1" s="7" t="s">
        <v>67</v>
      </c>
      <c r="F1" s="7" t="s">
        <v>68</v>
      </c>
      <c r="G1" s="7" t="s">
        <v>69</v>
      </c>
      <c r="H1" s="7" t="s">
        <v>70</v>
      </c>
      <c r="I1" s="7" t="s">
        <v>71</v>
      </c>
      <c r="J1" s="7" t="s">
        <v>72</v>
      </c>
      <c r="L1" s="6" t="s">
        <v>73</v>
      </c>
      <c r="M1" s="6" t="s">
        <v>74</v>
      </c>
      <c r="N1" s="6" t="s">
        <v>75</v>
      </c>
      <c r="O1" s="6" t="s">
        <v>76</v>
      </c>
      <c r="Q1" s="6" t="s">
        <v>73</v>
      </c>
      <c r="R1" s="6" t="s">
        <v>74</v>
      </c>
      <c r="S1" s="6" t="s">
        <v>75</v>
      </c>
      <c r="T1" s="6" t="s">
        <v>76</v>
      </c>
      <c r="V1" s="6" t="s">
        <v>73</v>
      </c>
      <c r="W1" s="6" t="s">
        <v>74</v>
      </c>
      <c r="X1" s="6" t="s">
        <v>75</v>
      </c>
      <c r="Y1" s="6" t="s">
        <v>76</v>
      </c>
      <c r="AA1" s="6" t="s">
        <v>73</v>
      </c>
      <c r="AB1" s="6" t="s">
        <v>74</v>
      </c>
      <c r="AC1" s="6" t="s">
        <v>75</v>
      </c>
      <c r="AD1" s="6" t="s">
        <v>76</v>
      </c>
      <c r="AF1" s="79" t="s">
        <v>77</v>
      </c>
      <c r="AG1" s="79"/>
      <c r="AH1" s="79"/>
      <c r="AI1" s="79"/>
      <c r="AJ1" s="79"/>
    </row>
    <row r="2" spans="2:36" ht="18" customHeight="1" x14ac:dyDescent="0.2">
      <c r="C2" s="2"/>
      <c r="D2" s="2"/>
      <c r="L2" s="80" t="s">
        <v>78</v>
      </c>
      <c r="M2" s="80"/>
      <c r="N2" s="80"/>
      <c r="O2" s="80"/>
      <c r="Q2" s="80" t="s">
        <v>79</v>
      </c>
      <c r="R2" s="80"/>
      <c r="S2" s="80"/>
      <c r="T2" s="80"/>
      <c r="V2" s="80" t="s">
        <v>80</v>
      </c>
      <c r="W2" s="80"/>
      <c r="X2" s="80"/>
      <c r="Y2" s="80"/>
      <c r="AA2" s="80" t="s">
        <v>81</v>
      </c>
      <c r="AB2" s="80"/>
      <c r="AC2" s="80"/>
      <c r="AD2" s="80"/>
      <c r="AF2" s="66" t="s">
        <v>82</v>
      </c>
      <c r="AG2" s="66" t="s">
        <v>83</v>
      </c>
      <c r="AH2" s="66" t="s">
        <v>84</v>
      </c>
      <c r="AI2" s="66"/>
      <c r="AJ2" s="66"/>
    </row>
    <row r="3" spans="2:36" ht="18" customHeight="1" x14ac:dyDescent="0.2">
      <c r="F3" s="2" t="s">
        <v>85</v>
      </c>
      <c r="H3" s="2" t="s">
        <v>86</v>
      </c>
      <c r="I3" s="2" t="s">
        <v>87</v>
      </c>
      <c r="J3" s="2" t="s">
        <v>88</v>
      </c>
      <c r="L3" s="2" t="s">
        <v>89</v>
      </c>
      <c r="M3" s="2" t="s">
        <v>90</v>
      </c>
      <c r="N3" s="2" t="s">
        <v>91</v>
      </c>
      <c r="O3" s="2" t="s">
        <v>92</v>
      </c>
      <c r="Q3" s="2" t="s">
        <v>93</v>
      </c>
      <c r="R3" s="2" t="s">
        <v>94</v>
      </c>
      <c r="S3" s="2" t="s">
        <v>95</v>
      </c>
      <c r="T3" s="2" t="s">
        <v>96</v>
      </c>
      <c r="V3" s="2" t="s">
        <v>97</v>
      </c>
      <c r="W3" s="2" t="s">
        <v>98</v>
      </c>
      <c r="X3" s="2" t="s">
        <v>99</v>
      </c>
      <c r="Y3" s="2" t="s">
        <v>100</v>
      </c>
      <c r="AA3" s="2" t="s">
        <v>101</v>
      </c>
      <c r="AB3" s="2" t="s">
        <v>102</v>
      </c>
      <c r="AC3" s="2" t="s">
        <v>103</v>
      </c>
      <c r="AD3" s="2" t="s">
        <v>104</v>
      </c>
      <c r="AF3" s="2" t="s">
        <v>105</v>
      </c>
      <c r="AG3" s="2" t="s">
        <v>83</v>
      </c>
      <c r="AH3" s="2" t="s">
        <v>106</v>
      </c>
      <c r="AI3" s="2" t="s">
        <v>107</v>
      </c>
    </row>
    <row r="4" spans="2:36" ht="18" customHeight="1" x14ac:dyDescent="0.2">
      <c r="AA4" s="2"/>
      <c r="AB4" s="2"/>
      <c r="AC4" s="2"/>
      <c r="AD4" s="2"/>
    </row>
    <row r="5" spans="2:36" ht="18" customHeight="1" x14ac:dyDescent="0.2">
      <c r="B5" s="62" t="s">
        <v>108</v>
      </c>
      <c r="C5" s="41">
        <v>2</v>
      </c>
      <c r="D5" s="22">
        <v>33</v>
      </c>
      <c r="E5" s="22">
        <f>D5-C5+1</f>
        <v>32</v>
      </c>
      <c r="F5" s="21">
        <f>COUNTIF(garage!G2:'garage'!G33,"N")</f>
        <v>4</v>
      </c>
      <c r="G5" s="21">
        <f>COUNTIF(garage!G2:'garage'!G33,"O")</f>
        <v>28</v>
      </c>
      <c r="H5" s="21">
        <f>COUNTIF(garage!H2:'garage'!H33,"O")</f>
        <v>22</v>
      </c>
      <c r="I5" s="21">
        <f>COUNTIF(garage!I2:'garage'!I33,"O")</f>
        <v>16</v>
      </c>
      <c r="J5" s="22">
        <f>COUNTIF(garage!J2:'garage'!J33,"O")</f>
        <v>4</v>
      </c>
      <c r="L5" s="41">
        <f>SUM(garage!W2:'garage'!W33)</f>
        <v>0</v>
      </c>
      <c r="M5" s="21">
        <f>SUM(garage!X2:'garage'!X33)</f>
        <v>0</v>
      </c>
      <c r="N5" s="21">
        <f>SUM(garage!Y2:'garage'!Y33)</f>
        <v>0</v>
      </c>
      <c r="O5" s="22">
        <f>SUM(garage!Z2:'garage'!Z33)</f>
        <v>0</v>
      </c>
      <c r="Q5" s="41">
        <f>SUM(garage!AB2:'garage'!AB33)</f>
        <v>0</v>
      </c>
      <c r="R5" s="21">
        <f>SUM(garage!AC2:'garage'!AC33)</f>
        <v>0</v>
      </c>
      <c r="S5" s="21">
        <f>SUM(garage!AD2:'garage'!AD33)</f>
        <v>0</v>
      </c>
      <c r="T5" s="22">
        <f>SUM(garage!AE2:'garage'!AE33)</f>
        <v>0</v>
      </c>
      <c r="V5" s="41">
        <f>SUM(garage!AG2:'garage'!AG33)</f>
        <v>0</v>
      </c>
      <c r="W5" s="21">
        <f>SUM(garage!AH2:'garage'!AH33)</f>
        <v>0</v>
      </c>
      <c r="X5" s="21">
        <f>SUM(garage!AI2:'garage'!AI33)</f>
        <v>0</v>
      </c>
      <c r="Y5" s="22">
        <f>SUM(garage!AJ2:'garage'!AJ33)</f>
        <v>0</v>
      </c>
      <c r="AA5" s="41">
        <f>SUM(garage!AL2:'garage'!AL33)</f>
        <v>0</v>
      </c>
      <c r="AB5" s="21">
        <f>SUM(garage!AM2:'garage'!AM33)</f>
        <v>0</v>
      </c>
      <c r="AC5" s="21">
        <f>SUM(garage!AN2:'garage'!AN33)</f>
        <v>0</v>
      </c>
      <c r="AD5" s="22">
        <f>SUM(garage!AO2:'garage'!AO33)</f>
        <v>0</v>
      </c>
      <c r="AF5" t="str">
        <f t="shared" ref="AF5:AI9" si="0">CONCATENATE($AF$2,L$3,$C5,$AG$2,L$3,$D5,$AH$2)</f>
        <v>'=SOMME(Garage!W2:Garage!W33)</v>
      </c>
      <c r="AG5" t="str">
        <f t="shared" si="0"/>
        <v>'=SOMME(Garage!X2:Garage!X33)</v>
      </c>
      <c r="AH5" t="str">
        <f t="shared" si="0"/>
        <v>'=SOMME(Garage!Y2:Garage!Y33)</v>
      </c>
      <c r="AI5" t="str">
        <f t="shared" si="0"/>
        <v>'=SOMME(Garage!Z2:Garage!Z33)</v>
      </c>
    </row>
    <row r="6" spans="2:36" ht="18" customHeight="1" x14ac:dyDescent="0.2">
      <c r="B6" s="63" t="s">
        <v>109</v>
      </c>
      <c r="C6" s="42">
        <v>34</v>
      </c>
      <c r="D6" s="43">
        <v>72</v>
      </c>
      <c r="E6" s="43">
        <f>D6-C6+1</f>
        <v>39</v>
      </c>
      <c r="F6" s="44">
        <f>COUNTIF(garage!G34:'garage'!G72,"N")</f>
        <v>6</v>
      </c>
      <c r="G6" s="44">
        <f>COUNTIF(garage!G34:'garage'!G72,"O")</f>
        <v>33</v>
      </c>
      <c r="H6" s="44">
        <f>COUNTIF(garage!H34:'garage'!H72,"O")</f>
        <v>22</v>
      </c>
      <c r="I6" s="44">
        <f>COUNTIF(garage!I34:'garage'!I72,"O")</f>
        <v>15</v>
      </c>
      <c r="J6" s="43">
        <f>COUNTIF(garage!J34:'garage'!J72,"O")</f>
        <v>3</v>
      </c>
      <c r="L6" s="42">
        <f>SUM(garage!W34:'garage'!W72)</f>
        <v>0</v>
      </c>
      <c r="M6" s="44">
        <f>SUM(garage!X34:'garage'!X72)</f>
        <v>0</v>
      </c>
      <c r="N6" s="44">
        <f>SUM(garage!Y34:'garage'!Y72)</f>
        <v>0</v>
      </c>
      <c r="O6" s="43">
        <f>SUM(garage!Z34:'garage'!Z72)</f>
        <v>0</v>
      </c>
      <c r="Q6" s="42">
        <f>SUM(garage!AB34:'garage'!AB72)</f>
        <v>0</v>
      </c>
      <c r="R6" s="44">
        <f>SUM(garage!AC34:'garage'!AC72)</f>
        <v>0</v>
      </c>
      <c r="S6" s="44">
        <f>SUM(garage!AD34:'garage'!AD72)</f>
        <v>0</v>
      </c>
      <c r="T6" s="43">
        <f>SUM(garage!AE34:'garage'!AE72)</f>
        <v>0</v>
      </c>
      <c r="V6" s="42">
        <f>SUM(garage!AG34:'garage'!AG72)</f>
        <v>0</v>
      </c>
      <c r="W6" s="44">
        <f>SUM(garage!AH34:'garage'!AH72)</f>
        <v>0</v>
      </c>
      <c r="X6" s="44">
        <f>SUM(garage!AI34:'garage'!AI72)</f>
        <v>0</v>
      </c>
      <c r="Y6" s="43">
        <f>SUM(garage!AJ34:'garage'!AJ72)</f>
        <v>0</v>
      </c>
      <c r="AA6" s="42">
        <f>SUM(garage!AL34:'garage'!AL72)</f>
        <v>0</v>
      </c>
      <c r="AB6" s="44">
        <f>SUM(garage!AM34:'garage'!AM72)</f>
        <v>0</v>
      </c>
      <c r="AC6" s="44">
        <f>SUM(garage!AN34:'garage'!AN72)</f>
        <v>0</v>
      </c>
      <c r="AD6" s="43">
        <f>SUM(garage!AO34:'garage'!AO72)</f>
        <v>0</v>
      </c>
      <c r="AF6" t="str">
        <f t="shared" si="0"/>
        <v>'=SOMME(Garage!W34:Garage!W72)</v>
      </c>
      <c r="AG6" t="str">
        <f t="shared" si="0"/>
        <v>'=SOMME(Garage!X34:Garage!X72)</v>
      </c>
      <c r="AH6" t="str">
        <f t="shared" si="0"/>
        <v>'=SOMME(Garage!Y34:Garage!Y72)</v>
      </c>
      <c r="AI6" t="str">
        <f t="shared" si="0"/>
        <v>'=SOMME(Garage!Z34:Garage!Z72)</v>
      </c>
    </row>
    <row r="7" spans="2:36" ht="18" customHeight="1" x14ac:dyDescent="0.2">
      <c r="B7" s="62" t="s">
        <v>110</v>
      </c>
      <c r="C7" s="41">
        <v>73</v>
      </c>
      <c r="D7" s="22">
        <v>121</v>
      </c>
      <c r="E7" s="22">
        <f>D7-C7+1</f>
        <v>49</v>
      </c>
      <c r="F7" s="21">
        <f>COUNTIF(garage!G73:'garage'!G121,"N")</f>
        <v>7</v>
      </c>
      <c r="G7" s="21">
        <f>COUNTIF(garage!G73:'garage'!G121,"O")</f>
        <v>42</v>
      </c>
      <c r="H7" s="21">
        <f>COUNTIF(garage!H73:'garage'!H121,"O")</f>
        <v>26</v>
      </c>
      <c r="I7" s="21">
        <f>COUNTIF(garage!I73:'garage'!I121,"O")</f>
        <v>17</v>
      </c>
      <c r="J7" s="22">
        <f>COUNTIF(garage!J73:'garage'!J121,"O")</f>
        <v>4</v>
      </c>
      <c r="L7" s="41">
        <f>SUM(garage!W73:'garage'!W121)</f>
        <v>0</v>
      </c>
      <c r="M7" s="21">
        <f>SUM(garage!X73:'garage'!X121)</f>
        <v>0</v>
      </c>
      <c r="N7" s="21">
        <f>SUM(garage!Y73:'garage'!Y121)</f>
        <v>0</v>
      </c>
      <c r="O7" s="22">
        <f>SUM(garage!Z73:'garage'!Z121)</f>
        <v>0</v>
      </c>
      <c r="Q7" s="41">
        <f>SUM(garage!AB73:'garage'!AB121)</f>
        <v>0</v>
      </c>
      <c r="R7" s="21">
        <f>SUM(garage!AC73:'garage'!AC121)</f>
        <v>0</v>
      </c>
      <c r="S7" s="21">
        <f>SUM(garage!AD73:'garage'!AD121)</f>
        <v>0</v>
      </c>
      <c r="T7" s="22">
        <f>SUM(garage!AE73:'garage'!AE121)</f>
        <v>0</v>
      </c>
      <c r="V7" s="41">
        <f>SUM(garage!AG73:'garage'!AG121)</f>
        <v>0</v>
      </c>
      <c r="W7" s="21">
        <f>SUM(garage!AH73:'garage'!AH121)</f>
        <v>0</v>
      </c>
      <c r="X7" s="21">
        <f>SUM(garage!AI73:'garage'!AI121)</f>
        <v>0</v>
      </c>
      <c r="Y7" s="22">
        <f>SUM(garage!AJ73:'garage'!AJ121)</f>
        <v>0</v>
      </c>
      <c r="AA7" s="41">
        <f>SUM(garage!AL73:'garage'!AL121)</f>
        <v>0</v>
      </c>
      <c r="AB7" s="21">
        <f>SUM(garage!AM73:'garage'!AM121)</f>
        <v>0</v>
      </c>
      <c r="AC7" s="21">
        <f>SUM(garage!AN73:'garage'!AN121)</f>
        <v>0</v>
      </c>
      <c r="AD7" s="22">
        <f>SUM(garage!AO73:'garage'!AO121)</f>
        <v>0</v>
      </c>
      <c r="AF7" t="str">
        <f t="shared" si="0"/>
        <v>'=SOMME(Garage!W73:Garage!W121)</v>
      </c>
      <c r="AG7" t="str">
        <f t="shared" si="0"/>
        <v>'=SOMME(Garage!X73:Garage!X121)</v>
      </c>
      <c r="AH7" t="str">
        <f t="shared" si="0"/>
        <v>'=SOMME(Garage!Y73:Garage!Y121)</v>
      </c>
      <c r="AI7" t="str">
        <f t="shared" si="0"/>
        <v>'=SOMME(Garage!Z73:Garage!Z121)</v>
      </c>
    </row>
    <row r="8" spans="2:36" ht="18" customHeight="1" x14ac:dyDescent="0.2">
      <c r="B8" s="63" t="s">
        <v>111</v>
      </c>
      <c r="C8" s="42">
        <v>122</v>
      </c>
      <c r="D8" s="43">
        <v>162</v>
      </c>
      <c r="E8" s="43">
        <f>D8-C8+1</f>
        <v>41</v>
      </c>
      <c r="F8" s="44">
        <f>COUNTIF(garage!G122:'garage'!G162,"N")</f>
        <v>12</v>
      </c>
      <c r="G8" s="44">
        <f>COUNTIF(garage!G122:'garage'!G162,"O")</f>
        <v>29</v>
      </c>
      <c r="H8" s="44">
        <f>COUNTIF(garage!H122:'garage'!H162,"O")</f>
        <v>19</v>
      </c>
      <c r="I8" s="44">
        <f>COUNTIF(garage!I122:'garage'!I162,"O")</f>
        <v>16</v>
      </c>
      <c r="J8" s="43">
        <f>COUNTIF(garage!J122:'garage'!J162,"O")</f>
        <v>1</v>
      </c>
      <c r="L8" s="42">
        <f>SUM(garage!W122:'garage'!W162)</f>
        <v>0</v>
      </c>
      <c r="M8" s="44">
        <f>SUM(garage!X122:'garage'!X162)</f>
        <v>0</v>
      </c>
      <c r="N8" s="44">
        <f>SUM(garage!Y122:'garage'!Y162)</f>
        <v>0</v>
      </c>
      <c r="O8" s="43">
        <f>SUM(garage!Z122:'garage'!Z162)</f>
        <v>0</v>
      </c>
      <c r="Q8" s="42">
        <f>SUM(garage!AB122:'garage'!AB162)</f>
        <v>0</v>
      </c>
      <c r="R8" s="44">
        <f>SUM(garage!AC122:'garage'!AC162)</f>
        <v>0</v>
      </c>
      <c r="S8" s="44">
        <f>SUM(garage!AD122:'garage'!AD162)</f>
        <v>0</v>
      </c>
      <c r="T8" s="43">
        <f>SUM(garage!AE122:'garage'!AE162)</f>
        <v>0</v>
      </c>
      <c r="V8" s="42">
        <f>SUM(garage!AG122:'garage'!AG162)</f>
        <v>0</v>
      </c>
      <c r="W8" s="44">
        <f>SUM(garage!AH122:'garage'!AH162)</f>
        <v>0</v>
      </c>
      <c r="X8" s="44">
        <f>SUM(garage!AI122:'garage'!AI162)</f>
        <v>0</v>
      </c>
      <c r="Y8" s="43">
        <f>SUM(garage!AJ122:'garage'!AJ162)</f>
        <v>0</v>
      </c>
      <c r="AA8" s="42">
        <f>SUM(garage!AL122:'garage'!AL162)</f>
        <v>0</v>
      </c>
      <c r="AB8" s="44">
        <f>SUM(garage!AM122:'garage'!AM162)</f>
        <v>0</v>
      </c>
      <c r="AC8" s="44">
        <f>SUM(garage!AN122:'garage'!AN162)</f>
        <v>0</v>
      </c>
      <c r="AD8" s="43">
        <f>SUM(garage!AO122:'garage'!AO162)</f>
        <v>0</v>
      </c>
      <c r="AF8" t="str">
        <f t="shared" si="0"/>
        <v>'=SOMME(Garage!W122:Garage!W162)</v>
      </c>
      <c r="AG8" t="str">
        <f t="shared" si="0"/>
        <v>'=SOMME(Garage!X122:Garage!X162)</v>
      </c>
      <c r="AH8" t="str">
        <f t="shared" si="0"/>
        <v>'=SOMME(Garage!Y122:Garage!Y162)</v>
      </c>
      <c r="AI8" t="str">
        <f t="shared" si="0"/>
        <v>'=SOMME(Garage!Z122:Garage!Z162)</v>
      </c>
    </row>
    <row r="9" spans="2:36" ht="18" customHeight="1" x14ac:dyDescent="0.2">
      <c r="B9" s="62" t="s">
        <v>112</v>
      </c>
      <c r="C9" s="41">
        <v>163</v>
      </c>
      <c r="D9" s="22">
        <v>210</v>
      </c>
      <c r="E9" s="22">
        <f>D9-C9+1</f>
        <v>48</v>
      </c>
      <c r="F9" s="21">
        <f>COUNTIF(garage!G163:'garage'!G210,"N")</f>
        <v>29</v>
      </c>
      <c r="G9" s="21">
        <f>COUNTIF(garage!G163:'garage'!G210,"O")</f>
        <v>19</v>
      </c>
      <c r="H9" s="21">
        <f>COUNTIF(garage!H163:'garage'!H210,"O")</f>
        <v>15</v>
      </c>
      <c r="I9" s="21">
        <f>COUNTIF(garage!I163:'garage'!I210,"O")</f>
        <v>10</v>
      </c>
      <c r="J9" s="22">
        <f>COUNTIF(garage!J163:'garage'!J210,"O")</f>
        <v>0</v>
      </c>
      <c r="L9" s="41">
        <f>SUM(garage!W163:'garage'!W210)</f>
        <v>0</v>
      </c>
      <c r="M9" s="21">
        <f>SUM(garage!X163:'garage'!X210)</f>
        <v>0</v>
      </c>
      <c r="N9" s="21">
        <f>SUM(garage!Y163:'garage'!Y210)</f>
        <v>0</v>
      </c>
      <c r="O9" s="22">
        <f>SUM(garage!Z163:'garage'!Z210)</f>
        <v>0</v>
      </c>
      <c r="Q9" s="41">
        <f>SUM(garage!AB163:'garage'!AB210)</f>
        <v>0</v>
      </c>
      <c r="R9" s="21">
        <f>SUM(garage!AC163:'garage'!AC210)</f>
        <v>0</v>
      </c>
      <c r="S9" s="21">
        <f>SUM(garage!AD163:'garage'!AD210)</f>
        <v>0</v>
      </c>
      <c r="T9" s="22">
        <f>SUM(garage!AE163:'garage'!AE210)</f>
        <v>0</v>
      </c>
      <c r="V9" s="41">
        <f>SUM(garage!AG163:'garage'!AG210)</f>
        <v>0</v>
      </c>
      <c r="W9" s="21">
        <f>SUM(garage!AH163:'garage'!AH210)</f>
        <v>0</v>
      </c>
      <c r="X9" s="21">
        <f>SUM(garage!AI163:'garage'!AI210)</f>
        <v>0</v>
      </c>
      <c r="Y9" s="22">
        <f>SUM(garage!AJ163:'garage'!AJ210)</f>
        <v>0</v>
      </c>
      <c r="AA9" s="41">
        <f>SUM(garage!AL163:'garage'!AL210)</f>
        <v>0</v>
      </c>
      <c r="AB9" s="21">
        <f>SUM(garage!AM163:'garage'!AM210)</f>
        <v>0</v>
      </c>
      <c r="AC9" s="21">
        <f>SUM(garage!AN163:'garage'!AN210)</f>
        <v>0</v>
      </c>
      <c r="AD9" s="22">
        <f>SUM(garage!AO163:'garage'!AO210)</f>
        <v>0</v>
      </c>
      <c r="AF9" t="str">
        <f t="shared" si="0"/>
        <v>'=SOMME(Garage!W163:Garage!W210)</v>
      </c>
      <c r="AG9" t="str">
        <f t="shared" si="0"/>
        <v>'=SOMME(Garage!X163:Garage!X210)</v>
      </c>
      <c r="AH9" t="str">
        <f t="shared" si="0"/>
        <v>'=SOMME(Garage!Y163:Garage!Y210)</v>
      </c>
      <c r="AI9" t="str">
        <f t="shared" si="0"/>
        <v>'=SOMME(Garage!Z163:Garage!Z210)</v>
      </c>
    </row>
    <row r="11" spans="2:36" ht="18" customHeight="1" x14ac:dyDescent="0.2">
      <c r="E11">
        <f>SUM(E5:E9)</f>
        <v>209</v>
      </c>
      <c r="F11">
        <f>SUM(F5:F9)</f>
        <v>58</v>
      </c>
      <c r="G11">
        <f>SUM(G5:G9)</f>
        <v>151</v>
      </c>
      <c r="H11">
        <f t="shared" ref="H11:J11" si="1">SUM(H5:H9)</f>
        <v>104</v>
      </c>
      <c r="I11">
        <f t="shared" si="1"/>
        <v>74</v>
      </c>
      <c r="J11">
        <f t="shared" si="1"/>
        <v>12</v>
      </c>
      <c r="AF11" t="str">
        <f t="shared" ref="AF11:AI15" si="2">CONCATENATE($AF$2,Q$3,$C5,$AG$2,Q$3,$D5,$AH$2)</f>
        <v>'=SOMME(Garage!AB2:Garage!AB33)</v>
      </c>
      <c r="AG11" t="str">
        <f t="shared" si="2"/>
        <v>'=SOMME(Garage!AC2:Garage!AC33)</v>
      </c>
      <c r="AH11" t="str">
        <f t="shared" si="2"/>
        <v>'=SOMME(Garage!AD2:Garage!AD33)</v>
      </c>
      <c r="AI11" t="str">
        <f t="shared" si="2"/>
        <v>'=SOMME(Garage!AE2:Garage!AE33)</v>
      </c>
    </row>
    <row r="12" spans="2:36" ht="18" customHeight="1" x14ac:dyDescent="0.2">
      <c r="F12" s="77">
        <f>F11/$E$11</f>
        <v>0.27751196172248804</v>
      </c>
      <c r="G12" s="77">
        <f t="shared" ref="G12:I12" si="3">G11/$E$11</f>
        <v>0.72248803827751196</v>
      </c>
      <c r="H12" s="77">
        <f t="shared" si="3"/>
        <v>0.49760765550239233</v>
      </c>
      <c r="I12" s="77">
        <f t="shared" si="3"/>
        <v>0.35406698564593303</v>
      </c>
      <c r="J12" s="77"/>
      <c r="AF12" t="str">
        <f t="shared" si="2"/>
        <v>'=SOMME(Garage!AB34:Garage!AB72)</v>
      </c>
      <c r="AG12" t="str">
        <f t="shared" si="2"/>
        <v>'=SOMME(Garage!AC34:Garage!AC72)</v>
      </c>
      <c r="AH12" t="str">
        <f t="shared" si="2"/>
        <v>'=SOMME(Garage!AD34:Garage!AD72)</v>
      </c>
      <c r="AI12" t="str">
        <f t="shared" si="2"/>
        <v>'=SOMME(Garage!AE34:Garage!AE72)</v>
      </c>
    </row>
    <row r="13" spans="2:36" ht="18" customHeight="1" x14ac:dyDescent="0.2">
      <c r="AF13" t="str">
        <f t="shared" si="2"/>
        <v>'=SOMME(Garage!AB73:Garage!AB121)</v>
      </c>
      <c r="AG13" t="str">
        <f t="shared" si="2"/>
        <v>'=SOMME(Garage!AC73:Garage!AC121)</v>
      </c>
      <c r="AH13" t="str">
        <f t="shared" si="2"/>
        <v>'=SOMME(Garage!AD73:Garage!AD121)</v>
      </c>
      <c r="AI13" t="str">
        <f t="shared" si="2"/>
        <v>'=SOMME(Garage!AE73:Garage!AE121)</v>
      </c>
    </row>
    <row r="14" spans="2:36" ht="18" customHeight="1" x14ac:dyDescent="0.2">
      <c r="AF14" t="str">
        <f t="shared" si="2"/>
        <v>'=SOMME(Garage!AB122:Garage!AB162)</v>
      </c>
      <c r="AG14" t="str">
        <f t="shared" si="2"/>
        <v>'=SOMME(Garage!AC122:Garage!AC162)</v>
      </c>
      <c r="AH14" t="str">
        <f t="shared" si="2"/>
        <v>'=SOMME(Garage!AD122:Garage!AD162)</v>
      </c>
      <c r="AI14" t="str">
        <f t="shared" si="2"/>
        <v>'=SOMME(Garage!AE122:Garage!AE162)</v>
      </c>
    </row>
    <row r="15" spans="2:36" ht="18" customHeight="1" x14ac:dyDescent="0.2">
      <c r="AF15" t="str">
        <f t="shared" si="2"/>
        <v>'=SOMME(Garage!AB163:Garage!AB210)</v>
      </c>
      <c r="AG15" t="str">
        <f t="shared" si="2"/>
        <v>'=SOMME(Garage!AC163:Garage!AC210)</v>
      </c>
      <c r="AH15" t="str">
        <f t="shared" si="2"/>
        <v>'=SOMME(Garage!AD163:Garage!AD210)</v>
      </c>
      <c r="AI15" t="str">
        <f t="shared" si="2"/>
        <v>'=SOMME(Garage!AE163:Garage!AE210)</v>
      </c>
    </row>
    <row r="17" spans="32:36" ht="18" customHeight="1" x14ac:dyDescent="0.2">
      <c r="AF17" t="str">
        <f t="shared" ref="AF17:AI21" si="4">CONCATENATE($AF$2,V$3,$C5,$AG$2,V$3,$D5,$AH$2)</f>
        <v>'=SOMME(Garage!AG2:Garage!AG33)</v>
      </c>
      <c r="AG17" t="str">
        <f t="shared" si="4"/>
        <v>'=SOMME(Garage!AH2:Garage!AH33)</v>
      </c>
      <c r="AH17" t="str">
        <f t="shared" si="4"/>
        <v>'=SOMME(Garage!AI2:Garage!AI33)</v>
      </c>
      <c r="AI17" t="str">
        <f t="shared" si="4"/>
        <v>'=SOMME(Garage!AJ2:Garage!AJ33)</v>
      </c>
    </row>
    <row r="18" spans="32:36" ht="18" customHeight="1" x14ac:dyDescent="0.2">
      <c r="AF18" t="str">
        <f t="shared" si="4"/>
        <v>'=SOMME(Garage!AG34:Garage!AG72)</v>
      </c>
      <c r="AG18" t="str">
        <f t="shared" si="4"/>
        <v>'=SOMME(Garage!AH34:Garage!AH72)</v>
      </c>
      <c r="AH18" t="str">
        <f t="shared" si="4"/>
        <v>'=SOMME(Garage!AI34:Garage!AI72)</v>
      </c>
      <c r="AI18" t="str">
        <f t="shared" si="4"/>
        <v>'=SOMME(Garage!AJ34:Garage!AJ72)</v>
      </c>
    </row>
    <row r="19" spans="32:36" ht="18" customHeight="1" x14ac:dyDescent="0.2">
      <c r="AF19" t="str">
        <f t="shared" si="4"/>
        <v>'=SOMME(Garage!AG73:Garage!AG121)</v>
      </c>
      <c r="AG19" t="str">
        <f t="shared" si="4"/>
        <v>'=SOMME(Garage!AH73:Garage!AH121)</v>
      </c>
      <c r="AH19" t="str">
        <f t="shared" si="4"/>
        <v>'=SOMME(Garage!AI73:Garage!AI121)</v>
      </c>
      <c r="AI19" t="str">
        <f t="shared" si="4"/>
        <v>'=SOMME(Garage!AJ73:Garage!AJ121)</v>
      </c>
    </row>
    <row r="20" spans="32:36" ht="18" customHeight="1" x14ac:dyDescent="0.2">
      <c r="AF20" t="str">
        <f t="shared" si="4"/>
        <v>'=SOMME(Garage!AG122:Garage!AG162)</v>
      </c>
      <c r="AG20" t="str">
        <f t="shared" si="4"/>
        <v>'=SOMME(Garage!AH122:Garage!AH162)</v>
      </c>
      <c r="AH20" t="str">
        <f t="shared" si="4"/>
        <v>'=SOMME(Garage!AI122:Garage!AI162)</v>
      </c>
      <c r="AI20" t="str">
        <f t="shared" si="4"/>
        <v>'=SOMME(Garage!AJ122:Garage!AJ162)</v>
      </c>
    </row>
    <row r="21" spans="32:36" ht="18" customHeight="1" x14ac:dyDescent="0.2">
      <c r="AF21" t="str">
        <f t="shared" si="4"/>
        <v>'=SOMME(Garage!AG163:Garage!AG210)</v>
      </c>
      <c r="AG21" t="str">
        <f t="shared" si="4"/>
        <v>'=SOMME(Garage!AH163:Garage!AH210)</v>
      </c>
      <c r="AH21" t="str">
        <f t="shared" si="4"/>
        <v>'=SOMME(Garage!AI163:Garage!AI210)</v>
      </c>
      <c r="AI21" t="str">
        <f t="shared" si="4"/>
        <v>'=SOMME(Garage!AJ163:Garage!AJ210)</v>
      </c>
    </row>
    <row r="23" spans="32:36" ht="18" customHeight="1" x14ac:dyDescent="0.2">
      <c r="AF23" t="str">
        <f t="shared" ref="AF23:AI27" si="5">CONCATENATE($AF$2,AA$3,$C5,$AG$2,AA$3,$D5,$AH$2)</f>
        <v>'=SOMME(Garage!AL2:Garage!AL33)</v>
      </c>
      <c r="AG23" t="str">
        <f t="shared" si="5"/>
        <v>'=SOMME(Garage!AM2:Garage!AM33)</v>
      </c>
      <c r="AH23" t="str">
        <f t="shared" si="5"/>
        <v>'=SOMME(Garage!AN2:Garage!AN33)</v>
      </c>
      <c r="AI23" t="str">
        <f t="shared" si="5"/>
        <v>'=SOMME(Garage!AO2:Garage!AO33)</v>
      </c>
    </row>
    <row r="24" spans="32:36" ht="18" customHeight="1" x14ac:dyDescent="0.2">
      <c r="AF24" t="str">
        <f t="shared" si="5"/>
        <v>'=SOMME(Garage!AL34:Garage!AL72)</v>
      </c>
      <c r="AG24" t="str">
        <f t="shared" si="5"/>
        <v>'=SOMME(Garage!AM34:Garage!AM72)</v>
      </c>
      <c r="AH24" t="str">
        <f t="shared" si="5"/>
        <v>'=SOMME(Garage!AN34:Garage!AN72)</v>
      </c>
      <c r="AI24" t="str">
        <f t="shared" si="5"/>
        <v>'=SOMME(Garage!AO34:Garage!AO72)</v>
      </c>
    </row>
    <row r="25" spans="32:36" ht="18" customHeight="1" x14ac:dyDescent="0.2">
      <c r="AF25" t="str">
        <f t="shared" si="5"/>
        <v>'=SOMME(Garage!AL73:Garage!AL121)</v>
      </c>
      <c r="AG25" t="str">
        <f t="shared" si="5"/>
        <v>'=SOMME(Garage!AM73:Garage!AM121)</v>
      </c>
      <c r="AH25" t="str">
        <f t="shared" si="5"/>
        <v>'=SOMME(Garage!AN73:Garage!AN121)</v>
      </c>
      <c r="AI25" t="str">
        <f t="shared" si="5"/>
        <v>'=SOMME(Garage!AO73:Garage!AO121)</v>
      </c>
    </row>
    <row r="26" spans="32:36" ht="18" customHeight="1" x14ac:dyDescent="0.2">
      <c r="AF26" t="str">
        <f t="shared" si="5"/>
        <v>'=SOMME(Garage!AL122:Garage!AL162)</v>
      </c>
      <c r="AG26" t="str">
        <f t="shared" si="5"/>
        <v>'=SOMME(Garage!AM122:Garage!AM162)</v>
      </c>
      <c r="AH26" t="str">
        <f t="shared" si="5"/>
        <v>'=SOMME(Garage!AN122:Garage!AN162)</v>
      </c>
      <c r="AI26" t="str">
        <f t="shared" si="5"/>
        <v>'=SOMME(Garage!AO122:Garage!AO162)</v>
      </c>
    </row>
    <row r="27" spans="32:36" ht="18" customHeight="1" x14ac:dyDescent="0.2">
      <c r="AF27" t="str">
        <f t="shared" si="5"/>
        <v>'=SOMME(Garage!AL163:Garage!AL210)</v>
      </c>
      <c r="AG27" t="str">
        <f t="shared" si="5"/>
        <v>'=SOMME(Garage!AM163:Garage!AM210)</v>
      </c>
      <c r="AH27" t="str">
        <f t="shared" si="5"/>
        <v>'=SOMME(Garage!AN163:Garage!AN210)</v>
      </c>
      <c r="AI27" t="str">
        <f t="shared" si="5"/>
        <v>'=SOMME(Garage!AO163:Garage!AO210)</v>
      </c>
    </row>
    <row r="28" spans="32:36" ht="18" customHeight="1" x14ac:dyDescent="0.2">
      <c r="AF28" s="66"/>
      <c r="AG28" s="66"/>
      <c r="AH28" s="66"/>
      <c r="AI28" s="66"/>
      <c r="AJ28" s="66"/>
    </row>
    <row r="30" spans="32:36" ht="18" customHeight="1" x14ac:dyDescent="0.2">
      <c r="AF30" t="str">
        <f>CONCATENATE($AF$3,F$3,$C5,$AG$3,F$3,$D5,$AH$3)</f>
        <v>'=NB.SI(Garage!G2:Garage!G33;"N")</v>
      </c>
      <c r="AG30" t="str">
        <f>CONCATENATE($AF$3,F$3,$C5,$AG$3,F$3,$D5,$AI$3)</f>
        <v>'=NB.SI(Garage!G2:Garage!G33;"O")</v>
      </c>
      <c r="AH30" t="str">
        <f t="shared" ref="AH30:AJ34" si="6">CONCATENATE($AF$3,H$3,$C5,$AG$3,H$3,$D5,$AI$3)</f>
        <v>'=NB.SI(Garage!H2:Garage!H33;"O")</v>
      </c>
      <c r="AI30" t="str">
        <f t="shared" si="6"/>
        <v>'=NB.SI(Garage!I2:Garage!I33;"O")</v>
      </c>
      <c r="AJ30" t="str">
        <f t="shared" si="6"/>
        <v>'=NB.SI(Garage!J2:Garage!J33;"O")</v>
      </c>
    </row>
    <row r="31" spans="32:36" ht="18" customHeight="1" x14ac:dyDescent="0.2">
      <c r="AF31" t="str">
        <f>CONCATENATE($AF$3,F$3,$C6,$AG$3,F$3,$D6,$AH$3)</f>
        <v>'=NB.SI(Garage!G34:Garage!G72;"N")</v>
      </c>
      <c r="AG31" t="str">
        <f>CONCATENATE($AF$3,F$3,$C6,$AG$3,F$3,$D6,$AI$3)</f>
        <v>'=NB.SI(Garage!G34:Garage!G72;"O")</v>
      </c>
      <c r="AH31" t="str">
        <f t="shared" si="6"/>
        <v>'=NB.SI(Garage!H34:Garage!H72;"O")</v>
      </c>
      <c r="AI31" t="str">
        <f t="shared" si="6"/>
        <v>'=NB.SI(Garage!I34:Garage!I72;"O")</v>
      </c>
      <c r="AJ31" t="str">
        <f t="shared" si="6"/>
        <v>'=NB.SI(Garage!J34:Garage!J72;"O")</v>
      </c>
    </row>
    <row r="32" spans="32:36" ht="18" customHeight="1" x14ac:dyDescent="0.2">
      <c r="AF32" t="str">
        <f>CONCATENATE($AF$3,F$3,$C7,$AG$3,F$3,$D7,$AH$3)</f>
        <v>'=NB.SI(Garage!G73:Garage!G121;"N")</v>
      </c>
      <c r="AG32" t="str">
        <f>CONCATENATE($AF$3,F$3,$C7,$AG$3,F$3,$D7,$AI$3)</f>
        <v>'=NB.SI(Garage!G73:Garage!G121;"O")</v>
      </c>
      <c r="AH32" t="str">
        <f t="shared" si="6"/>
        <v>'=NB.SI(Garage!H73:Garage!H121;"O")</v>
      </c>
      <c r="AI32" t="str">
        <f t="shared" si="6"/>
        <v>'=NB.SI(Garage!I73:Garage!I121;"O")</v>
      </c>
      <c r="AJ32" t="str">
        <f t="shared" si="6"/>
        <v>'=NB.SI(Garage!J73:Garage!J121;"O")</v>
      </c>
    </row>
    <row r="33" spans="32:36" ht="18" customHeight="1" x14ac:dyDescent="0.2">
      <c r="AF33" t="str">
        <f>CONCATENATE($AF$3,F$3,$C8,$AG$3,F$3,$D8,$AH$3)</f>
        <v>'=NB.SI(Garage!G122:Garage!G162;"N")</v>
      </c>
      <c r="AG33" t="str">
        <f>CONCATENATE($AF$3,F$3,$C8,$AG$3,F$3,$D8,$AI$3)</f>
        <v>'=NB.SI(Garage!G122:Garage!G162;"O")</v>
      </c>
      <c r="AH33" t="str">
        <f t="shared" si="6"/>
        <v>'=NB.SI(Garage!H122:Garage!H162;"O")</v>
      </c>
      <c r="AI33" t="str">
        <f t="shared" si="6"/>
        <v>'=NB.SI(Garage!I122:Garage!I162;"O")</v>
      </c>
      <c r="AJ33" t="str">
        <f t="shared" si="6"/>
        <v>'=NB.SI(Garage!J122:Garage!J162;"O")</v>
      </c>
    </row>
    <row r="34" spans="32:36" ht="18" customHeight="1" x14ac:dyDescent="0.2">
      <c r="AF34" t="str">
        <f>CONCATENATE($AF$3,F$3,$C9,$AG$3,F$3,$D9,$AH$3)</f>
        <v>'=NB.SI(Garage!G163:Garage!G210;"N")</v>
      </c>
      <c r="AG34" t="str">
        <f>CONCATENATE($AF$3,F$3,$C9,$AG$3,F$3,$D9,$AI$3)</f>
        <v>'=NB.SI(Garage!G163:Garage!G210;"O")</v>
      </c>
      <c r="AH34" t="str">
        <f t="shared" si="6"/>
        <v>'=NB.SI(Garage!H163:Garage!H210;"O")</v>
      </c>
      <c r="AI34" t="str">
        <f t="shared" si="6"/>
        <v>'=NB.SI(Garage!I163:Garage!I210;"O")</v>
      </c>
      <c r="AJ34" t="str">
        <f t="shared" si="6"/>
        <v>'=NB.SI(Garage!J163:Garage!J210;"O")</v>
      </c>
    </row>
  </sheetData>
  <mergeCells count="6">
    <mergeCell ref="AF1:AJ1"/>
    <mergeCell ref="V2:Y2"/>
    <mergeCell ref="AA2:AD2"/>
    <mergeCell ref="C1:D1"/>
    <mergeCell ref="L2:O2"/>
    <mergeCell ref="Q2:T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AJ10"/>
  <sheetViews>
    <sheetView showGridLines="0" workbookViewId="0">
      <pane ySplit="1" topLeftCell="A2" activePane="bottomLeft" state="frozenSplit"/>
      <selection activeCell="J2" sqref="J2"/>
      <selection pane="bottomLeft" activeCell="I10" sqref="I10"/>
    </sheetView>
  </sheetViews>
  <sheetFormatPr baseColWidth="10" defaultColWidth="3.7109375" defaultRowHeight="18" customHeight="1" x14ac:dyDescent="0.2"/>
  <cols>
    <col min="2" max="8" width="3.7109375" style="2" customWidth="1"/>
    <col min="9" max="10" width="3.7109375" customWidth="1"/>
    <col min="11" max="11" width="3.7109375" style="4" customWidth="1"/>
    <col min="12" max="12" width="20.7109375" style="4" customWidth="1"/>
    <col min="13" max="13" width="30.7109375" customWidth="1"/>
    <col min="14" max="14" width="3.7109375" style="2"/>
    <col min="15" max="18" width="6.7109375" style="65" customWidth="1"/>
    <col min="19" max="19" width="3.7109375" style="2"/>
    <col min="20" max="23" width="6.7109375" style="65" customWidth="1"/>
    <col min="24" max="24" width="3.7109375" style="2"/>
    <col min="25" max="31" width="6.7109375" style="2" customWidth="1"/>
    <col min="32" max="36" width="3.7109375" style="2"/>
  </cols>
  <sheetData>
    <row r="1" spans="34:34" ht="18" customHeight="1" x14ac:dyDescent="0.2">
      <c r="AH1"/>
    </row>
    <row r="2" spans="34:34" ht="18" customHeight="1" x14ac:dyDescent="0.2">
      <c r="AH2"/>
    </row>
    <row r="3" spans="34:34" ht="18" customHeight="1" x14ac:dyDescent="0.2">
      <c r="AH3"/>
    </row>
    <row r="4" spans="34:34" ht="18" customHeight="1" x14ac:dyDescent="0.2">
      <c r="AH4"/>
    </row>
    <row r="5" spans="34:34" ht="18" customHeight="1" x14ac:dyDescent="0.2">
      <c r="AH5"/>
    </row>
    <row r="6" spans="34:34" ht="18" customHeight="1" x14ac:dyDescent="0.2">
      <c r="AH6"/>
    </row>
    <row r="7" spans="34:34" ht="18" customHeight="1" x14ac:dyDescent="0.2">
      <c r="AH7"/>
    </row>
    <row r="8" spans="34:34" ht="18" customHeight="1" x14ac:dyDescent="0.2">
      <c r="AH8"/>
    </row>
    <row r="9" spans="34:34" ht="18" customHeight="1" x14ac:dyDescent="0.2">
      <c r="AH9"/>
    </row>
    <row r="10" spans="34:34" ht="18" customHeight="1" x14ac:dyDescent="0.2">
      <c r="AH10"/>
    </row>
  </sheetData>
  <sortState ref="C2:AC9">
    <sortCondition ref="C2:C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1:AR210"/>
  <sheetViews>
    <sheetView showGridLines="0" workbookViewId="0">
      <pane ySplit="1" topLeftCell="A2" activePane="bottomLeft" state="frozenSplit"/>
      <selection activeCell="L26" sqref="L26"/>
      <selection pane="bottomLeft" activeCell="AQ2" sqref="AQ2:AQ210"/>
    </sheetView>
  </sheetViews>
  <sheetFormatPr baseColWidth="10" defaultColWidth="3.7109375" defaultRowHeight="18" customHeight="1" x14ac:dyDescent="0.2"/>
  <cols>
    <col min="2" max="11" width="3.7109375" style="2" customWidth="1"/>
    <col min="12" max="12" width="20.7109375" style="1" customWidth="1"/>
    <col min="13" max="13" width="30.7109375" style="1" customWidth="1"/>
    <col min="15" max="18" width="3.7109375" style="2"/>
    <col min="20" max="21" width="3.7109375" style="2"/>
    <col min="23" max="23" width="3.7109375" style="2"/>
    <col min="24" max="24" width="4" style="2" bestFit="1" customWidth="1"/>
    <col min="25" max="26" width="3.7109375" style="2"/>
    <col min="28" max="31" width="3.7109375" style="2"/>
    <col min="33" max="36" width="3.7109375" style="2"/>
    <col min="38" max="41" width="3.7109375" style="2"/>
  </cols>
  <sheetData>
    <row r="1" spans="2:44" ht="50.1" customHeight="1" x14ac:dyDescent="0.2">
      <c r="B1" s="7" t="s">
        <v>113</v>
      </c>
      <c r="C1" s="7" t="s">
        <v>114</v>
      </c>
      <c r="D1" s="7" t="s">
        <v>115</v>
      </c>
      <c r="E1" s="7" t="s">
        <v>116</v>
      </c>
      <c r="F1" s="7" t="s">
        <v>117</v>
      </c>
      <c r="G1" s="7" t="s">
        <v>69</v>
      </c>
      <c r="H1" s="7" t="s">
        <v>70</v>
      </c>
      <c r="I1" s="7" t="s">
        <v>71</v>
      </c>
      <c r="J1" s="7" t="s">
        <v>118</v>
      </c>
      <c r="K1" s="6" t="s">
        <v>119</v>
      </c>
      <c r="L1" s="6" t="s">
        <v>120</v>
      </c>
      <c r="M1" s="6" t="s">
        <v>121</v>
      </c>
      <c r="O1" s="6" t="s">
        <v>151</v>
      </c>
      <c r="P1" s="6" t="s">
        <v>152</v>
      </c>
      <c r="Q1" s="6" t="s">
        <v>153</v>
      </c>
      <c r="R1" s="6" t="s">
        <v>154</v>
      </c>
      <c r="T1" s="6" t="s">
        <v>151</v>
      </c>
      <c r="U1" s="6" t="s">
        <v>154</v>
      </c>
      <c r="W1" s="6" t="s">
        <v>73</v>
      </c>
      <c r="X1" s="6" t="s">
        <v>74</v>
      </c>
      <c r="Y1" s="6" t="s">
        <v>75</v>
      </c>
      <c r="Z1" s="6" t="s">
        <v>76</v>
      </c>
      <c r="AB1" s="6" t="s">
        <v>73</v>
      </c>
      <c r="AC1" s="6" t="s">
        <v>74</v>
      </c>
      <c r="AD1" s="6" t="s">
        <v>75</v>
      </c>
      <c r="AE1" s="6" t="s">
        <v>76</v>
      </c>
      <c r="AG1" s="6" t="s">
        <v>73</v>
      </c>
      <c r="AH1" s="6" t="s">
        <v>74</v>
      </c>
      <c r="AI1" s="6" t="s">
        <v>75</v>
      </c>
      <c r="AJ1" s="6" t="s">
        <v>76</v>
      </c>
      <c r="AL1" s="6" t="s">
        <v>73</v>
      </c>
      <c r="AM1" s="6" t="s">
        <v>74</v>
      </c>
      <c r="AN1" s="6" t="s">
        <v>75</v>
      </c>
      <c r="AO1" s="6" t="s">
        <v>76</v>
      </c>
      <c r="AQ1" s="6" t="s">
        <v>155</v>
      </c>
      <c r="AR1" s="6" t="s">
        <v>156</v>
      </c>
    </row>
    <row r="2" spans="2:44" ht="18" customHeight="1" x14ac:dyDescent="0.2">
      <c r="B2" s="8">
        <v>2</v>
      </c>
      <c r="C2" s="8">
        <v>1</v>
      </c>
      <c r="D2" s="8">
        <v>1</v>
      </c>
      <c r="E2" s="8">
        <v>0</v>
      </c>
      <c r="F2" s="64" t="s">
        <v>122</v>
      </c>
      <c r="G2" s="8" t="s">
        <v>132</v>
      </c>
      <c r="H2" s="8" t="s">
        <v>132</v>
      </c>
      <c r="I2" s="8" t="s">
        <v>132</v>
      </c>
      <c r="J2" s="39" t="s">
        <v>123</v>
      </c>
      <c r="K2" s="8" t="s">
        <v>124</v>
      </c>
      <c r="L2" s="9" t="s">
        <v>157</v>
      </c>
      <c r="M2" s="9" t="s">
        <v>158</v>
      </c>
      <c r="O2" s="17">
        <v>10</v>
      </c>
      <c r="P2" s="13">
        <v>20</v>
      </c>
      <c r="Q2" s="13">
        <v>4</v>
      </c>
      <c r="R2" s="14">
        <v>0</v>
      </c>
      <c r="T2" s="17">
        <v>10</v>
      </c>
      <c r="U2" s="14">
        <v>0</v>
      </c>
      <c r="W2" s="17"/>
      <c r="X2" s="13"/>
      <c r="Y2" s="13"/>
      <c r="Z2" s="14"/>
      <c r="AB2" s="17"/>
      <c r="AC2" s="13"/>
      <c r="AD2" s="13"/>
      <c r="AE2" s="14"/>
      <c r="AG2" s="17"/>
      <c r="AH2" s="13"/>
      <c r="AI2" s="13"/>
      <c r="AJ2" s="14"/>
      <c r="AL2" s="17"/>
      <c r="AM2" s="13"/>
      <c r="AN2" s="13"/>
      <c r="AO2" s="14"/>
      <c r="AQ2" s="2">
        <v>2</v>
      </c>
    </row>
    <row r="3" spans="2:44" ht="18" customHeight="1" x14ac:dyDescent="0.2">
      <c r="B3" s="10">
        <v>3</v>
      </c>
      <c r="C3" s="10">
        <v>1</v>
      </c>
      <c r="D3" s="10">
        <v>2</v>
      </c>
      <c r="E3" s="10">
        <v>0</v>
      </c>
      <c r="F3" s="10" t="s">
        <v>122</v>
      </c>
      <c r="G3" s="10" t="s">
        <v>132</v>
      </c>
      <c r="H3" s="10" t="s">
        <v>132</v>
      </c>
      <c r="I3" s="10" t="s">
        <v>132</v>
      </c>
      <c r="J3" s="10" t="s">
        <v>123</v>
      </c>
      <c r="K3" s="10" t="s">
        <v>124</v>
      </c>
      <c r="L3" s="51" t="s">
        <v>159</v>
      </c>
      <c r="M3" s="11" t="s">
        <v>160</v>
      </c>
      <c r="O3" s="18">
        <v>10</v>
      </c>
      <c r="P3" s="15">
        <v>20</v>
      </c>
      <c r="Q3" s="15">
        <v>4</v>
      </c>
      <c r="R3" s="16">
        <v>0</v>
      </c>
      <c r="T3" s="18">
        <v>10</v>
      </c>
      <c r="U3" s="16">
        <v>0</v>
      </c>
      <c r="W3" s="18"/>
      <c r="X3" s="15"/>
      <c r="Y3" s="15"/>
      <c r="Z3" s="16"/>
      <c r="AB3" s="18"/>
      <c r="AC3" s="15"/>
      <c r="AD3" s="15"/>
      <c r="AE3" s="16"/>
      <c r="AG3" s="18"/>
      <c r="AH3" s="15"/>
      <c r="AI3" s="15"/>
      <c r="AJ3" s="16"/>
      <c r="AL3" s="18"/>
      <c r="AM3" s="15"/>
      <c r="AN3" s="15"/>
      <c r="AO3" s="16"/>
      <c r="AQ3" s="2">
        <v>2</v>
      </c>
    </row>
    <row r="4" spans="2:44" ht="18" customHeight="1" x14ac:dyDescent="0.2">
      <c r="B4" s="8">
        <v>4</v>
      </c>
      <c r="C4" s="8">
        <v>1</v>
      </c>
      <c r="D4" s="8">
        <v>3</v>
      </c>
      <c r="E4" s="8">
        <v>0</v>
      </c>
      <c r="F4" s="64" t="s">
        <v>128</v>
      </c>
      <c r="G4" s="8" t="s">
        <v>132</v>
      </c>
      <c r="H4" s="8" t="s">
        <v>132</v>
      </c>
      <c r="I4" s="8" t="s">
        <v>132</v>
      </c>
      <c r="J4" s="39" t="s">
        <v>123</v>
      </c>
      <c r="K4" s="8" t="s">
        <v>124</v>
      </c>
      <c r="L4" s="9" t="s">
        <v>161</v>
      </c>
      <c r="M4" s="9" t="s">
        <v>162</v>
      </c>
      <c r="O4" s="17">
        <v>10</v>
      </c>
      <c r="P4" s="13">
        <v>20</v>
      </c>
      <c r="Q4" s="13">
        <v>4</v>
      </c>
      <c r="R4" s="14">
        <v>0</v>
      </c>
      <c r="T4" s="17">
        <v>10</v>
      </c>
      <c r="U4" s="14">
        <v>0</v>
      </c>
      <c r="W4" s="17"/>
      <c r="X4" s="13"/>
      <c r="Y4" s="13"/>
      <c r="Z4" s="14"/>
      <c r="AB4" s="17"/>
      <c r="AC4" s="13"/>
      <c r="AD4" s="13"/>
      <c r="AE4" s="14"/>
      <c r="AG4" s="17"/>
      <c r="AH4" s="13"/>
      <c r="AI4" s="13"/>
      <c r="AJ4" s="14"/>
      <c r="AL4" s="17"/>
      <c r="AM4" s="13"/>
      <c r="AN4" s="13"/>
      <c r="AO4" s="14"/>
      <c r="AQ4" s="2">
        <v>2</v>
      </c>
    </row>
    <row r="5" spans="2:44" ht="18" customHeight="1" x14ac:dyDescent="0.2">
      <c r="B5" s="10">
        <v>5</v>
      </c>
      <c r="C5" s="10">
        <v>1</v>
      </c>
      <c r="D5" s="10">
        <v>4</v>
      </c>
      <c r="E5" s="10">
        <v>0</v>
      </c>
      <c r="F5" s="10" t="s">
        <v>122</v>
      </c>
      <c r="G5" s="10" t="s">
        <v>132</v>
      </c>
      <c r="H5" s="10" t="s">
        <v>132</v>
      </c>
      <c r="I5" s="10" t="s">
        <v>132</v>
      </c>
      <c r="J5" s="10" t="s">
        <v>123</v>
      </c>
      <c r="K5" s="10" t="s">
        <v>124</v>
      </c>
      <c r="L5" s="51" t="s">
        <v>163</v>
      </c>
      <c r="M5" s="11" t="s">
        <v>164</v>
      </c>
      <c r="O5" s="18">
        <v>10</v>
      </c>
      <c r="P5" s="15">
        <v>20</v>
      </c>
      <c r="Q5" s="15">
        <v>4</v>
      </c>
      <c r="R5" s="16">
        <v>0</v>
      </c>
      <c r="T5" s="18">
        <v>10</v>
      </c>
      <c r="U5" s="16">
        <v>0</v>
      </c>
      <c r="W5" s="18"/>
      <c r="X5" s="15"/>
      <c r="Y5" s="15"/>
      <c r="Z5" s="16"/>
      <c r="AB5" s="18"/>
      <c r="AC5" s="15"/>
      <c r="AD5" s="15"/>
      <c r="AE5" s="16"/>
      <c r="AG5" s="18"/>
      <c r="AH5" s="15"/>
      <c r="AI5" s="15"/>
      <c r="AJ5" s="16"/>
      <c r="AL5" s="18"/>
      <c r="AM5" s="15"/>
      <c r="AN5" s="15"/>
      <c r="AO5" s="16"/>
      <c r="AQ5" s="2">
        <v>2</v>
      </c>
    </row>
    <row r="6" spans="2:44" ht="18" customHeight="1" x14ac:dyDescent="0.2">
      <c r="B6" s="8">
        <v>6</v>
      </c>
      <c r="C6" s="8">
        <v>1</v>
      </c>
      <c r="D6" s="8">
        <v>5</v>
      </c>
      <c r="E6" s="8">
        <v>0</v>
      </c>
      <c r="F6" s="64" t="s">
        <v>122</v>
      </c>
      <c r="G6" s="8" t="s">
        <v>132</v>
      </c>
      <c r="H6" s="8" t="s">
        <v>132</v>
      </c>
      <c r="I6" s="8" t="s">
        <v>132</v>
      </c>
      <c r="J6" s="39" t="s">
        <v>123</v>
      </c>
      <c r="K6" s="8" t="s">
        <v>124</v>
      </c>
      <c r="L6" s="9" t="s">
        <v>163</v>
      </c>
      <c r="M6" s="9" t="s">
        <v>165</v>
      </c>
      <c r="O6" s="17">
        <v>10</v>
      </c>
      <c r="P6" s="13">
        <v>20</v>
      </c>
      <c r="Q6" s="13">
        <v>4</v>
      </c>
      <c r="R6" s="14">
        <v>0</v>
      </c>
      <c r="T6" s="17">
        <v>10</v>
      </c>
      <c r="U6" s="14">
        <v>0</v>
      </c>
      <c r="W6" s="17"/>
      <c r="X6" s="13"/>
      <c r="Y6" s="13"/>
      <c r="Z6" s="14"/>
      <c r="AB6" s="17"/>
      <c r="AC6" s="13"/>
      <c r="AD6" s="13"/>
      <c r="AE6" s="14"/>
      <c r="AG6" s="17"/>
      <c r="AH6" s="13"/>
      <c r="AI6" s="13"/>
      <c r="AJ6" s="14"/>
      <c r="AL6" s="17"/>
      <c r="AM6" s="13"/>
      <c r="AN6" s="13"/>
      <c r="AO6" s="14"/>
      <c r="AQ6" s="2">
        <v>2</v>
      </c>
    </row>
    <row r="7" spans="2:44" ht="18" customHeight="1" x14ac:dyDescent="0.2">
      <c r="B7" s="10">
        <v>7</v>
      </c>
      <c r="C7" s="10">
        <v>1</v>
      </c>
      <c r="D7" s="10">
        <v>6</v>
      </c>
      <c r="E7" s="10">
        <v>30</v>
      </c>
      <c r="F7" s="10" t="s">
        <v>122</v>
      </c>
      <c r="G7" s="38" t="s">
        <v>132</v>
      </c>
      <c r="H7" s="10" t="s">
        <v>132</v>
      </c>
      <c r="I7" s="10" t="s">
        <v>123</v>
      </c>
      <c r="J7" s="10" t="s">
        <v>123</v>
      </c>
      <c r="K7" s="10" t="s">
        <v>124</v>
      </c>
      <c r="L7" s="51" t="s">
        <v>125</v>
      </c>
      <c r="M7" s="11" t="s">
        <v>126</v>
      </c>
      <c r="O7" s="18">
        <v>10</v>
      </c>
      <c r="P7" s="15">
        <v>20</v>
      </c>
      <c r="Q7" s="15">
        <v>4</v>
      </c>
      <c r="R7" s="16">
        <v>0</v>
      </c>
      <c r="T7" s="18">
        <v>3</v>
      </c>
      <c r="U7" s="16">
        <v>0</v>
      </c>
      <c r="W7" s="18"/>
      <c r="X7" s="15"/>
      <c r="Y7" s="15"/>
      <c r="Z7" s="16"/>
      <c r="AB7" s="18"/>
      <c r="AC7" s="15"/>
      <c r="AD7" s="15"/>
      <c r="AE7" s="16"/>
      <c r="AG7" s="18"/>
      <c r="AH7" s="15"/>
      <c r="AI7" s="15"/>
      <c r="AJ7" s="16"/>
      <c r="AL7" s="18"/>
      <c r="AM7" s="15"/>
      <c r="AN7" s="15"/>
      <c r="AO7" s="16"/>
      <c r="AQ7" s="2">
        <v>2</v>
      </c>
    </row>
    <row r="8" spans="2:44" ht="18" customHeight="1" x14ac:dyDescent="0.2">
      <c r="B8" s="8">
        <v>8</v>
      </c>
      <c r="C8" s="8">
        <v>1</v>
      </c>
      <c r="D8" s="8">
        <v>7</v>
      </c>
      <c r="E8" s="8">
        <v>0</v>
      </c>
      <c r="F8" s="64" t="s">
        <v>122</v>
      </c>
      <c r="G8" s="8" t="s">
        <v>132</v>
      </c>
      <c r="H8" s="8" t="s">
        <v>132</v>
      </c>
      <c r="I8" s="8" t="s">
        <v>132</v>
      </c>
      <c r="J8" s="39" t="s">
        <v>123</v>
      </c>
      <c r="K8" s="8" t="s">
        <v>124</v>
      </c>
      <c r="L8" s="9" t="s">
        <v>166</v>
      </c>
      <c r="M8" s="9" t="s">
        <v>167</v>
      </c>
      <c r="O8" s="17">
        <v>10</v>
      </c>
      <c r="P8" s="13">
        <v>20</v>
      </c>
      <c r="Q8" s="13">
        <v>4</v>
      </c>
      <c r="R8" s="14">
        <v>0</v>
      </c>
      <c r="T8" s="17">
        <v>10</v>
      </c>
      <c r="U8" s="14">
        <v>0</v>
      </c>
      <c r="W8" s="17"/>
      <c r="X8" s="13"/>
      <c r="Y8" s="13"/>
      <c r="Z8" s="14"/>
      <c r="AB8" s="17"/>
      <c r="AC8" s="13"/>
      <c r="AD8" s="13"/>
      <c r="AE8" s="14"/>
      <c r="AG8" s="17"/>
      <c r="AH8" s="13"/>
      <c r="AI8" s="13"/>
      <c r="AJ8" s="14"/>
      <c r="AL8" s="17"/>
      <c r="AM8" s="13"/>
      <c r="AN8" s="13"/>
      <c r="AO8" s="14"/>
      <c r="AQ8" s="2">
        <v>2</v>
      </c>
    </row>
    <row r="9" spans="2:44" ht="18" customHeight="1" x14ac:dyDescent="0.2">
      <c r="B9" s="10">
        <v>9</v>
      </c>
      <c r="C9" s="10">
        <v>1</v>
      </c>
      <c r="D9" s="10">
        <v>8</v>
      </c>
      <c r="E9" s="10">
        <v>0</v>
      </c>
      <c r="F9" s="10" t="s">
        <v>122</v>
      </c>
      <c r="G9" s="10" t="s">
        <v>132</v>
      </c>
      <c r="H9" s="10" t="s">
        <v>132</v>
      </c>
      <c r="I9" s="10" t="s">
        <v>132</v>
      </c>
      <c r="J9" s="10" t="s">
        <v>123</v>
      </c>
      <c r="K9" s="10" t="s">
        <v>124</v>
      </c>
      <c r="L9" s="51" t="s">
        <v>168</v>
      </c>
      <c r="M9" s="11" t="s">
        <v>169</v>
      </c>
      <c r="O9" s="18">
        <v>10</v>
      </c>
      <c r="P9" s="15">
        <v>20</v>
      </c>
      <c r="Q9" s="15">
        <v>4</v>
      </c>
      <c r="R9" s="16">
        <v>0</v>
      </c>
      <c r="T9" s="18">
        <v>10</v>
      </c>
      <c r="U9" s="16">
        <v>0</v>
      </c>
      <c r="W9" s="18"/>
      <c r="X9" s="15"/>
      <c r="Y9" s="15"/>
      <c r="Z9" s="16"/>
      <c r="AB9" s="18"/>
      <c r="AC9" s="15"/>
      <c r="AD9" s="15"/>
      <c r="AE9" s="16"/>
      <c r="AG9" s="18"/>
      <c r="AH9" s="15"/>
      <c r="AI9" s="15"/>
      <c r="AJ9" s="16"/>
      <c r="AL9" s="18"/>
      <c r="AM9" s="15"/>
      <c r="AN9" s="15"/>
      <c r="AO9" s="16"/>
      <c r="AQ9" s="2">
        <v>2</v>
      </c>
    </row>
    <row r="10" spans="2:44" ht="18" customHeight="1" x14ac:dyDescent="0.2">
      <c r="B10" s="8">
        <v>10</v>
      </c>
      <c r="C10" s="8">
        <v>1</v>
      </c>
      <c r="D10" s="8">
        <v>9</v>
      </c>
      <c r="E10" s="8">
        <v>0</v>
      </c>
      <c r="F10" s="64" t="s">
        <v>122</v>
      </c>
      <c r="G10" s="8" t="s">
        <v>132</v>
      </c>
      <c r="H10" s="8" t="s">
        <v>132</v>
      </c>
      <c r="I10" s="8" t="s">
        <v>132</v>
      </c>
      <c r="J10" s="39" t="s">
        <v>123</v>
      </c>
      <c r="K10" s="8" t="s">
        <v>124</v>
      </c>
      <c r="L10" s="9" t="s">
        <v>170</v>
      </c>
      <c r="M10" s="9" t="s">
        <v>171</v>
      </c>
      <c r="O10" s="17">
        <v>10</v>
      </c>
      <c r="P10" s="13">
        <v>20</v>
      </c>
      <c r="Q10" s="13">
        <v>4</v>
      </c>
      <c r="R10" s="14">
        <v>0</v>
      </c>
      <c r="T10" s="17">
        <v>10</v>
      </c>
      <c r="U10" s="14">
        <v>0</v>
      </c>
      <c r="W10" s="17"/>
      <c r="X10" s="13"/>
      <c r="Y10" s="13"/>
      <c r="Z10" s="14"/>
      <c r="AB10" s="17"/>
      <c r="AC10" s="13"/>
      <c r="AD10" s="13"/>
      <c r="AE10" s="14"/>
      <c r="AG10" s="17"/>
      <c r="AH10" s="13"/>
      <c r="AI10" s="13"/>
      <c r="AJ10" s="14"/>
      <c r="AL10" s="17"/>
      <c r="AM10" s="13"/>
      <c r="AN10" s="13"/>
      <c r="AO10" s="14"/>
      <c r="AQ10" s="2">
        <v>2</v>
      </c>
    </row>
    <row r="11" spans="2:44" ht="18" customHeight="1" x14ac:dyDescent="0.2">
      <c r="B11" s="10">
        <v>11</v>
      </c>
      <c r="C11" s="10">
        <v>1</v>
      </c>
      <c r="D11" s="10">
        <v>10</v>
      </c>
      <c r="E11" s="10">
        <v>26</v>
      </c>
      <c r="F11" s="10" t="s">
        <v>122</v>
      </c>
      <c r="G11" s="10" t="s">
        <v>132</v>
      </c>
      <c r="H11" s="10" t="s">
        <v>123</v>
      </c>
      <c r="I11" s="10" t="s">
        <v>123</v>
      </c>
      <c r="J11" s="10" t="s">
        <v>132</v>
      </c>
      <c r="K11" s="10" t="s">
        <v>124</v>
      </c>
      <c r="L11" s="51" t="s">
        <v>148</v>
      </c>
      <c r="M11" s="11" t="s">
        <v>172</v>
      </c>
      <c r="O11" s="18">
        <v>11</v>
      </c>
      <c r="P11" s="15">
        <v>28</v>
      </c>
      <c r="Q11" s="15">
        <v>8</v>
      </c>
      <c r="R11" s="16">
        <v>4</v>
      </c>
      <c r="T11" s="18">
        <v>9</v>
      </c>
      <c r="U11" s="16">
        <v>0</v>
      </c>
      <c r="W11" s="18"/>
      <c r="X11" s="15"/>
      <c r="Y11" s="15"/>
      <c r="Z11" s="16"/>
      <c r="AB11" s="18"/>
      <c r="AC11" s="15"/>
      <c r="AD11" s="15"/>
      <c r="AE11" s="16"/>
      <c r="AG11" s="18"/>
      <c r="AH11" s="15"/>
      <c r="AI11" s="15"/>
      <c r="AJ11" s="16"/>
      <c r="AL11" s="18"/>
      <c r="AM11" s="15"/>
      <c r="AN11" s="15"/>
      <c r="AO11" s="16"/>
      <c r="AQ11" s="2">
        <v>9</v>
      </c>
    </row>
    <row r="12" spans="2:44" ht="18" customHeight="1" x14ac:dyDescent="0.2">
      <c r="B12" s="8">
        <v>12</v>
      </c>
      <c r="C12" s="8">
        <v>1</v>
      </c>
      <c r="D12" s="8">
        <v>11</v>
      </c>
      <c r="E12" s="8">
        <v>18</v>
      </c>
      <c r="F12" s="64" t="s">
        <v>122</v>
      </c>
      <c r="G12" s="8" t="s">
        <v>123</v>
      </c>
      <c r="H12" s="8" t="s">
        <v>123</v>
      </c>
      <c r="I12" s="8" t="s">
        <v>123</v>
      </c>
      <c r="J12" s="39" t="s">
        <v>123</v>
      </c>
      <c r="K12" s="8" t="s">
        <v>124</v>
      </c>
      <c r="L12" s="9" t="s">
        <v>173</v>
      </c>
      <c r="M12" s="9" t="s">
        <v>174</v>
      </c>
      <c r="O12" s="17">
        <v>11</v>
      </c>
      <c r="P12" s="13">
        <v>28</v>
      </c>
      <c r="Q12" s="13">
        <v>8</v>
      </c>
      <c r="R12" s="14">
        <v>4</v>
      </c>
      <c r="T12" s="17">
        <v>0</v>
      </c>
      <c r="U12" s="14">
        <v>0</v>
      </c>
      <c r="W12" s="17"/>
      <c r="X12" s="13"/>
      <c r="Y12" s="13"/>
      <c r="Z12" s="14"/>
      <c r="AB12" s="17"/>
      <c r="AC12" s="13"/>
      <c r="AD12" s="13"/>
      <c r="AE12" s="14"/>
      <c r="AG12" s="17"/>
      <c r="AH12" s="13"/>
      <c r="AI12" s="13"/>
      <c r="AJ12" s="14"/>
      <c r="AL12" s="17"/>
      <c r="AM12" s="13"/>
      <c r="AN12" s="13"/>
      <c r="AO12" s="14"/>
      <c r="AQ12" s="2">
        <v>9</v>
      </c>
    </row>
    <row r="13" spans="2:44" ht="18" customHeight="1" x14ac:dyDescent="0.2">
      <c r="B13" s="10">
        <v>13</v>
      </c>
      <c r="C13" s="10">
        <v>1</v>
      </c>
      <c r="D13" s="10">
        <v>12</v>
      </c>
      <c r="E13" s="10">
        <v>16</v>
      </c>
      <c r="F13" s="10" t="s">
        <v>122</v>
      </c>
      <c r="G13" s="10" t="s">
        <v>132</v>
      </c>
      <c r="H13" s="10" t="s">
        <v>123</v>
      </c>
      <c r="I13" s="10" t="s">
        <v>123</v>
      </c>
      <c r="J13" s="10" t="s">
        <v>132</v>
      </c>
      <c r="K13" s="10" t="s">
        <v>124</v>
      </c>
      <c r="L13" s="51" t="s">
        <v>159</v>
      </c>
      <c r="M13" s="11" t="s">
        <v>175</v>
      </c>
      <c r="O13" s="18">
        <v>11</v>
      </c>
      <c r="P13" s="15">
        <v>28</v>
      </c>
      <c r="Q13" s="15">
        <v>8</v>
      </c>
      <c r="R13" s="16">
        <v>4</v>
      </c>
      <c r="T13" s="18">
        <v>7</v>
      </c>
      <c r="U13" s="16">
        <v>0</v>
      </c>
      <c r="W13" s="18"/>
      <c r="X13" s="15"/>
      <c r="Y13" s="15"/>
      <c r="Z13" s="16"/>
      <c r="AB13" s="18"/>
      <c r="AC13" s="15"/>
      <c r="AD13" s="15"/>
      <c r="AE13" s="16"/>
      <c r="AG13" s="18"/>
      <c r="AH13" s="15"/>
      <c r="AI13" s="15"/>
      <c r="AJ13" s="16"/>
      <c r="AL13" s="18"/>
      <c r="AM13" s="15"/>
      <c r="AN13" s="15"/>
      <c r="AO13" s="16"/>
      <c r="AQ13" s="2">
        <v>9</v>
      </c>
    </row>
    <row r="14" spans="2:44" ht="18" customHeight="1" x14ac:dyDescent="0.2">
      <c r="B14" s="8">
        <v>14</v>
      </c>
      <c r="C14" s="8">
        <v>1</v>
      </c>
      <c r="D14" s="8">
        <v>13</v>
      </c>
      <c r="E14" s="8">
        <v>27</v>
      </c>
      <c r="F14" s="64" t="s">
        <v>122</v>
      </c>
      <c r="G14" s="8" t="s">
        <v>132</v>
      </c>
      <c r="H14" s="8" t="s">
        <v>123</v>
      </c>
      <c r="I14" s="8" t="s">
        <v>123</v>
      </c>
      <c r="J14" s="39" t="s">
        <v>123</v>
      </c>
      <c r="K14" s="8" t="s">
        <v>124</v>
      </c>
      <c r="L14" s="9" t="s">
        <v>176</v>
      </c>
      <c r="M14" s="9" t="s">
        <v>177</v>
      </c>
      <c r="O14" s="17">
        <v>11</v>
      </c>
      <c r="P14" s="13">
        <v>28</v>
      </c>
      <c r="Q14" s="13">
        <v>8</v>
      </c>
      <c r="R14" s="14">
        <v>4</v>
      </c>
      <c r="T14" s="17">
        <v>4</v>
      </c>
      <c r="U14" s="14">
        <v>0</v>
      </c>
      <c r="W14" s="17"/>
      <c r="X14" s="13"/>
      <c r="Y14" s="13"/>
      <c r="Z14" s="14"/>
      <c r="AB14" s="17"/>
      <c r="AC14" s="13"/>
      <c r="AD14" s="13"/>
      <c r="AE14" s="14"/>
      <c r="AG14" s="17"/>
      <c r="AH14" s="13"/>
      <c r="AI14" s="13"/>
      <c r="AJ14" s="14"/>
      <c r="AL14" s="17"/>
      <c r="AM14" s="13"/>
      <c r="AN14" s="13"/>
      <c r="AO14" s="14"/>
      <c r="AQ14" s="2">
        <v>9</v>
      </c>
    </row>
    <row r="15" spans="2:44" ht="18" customHeight="1" x14ac:dyDescent="0.2">
      <c r="B15" s="10">
        <v>15</v>
      </c>
      <c r="C15" s="10">
        <v>1</v>
      </c>
      <c r="D15" s="10">
        <v>14</v>
      </c>
      <c r="E15" s="10">
        <v>0</v>
      </c>
      <c r="F15" s="10" t="s">
        <v>178</v>
      </c>
      <c r="G15" s="10" t="s">
        <v>132</v>
      </c>
      <c r="H15" s="10" t="s">
        <v>132</v>
      </c>
      <c r="I15" s="10" t="s">
        <v>132</v>
      </c>
      <c r="J15" s="10" t="s">
        <v>123</v>
      </c>
      <c r="K15" s="10" t="s">
        <v>124</v>
      </c>
      <c r="L15" s="51" t="s">
        <v>179</v>
      </c>
      <c r="M15" s="11" t="s">
        <v>180</v>
      </c>
      <c r="O15" s="18">
        <v>11</v>
      </c>
      <c r="P15" s="15">
        <v>28</v>
      </c>
      <c r="Q15" s="15">
        <v>8</v>
      </c>
      <c r="R15" s="16">
        <v>4</v>
      </c>
      <c r="T15" s="18">
        <v>11</v>
      </c>
      <c r="U15" s="16">
        <v>4</v>
      </c>
      <c r="W15" s="18"/>
      <c r="X15" s="15"/>
      <c r="Y15" s="15"/>
      <c r="Z15" s="16"/>
      <c r="AB15" s="18"/>
      <c r="AC15" s="15"/>
      <c r="AD15" s="15"/>
      <c r="AE15" s="16"/>
      <c r="AG15" s="18"/>
      <c r="AH15" s="15"/>
      <c r="AI15" s="15"/>
      <c r="AJ15" s="16"/>
      <c r="AL15" s="18"/>
      <c r="AM15" s="15"/>
      <c r="AN15" s="15"/>
      <c r="AO15" s="16"/>
      <c r="AQ15" s="2">
        <v>9</v>
      </c>
    </row>
    <row r="16" spans="2:44" ht="18" customHeight="1" x14ac:dyDescent="0.2">
      <c r="B16" s="8">
        <v>16</v>
      </c>
      <c r="C16" s="8">
        <v>1</v>
      </c>
      <c r="D16" s="8">
        <v>15</v>
      </c>
      <c r="E16" s="8">
        <v>17</v>
      </c>
      <c r="F16" s="64" t="s">
        <v>122</v>
      </c>
      <c r="G16" s="8" t="s">
        <v>132</v>
      </c>
      <c r="H16" s="8" t="s">
        <v>132</v>
      </c>
      <c r="I16" s="39" t="s">
        <v>123</v>
      </c>
      <c r="J16" s="39" t="s">
        <v>123</v>
      </c>
      <c r="K16" s="8" t="s">
        <v>124</v>
      </c>
      <c r="L16" s="9" t="s">
        <v>181</v>
      </c>
      <c r="M16" s="9" t="s">
        <v>182</v>
      </c>
      <c r="O16" s="17">
        <v>11</v>
      </c>
      <c r="P16" s="13">
        <v>28</v>
      </c>
      <c r="Q16" s="13">
        <v>8</v>
      </c>
      <c r="R16" s="14">
        <v>4</v>
      </c>
      <c r="T16" s="17">
        <v>7</v>
      </c>
      <c r="U16" s="14">
        <v>0</v>
      </c>
      <c r="W16" s="17"/>
      <c r="X16" s="13"/>
      <c r="Y16" s="13"/>
      <c r="Z16" s="14"/>
      <c r="AB16" s="17"/>
      <c r="AC16" s="13"/>
      <c r="AD16" s="13"/>
      <c r="AE16" s="14"/>
      <c r="AG16" s="17"/>
      <c r="AH16" s="13"/>
      <c r="AI16" s="13"/>
      <c r="AJ16" s="14"/>
      <c r="AL16" s="17"/>
      <c r="AM16" s="13"/>
      <c r="AN16" s="13"/>
      <c r="AO16" s="14"/>
      <c r="AQ16" s="2">
        <v>9</v>
      </c>
    </row>
    <row r="17" spans="2:43" ht="18" customHeight="1" x14ac:dyDescent="0.2">
      <c r="B17" s="10">
        <v>17</v>
      </c>
      <c r="C17" s="10">
        <v>1</v>
      </c>
      <c r="D17" s="10">
        <v>16</v>
      </c>
      <c r="E17" s="10">
        <v>0</v>
      </c>
      <c r="F17" s="10" t="s">
        <v>122</v>
      </c>
      <c r="G17" s="10" t="s">
        <v>132</v>
      </c>
      <c r="H17" s="10" t="s">
        <v>132</v>
      </c>
      <c r="I17" s="10" t="s">
        <v>132</v>
      </c>
      <c r="J17" s="10" t="s">
        <v>123</v>
      </c>
      <c r="K17" s="10" t="s">
        <v>124</v>
      </c>
      <c r="L17" s="51" t="s">
        <v>183</v>
      </c>
      <c r="M17" s="11" t="s">
        <v>184</v>
      </c>
      <c r="O17" s="18">
        <v>11</v>
      </c>
      <c r="P17" s="15">
        <v>28</v>
      </c>
      <c r="Q17" s="15">
        <v>8</v>
      </c>
      <c r="R17" s="16">
        <v>4</v>
      </c>
      <c r="T17" s="18">
        <v>11</v>
      </c>
      <c r="U17" s="16">
        <v>4</v>
      </c>
      <c r="W17" s="18"/>
      <c r="X17" s="15"/>
      <c r="Y17" s="15"/>
      <c r="Z17" s="16"/>
      <c r="AB17" s="18"/>
      <c r="AC17" s="15"/>
      <c r="AD17" s="15"/>
      <c r="AE17" s="16"/>
      <c r="AG17" s="18"/>
      <c r="AH17" s="15"/>
      <c r="AI17" s="15"/>
      <c r="AJ17" s="16"/>
      <c r="AL17" s="18"/>
      <c r="AM17" s="15"/>
      <c r="AN17" s="15"/>
      <c r="AO17" s="16"/>
      <c r="AQ17" s="2">
        <v>9</v>
      </c>
    </row>
    <row r="18" spans="2:43" ht="18" customHeight="1" x14ac:dyDescent="0.2">
      <c r="B18" s="8">
        <v>18</v>
      </c>
      <c r="C18" s="8">
        <v>1</v>
      </c>
      <c r="D18" s="8">
        <v>17</v>
      </c>
      <c r="E18" s="8">
        <v>25</v>
      </c>
      <c r="F18" s="64" t="s">
        <v>131</v>
      </c>
      <c r="G18" s="8" t="s">
        <v>132</v>
      </c>
      <c r="H18" s="8" t="s">
        <v>123</v>
      </c>
      <c r="I18" s="8" t="s">
        <v>123</v>
      </c>
      <c r="J18" s="39" t="s">
        <v>132</v>
      </c>
      <c r="K18" s="8" t="s">
        <v>124</v>
      </c>
      <c r="L18" s="9" t="s">
        <v>134</v>
      </c>
      <c r="M18" s="9" t="s">
        <v>185</v>
      </c>
      <c r="O18" s="17">
        <v>11</v>
      </c>
      <c r="P18" s="13">
        <v>28</v>
      </c>
      <c r="Q18" s="13">
        <v>8</v>
      </c>
      <c r="R18" s="14">
        <v>4</v>
      </c>
      <c r="T18" s="17">
        <v>7</v>
      </c>
      <c r="U18" s="14">
        <v>0</v>
      </c>
      <c r="W18" s="17"/>
      <c r="X18" s="13"/>
      <c r="Y18" s="13"/>
      <c r="Z18" s="14"/>
      <c r="AB18" s="17"/>
      <c r="AC18" s="13"/>
      <c r="AD18" s="13"/>
      <c r="AE18" s="14"/>
      <c r="AG18" s="17"/>
      <c r="AH18" s="13"/>
      <c r="AI18" s="13"/>
      <c r="AJ18" s="14"/>
      <c r="AL18" s="17"/>
      <c r="AM18" s="13"/>
      <c r="AN18" s="13"/>
      <c r="AO18" s="14"/>
      <c r="AQ18" s="2">
        <v>9</v>
      </c>
    </row>
    <row r="19" spans="2:43" ht="18" customHeight="1" x14ac:dyDescent="0.2">
      <c r="B19" s="10">
        <v>19</v>
      </c>
      <c r="C19" s="10">
        <v>1</v>
      </c>
      <c r="D19" s="10">
        <v>18</v>
      </c>
      <c r="E19" s="10">
        <v>0</v>
      </c>
      <c r="F19" s="10" t="s">
        <v>122</v>
      </c>
      <c r="G19" s="10" t="s">
        <v>132</v>
      </c>
      <c r="H19" s="10" t="s">
        <v>132</v>
      </c>
      <c r="I19" s="10" t="s">
        <v>132</v>
      </c>
      <c r="J19" s="10" t="s">
        <v>123</v>
      </c>
      <c r="K19" s="10" t="s">
        <v>124</v>
      </c>
      <c r="L19" s="51" t="s">
        <v>186</v>
      </c>
      <c r="M19" s="11" t="s">
        <v>187</v>
      </c>
      <c r="O19" s="18">
        <v>11</v>
      </c>
      <c r="P19" s="15">
        <v>28</v>
      </c>
      <c r="Q19" s="15">
        <v>8</v>
      </c>
      <c r="R19" s="16">
        <v>4</v>
      </c>
      <c r="T19" s="18">
        <v>11</v>
      </c>
      <c r="U19" s="16">
        <v>4</v>
      </c>
      <c r="W19" s="18"/>
      <c r="X19" s="15"/>
      <c r="Y19" s="15"/>
      <c r="Z19" s="16"/>
      <c r="AB19" s="18"/>
      <c r="AC19" s="15"/>
      <c r="AD19" s="15"/>
      <c r="AE19" s="16"/>
      <c r="AG19" s="18"/>
      <c r="AH19" s="15"/>
      <c r="AI19" s="15"/>
      <c r="AJ19" s="16"/>
      <c r="AL19" s="18"/>
      <c r="AM19" s="15"/>
      <c r="AN19" s="15"/>
      <c r="AO19" s="16"/>
      <c r="AQ19" s="2">
        <v>9</v>
      </c>
    </row>
    <row r="20" spans="2:43" ht="18" customHeight="1" x14ac:dyDescent="0.2">
      <c r="B20" s="8">
        <v>20</v>
      </c>
      <c r="C20" s="8">
        <v>1</v>
      </c>
      <c r="D20" s="8">
        <v>19</v>
      </c>
      <c r="E20" s="8">
        <v>6</v>
      </c>
      <c r="F20" s="64" t="s">
        <v>178</v>
      </c>
      <c r="G20" s="8" t="s">
        <v>132</v>
      </c>
      <c r="H20" s="8" t="s">
        <v>132</v>
      </c>
      <c r="I20" s="8" t="s">
        <v>132</v>
      </c>
      <c r="J20" s="39" t="s">
        <v>123</v>
      </c>
      <c r="K20" s="8" t="s">
        <v>124</v>
      </c>
      <c r="L20" s="9" t="s">
        <v>179</v>
      </c>
      <c r="M20" s="9" t="s">
        <v>188</v>
      </c>
      <c r="O20" s="17">
        <v>11</v>
      </c>
      <c r="P20" s="13">
        <v>28</v>
      </c>
      <c r="Q20" s="13">
        <v>8</v>
      </c>
      <c r="R20" s="14">
        <v>4</v>
      </c>
      <c r="T20" s="17">
        <v>11</v>
      </c>
      <c r="U20" s="14">
        <v>4</v>
      </c>
      <c r="W20" s="17"/>
      <c r="X20" s="13"/>
      <c r="Y20" s="13"/>
      <c r="Z20" s="14"/>
      <c r="AB20" s="17"/>
      <c r="AC20" s="13"/>
      <c r="AD20" s="13"/>
      <c r="AE20" s="14"/>
      <c r="AG20" s="17"/>
      <c r="AH20" s="13"/>
      <c r="AI20" s="13"/>
      <c r="AJ20" s="14"/>
      <c r="AL20" s="17"/>
      <c r="AM20" s="13"/>
      <c r="AN20" s="13"/>
      <c r="AO20" s="14"/>
      <c r="AQ20" s="2">
        <v>9</v>
      </c>
    </row>
    <row r="21" spans="2:43" ht="18" customHeight="1" x14ac:dyDescent="0.2">
      <c r="B21" s="10">
        <v>21</v>
      </c>
      <c r="C21" s="10">
        <v>1</v>
      </c>
      <c r="D21" s="10">
        <v>20</v>
      </c>
      <c r="E21" s="10">
        <v>23</v>
      </c>
      <c r="F21" s="10" t="s">
        <v>122</v>
      </c>
      <c r="G21" s="10" t="s">
        <v>132</v>
      </c>
      <c r="H21" s="10" t="s">
        <v>132</v>
      </c>
      <c r="I21" s="38" t="s">
        <v>123</v>
      </c>
      <c r="J21" s="10" t="s">
        <v>132</v>
      </c>
      <c r="K21" s="10" t="s">
        <v>124</v>
      </c>
      <c r="L21" s="51" t="s">
        <v>183</v>
      </c>
      <c r="M21" s="11" t="s">
        <v>189</v>
      </c>
      <c r="O21" s="18">
        <v>11</v>
      </c>
      <c r="P21" s="15">
        <v>28</v>
      </c>
      <c r="Q21" s="15">
        <v>8</v>
      </c>
      <c r="R21" s="16">
        <v>4</v>
      </c>
      <c r="T21" s="18">
        <v>9</v>
      </c>
      <c r="U21" s="16">
        <v>5</v>
      </c>
      <c r="W21" s="18"/>
      <c r="X21" s="15"/>
      <c r="Y21" s="15"/>
      <c r="Z21" s="16"/>
      <c r="AB21" s="18"/>
      <c r="AC21" s="15"/>
      <c r="AD21" s="15"/>
      <c r="AE21" s="16"/>
      <c r="AG21" s="18"/>
      <c r="AH21" s="15"/>
      <c r="AI21" s="15"/>
      <c r="AJ21" s="16"/>
      <c r="AL21" s="18"/>
      <c r="AM21" s="15"/>
      <c r="AN21" s="15"/>
      <c r="AO21" s="16"/>
      <c r="AQ21" s="2">
        <v>9</v>
      </c>
    </row>
    <row r="22" spans="2:43" ht="18" customHeight="1" x14ac:dyDescent="0.2">
      <c r="B22" s="8">
        <v>22</v>
      </c>
      <c r="C22" s="8">
        <v>1</v>
      </c>
      <c r="D22" s="8">
        <v>21</v>
      </c>
      <c r="E22" s="8">
        <v>28</v>
      </c>
      <c r="F22" s="64" t="s">
        <v>122</v>
      </c>
      <c r="G22" s="8" t="s">
        <v>132</v>
      </c>
      <c r="H22" s="8" t="s">
        <v>123</v>
      </c>
      <c r="I22" s="8" t="s">
        <v>123</v>
      </c>
      <c r="J22" s="39" t="s">
        <v>123</v>
      </c>
      <c r="K22" s="8" t="s">
        <v>124</v>
      </c>
      <c r="L22" s="9" t="s">
        <v>190</v>
      </c>
      <c r="M22" s="9" t="s">
        <v>191</v>
      </c>
      <c r="O22" s="17">
        <v>11</v>
      </c>
      <c r="P22" s="13">
        <v>28</v>
      </c>
      <c r="Q22" s="13">
        <v>8</v>
      </c>
      <c r="R22" s="14">
        <v>4</v>
      </c>
      <c r="T22" s="17">
        <v>9</v>
      </c>
      <c r="U22" s="14">
        <v>0</v>
      </c>
      <c r="W22" s="17"/>
      <c r="X22" s="13"/>
      <c r="Y22" s="13"/>
      <c r="Z22" s="14"/>
      <c r="AB22" s="17"/>
      <c r="AC22" s="13"/>
      <c r="AD22" s="13"/>
      <c r="AE22" s="14"/>
      <c r="AG22" s="17"/>
      <c r="AH22" s="13"/>
      <c r="AI22" s="13"/>
      <c r="AJ22" s="14"/>
      <c r="AL22" s="17"/>
      <c r="AM22" s="13"/>
      <c r="AN22" s="13"/>
      <c r="AO22" s="14"/>
      <c r="AQ22" s="2">
        <v>9</v>
      </c>
    </row>
    <row r="23" spans="2:43" ht="18" customHeight="1" x14ac:dyDescent="0.2">
      <c r="B23" s="10">
        <v>23</v>
      </c>
      <c r="C23" s="10">
        <v>1</v>
      </c>
      <c r="D23" s="10">
        <v>22</v>
      </c>
      <c r="E23" s="10">
        <v>6</v>
      </c>
      <c r="F23" s="10" t="s">
        <v>122</v>
      </c>
      <c r="G23" s="10" t="s">
        <v>132</v>
      </c>
      <c r="H23" s="10" t="s">
        <v>132</v>
      </c>
      <c r="I23" s="10" t="s">
        <v>132</v>
      </c>
      <c r="J23" s="10" t="s">
        <v>123</v>
      </c>
      <c r="K23" s="10" t="s">
        <v>124</v>
      </c>
      <c r="L23" s="51" t="s">
        <v>192</v>
      </c>
      <c r="M23" s="11" t="s">
        <v>193</v>
      </c>
      <c r="O23" s="18">
        <v>11</v>
      </c>
      <c r="P23" s="15">
        <v>28</v>
      </c>
      <c r="Q23" s="15">
        <v>8</v>
      </c>
      <c r="R23" s="16">
        <v>4</v>
      </c>
      <c r="T23" s="18">
        <v>11</v>
      </c>
      <c r="U23" s="16">
        <v>4</v>
      </c>
      <c r="W23" s="18"/>
      <c r="X23" s="15"/>
      <c r="Y23" s="15"/>
      <c r="Z23" s="16"/>
      <c r="AB23" s="18"/>
      <c r="AC23" s="15"/>
      <c r="AD23" s="15"/>
      <c r="AE23" s="16"/>
      <c r="AG23" s="18"/>
      <c r="AH23" s="15"/>
      <c r="AI23" s="15"/>
      <c r="AJ23" s="16"/>
      <c r="AL23" s="18"/>
      <c r="AM23" s="15"/>
      <c r="AN23" s="15"/>
      <c r="AO23" s="16"/>
      <c r="AQ23" s="2">
        <v>9</v>
      </c>
    </row>
    <row r="24" spans="2:43" ht="18" customHeight="1" x14ac:dyDescent="0.2">
      <c r="B24" s="8">
        <v>24</v>
      </c>
      <c r="C24" s="8">
        <v>1</v>
      </c>
      <c r="D24" s="8">
        <v>23</v>
      </c>
      <c r="E24" s="8">
        <v>21</v>
      </c>
      <c r="F24" s="64" t="s">
        <v>122</v>
      </c>
      <c r="G24" s="8" t="s">
        <v>132</v>
      </c>
      <c r="H24" s="8" t="s">
        <v>123</v>
      </c>
      <c r="I24" s="8" t="s">
        <v>123</v>
      </c>
      <c r="J24" s="39" t="s">
        <v>123</v>
      </c>
      <c r="K24" s="8" t="s">
        <v>124</v>
      </c>
      <c r="L24" s="9" t="s">
        <v>148</v>
      </c>
      <c r="M24" s="9" t="s">
        <v>149</v>
      </c>
      <c r="O24" s="17">
        <v>11</v>
      </c>
      <c r="P24" s="13">
        <v>28</v>
      </c>
      <c r="Q24" s="13">
        <v>8</v>
      </c>
      <c r="R24" s="14">
        <v>4</v>
      </c>
      <c r="T24" s="17">
        <v>6</v>
      </c>
      <c r="U24" s="14">
        <v>0</v>
      </c>
      <c r="W24" s="17"/>
      <c r="X24" s="13"/>
      <c r="Y24" s="13"/>
      <c r="Z24" s="14"/>
      <c r="AB24" s="17"/>
      <c r="AC24" s="13"/>
      <c r="AD24" s="13"/>
      <c r="AE24" s="14"/>
      <c r="AG24" s="17"/>
      <c r="AH24" s="13"/>
      <c r="AI24" s="13"/>
      <c r="AJ24" s="14"/>
      <c r="AL24" s="17"/>
      <c r="AM24" s="13"/>
      <c r="AN24" s="13"/>
      <c r="AO24" s="14"/>
      <c r="AQ24" s="2">
        <v>9</v>
      </c>
    </row>
    <row r="25" spans="2:43" ht="18" customHeight="1" x14ac:dyDescent="0.2">
      <c r="B25" s="10">
        <v>25</v>
      </c>
      <c r="C25" s="10">
        <v>1</v>
      </c>
      <c r="D25" s="10">
        <v>24</v>
      </c>
      <c r="E25" s="10">
        <v>10</v>
      </c>
      <c r="F25" s="10" t="s">
        <v>122</v>
      </c>
      <c r="G25" s="10" t="s">
        <v>132</v>
      </c>
      <c r="H25" s="10" t="s">
        <v>132</v>
      </c>
      <c r="I25" s="38" t="s">
        <v>123</v>
      </c>
      <c r="J25" s="10" t="s">
        <v>123</v>
      </c>
      <c r="K25" s="10" t="s">
        <v>124</v>
      </c>
      <c r="L25" s="51" t="s">
        <v>194</v>
      </c>
      <c r="M25" s="11" t="s">
        <v>195</v>
      </c>
      <c r="O25" s="18">
        <v>11</v>
      </c>
      <c r="P25" s="15">
        <v>28</v>
      </c>
      <c r="Q25" s="15">
        <v>8</v>
      </c>
      <c r="R25" s="16">
        <v>4</v>
      </c>
      <c r="T25" s="18">
        <v>11</v>
      </c>
      <c r="U25" s="16">
        <v>1</v>
      </c>
      <c r="W25" s="18"/>
      <c r="X25" s="15"/>
      <c r="Y25" s="15"/>
      <c r="Z25" s="16"/>
      <c r="AB25" s="18"/>
      <c r="AC25" s="15"/>
      <c r="AD25" s="15"/>
      <c r="AE25" s="16"/>
      <c r="AG25" s="18"/>
      <c r="AH25" s="15"/>
      <c r="AI25" s="15"/>
      <c r="AJ25" s="16"/>
      <c r="AL25" s="18"/>
      <c r="AM25" s="15"/>
      <c r="AN25" s="15"/>
      <c r="AO25" s="16"/>
      <c r="AQ25" s="2">
        <v>9</v>
      </c>
    </row>
    <row r="26" spans="2:43" ht="18" customHeight="1" x14ac:dyDescent="0.2">
      <c r="B26" s="8">
        <v>26</v>
      </c>
      <c r="C26" s="8">
        <v>1</v>
      </c>
      <c r="D26" s="8">
        <v>25</v>
      </c>
      <c r="E26" s="8">
        <v>11</v>
      </c>
      <c r="F26" s="64" t="s">
        <v>178</v>
      </c>
      <c r="G26" s="8" t="s">
        <v>132</v>
      </c>
      <c r="H26" s="8" t="s">
        <v>132</v>
      </c>
      <c r="I26" s="8" t="s">
        <v>132</v>
      </c>
      <c r="J26" s="39" t="s">
        <v>123</v>
      </c>
      <c r="K26" s="8" t="s">
        <v>124</v>
      </c>
      <c r="L26" s="9" t="s">
        <v>179</v>
      </c>
      <c r="M26" s="9" t="s">
        <v>196</v>
      </c>
      <c r="O26" s="17">
        <v>11</v>
      </c>
      <c r="P26" s="13">
        <v>28</v>
      </c>
      <c r="Q26" s="13">
        <v>8</v>
      </c>
      <c r="R26" s="14">
        <v>4</v>
      </c>
      <c r="T26" s="17">
        <v>11</v>
      </c>
      <c r="U26" s="14">
        <v>4</v>
      </c>
      <c r="W26" s="17"/>
      <c r="X26" s="13"/>
      <c r="Y26" s="13"/>
      <c r="Z26" s="14"/>
      <c r="AB26" s="17"/>
      <c r="AC26" s="13"/>
      <c r="AD26" s="13"/>
      <c r="AE26" s="14"/>
      <c r="AG26" s="17"/>
      <c r="AH26" s="13"/>
      <c r="AI26" s="13"/>
      <c r="AJ26" s="14"/>
      <c r="AL26" s="17"/>
      <c r="AM26" s="13"/>
      <c r="AN26" s="13"/>
      <c r="AO26" s="14"/>
      <c r="AQ26" s="2">
        <v>9</v>
      </c>
    </row>
    <row r="27" spans="2:43" ht="18" customHeight="1" x14ac:dyDescent="0.2">
      <c r="B27" s="10">
        <v>27</v>
      </c>
      <c r="C27" s="10">
        <v>1</v>
      </c>
      <c r="D27" s="10">
        <v>26</v>
      </c>
      <c r="E27" s="10">
        <v>7</v>
      </c>
      <c r="F27" s="10" t="s">
        <v>122</v>
      </c>
      <c r="G27" s="10" t="s">
        <v>132</v>
      </c>
      <c r="H27" s="10" t="s">
        <v>132</v>
      </c>
      <c r="I27" s="10" t="s">
        <v>132</v>
      </c>
      <c r="J27" s="10" t="s">
        <v>123</v>
      </c>
      <c r="K27" s="10" t="s">
        <v>124</v>
      </c>
      <c r="L27" s="51" t="s">
        <v>197</v>
      </c>
      <c r="M27" s="11" t="s">
        <v>198</v>
      </c>
      <c r="O27" s="18">
        <v>11</v>
      </c>
      <c r="P27" s="15">
        <v>28</v>
      </c>
      <c r="Q27" s="15">
        <v>8</v>
      </c>
      <c r="R27" s="16">
        <v>4</v>
      </c>
      <c r="T27" s="18">
        <v>11</v>
      </c>
      <c r="U27" s="16">
        <v>4</v>
      </c>
      <c r="W27" s="18"/>
      <c r="X27" s="15"/>
      <c r="Y27" s="15"/>
      <c r="Z27" s="16"/>
      <c r="AB27" s="18"/>
      <c r="AC27" s="15"/>
      <c r="AD27" s="15"/>
      <c r="AE27" s="16"/>
      <c r="AG27" s="18"/>
      <c r="AH27" s="15"/>
      <c r="AI27" s="15"/>
      <c r="AJ27" s="16"/>
      <c r="AL27" s="18"/>
      <c r="AM27" s="15"/>
      <c r="AN27" s="15"/>
      <c r="AO27" s="16"/>
      <c r="AQ27" s="2">
        <v>9</v>
      </c>
    </row>
    <row r="28" spans="2:43" ht="18" customHeight="1" x14ac:dyDescent="0.2">
      <c r="B28" s="8">
        <v>28</v>
      </c>
      <c r="C28" s="8">
        <v>1</v>
      </c>
      <c r="D28" s="8">
        <v>27</v>
      </c>
      <c r="E28" s="8">
        <v>14</v>
      </c>
      <c r="F28" s="64" t="s">
        <v>122</v>
      </c>
      <c r="G28" s="8" t="s">
        <v>132</v>
      </c>
      <c r="H28" s="8" t="s">
        <v>132</v>
      </c>
      <c r="I28" s="39" t="s">
        <v>123</v>
      </c>
      <c r="J28" s="39" t="s">
        <v>123</v>
      </c>
      <c r="K28" s="8" t="s">
        <v>124</v>
      </c>
      <c r="L28" s="9" t="s">
        <v>199</v>
      </c>
      <c r="M28" s="9" t="s">
        <v>200</v>
      </c>
      <c r="O28" s="17">
        <v>11</v>
      </c>
      <c r="P28" s="13">
        <v>28</v>
      </c>
      <c r="Q28" s="13">
        <v>8</v>
      </c>
      <c r="R28" s="14">
        <v>4</v>
      </c>
      <c r="T28" s="17">
        <v>11</v>
      </c>
      <c r="U28" s="14">
        <v>1</v>
      </c>
      <c r="W28" s="17"/>
      <c r="X28" s="13"/>
      <c r="Y28" s="13"/>
      <c r="Z28" s="14"/>
      <c r="AB28" s="17"/>
      <c r="AC28" s="13"/>
      <c r="AD28" s="13"/>
      <c r="AE28" s="14"/>
      <c r="AG28" s="17"/>
      <c r="AH28" s="13"/>
      <c r="AI28" s="13"/>
      <c r="AJ28" s="14"/>
      <c r="AL28" s="17"/>
      <c r="AM28" s="13"/>
      <c r="AN28" s="13"/>
      <c r="AO28" s="14"/>
      <c r="AQ28" s="2">
        <v>9</v>
      </c>
    </row>
    <row r="29" spans="2:43" ht="18" customHeight="1" x14ac:dyDescent="0.2">
      <c r="B29" s="10">
        <v>29</v>
      </c>
      <c r="C29" s="10">
        <v>1</v>
      </c>
      <c r="D29" s="10">
        <v>28</v>
      </c>
      <c r="E29" s="10">
        <v>0</v>
      </c>
      <c r="F29" s="10" t="s">
        <v>122</v>
      </c>
      <c r="G29" s="10" t="s">
        <v>132</v>
      </c>
      <c r="H29" s="10" t="s">
        <v>132</v>
      </c>
      <c r="I29" s="10" t="s">
        <v>132</v>
      </c>
      <c r="J29" s="10" t="s">
        <v>123</v>
      </c>
      <c r="K29" s="10" t="s">
        <v>124</v>
      </c>
      <c r="L29" s="51" t="s">
        <v>201</v>
      </c>
      <c r="M29" s="11" t="s">
        <v>202</v>
      </c>
      <c r="O29" s="18">
        <v>11</v>
      </c>
      <c r="P29" s="15">
        <v>28</v>
      </c>
      <c r="Q29" s="15">
        <v>8</v>
      </c>
      <c r="R29" s="16">
        <v>4</v>
      </c>
      <c r="T29" s="18">
        <v>11</v>
      </c>
      <c r="U29" s="16">
        <v>4</v>
      </c>
      <c r="W29" s="18"/>
      <c r="X29" s="15"/>
      <c r="Y29" s="15"/>
      <c r="Z29" s="16"/>
      <c r="AB29" s="18"/>
      <c r="AC29" s="15"/>
      <c r="AD29" s="15"/>
      <c r="AE29" s="16"/>
      <c r="AG29" s="18"/>
      <c r="AH29" s="15"/>
      <c r="AI29" s="15"/>
      <c r="AJ29" s="16"/>
      <c r="AL29" s="18"/>
      <c r="AM29" s="15"/>
      <c r="AN29" s="15"/>
      <c r="AO29" s="16"/>
      <c r="AQ29" s="2">
        <v>9</v>
      </c>
    </row>
    <row r="30" spans="2:43" ht="18" customHeight="1" x14ac:dyDescent="0.2">
      <c r="B30" s="8">
        <v>30</v>
      </c>
      <c r="C30" s="8">
        <v>1</v>
      </c>
      <c r="D30" s="8">
        <v>29</v>
      </c>
      <c r="E30" s="8">
        <v>13</v>
      </c>
      <c r="F30" s="64" t="s">
        <v>128</v>
      </c>
      <c r="G30" s="8" t="s">
        <v>132</v>
      </c>
      <c r="H30" s="8" t="s">
        <v>132</v>
      </c>
      <c r="I30" s="39" t="s">
        <v>123</v>
      </c>
      <c r="J30" s="39" t="s">
        <v>123</v>
      </c>
      <c r="K30" s="8" t="s">
        <v>124</v>
      </c>
      <c r="L30" s="9" t="s">
        <v>161</v>
      </c>
      <c r="M30" s="9" t="s">
        <v>203</v>
      </c>
      <c r="O30" s="17">
        <v>12</v>
      </c>
      <c r="P30" s="13">
        <v>36</v>
      </c>
      <c r="Q30" s="13">
        <v>16</v>
      </c>
      <c r="R30" s="14">
        <v>8</v>
      </c>
      <c r="T30" s="17">
        <v>12</v>
      </c>
      <c r="U30" s="14">
        <v>0</v>
      </c>
      <c r="W30" s="17"/>
      <c r="X30" s="13"/>
      <c r="Y30" s="13"/>
      <c r="Z30" s="14"/>
      <c r="AB30" s="17"/>
      <c r="AC30" s="13"/>
      <c r="AD30" s="13"/>
      <c r="AE30" s="14"/>
      <c r="AG30" s="17"/>
      <c r="AH30" s="13"/>
      <c r="AI30" s="13"/>
      <c r="AJ30" s="14"/>
      <c r="AL30" s="17"/>
      <c r="AM30" s="13"/>
      <c r="AN30" s="13"/>
      <c r="AO30" s="14"/>
      <c r="AQ30" s="2">
        <v>13</v>
      </c>
    </row>
    <row r="31" spans="2:43" ht="18" customHeight="1" x14ac:dyDescent="0.2">
      <c r="B31" s="10">
        <v>31</v>
      </c>
      <c r="C31" s="10">
        <v>1</v>
      </c>
      <c r="D31" s="10">
        <v>30</v>
      </c>
      <c r="E31" s="10">
        <v>16</v>
      </c>
      <c r="F31" s="10" t="s">
        <v>131</v>
      </c>
      <c r="G31" s="10" t="s">
        <v>123</v>
      </c>
      <c r="H31" s="10" t="s">
        <v>123</v>
      </c>
      <c r="I31" s="10" t="s">
        <v>123</v>
      </c>
      <c r="J31" s="10" t="s">
        <v>123</v>
      </c>
      <c r="K31" s="10" t="s">
        <v>124</v>
      </c>
      <c r="L31" s="51" t="s">
        <v>134</v>
      </c>
      <c r="M31" s="11" t="s">
        <v>204</v>
      </c>
      <c r="O31" s="18">
        <v>12</v>
      </c>
      <c r="P31" s="15">
        <v>36</v>
      </c>
      <c r="Q31" s="15">
        <v>16</v>
      </c>
      <c r="R31" s="16">
        <v>8</v>
      </c>
      <c r="T31" s="18">
        <v>6</v>
      </c>
      <c r="U31" s="16">
        <v>1</v>
      </c>
      <c r="W31" s="18"/>
      <c r="X31" s="15"/>
      <c r="Y31" s="15"/>
      <c r="Z31" s="16"/>
      <c r="AB31" s="18"/>
      <c r="AC31" s="15"/>
      <c r="AD31" s="15"/>
      <c r="AE31" s="16"/>
      <c r="AG31" s="18"/>
      <c r="AH31" s="15"/>
      <c r="AI31" s="15"/>
      <c r="AJ31" s="16"/>
      <c r="AL31" s="18"/>
      <c r="AM31" s="15"/>
      <c r="AN31" s="15"/>
      <c r="AO31" s="16"/>
      <c r="AQ31" s="2">
        <v>13</v>
      </c>
    </row>
    <row r="32" spans="2:43" ht="18" customHeight="1" x14ac:dyDescent="0.2">
      <c r="B32" s="8">
        <v>32</v>
      </c>
      <c r="C32" s="8">
        <v>1</v>
      </c>
      <c r="D32" s="8">
        <v>31</v>
      </c>
      <c r="E32" s="8">
        <v>21</v>
      </c>
      <c r="F32" s="64" t="s">
        <v>122</v>
      </c>
      <c r="G32" s="8" t="s">
        <v>123</v>
      </c>
      <c r="H32" s="8" t="s">
        <v>123</v>
      </c>
      <c r="I32" s="8" t="s">
        <v>123</v>
      </c>
      <c r="J32" s="39" t="s">
        <v>123</v>
      </c>
      <c r="K32" s="8" t="s">
        <v>124</v>
      </c>
      <c r="L32" s="9" t="s">
        <v>166</v>
      </c>
      <c r="M32" s="9" t="s">
        <v>205</v>
      </c>
      <c r="O32" s="17">
        <v>12</v>
      </c>
      <c r="P32" s="13">
        <v>36</v>
      </c>
      <c r="Q32" s="13">
        <v>16</v>
      </c>
      <c r="R32" s="14">
        <v>8</v>
      </c>
      <c r="T32" s="17">
        <v>6</v>
      </c>
      <c r="U32" s="14">
        <v>1</v>
      </c>
      <c r="W32" s="17"/>
      <c r="X32" s="13"/>
      <c r="Y32" s="13"/>
      <c r="Z32" s="14"/>
      <c r="AB32" s="17"/>
      <c r="AC32" s="13"/>
      <c r="AD32" s="13"/>
      <c r="AE32" s="14"/>
      <c r="AG32" s="17"/>
      <c r="AH32" s="13"/>
      <c r="AI32" s="13"/>
      <c r="AJ32" s="14"/>
      <c r="AL32" s="17"/>
      <c r="AM32" s="13"/>
      <c r="AN32" s="13"/>
      <c r="AO32" s="14"/>
      <c r="AQ32" s="2">
        <v>13</v>
      </c>
    </row>
    <row r="33" spans="2:43" ht="18" customHeight="1" x14ac:dyDescent="0.2">
      <c r="B33" s="10">
        <v>33</v>
      </c>
      <c r="C33" s="10">
        <v>1</v>
      </c>
      <c r="D33" s="10">
        <v>32</v>
      </c>
      <c r="E33" s="10">
        <v>27</v>
      </c>
      <c r="F33" s="10" t="s">
        <v>122</v>
      </c>
      <c r="G33" s="10" t="s">
        <v>123</v>
      </c>
      <c r="H33" s="10" t="s">
        <v>123</v>
      </c>
      <c r="I33" s="10" t="s">
        <v>123</v>
      </c>
      <c r="J33" s="10" t="s">
        <v>123</v>
      </c>
      <c r="K33" s="10" t="s">
        <v>124</v>
      </c>
      <c r="L33" s="51" t="s">
        <v>206</v>
      </c>
      <c r="M33" s="11" t="s">
        <v>207</v>
      </c>
      <c r="O33" s="18">
        <v>12</v>
      </c>
      <c r="P33" s="15">
        <v>36</v>
      </c>
      <c r="Q33" s="15">
        <v>16</v>
      </c>
      <c r="R33" s="16">
        <v>8</v>
      </c>
      <c r="T33" s="18">
        <v>6</v>
      </c>
      <c r="U33" s="16">
        <v>1</v>
      </c>
      <c r="W33" s="18"/>
      <c r="X33" s="15"/>
      <c r="Y33" s="15"/>
      <c r="Z33" s="16"/>
      <c r="AB33" s="18"/>
      <c r="AC33" s="15"/>
      <c r="AD33" s="15"/>
      <c r="AE33" s="16"/>
      <c r="AG33" s="18"/>
      <c r="AH33" s="15"/>
      <c r="AI33" s="15"/>
      <c r="AJ33" s="16"/>
      <c r="AL33" s="18"/>
      <c r="AM33" s="15"/>
      <c r="AN33" s="15"/>
      <c r="AO33" s="16"/>
      <c r="AQ33" s="2">
        <v>13</v>
      </c>
    </row>
    <row r="34" spans="2:43" ht="18" customHeight="1" x14ac:dyDescent="0.2">
      <c r="B34" s="8">
        <v>34</v>
      </c>
      <c r="C34" s="8">
        <v>2</v>
      </c>
      <c r="D34" s="8">
        <v>1</v>
      </c>
      <c r="E34" s="8">
        <v>0</v>
      </c>
      <c r="F34" s="64" t="s">
        <v>122</v>
      </c>
      <c r="G34" s="39" t="s">
        <v>132</v>
      </c>
      <c r="H34" s="39" t="s">
        <v>132</v>
      </c>
      <c r="I34" s="39" t="s">
        <v>132</v>
      </c>
      <c r="J34" s="39" t="s">
        <v>123</v>
      </c>
      <c r="K34" s="8" t="s">
        <v>128</v>
      </c>
      <c r="L34" s="9" t="s">
        <v>170</v>
      </c>
      <c r="M34" s="9" t="s">
        <v>208</v>
      </c>
      <c r="O34" s="17">
        <v>10</v>
      </c>
      <c r="P34" s="13">
        <v>16</v>
      </c>
      <c r="Q34" s="13">
        <v>4</v>
      </c>
      <c r="R34" s="14">
        <v>4</v>
      </c>
      <c r="T34" s="17">
        <v>10</v>
      </c>
      <c r="U34" s="14">
        <v>4</v>
      </c>
      <c r="W34" s="17"/>
      <c r="X34" s="13"/>
      <c r="Y34" s="13"/>
      <c r="Z34" s="14"/>
      <c r="AB34" s="17"/>
      <c r="AC34" s="13"/>
      <c r="AD34" s="13"/>
      <c r="AE34" s="14"/>
      <c r="AG34" s="17"/>
      <c r="AH34" s="13"/>
      <c r="AI34" s="13"/>
      <c r="AJ34" s="14"/>
      <c r="AL34" s="17"/>
      <c r="AM34" s="13"/>
      <c r="AN34" s="13"/>
      <c r="AO34" s="14"/>
      <c r="AQ34" s="2">
        <v>1</v>
      </c>
    </row>
    <row r="35" spans="2:43" ht="18" customHeight="1" x14ac:dyDescent="0.2">
      <c r="B35" s="10">
        <v>35</v>
      </c>
      <c r="C35" s="10">
        <v>2</v>
      </c>
      <c r="D35" s="10">
        <v>2</v>
      </c>
      <c r="E35" s="10">
        <v>0</v>
      </c>
      <c r="F35" s="10" t="s">
        <v>122</v>
      </c>
      <c r="G35" s="10" t="s">
        <v>132</v>
      </c>
      <c r="H35" s="10" t="s">
        <v>132</v>
      </c>
      <c r="I35" s="10" t="s">
        <v>132</v>
      </c>
      <c r="J35" s="10" t="s">
        <v>123</v>
      </c>
      <c r="K35" s="10" t="s">
        <v>128</v>
      </c>
      <c r="L35" s="51" t="s">
        <v>159</v>
      </c>
      <c r="M35" s="11" t="s">
        <v>209</v>
      </c>
      <c r="O35" s="18">
        <v>10</v>
      </c>
      <c r="P35" s="15">
        <v>16</v>
      </c>
      <c r="Q35" s="15">
        <v>4</v>
      </c>
      <c r="R35" s="16">
        <v>4</v>
      </c>
      <c r="T35" s="18">
        <v>10</v>
      </c>
      <c r="U35" s="16">
        <v>4</v>
      </c>
      <c r="W35" s="18"/>
      <c r="X35" s="15"/>
      <c r="Y35" s="15"/>
      <c r="Z35" s="16"/>
      <c r="AB35" s="18"/>
      <c r="AC35" s="15"/>
      <c r="AD35" s="15"/>
      <c r="AE35" s="16"/>
      <c r="AG35" s="18"/>
      <c r="AH35" s="15"/>
      <c r="AI35" s="15"/>
      <c r="AJ35" s="16"/>
      <c r="AL35" s="18"/>
      <c r="AM35" s="15"/>
      <c r="AN35" s="15"/>
      <c r="AO35" s="16"/>
      <c r="AQ35" s="2">
        <v>1</v>
      </c>
    </row>
    <row r="36" spans="2:43" ht="18" customHeight="1" x14ac:dyDescent="0.2">
      <c r="B36" s="8">
        <v>36</v>
      </c>
      <c r="C36" s="8">
        <v>2</v>
      </c>
      <c r="D36" s="8">
        <v>3</v>
      </c>
      <c r="E36" s="8">
        <v>28</v>
      </c>
      <c r="F36" s="64" t="s">
        <v>178</v>
      </c>
      <c r="G36" s="8" t="s">
        <v>132</v>
      </c>
      <c r="H36" s="8" t="s">
        <v>132</v>
      </c>
      <c r="I36" s="39" t="s">
        <v>123</v>
      </c>
      <c r="J36" s="39" t="s">
        <v>123</v>
      </c>
      <c r="K36" s="8" t="s">
        <v>128</v>
      </c>
      <c r="L36" s="9" t="s">
        <v>179</v>
      </c>
      <c r="M36" s="9" t="s">
        <v>210</v>
      </c>
      <c r="O36" s="17">
        <v>11</v>
      </c>
      <c r="P36" s="13">
        <v>28</v>
      </c>
      <c r="Q36" s="13">
        <v>8</v>
      </c>
      <c r="R36" s="14">
        <v>4</v>
      </c>
      <c r="T36" s="17">
        <v>11</v>
      </c>
      <c r="U36" s="14">
        <v>1</v>
      </c>
      <c r="W36" s="17"/>
      <c r="X36" s="13"/>
      <c r="Y36" s="13"/>
      <c r="Z36" s="14"/>
      <c r="AB36" s="17"/>
      <c r="AC36" s="13"/>
      <c r="AD36" s="13"/>
      <c r="AE36" s="14"/>
      <c r="AG36" s="17"/>
      <c r="AH36" s="13"/>
      <c r="AI36" s="13"/>
      <c r="AJ36" s="14"/>
      <c r="AL36" s="17"/>
      <c r="AM36" s="13"/>
      <c r="AN36" s="13"/>
      <c r="AO36" s="14"/>
      <c r="AQ36" s="2">
        <v>9</v>
      </c>
    </row>
    <row r="37" spans="2:43" ht="18" customHeight="1" x14ac:dyDescent="0.2">
      <c r="B37" s="10">
        <v>37</v>
      </c>
      <c r="C37" s="10">
        <v>2</v>
      </c>
      <c r="D37" s="10">
        <v>4</v>
      </c>
      <c r="E37" s="10">
        <v>0</v>
      </c>
      <c r="F37" s="10" t="s">
        <v>128</v>
      </c>
      <c r="G37" s="10" t="s">
        <v>132</v>
      </c>
      <c r="H37" s="10" t="s">
        <v>132</v>
      </c>
      <c r="I37" s="10" t="s">
        <v>132</v>
      </c>
      <c r="J37" s="10" t="s">
        <v>123</v>
      </c>
      <c r="K37" s="10" t="s">
        <v>128</v>
      </c>
      <c r="L37" s="51" t="s">
        <v>161</v>
      </c>
      <c r="M37" s="11" t="s">
        <v>211</v>
      </c>
      <c r="O37" s="18">
        <v>10</v>
      </c>
      <c r="P37" s="15">
        <v>16</v>
      </c>
      <c r="Q37" s="15">
        <v>4</v>
      </c>
      <c r="R37" s="16">
        <v>4</v>
      </c>
      <c r="T37" s="18">
        <v>10</v>
      </c>
      <c r="U37" s="16">
        <v>4</v>
      </c>
      <c r="W37" s="18"/>
      <c r="X37" s="15"/>
      <c r="Y37" s="15"/>
      <c r="Z37" s="16"/>
      <c r="AB37" s="18"/>
      <c r="AC37" s="15"/>
      <c r="AD37" s="15"/>
      <c r="AE37" s="16"/>
      <c r="AG37" s="18"/>
      <c r="AH37" s="15"/>
      <c r="AI37" s="15"/>
      <c r="AJ37" s="16"/>
      <c r="AL37" s="18"/>
      <c r="AM37" s="15"/>
      <c r="AN37" s="15"/>
      <c r="AO37" s="16"/>
      <c r="AQ37" s="2">
        <v>1</v>
      </c>
    </row>
    <row r="38" spans="2:43" ht="18" customHeight="1" x14ac:dyDescent="0.2">
      <c r="B38" s="8">
        <v>38</v>
      </c>
      <c r="C38" s="8">
        <v>2</v>
      </c>
      <c r="D38" s="8">
        <v>5</v>
      </c>
      <c r="E38" s="8">
        <v>0</v>
      </c>
      <c r="F38" s="64" t="s">
        <v>122</v>
      </c>
      <c r="G38" s="8" t="s">
        <v>132</v>
      </c>
      <c r="H38" s="8" t="s">
        <v>132</v>
      </c>
      <c r="I38" s="8" t="s">
        <v>132</v>
      </c>
      <c r="J38" s="39" t="s">
        <v>123</v>
      </c>
      <c r="K38" s="8" t="s">
        <v>128</v>
      </c>
      <c r="L38" s="9" t="s">
        <v>183</v>
      </c>
      <c r="M38" s="9" t="s">
        <v>212</v>
      </c>
      <c r="O38" s="17">
        <v>10</v>
      </c>
      <c r="P38" s="13">
        <v>16</v>
      </c>
      <c r="Q38" s="13">
        <v>4</v>
      </c>
      <c r="R38" s="14">
        <v>4</v>
      </c>
      <c r="T38" s="17">
        <v>10</v>
      </c>
      <c r="U38" s="14">
        <v>4</v>
      </c>
      <c r="W38" s="17"/>
      <c r="X38" s="13"/>
      <c r="Y38" s="13"/>
      <c r="Z38" s="14"/>
      <c r="AB38" s="17"/>
      <c r="AC38" s="13"/>
      <c r="AD38" s="13"/>
      <c r="AE38" s="14"/>
      <c r="AG38" s="17"/>
      <c r="AH38" s="13"/>
      <c r="AI38" s="13"/>
      <c r="AJ38" s="14"/>
      <c r="AL38" s="17"/>
      <c r="AM38" s="13"/>
      <c r="AN38" s="13"/>
      <c r="AO38" s="14"/>
      <c r="AQ38" s="2">
        <v>1</v>
      </c>
    </row>
    <row r="39" spans="2:43" ht="18" customHeight="1" x14ac:dyDescent="0.2">
      <c r="B39" s="10">
        <v>39</v>
      </c>
      <c r="C39" s="10">
        <v>2</v>
      </c>
      <c r="D39" s="10">
        <v>6</v>
      </c>
      <c r="E39" s="10">
        <v>0</v>
      </c>
      <c r="F39" s="10" t="s">
        <v>122</v>
      </c>
      <c r="G39" s="10" t="s">
        <v>132</v>
      </c>
      <c r="H39" s="10" t="s">
        <v>132</v>
      </c>
      <c r="I39" s="10" t="s">
        <v>132</v>
      </c>
      <c r="J39" s="10" t="s">
        <v>123</v>
      </c>
      <c r="K39" s="10" t="s">
        <v>128</v>
      </c>
      <c r="L39" s="51" t="s">
        <v>213</v>
      </c>
      <c r="M39" s="11" t="s">
        <v>214</v>
      </c>
      <c r="O39" s="18">
        <v>10</v>
      </c>
      <c r="P39" s="15">
        <v>16</v>
      </c>
      <c r="Q39" s="15">
        <v>4</v>
      </c>
      <c r="R39" s="16">
        <v>4</v>
      </c>
      <c r="T39" s="18">
        <v>10</v>
      </c>
      <c r="U39" s="16">
        <v>4</v>
      </c>
      <c r="W39" s="18"/>
      <c r="X39" s="15"/>
      <c r="Y39" s="15"/>
      <c r="Z39" s="16"/>
      <c r="AB39" s="18"/>
      <c r="AC39" s="15"/>
      <c r="AD39" s="15"/>
      <c r="AE39" s="16"/>
      <c r="AG39" s="18"/>
      <c r="AH39" s="15"/>
      <c r="AI39" s="15"/>
      <c r="AJ39" s="16"/>
      <c r="AL39" s="18"/>
      <c r="AM39" s="15"/>
      <c r="AN39" s="15"/>
      <c r="AO39" s="16"/>
      <c r="AQ39" s="2">
        <v>1</v>
      </c>
    </row>
    <row r="40" spans="2:43" ht="18" customHeight="1" x14ac:dyDescent="0.2">
      <c r="B40" s="8">
        <v>40</v>
      </c>
      <c r="C40" s="8">
        <v>2</v>
      </c>
      <c r="D40" s="8">
        <v>7</v>
      </c>
      <c r="E40" s="8">
        <v>0</v>
      </c>
      <c r="F40" s="64" t="s">
        <v>122</v>
      </c>
      <c r="G40" s="8" t="s">
        <v>132</v>
      </c>
      <c r="H40" s="8" t="s">
        <v>132</v>
      </c>
      <c r="I40" s="8" t="s">
        <v>132</v>
      </c>
      <c r="J40" s="39" t="s">
        <v>123</v>
      </c>
      <c r="K40" s="8" t="s">
        <v>128</v>
      </c>
      <c r="L40" s="9" t="s">
        <v>159</v>
      </c>
      <c r="M40" s="9" t="s">
        <v>215</v>
      </c>
      <c r="O40" s="17">
        <v>10</v>
      </c>
      <c r="P40" s="13">
        <v>16</v>
      </c>
      <c r="Q40" s="13">
        <v>4</v>
      </c>
      <c r="R40" s="14">
        <v>4</v>
      </c>
      <c r="T40" s="17">
        <v>10</v>
      </c>
      <c r="U40" s="14">
        <v>4</v>
      </c>
      <c r="W40" s="17"/>
      <c r="X40" s="13"/>
      <c r="Y40" s="13"/>
      <c r="Z40" s="14"/>
      <c r="AB40" s="17"/>
      <c r="AC40" s="13"/>
      <c r="AD40" s="13"/>
      <c r="AE40" s="14"/>
      <c r="AG40" s="17"/>
      <c r="AH40" s="13"/>
      <c r="AI40" s="13"/>
      <c r="AJ40" s="14"/>
      <c r="AL40" s="17"/>
      <c r="AM40" s="13"/>
      <c r="AN40" s="13"/>
      <c r="AO40" s="14"/>
      <c r="AQ40" s="2">
        <v>1</v>
      </c>
    </row>
    <row r="41" spans="2:43" ht="18" customHeight="1" x14ac:dyDescent="0.2">
      <c r="B41" s="10">
        <v>41</v>
      </c>
      <c r="C41" s="10">
        <v>2</v>
      </c>
      <c r="D41" s="10">
        <v>8</v>
      </c>
      <c r="E41" s="10">
        <v>0</v>
      </c>
      <c r="F41" s="10" t="s">
        <v>122</v>
      </c>
      <c r="G41" s="10" t="s">
        <v>132</v>
      </c>
      <c r="H41" s="10" t="s">
        <v>132</v>
      </c>
      <c r="I41" s="10" t="s">
        <v>132</v>
      </c>
      <c r="J41" s="10" t="s">
        <v>123</v>
      </c>
      <c r="K41" s="10" t="s">
        <v>128</v>
      </c>
      <c r="L41" s="51" t="s">
        <v>216</v>
      </c>
      <c r="M41" s="11" t="s">
        <v>217</v>
      </c>
      <c r="O41" s="18">
        <v>11</v>
      </c>
      <c r="P41" s="15">
        <v>24</v>
      </c>
      <c r="Q41" s="15">
        <v>12</v>
      </c>
      <c r="R41" s="16">
        <v>4</v>
      </c>
      <c r="T41" s="18">
        <v>11</v>
      </c>
      <c r="U41" s="16">
        <v>4</v>
      </c>
      <c r="W41" s="18"/>
      <c r="X41" s="15"/>
      <c r="Y41" s="15"/>
      <c r="Z41" s="16"/>
      <c r="AB41" s="18"/>
      <c r="AC41" s="15"/>
      <c r="AD41" s="15"/>
      <c r="AE41" s="16"/>
      <c r="AG41" s="18"/>
      <c r="AH41" s="15"/>
      <c r="AI41" s="15"/>
      <c r="AJ41" s="16"/>
      <c r="AL41" s="18"/>
      <c r="AM41" s="15"/>
      <c r="AN41" s="15"/>
      <c r="AO41" s="16"/>
      <c r="AQ41" s="2">
        <v>6</v>
      </c>
    </row>
    <row r="42" spans="2:43" ht="18" customHeight="1" x14ac:dyDescent="0.2">
      <c r="B42" s="8">
        <v>42</v>
      </c>
      <c r="C42" s="8">
        <v>2</v>
      </c>
      <c r="D42" s="8">
        <v>9</v>
      </c>
      <c r="E42" s="8">
        <v>20</v>
      </c>
      <c r="F42" s="64" t="s">
        <v>102</v>
      </c>
      <c r="G42" s="8" t="s">
        <v>132</v>
      </c>
      <c r="H42" s="8" t="s">
        <v>123</v>
      </c>
      <c r="I42" s="8" t="s">
        <v>123</v>
      </c>
      <c r="J42" s="39" t="s">
        <v>123</v>
      </c>
      <c r="K42" s="8" t="s">
        <v>128</v>
      </c>
      <c r="L42" s="9" t="s">
        <v>218</v>
      </c>
      <c r="M42" s="9" t="s">
        <v>219</v>
      </c>
      <c r="O42" s="17">
        <v>11</v>
      </c>
      <c r="P42" s="13">
        <v>24</v>
      </c>
      <c r="Q42" s="13">
        <v>12</v>
      </c>
      <c r="R42" s="14">
        <v>4</v>
      </c>
      <c r="T42" s="17">
        <v>7</v>
      </c>
      <c r="U42" s="14">
        <v>0</v>
      </c>
      <c r="W42" s="17"/>
      <c r="X42" s="13"/>
      <c r="Y42" s="13"/>
      <c r="Z42" s="14"/>
      <c r="AB42" s="17"/>
      <c r="AC42" s="13"/>
      <c r="AD42" s="13"/>
      <c r="AE42" s="14"/>
      <c r="AG42" s="17"/>
      <c r="AH42" s="13"/>
      <c r="AI42" s="13"/>
      <c r="AJ42" s="14"/>
      <c r="AL42" s="17"/>
      <c r="AM42" s="13"/>
      <c r="AN42" s="13"/>
      <c r="AO42" s="14"/>
      <c r="AQ42" s="2">
        <v>6</v>
      </c>
    </row>
    <row r="43" spans="2:43" ht="18" customHeight="1" x14ac:dyDescent="0.2">
      <c r="B43" s="10">
        <v>43</v>
      </c>
      <c r="C43" s="10">
        <v>2</v>
      </c>
      <c r="D43" s="10">
        <v>10</v>
      </c>
      <c r="E43" s="10">
        <v>29</v>
      </c>
      <c r="F43" s="10" t="s">
        <v>122</v>
      </c>
      <c r="G43" s="10" t="s">
        <v>132</v>
      </c>
      <c r="H43" s="10" t="s">
        <v>123</v>
      </c>
      <c r="I43" s="10" t="s">
        <v>123</v>
      </c>
      <c r="J43" s="10" t="s">
        <v>123</v>
      </c>
      <c r="K43" s="10" t="s">
        <v>128</v>
      </c>
      <c r="L43" s="51" t="s">
        <v>220</v>
      </c>
      <c r="M43" s="11" t="s">
        <v>221</v>
      </c>
      <c r="O43" s="18">
        <v>11</v>
      </c>
      <c r="P43" s="15">
        <v>24</v>
      </c>
      <c r="Q43" s="15">
        <v>12</v>
      </c>
      <c r="R43" s="16">
        <v>4</v>
      </c>
      <c r="T43" s="18">
        <v>0</v>
      </c>
      <c r="U43" s="16">
        <v>0</v>
      </c>
      <c r="W43" s="18"/>
      <c r="X43" s="15"/>
      <c r="Y43" s="15"/>
      <c r="Z43" s="16"/>
      <c r="AB43" s="18"/>
      <c r="AC43" s="15"/>
      <c r="AD43" s="15"/>
      <c r="AE43" s="16"/>
      <c r="AG43" s="18"/>
      <c r="AH43" s="15"/>
      <c r="AI43" s="15"/>
      <c r="AJ43" s="16"/>
      <c r="AL43" s="18"/>
      <c r="AM43" s="15"/>
      <c r="AN43" s="15"/>
      <c r="AO43" s="16"/>
      <c r="AQ43" s="2">
        <v>6</v>
      </c>
    </row>
    <row r="44" spans="2:43" ht="18" customHeight="1" x14ac:dyDescent="0.2">
      <c r="B44" s="8">
        <v>44</v>
      </c>
      <c r="C44" s="8">
        <v>2</v>
      </c>
      <c r="D44" s="8">
        <v>11</v>
      </c>
      <c r="E44" s="8">
        <v>0</v>
      </c>
      <c r="F44" s="64" t="s">
        <v>122</v>
      </c>
      <c r="G44" s="8" t="s">
        <v>132</v>
      </c>
      <c r="H44" s="8" t="s">
        <v>132</v>
      </c>
      <c r="I44" s="8" t="s">
        <v>132</v>
      </c>
      <c r="J44" s="39" t="s">
        <v>123</v>
      </c>
      <c r="K44" s="8" t="s">
        <v>128</v>
      </c>
      <c r="L44" s="9" t="s">
        <v>170</v>
      </c>
      <c r="M44" s="9" t="s">
        <v>222</v>
      </c>
      <c r="O44" s="17">
        <v>11</v>
      </c>
      <c r="P44" s="13">
        <v>24</v>
      </c>
      <c r="Q44" s="13">
        <v>12</v>
      </c>
      <c r="R44" s="14">
        <v>4</v>
      </c>
      <c r="T44" s="17">
        <v>11</v>
      </c>
      <c r="U44" s="14">
        <v>4</v>
      </c>
      <c r="W44" s="17"/>
      <c r="X44" s="13"/>
      <c r="Y44" s="13"/>
      <c r="Z44" s="14"/>
      <c r="AB44" s="17"/>
      <c r="AC44" s="13"/>
      <c r="AD44" s="13"/>
      <c r="AE44" s="14"/>
      <c r="AG44" s="17"/>
      <c r="AH44" s="13"/>
      <c r="AI44" s="13"/>
      <c r="AJ44" s="14"/>
      <c r="AL44" s="17"/>
      <c r="AM44" s="13"/>
      <c r="AN44" s="13"/>
      <c r="AO44" s="14"/>
      <c r="AQ44" s="2">
        <v>6</v>
      </c>
    </row>
    <row r="45" spans="2:43" ht="18" customHeight="1" x14ac:dyDescent="0.2">
      <c r="B45" s="10">
        <v>45</v>
      </c>
      <c r="C45" s="10">
        <v>2</v>
      </c>
      <c r="D45" s="10">
        <v>12</v>
      </c>
      <c r="E45" s="10">
        <v>24</v>
      </c>
      <c r="F45" s="10" t="s">
        <v>122</v>
      </c>
      <c r="G45" s="10" t="s">
        <v>132</v>
      </c>
      <c r="H45" s="10" t="s">
        <v>123</v>
      </c>
      <c r="I45" s="10" t="s">
        <v>123</v>
      </c>
      <c r="J45" s="10" t="s">
        <v>132</v>
      </c>
      <c r="K45" s="10" t="s">
        <v>128</v>
      </c>
      <c r="L45" s="51" t="s">
        <v>223</v>
      </c>
      <c r="M45" s="11" t="s">
        <v>224</v>
      </c>
      <c r="O45" s="18">
        <v>11</v>
      </c>
      <c r="P45" s="15">
        <v>24</v>
      </c>
      <c r="Q45" s="15">
        <v>12</v>
      </c>
      <c r="R45" s="16">
        <v>4</v>
      </c>
      <c r="T45" s="18">
        <v>7</v>
      </c>
      <c r="U45" s="16">
        <v>0</v>
      </c>
      <c r="W45" s="18"/>
      <c r="X45" s="15"/>
      <c r="Y45" s="15"/>
      <c r="Z45" s="16"/>
      <c r="AB45" s="18"/>
      <c r="AC45" s="15"/>
      <c r="AD45" s="15"/>
      <c r="AE45" s="16"/>
      <c r="AG45" s="18"/>
      <c r="AH45" s="15"/>
      <c r="AI45" s="15"/>
      <c r="AJ45" s="16"/>
      <c r="AL45" s="18"/>
      <c r="AM45" s="15"/>
      <c r="AN45" s="15"/>
      <c r="AO45" s="16"/>
      <c r="AQ45" s="2">
        <v>6</v>
      </c>
    </row>
    <row r="46" spans="2:43" ht="18" customHeight="1" x14ac:dyDescent="0.2">
      <c r="B46" s="8">
        <v>46</v>
      </c>
      <c r="C46" s="8">
        <v>2</v>
      </c>
      <c r="D46" s="8">
        <v>13</v>
      </c>
      <c r="E46" s="8">
        <v>0</v>
      </c>
      <c r="F46" s="64" t="s">
        <v>122</v>
      </c>
      <c r="G46" s="8" t="s">
        <v>132</v>
      </c>
      <c r="H46" s="8" t="s">
        <v>132</v>
      </c>
      <c r="I46" s="8" t="s">
        <v>132</v>
      </c>
      <c r="J46" s="39" t="s">
        <v>123</v>
      </c>
      <c r="K46" s="8" t="s">
        <v>128</v>
      </c>
      <c r="L46" s="9" t="s">
        <v>186</v>
      </c>
      <c r="M46" s="9" t="s">
        <v>225</v>
      </c>
      <c r="O46" s="17">
        <v>11</v>
      </c>
      <c r="P46" s="13">
        <v>24</v>
      </c>
      <c r="Q46" s="13">
        <v>12</v>
      </c>
      <c r="R46" s="14">
        <v>4</v>
      </c>
      <c r="T46" s="17">
        <v>11</v>
      </c>
      <c r="U46" s="14">
        <v>4</v>
      </c>
      <c r="W46" s="17"/>
      <c r="X46" s="13"/>
      <c r="Y46" s="13"/>
      <c r="Z46" s="14"/>
      <c r="AB46" s="17"/>
      <c r="AC46" s="13"/>
      <c r="AD46" s="13"/>
      <c r="AE46" s="14"/>
      <c r="AG46" s="17"/>
      <c r="AH46" s="13"/>
      <c r="AI46" s="13"/>
      <c r="AJ46" s="14"/>
      <c r="AL46" s="17"/>
      <c r="AM46" s="13"/>
      <c r="AN46" s="13"/>
      <c r="AO46" s="14"/>
      <c r="AQ46" s="2">
        <v>6</v>
      </c>
    </row>
    <row r="47" spans="2:43" ht="18" customHeight="1" x14ac:dyDescent="0.2">
      <c r="B47" s="10">
        <v>47</v>
      </c>
      <c r="C47" s="10">
        <v>2</v>
      </c>
      <c r="D47" s="10">
        <v>14</v>
      </c>
      <c r="E47" s="10">
        <v>0</v>
      </c>
      <c r="F47" s="10" t="s">
        <v>122</v>
      </c>
      <c r="G47" s="10" t="s">
        <v>132</v>
      </c>
      <c r="H47" s="10" t="s">
        <v>132</v>
      </c>
      <c r="I47" s="10" t="s">
        <v>132</v>
      </c>
      <c r="J47" s="10" t="s">
        <v>123</v>
      </c>
      <c r="K47" s="10" t="s">
        <v>128</v>
      </c>
      <c r="L47" s="51" t="s">
        <v>226</v>
      </c>
      <c r="M47" s="11" t="s">
        <v>227</v>
      </c>
      <c r="O47" s="18">
        <v>11</v>
      </c>
      <c r="P47" s="15">
        <v>24</v>
      </c>
      <c r="Q47" s="15">
        <v>12</v>
      </c>
      <c r="R47" s="16">
        <v>4</v>
      </c>
      <c r="T47" s="18">
        <v>11</v>
      </c>
      <c r="U47" s="16">
        <v>4</v>
      </c>
      <c r="W47" s="18"/>
      <c r="X47" s="15"/>
      <c r="Y47" s="15"/>
      <c r="Z47" s="16"/>
      <c r="AB47" s="18"/>
      <c r="AC47" s="15"/>
      <c r="AD47" s="15"/>
      <c r="AE47" s="16"/>
      <c r="AG47" s="18"/>
      <c r="AH47" s="15"/>
      <c r="AI47" s="15"/>
      <c r="AJ47" s="16"/>
      <c r="AL47" s="18"/>
      <c r="AM47" s="15"/>
      <c r="AN47" s="15"/>
      <c r="AO47" s="16"/>
      <c r="AQ47" s="2">
        <v>6</v>
      </c>
    </row>
    <row r="48" spans="2:43" ht="18" customHeight="1" x14ac:dyDescent="0.2">
      <c r="B48" s="8">
        <v>48</v>
      </c>
      <c r="C48" s="8">
        <v>2</v>
      </c>
      <c r="D48" s="8">
        <v>15</v>
      </c>
      <c r="E48" s="8">
        <v>7</v>
      </c>
      <c r="F48" s="64" t="s">
        <v>122</v>
      </c>
      <c r="G48" s="8" t="s">
        <v>132</v>
      </c>
      <c r="H48" s="8" t="s">
        <v>132</v>
      </c>
      <c r="I48" s="8" t="s">
        <v>132</v>
      </c>
      <c r="J48" s="39" t="s">
        <v>123</v>
      </c>
      <c r="K48" s="8" t="s">
        <v>128</v>
      </c>
      <c r="L48" s="9" t="s">
        <v>228</v>
      </c>
      <c r="M48" s="9" t="s">
        <v>229</v>
      </c>
      <c r="O48" s="17">
        <v>11</v>
      </c>
      <c r="P48" s="13">
        <v>24</v>
      </c>
      <c r="Q48" s="13">
        <v>12</v>
      </c>
      <c r="R48" s="14">
        <v>4</v>
      </c>
      <c r="T48" s="17">
        <v>11</v>
      </c>
      <c r="U48" s="14">
        <v>4</v>
      </c>
      <c r="W48" s="17"/>
      <c r="X48" s="13"/>
      <c r="Y48" s="13"/>
      <c r="Z48" s="14"/>
      <c r="AB48" s="17"/>
      <c r="AC48" s="13"/>
      <c r="AD48" s="13"/>
      <c r="AE48" s="14"/>
      <c r="AG48" s="17"/>
      <c r="AH48" s="13"/>
      <c r="AI48" s="13"/>
      <c r="AJ48" s="14"/>
      <c r="AL48" s="17"/>
      <c r="AM48" s="13"/>
      <c r="AN48" s="13"/>
      <c r="AO48" s="14"/>
      <c r="AQ48" s="2">
        <v>6</v>
      </c>
    </row>
    <row r="49" spans="2:43" ht="18" customHeight="1" x14ac:dyDescent="0.2">
      <c r="B49" s="10">
        <v>49</v>
      </c>
      <c r="C49" s="10">
        <v>2</v>
      </c>
      <c r="D49" s="10">
        <v>16</v>
      </c>
      <c r="E49" s="10">
        <v>22</v>
      </c>
      <c r="F49" s="10" t="s">
        <v>122</v>
      </c>
      <c r="G49" s="10" t="s">
        <v>132</v>
      </c>
      <c r="H49" s="10" t="s">
        <v>123</v>
      </c>
      <c r="I49" s="10" t="s">
        <v>123</v>
      </c>
      <c r="J49" s="10" t="s">
        <v>123</v>
      </c>
      <c r="K49" s="10" t="s">
        <v>128</v>
      </c>
      <c r="L49" s="51" t="s">
        <v>230</v>
      </c>
      <c r="M49" s="11" t="s">
        <v>231</v>
      </c>
      <c r="O49" s="18">
        <v>11</v>
      </c>
      <c r="P49" s="15">
        <v>24</v>
      </c>
      <c r="Q49" s="15">
        <v>12</v>
      </c>
      <c r="R49" s="16">
        <v>4</v>
      </c>
      <c r="T49" s="18">
        <v>7</v>
      </c>
      <c r="U49" s="16">
        <v>0</v>
      </c>
      <c r="W49" s="18"/>
      <c r="X49" s="15"/>
      <c r="Y49" s="15"/>
      <c r="Z49" s="16"/>
      <c r="AB49" s="18"/>
      <c r="AC49" s="15"/>
      <c r="AD49" s="15"/>
      <c r="AE49" s="16"/>
      <c r="AG49" s="18"/>
      <c r="AH49" s="15"/>
      <c r="AI49" s="15"/>
      <c r="AJ49" s="16"/>
      <c r="AL49" s="18"/>
      <c r="AM49" s="15"/>
      <c r="AN49" s="15"/>
      <c r="AO49" s="16"/>
      <c r="AQ49" s="2">
        <v>6</v>
      </c>
    </row>
    <row r="50" spans="2:43" ht="18" customHeight="1" x14ac:dyDescent="0.2">
      <c r="B50" s="8">
        <v>50</v>
      </c>
      <c r="C50" s="8">
        <v>2</v>
      </c>
      <c r="D50" s="8">
        <v>17</v>
      </c>
      <c r="E50" s="8">
        <v>0</v>
      </c>
      <c r="F50" s="64" t="s">
        <v>122</v>
      </c>
      <c r="G50" s="8" t="s">
        <v>132</v>
      </c>
      <c r="H50" s="8" t="s">
        <v>132</v>
      </c>
      <c r="I50" s="8" t="s">
        <v>132</v>
      </c>
      <c r="J50" s="39" t="s">
        <v>123</v>
      </c>
      <c r="K50" s="8" t="s">
        <v>128</v>
      </c>
      <c r="L50" s="9" t="s">
        <v>232</v>
      </c>
      <c r="M50" s="9" t="s">
        <v>233</v>
      </c>
      <c r="O50" s="17">
        <v>11</v>
      </c>
      <c r="P50" s="13">
        <v>24</v>
      </c>
      <c r="Q50" s="13">
        <v>12</v>
      </c>
      <c r="R50" s="14">
        <v>4</v>
      </c>
      <c r="T50" s="17">
        <v>11</v>
      </c>
      <c r="U50" s="14">
        <v>4</v>
      </c>
      <c r="W50" s="17"/>
      <c r="X50" s="13"/>
      <c r="Y50" s="13"/>
      <c r="Z50" s="14"/>
      <c r="AB50" s="17"/>
      <c r="AC50" s="13"/>
      <c r="AD50" s="13"/>
      <c r="AE50" s="14"/>
      <c r="AG50" s="17"/>
      <c r="AH50" s="13"/>
      <c r="AI50" s="13"/>
      <c r="AJ50" s="14"/>
      <c r="AL50" s="17"/>
      <c r="AM50" s="13"/>
      <c r="AN50" s="13"/>
      <c r="AO50" s="14"/>
      <c r="AQ50" s="2">
        <v>6</v>
      </c>
    </row>
    <row r="51" spans="2:43" ht="18" customHeight="1" x14ac:dyDescent="0.2">
      <c r="B51" s="10">
        <v>51</v>
      </c>
      <c r="C51" s="10">
        <v>2</v>
      </c>
      <c r="D51" s="10">
        <v>18</v>
      </c>
      <c r="E51" s="10">
        <v>0</v>
      </c>
      <c r="F51" s="10" t="s">
        <v>122</v>
      </c>
      <c r="G51" s="10" t="s">
        <v>132</v>
      </c>
      <c r="H51" s="10" t="s">
        <v>132</v>
      </c>
      <c r="I51" s="10" t="s">
        <v>132</v>
      </c>
      <c r="J51" s="10" t="s">
        <v>123</v>
      </c>
      <c r="K51" s="10" t="s">
        <v>128</v>
      </c>
      <c r="L51" s="51" t="s">
        <v>129</v>
      </c>
      <c r="M51" s="11" t="s">
        <v>234</v>
      </c>
      <c r="O51" s="18">
        <v>11</v>
      </c>
      <c r="P51" s="15">
        <v>24</v>
      </c>
      <c r="Q51" s="15">
        <v>12</v>
      </c>
      <c r="R51" s="16">
        <v>4</v>
      </c>
      <c r="T51" s="18">
        <v>11</v>
      </c>
      <c r="U51" s="16">
        <v>4</v>
      </c>
      <c r="W51" s="18"/>
      <c r="X51" s="15"/>
      <c r="Y51" s="15"/>
      <c r="Z51" s="16"/>
      <c r="AB51" s="18"/>
      <c r="AC51" s="15"/>
      <c r="AD51" s="15"/>
      <c r="AE51" s="16"/>
      <c r="AG51" s="18"/>
      <c r="AH51" s="15"/>
      <c r="AI51" s="15"/>
      <c r="AJ51" s="16"/>
      <c r="AL51" s="18"/>
      <c r="AM51" s="15"/>
      <c r="AN51" s="15"/>
      <c r="AO51" s="16"/>
      <c r="AQ51" s="2">
        <v>6</v>
      </c>
    </row>
    <row r="52" spans="2:43" ht="18" customHeight="1" x14ac:dyDescent="0.2">
      <c r="B52" s="8">
        <v>52</v>
      </c>
      <c r="C52" s="8">
        <v>2</v>
      </c>
      <c r="D52" s="8">
        <v>19</v>
      </c>
      <c r="E52" s="8">
        <v>26</v>
      </c>
      <c r="F52" s="64" t="s">
        <v>235</v>
      </c>
      <c r="G52" s="8" t="s">
        <v>132</v>
      </c>
      <c r="H52" s="8" t="s">
        <v>123</v>
      </c>
      <c r="I52" s="8" t="s">
        <v>123</v>
      </c>
      <c r="J52" s="39" t="s">
        <v>132</v>
      </c>
      <c r="K52" s="8" t="s">
        <v>128</v>
      </c>
      <c r="L52" s="9" t="s">
        <v>236</v>
      </c>
      <c r="M52" s="9" t="s">
        <v>237</v>
      </c>
      <c r="O52" s="17">
        <v>11</v>
      </c>
      <c r="P52" s="13">
        <v>24</v>
      </c>
      <c r="Q52" s="13">
        <v>12</v>
      </c>
      <c r="R52" s="14">
        <v>4</v>
      </c>
      <c r="T52" s="17">
        <v>7</v>
      </c>
      <c r="U52" s="14">
        <v>2</v>
      </c>
      <c r="W52" s="17"/>
      <c r="X52" s="13"/>
      <c r="Y52" s="13"/>
      <c r="Z52" s="14"/>
      <c r="AB52" s="17"/>
      <c r="AC52" s="13"/>
      <c r="AD52" s="13"/>
      <c r="AE52" s="14"/>
      <c r="AG52" s="17"/>
      <c r="AH52" s="13"/>
      <c r="AI52" s="13"/>
      <c r="AJ52" s="14"/>
      <c r="AL52" s="17"/>
      <c r="AM52" s="13"/>
      <c r="AN52" s="13"/>
      <c r="AO52" s="14"/>
      <c r="AQ52" s="2">
        <v>6</v>
      </c>
    </row>
    <row r="53" spans="2:43" ht="18" customHeight="1" x14ac:dyDescent="0.2">
      <c r="B53" s="10">
        <v>53</v>
      </c>
      <c r="C53" s="10">
        <v>2</v>
      </c>
      <c r="D53" s="10">
        <v>20</v>
      </c>
      <c r="E53" s="10">
        <v>18</v>
      </c>
      <c r="F53" s="10" t="s">
        <v>122</v>
      </c>
      <c r="G53" s="10" t="s">
        <v>132</v>
      </c>
      <c r="H53" s="10" t="s">
        <v>132</v>
      </c>
      <c r="I53" s="38" t="s">
        <v>123</v>
      </c>
      <c r="J53" s="10" t="s">
        <v>123</v>
      </c>
      <c r="K53" s="10" t="s">
        <v>128</v>
      </c>
      <c r="L53" s="51" t="s">
        <v>238</v>
      </c>
      <c r="M53" s="11" t="s">
        <v>239</v>
      </c>
      <c r="O53" s="18">
        <v>11</v>
      </c>
      <c r="P53" s="15">
        <v>24</v>
      </c>
      <c r="Q53" s="15">
        <v>12</v>
      </c>
      <c r="R53" s="16">
        <v>4</v>
      </c>
      <c r="T53" s="18">
        <v>11</v>
      </c>
      <c r="U53" s="16">
        <v>1</v>
      </c>
      <c r="W53" s="18"/>
      <c r="X53" s="15"/>
      <c r="Y53" s="15"/>
      <c r="Z53" s="16"/>
      <c r="AB53" s="18"/>
      <c r="AC53" s="15"/>
      <c r="AD53" s="15"/>
      <c r="AE53" s="16"/>
      <c r="AG53" s="18"/>
      <c r="AH53" s="15"/>
      <c r="AI53" s="15"/>
      <c r="AJ53" s="16"/>
      <c r="AL53" s="18"/>
      <c r="AM53" s="15"/>
      <c r="AN53" s="15"/>
      <c r="AO53" s="16"/>
      <c r="AQ53" s="2">
        <v>6</v>
      </c>
    </row>
    <row r="54" spans="2:43" ht="18" customHeight="1" x14ac:dyDescent="0.2">
      <c r="B54" s="8">
        <v>54</v>
      </c>
      <c r="C54" s="8">
        <v>2</v>
      </c>
      <c r="D54" s="8">
        <v>21</v>
      </c>
      <c r="E54" s="8">
        <v>27</v>
      </c>
      <c r="F54" s="64" t="s">
        <v>122</v>
      </c>
      <c r="G54" s="8" t="s">
        <v>123</v>
      </c>
      <c r="H54" s="8" t="s">
        <v>123</v>
      </c>
      <c r="I54" s="8" t="s">
        <v>123</v>
      </c>
      <c r="J54" s="39" t="s">
        <v>123</v>
      </c>
      <c r="K54" s="8" t="s">
        <v>128</v>
      </c>
      <c r="L54" s="9" t="s">
        <v>139</v>
      </c>
      <c r="M54" s="9" t="s">
        <v>240</v>
      </c>
      <c r="O54" s="17">
        <v>12</v>
      </c>
      <c r="P54" s="13">
        <v>36</v>
      </c>
      <c r="Q54" s="13">
        <v>16</v>
      </c>
      <c r="R54" s="14">
        <v>8</v>
      </c>
      <c r="T54" s="17">
        <v>0</v>
      </c>
      <c r="U54" s="14">
        <v>0</v>
      </c>
      <c r="W54" s="17"/>
      <c r="X54" s="13"/>
      <c r="Y54" s="13"/>
      <c r="Z54" s="14"/>
      <c r="AB54" s="17"/>
      <c r="AC54" s="13"/>
      <c r="AD54" s="13"/>
      <c r="AE54" s="14"/>
      <c r="AG54" s="17"/>
      <c r="AH54" s="13"/>
      <c r="AI54" s="13"/>
      <c r="AJ54" s="14"/>
      <c r="AL54" s="17"/>
      <c r="AM54" s="13"/>
      <c r="AN54" s="13"/>
      <c r="AO54" s="14"/>
      <c r="AQ54" s="2">
        <v>13</v>
      </c>
    </row>
    <row r="55" spans="2:43" ht="18" customHeight="1" x14ac:dyDescent="0.2">
      <c r="B55" s="10">
        <v>55</v>
      </c>
      <c r="C55" s="10">
        <v>2</v>
      </c>
      <c r="D55" s="10">
        <v>22</v>
      </c>
      <c r="E55" s="10">
        <v>15</v>
      </c>
      <c r="F55" s="10" t="s">
        <v>235</v>
      </c>
      <c r="G55" s="10" t="s">
        <v>132</v>
      </c>
      <c r="H55" s="10" t="s">
        <v>132</v>
      </c>
      <c r="I55" s="38" t="s">
        <v>123</v>
      </c>
      <c r="J55" s="10" t="s">
        <v>123</v>
      </c>
      <c r="K55" s="10" t="s">
        <v>128</v>
      </c>
      <c r="L55" s="51" t="s">
        <v>236</v>
      </c>
      <c r="M55" s="11" t="s">
        <v>241</v>
      </c>
      <c r="O55" s="18">
        <v>12</v>
      </c>
      <c r="P55" s="15">
        <v>36</v>
      </c>
      <c r="Q55" s="15">
        <v>16</v>
      </c>
      <c r="R55" s="16">
        <v>8</v>
      </c>
      <c r="T55" s="18">
        <v>12</v>
      </c>
      <c r="U55" s="16">
        <v>1</v>
      </c>
      <c r="W55" s="18"/>
      <c r="X55" s="15"/>
      <c r="Y55" s="15"/>
      <c r="Z55" s="16"/>
      <c r="AB55" s="18"/>
      <c r="AC55" s="15"/>
      <c r="AD55" s="15"/>
      <c r="AE55" s="16"/>
      <c r="AG55" s="18"/>
      <c r="AH55" s="15"/>
      <c r="AI55" s="15"/>
      <c r="AJ55" s="16"/>
      <c r="AL55" s="18"/>
      <c r="AM55" s="15"/>
      <c r="AN55" s="15"/>
      <c r="AO55" s="16"/>
      <c r="AQ55" s="2">
        <v>13</v>
      </c>
    </row>
    <row r="56" spans="2:43" ht="18" customHeight="1" x14ac:dyDescent="0.2">
      <c r="B56" s="8">
        <v>56</v>
      </c>
      <c r="C56" s="8">
        <v>2</v>
      </c>
      <c r="D56" s="8">
        <v>23</v>
      </c>
      <c r="E56" s="8">
        <v>19</v>
      </c>
      <c r="F56" s="64" t="s">
        <v>122</v>
      </c>
      <c r="G56" s="8" t="s">
        <v>123</v>
      </c>
      <c r="H56" s="8" t="s">
        <v>123</v>
      </c>
      <c r="I56" s="8" t="s">
        <v>123</v>
      </c>
      <c r="J56" s="39" t="s">
        <v>123</v>
      </c>
      <c r="K56" s="8" t="s">
        <v>128</v>
      </c>
      <c r="L56" s="9" t="s">
        <v>148</v>
      </c>
      <c r="M56" s="9" t="s">
        <v>242</v>
      </c>
      <c r="O56" s="17">
        <v>12</v>
      </c>
      <c r="P56" s="13">
        <v>36</v>
      </c>
      <c r="Q56" s="13">
        <v>16</v>
      </c>
      <c r="R56" s="14">
        <v>8</v>
      </c>
      <c r="T56" s="17">
        <v>4</v>
      </c>
      <c r="U56" s="14">
        <v>1</v>
      </c>
      <c r="W56" s="17"/>
      <c r="X56" s="13"/>
      <c r="Y56" s="13"/>
      <c r="Z56" s="14"/>
      <c r="AB56" s="17"/>
      <c r="AC56" s="13"/>
      <c r="AD56" s="13"/>
      <c r="AE56" s="14"/>
      <c r="AG56" s="17"/>
      <c r="AH56" s="13"/>
      <c r="AI56" s="13"/>
      <c r="AJ56" s="14"/>
      <c r="AL56" s="17"/>
      <c r="AM56" s="13"/>
      <c r="AN56" s="13"/>
      <c r="AO56" s="14"/>
      <c r="AQ56" s="2">
        <v>13</v>
      </c>
    </row>
    <row r="57" spans="2:43" ht="18" customHeight="1" x14ac:dyDescent="0.2">
      <c r="B57" s="10">
        <v>57</v>
      </c>
      <c r="C57" s="10">
        <v>2</v>
      </c>
      <c r="D57" s="10">
        <v>24</v>
      </c>
      <c r="E57" s="10">
        <v>17</v>
      </c>
      <c r="F57" s="10" t="s">
        <v>122</v>
      </c>
      <c r="G57" s="10" t="s">
        <v>132</v>
      </c>
      <c r="H57" s="10" t="s">
        <v>132</v>
      </c>
      <c r="I57" s="38" t="s">
        <v>123</v>
      </c>
      <c r="J57" s="10" t="s">
        <v>123</v>
      </c>
      <c r="K57" s="10" t="s">
        <v>128</v>
      </c>
      <c r="L57" s="51" t="s">
        <v>232</v>
      </c>
      <c r="M57" s="11" t="s">
        <v>243</v>
      </c>
      <c r="O57" s="18">
        <v>12</v>
      </c>
      <c r="P57" s="15">
        <v>36</v>
      </c>
      <c r="Q57" s="15">
        <v>16</v>
      </c>
      <c r="R57" s="16">
        <v>8</v>
      </c>
      <c r="T57" s="18">
        <v>12</v>
      </c>
      <c r="U57" s="16">
        <v>0</v>
      </c>
      <c r="W57" s="18"/>
      <c r="X57" s="15"/>
      <c r="Y57" s="15"/>
      <c r="Z57" s="16"/>
      <c r="AB57" s="18"/>
      <c r="AC57" s="15"/>
      <c r="AD57" s="15"/>
      <c r="AE57" s="16"/>
      <c r="AG57" s="18"/>
      <c r="AH57" s="15"/>
      <c r="AI57" s="15"/>
      <c r="AJ57" s="16"/>
      <c r="AL57" s="18"/>
      <c r="AM57" s="15"/>
      <c r="AN57" s="15"/>
      <c r="AO57" s="16"/>
      <c r="AQ57" s="2">
        <v>13</v>
      </c>
    </row>
    <row r="58" spans="2:43" ht="18" customHeight="1" x14ac:dyDescent="0.2">
      <c r="B58" s="8">
        <v>58</v>
      </c>
      <c r="C58" s="8">
        <v>2</v>
      </c>
      <c r="D58" s="8">
        <v>25</v>
      </c>
      <c r="E58" s="8">
        <v>0</v>
      </c>
      <c r="F58" s="64" t="s">
        <v>122</v>
      </c>
      <c r="G58" s="8" t="s">
        <v>132</v>
      </c>
      <c r="H58" s="8" t="s">
        <v>132</v>
      </c>
      <c r="I58" s="8" t="s">
        <v>132</v>
      </c>
      <c r="J58" s="39" t="s">
        <v>123</v>
      </c>
      <c r="K58" s="8" t="s">
        <v>128</v>
      </c>
      <c r="L58" s="9" t="s">
        <v>244</v>
      </c>
      <c r="M58" s="9" t="s">
        <v>245</v>
      </c>
      <c r="O58" s="17">
        <v>12</v>
      </c>
      <c r="P58" s="13">
        <v>36</v>
      </c>
      <c r="Q58" s="13">
        <v>16</v>
      </c>
      <c r="R58" s="14">
        <v>8</v>
      </c>
      <c r="T58" s="17">
        <v>12</v>
      </c>
      <c r="U58" s="14">
        <v>8</v>
      </c>
      <c r="W58" s="17"/>
      <c r="X58" s="13"/>
      <c r="Y58" s="13"/>
      <c r="Z58" s="14"/>
      <c r="AB58" s="17"/>
      <c r="AC58" s="13"/>
      <c r="AD58" s="13"/>
      <c r="AE58" s="14"/>
      <c r="AG58" s="17"/>
      <c r="AH58" s="13"/>
      <c r="AI58" s="13"/>
      <c r="AJ58" s="14"/>
      <c r="AL58" s="17"/>
      <c r="AM58" s="13"/>
      <c r="AN58" s="13"/>
      <c r="AO58" s="14"/>
      <c r="AQ58" s="2">
        <v>13</v>
      </c>
    </row>
    <row r="59" spans="2:43" ht="18" customHeight="1" x14ac:dyDescent="0.2">
      <c r="B59" s="10">
        <v>59</v>
      </c>
      <c r="C59" s="10">
        <v>2</v>
      </c>
      <c r="D59" s="10">
        <v>26</v>
      </c>
      <c r="E59" s="10">
        <v>30</v>
      </c>
      <c r="F59" s="10" t="s">
        <v>122</v>
      </c>
      <c r="G59" s="38" t="s">
        <v>123</v>
      </c>
      <c r="H59" s="38" t="s">
        <v>123</v>
      </c>
      <c r="I59" s="38" t="s">
        <v>123</v>
      </c>
      <c r="J59" s="10" t="s">
        <v>123</v>
      </c>
      <c r="K59" s="10" t="s">
        <v>128</v>
      </c>
      <c r="L59" s="51" t="s">
        <v>129</v>
      </c>
      <c r="M59" s="11" t="s">
        <v>130</v>
      </c>
      <c r="O59" s="18">
        <v>12</v>
      </c>
      <c r="P59" s="15">
        <v>36</v>
      </c>
      <c r="Q59" s="15">
        <v>16</v>
      </c>
      <c r="R59" s="16">
        <v>8</v>
      </c>
      <c r="T59" s="18">
        <v>0</v>
      </c>
      <c r="U59" s="16">
        <v>0</v>
      </c>
      <c r="W59" s="18"/>
      <c r="X59" s="15"/>
      <c r="Y59" s="15"/>
      <c r="Z59" s="16"/>
      <c r="AB59" s="18"/>
      <c r="AC59" s="15"/>
      <c r="AD59" s="15"/>
      <c r="AE59" s="16"/>
      <c r="AG59" s="18"/>
      <c r="AH59" s="15"/>
      <c r="AI59" s="15"/>
      <c r="AJ59" s="16"/>
      <c r="AL59" s="18"/>
      <c r="AM59" s="15"/>
      <c r="AN59" s="15"/>
      <c r="AO59" s="16"/>
      <c r="AQ59" s="2">
        <v>13</v>
      </c>
    </row>
    <row r="60" spans="2:43" ht="18" customHeight="1" x14ac:dyDescent="0.2">
      <c r="B60" s="8">
        <v>60</v>
      </c>
      <c r="C60" s="8">
        <v>2</v>
      </c>
      <c r="D60" s="8">
        <v>27</v>
      </c>
      <c r="E60" s="8">
        <v>14</v>
      </c>
      <c r="F60" s="64" t="s">
        <v>122</v>
      </c>
      <c r="G60" s="8" t="s">
        <v>132</v>
      </c>
      <c r="H60" s="8" t="s">
        <v>123</v>
      </c>
      <c r="I60" s="8" t="s">
        <v>123</v>
      </c>
      <c r="J60" s="39" t="s">
        <v>123</v>
      </c>
      <c r="K60" s="8" t="s">
        <v>128</v>
      </c>
      <c r="L60" s="9" t="s">
        <v>199</v>
      </c>
      <c r="M60" s="9" t="s">
        <v>246</v>
      </c>
      <c r="O60" s="17">
        <v>12</v>
      </c>
      <c r="P60" s="13">
        <v>36</v>
      </c>
      <c r="Q60" s="13">
        <v>16</v>
      </c>
      <c r="R60" s="14">
        <v>8</v>
      </c>
      <c r="T60" s="17">
        <v>8</v>
      </c>
      <c r="U60" s="14">
        <v>0</v>
      </c>
      <c r="W60" s="17"/>
      <c r="X60" s="13"/>
      <c r="Y60" s="13"/>
      <c r="Z60" s="14"/>
      <c r="AB60" s="17"/>
      <c r="AC60" s="13"/>
      <c r="AD60" s="13"/>
      <c r="AE60" s="14"/>
      <c r="AG60" s="17"/>
      <c r="AH60" s="13"/>
      <c r="AI60" s="13"/>
      <c r="AJ60" s="14"/>
      <c r="AL60" s="17"/>
      <c r="AM60" s="13"/>
      <c r="AN60" s="13"/>
      <c r="AO60" s="14"/>
      <c r="AQ60" s="2">
        <v>13</v>
      </c>
    </row>
    <row r="61" spans="2:43" ht="18" customHeight="1" x14ac:dyDescent="0.2">
      <c r="B61" s="10">
        <v>61</v>
      </c>
      <c r="C61" s="10">
        <v>2</v>
      </c>
      <c r="D61" s="10">
        <v>28</v>
      </c>
      <c r="E61" s="10">
        <v>25</v>
      </c>
      <c r="F61" s="10" t="s">
        <v>131</v>
      </c>
      <c r="G61" s="10" t="s">
        <v>123</v>
      </c>
      <c r="H61" s="10" t="s">
        <v>123</v>
      </c>
      <c r="I61" s="10" t="s">
        <v>123</v>
      </c>
      <c r="J61" s="10" t="s">
        <v>123</v>
      </c>
      <c r="K61" s="10" t="s">
        <v>128</v>
      </c>
      <c r="L61" s="51" t="s">
        <v>134</v>
      </c>
      <c r="M61" s="11" t="s">
        <v>247</v>
      </c>
      <c r="O61" s="18">
        <v>12</v>
      </c>
      <c r="P61" s="15">
        <v>36</v>
      </c>
      <c r="Q61" s="15">
        <v>16</v>
      </c>
      <c r="R61" s="16">
        <v>8</v>
      </c>
      <c r="T61" s="18">
        <v>6</v>
      </c>
      <c r="U61" s="16">
        <v>2</v>
      </c>
      <c r="W61" s="18"/>
      <c r="X61" s="15"/>
      <c r="Y61" s="15"/>
      <c r="Z61" s="16"/>
      <c r="AB61" s="18"/>
      <c r="AC61" s="15"/>
      <c r="AD61" s="15"/>
      <c r="AE61" s="16"/>
      <c r="AG61" s="18"/>
      <c r="AH61" s="15"/>
      <c r="AI61" s="15"/>
      <c r="AJ61" s="16"/>
      <c r="AL61" s="18"/>
      <c r="AM61" s="15"/>
      <c r="AN61" s="15"/>
      <c r="AO61" s="16"/>
      <c r="AQ61" s="2">
        <v>13</v>
      </c>
    </row>
    <row r="62" spans="2:43" ht="18" customHeight="1" x14ac:dyDescent="0.2">
      <c r="B62" s="8">
        <v>62</v>
      </c>
      <c r="C62" s="8">
        <v>2</v>
      </c>
      <c r="D62" s="8">
        <v>29</v>
      </c>
      <c r="E62" s="8">
        <v>11</v>
      </c>
      <c r="F62" s="64" t="s">
        <v>178</v>
      </c>
      <c r="G62" s="8" t="s">
        <v>132</v>
      </c>
      <c r="H62" s="8" t="s">
        <v>132</v>
      </c>
      <c r="I62" s="39" t="s">
        <v>123</v>
      </c>
      <c r="J62" s="39" t="s">
        <v>123</v>
      </c>
      <c r="K62" s="8" t="s">
        <v>128</v>
      </c>
      <c r="L62" s="9" t="s">
        <v>179</v>
      </c>
      <c r="M62" s="9" t="s">
        <v>248</v>
      </c>
      <c r="O62" s="17">
        <v>12</v>
      </c>
      <c r="P62" s="13">
        <v>36</v>
      </c>
      <c r="Q62" s="13">
        <v>16</v>
      </c>
      <c r="R62" s="14">
        <v>8</v>
      </c>
      <c r="T62" s="17">
        <v>12</v>
      </c>
      <c r="U62" s="14">
        <v>5</v>
      </c>
      <c r="W62" s="17"/>
      <c r="X62" s="13"/>
      <c r="Y62" s="13"/>
      <c r="Z62" s="14"/>
      <c r="AB62" s="17"/>
      <c r="AC62" s="13"/>
      <c r="AD62" s="13"/>
      <c r="AE62" s="14"/>
      <c r="AG62" s="17"/>
      <c r="AH62" s="13"/>
      <c r="AI62" s="13"/>
      <c r="AJ62" s="14"/>
      <c r="AL62" s="17"/>
      <c r="AM62" s="13"/>
      <c r="AN62" s="13"/>
      <c r="AO62" s="14"/>
      <c r="AQ62" s="2">
        <v>13</v>
      </c>
    </row>
    <row r="63" spans="2:43" ht="18" customHeight="1" x14ac:dyDescent="0.2">
      <c r="B63" s="10">
        <v>63</v>
      </c>
      <c r="C63" s="10">
        <v>2</v>
      </c>
      <c r="D63" s="10">
        <v>30</v>
      </c>
      <c r="E63" s="10">
        <v>13</v>
      </c>
      <c r="F63" s="10" t="s">
        <v>128</v>
      </c>
      <c r="G63" s="10" t="s">
        <v>132</v>
      </c>
      <c r="H63" s="10" t="s">
        <v>123</v>
      </c>
      <c r="I63" s="10" t="s">
        <v>123</v>
      </c>
      <c r="J63" s="10" t="s">
        <v>123</v>
      </c>
      <c r="K63" s="10" t="s">
        <v>128</v>
      </c>
      <c r="L63" s="51" t="s">
        <v>161</v>
      </c>
      <c r="M63" s="11" t="s">
        <v>249</v>
      </c>
      <c r="O63" s="18">
        <v>12</v>
      </c>
      <c r="P63" s="15">
        <v>36</v>
      </c>
      <c r="Q63" s="15">
        <v>16</v>
      </c>
      <c r="R63" s="16">
        <v>8</v>
      </c>
      <c r="T63" s="18">
        <v>8</v>
      </c>
      <c r="U63" s="16">
        <v>0</v>
      </c>
      <c r="W63" s="18"/>
      <c r="X63" s="15"/>
      <c r="Y63" s="15"/>
      <c r="Z63" s="16"/>
      <c r="AB63" s="18"/>
      <c r="AC63" s="15"/>
      <c r="AD63" s="15"/>
      <c r="AE63" s="16"/>
      <c r="AG63" s="18"/>
      <c r="AH63" s="15"/>
      <c r="AI63" s="15"/>
      <c r="AJ63" s="16"/>
      <c r="AL63" s="18"/>
      <c r="AM63" s="15"/>
      <c r="AN63" s="15"/>
      <c r="AO63" s="16"/>
      <c r="AQ63" s="2">
        <v>13</v>
      </c>
    </row>
    <row r="64" spans="2:43" ht="18" customHeight="1" x14ac:dyDescent="0.2">
      <c r="B64" s="8">
        <v>64</v>
      </c>
      <c r="C64" s="8">
        <v>2</v>
      </c>
      <c r="D64" s="8">
        <v>31</v>
      </c>
      <c r="E64" s="8">
        <v>24</v>
      </c>
      <c r="F64" s="64" t="s">
        <v>122</v>
      </c>
      <c r="G64" s="8" t="s">
        <v>123</v>
      </c>
      <c r="H64" s="8" t="s">
        <v>123</v>
      </c>
      <c r="I64" s="8" t="s">
        <v>123</v>
      </c>
      <c r="J64" s="39" t="s">
        <v>132</v>
      </c>
      <c r="K64" s="8" t="s">
        <v>128</v>
      </c>
      <c r="L64" s="9" t="s">
        <v>250</v>
      </c>
      <c r="M64" s="9" t="s">
        <v>251</v>
      </c>
      <c r="O64" s="17">
        <v>12</v>
      </c>
      <c r="P64" s="13">
        <v>36</v>
      </c>
      <c r="Q64" s="13">
        <v>16</v>
      </c>
      <c r="R64" s="14">
        <v>8</v>
      </c>
      <c r="T64" s="17">
        <v>4</v>
      </c>
      <c r="U64" s="14">
        <v>0</v>
      </c>
      <c r="W64" s="17"/>
      <c r="X64" s="13"/>
      <c r="Y64" s="13"/>
      <c r="Z64" s="14"/>
      <c r="AB64" s="17"/>
      <c r="AC64" s="13"/>
      <c r="AD64" s="13"/>
      <c r="AE64" s="14"/>
      <c r="AG64" s="17"/>
      <c r="AH64" s="13"/>
      <c r="AI64" s="13"/>
      <c r="AJ64" s="14"/>
      <c r="AL64" s="17"/>
      <c r="AM64" s="13"/>
      <c r="AN64" s="13"/>
      <c r="AO64" s="14"/>
      <c r="AQ64" s="2">
        <v>13</v>
      </c>
    </row>
    <row r="65" spans="2:43" ht="18" customHeight="1" x14ac:dyDescent="0.2">
      <c r="B65" s="10">
        <v>65</v>
      </c>
      <c r="C65" s="10">
        <v>2</v>
      </c>
      <c r="D65" s="10">
        <v>32</v>
      </c>
      <c r="E65" s="10">
        <v>15</v>
      </c>
      <c r="F65" s="10" t="s">
        <v>235</v>
      </c>
      <c r="G65" s="10" t="s">
        <v>132</v>
      </c>
      <c r="H65" s="10" t="s">
        <v>132</v>
      </c>
      <c r="I65" s="38" t="s">
        <v>123</v>
      </c>
      <c r="J65" s="10" t="s">
        <v>123</v>
      </c>
      <c r="K65" s="10" t="s">
        <v>128</v>
      </c>
      <c r="L65" s="51" t="s">
        <v>236</v>
      </c>
      <c r="M65" s="11" t="s">
        <v>252</v>
      </c>
      <c r="O65" s="18">
        <v>12</v>
      </c>
      <c r="P65" s="15">
        <v>36</v>
      </c>
      <c r="Q65" s="15">
        <v>16</v>
      </c>
      <c r="R65" s="16">
        <v>8</v>
      </c>
      <c r="T65" s="18">
        <v>12</v>
      </c>
      <c r="U65" s="16">
        <v>1</v>
      </c>
      <c r="W65" s="18"/>
      <c r="X65" s="15"/>
      <c r="Y65" s="15"/>
      <c r="Z65" s="16"/>
      <c r="AB65" s="18"/>
      <c r="AC65" s="15"/>
      <c r="AD65" s="15"/>
      <c r="AE65" s="16"/>
      <c r="AG65" s="18"/>
      <c r="AH65" s="15"/>
      <c r="AI65" s="15"/>
      <c r="AJ65" s="16"/>
      <c r="AL65" s="18"/>
      <c r="AM65" s="15"/>
      <c r="AN65" s="15"/>
      <c r="AO65" s="16"/>
      <c r="AQ65" s="2">
        <v>13</v>
      </c>
    </row>
    <row r="66" spans="2:43" ht="18" customHeight="1" x14ac:dyDescent="0.2">
      <c r="B66" s="8">
        <v>66</v>
      </c>
      <c r="C66" s="8">
        <v>2</v>
      </c>
      <c r="D66" s="8">
        <v>33</v>
      </c>
      <c r="E66" s="8">
        <v>28</v>
      </c>
      <c r="F66" s="64" t="s">
        <v>122</v>
      </c>
      <c r="G66" s="39" t="s">
        <v>132</v>
      </c>
      <c r="H66" s="8" t="s">
        <v>123</v>
      </c>
      <c r="I66" s="8" t="s">
        <v>123</v>
      </c>
      <c r="J66" s="39" t="s">
        <v>123</v>
      </c>
      <c r="K66" s="8" t="s">
        <v>128</v>
      </c>
      <c r="L66" s="9" t="s">
        <v>253</v>
      </c>
      <c r="M66" s="9" t="s">
        <v>231</v>
      </c>
      <c r="O66" s="17">
        <v>12</v>
      </c>
      <c r="P66" s="13">
        <v>36</v>
      </c>
      <c r="Q66" s="13">
        <v>16</v>
      </c>
      <c r="R66" s="14">
        <v>8</v>
      </c>
      <c r="T66" s="17">
        <v>8</v>
      </c>
      <c r="U66" s="14">
        <v>2</v>
      </c>
      <c r="W66" s="17"/>
      <c r="X66" s="13"/>
      <c r="Y66" s="13"/>
      <c r="Z66" s="14"/>
      <c r="AB66" s="17"/>
      <c r="AC66" s="13"/>
      <c r="AD66" s="13"/>
      <c r="AE66" s="14"/>
      <c r="AG66" s="17"/>
      <c r="AH66" s="13"/>
      <c r="AI66" s="13"/>
      <c r="AJ66" s="14"/>
      <c r="AL66" s="17"/>
      <c r="AM66" s="13"/>
      <c r="AN66" s="13"/>
      <c r="AO66" s="14"/>
      <c r="AQ66" s="2">
        <v>13</v>
      </c>
    </row>
    <row r="67" spans="2:43" ht="18" customHeight="1" x14ac:dyDescent="0.2">
      <c r="B67" s="10">
        <v>67</v>
      </c>
      <c r="C67" s="10">
        <v>2</v>
      </c>
      <c r="D67" s="10">
        <v>34</v>
      </c>
      <c r="E67" s="10">
        <v>25</v>
      </c>
      <c r="F67" s="10" t="s">
        <v>131</v>
      </c>
      <c r="G67" s="10" t="s">
        <v>123</v>
      </c>
      <c r="H67" s="10" t="s">
        <v>123</v>
      </c>
      <c r="I67" s="10" t="s">
        <v>123</v>
      </c>
      <c r="J67" s="10" t="s">
        <v>123</v>
      </c>
      <c r="K67" s="10" t="s">
        <v>128</v>
      </c>
      <c r="L67" s="51" t="s">
        <v>134</v>
      </c>
      <c r="M67" s="11" t="s">
        <v>254</v>
      </c>
      <c r="O67" s="18">
        <v>12</v>
      </c>
      <c r="P67" s="15">
        <v>36</v>
      </c>
      <c r="Q67" s="15">
        <v>16</v>
      </c>
      <c r="R67" s="16">
        <v>8</v>
      </c>
      <c r="T67" s="18">
        <v>0</v>
      </c>
      <c r="U67" s="16">
        <v>1</v>
      </c>
      <c r="W67" s="18"/>
      <c r="X67" s="15"/>
      <c r="Y67" s="15"/>
      <c r="Z67" s="16"/>
      <c r="AB67" s="18"/>
      <c r="AC67" s="15"/>
      <c r="AD67" s="15"/>
      <c r="AE67" s="16"/>
      <c r="AG67" s="18"/>
      <c r="AH67" s="15"/>
      <c r="AI67" s="15"/>
      <c r="AJ67" s="16"/>
      <c r="AL67" s="18"/>
      <c r="AM67" s="15"/>
      <c r="AN67" s="15"/>
      <c r="AO67" s="16"/>
      <c r="AQ67" s="2">
        <v>13</v>
      </c>
    </row>
    <row r="68" spans="2:43" ht="18" customHeight="1" x14ac:dyDescent="0.2">
      <c r="B68" s="8">
        <v>68</v>
      </c>
      <c r="C68" s="8">
        <v>2</v>
      </c>
      <c r="D68" s="8">
        <v>35</v>
      </c>
      <c r="E68" s="8">
        <v>7</v>
      </c>
      <c r="F68" s="64" t="s">
        <v>122</v>
      </c>
      <c r="G68" s="8" t="s">
        <v>132</v>
      </c>
      <c r="H68" s="8" t="s">
        <v>132</v>
      </c>
      <c r="I68" s="8" t="s">
        <v>132</v>
      </c>
      <c r="J68" s="39" t="s">
        <v>123</v>
      </c>
      <c r="K68" s="8" t="s">
        <v>128</v>
      </c>
      <c r="L68" s="9" t="s">
        <v>255</v>
      </c>
      <c r="M68" s="9" t="s">
        <v>256</v>
      </c>
      <c r="O68" s="17">
        <v>12</v>
      </c>
      <c r="P68" s="13">
        <v>36</v>
      </c>
      <c r="Q68" s="13">
        <v>16</v>
      </c>
      <c r="R68" s="14">
        <v>8</v>
      </c>
      <c r="T68" s="17">
        <v>12</v>
      </c>
      <c r="U68" s="14">
        <v>8</v>
      </c>
      <c r="W68" s="17"/>
      <c r="X68" s="13"/>
      <c r="Y68" s="13"/>
      <c r="Z68" s="14"/>
      <c r="AB68" s="17"/>
      <c r="AC68" s="13"/>
      <c r="AD68" s="13"/>
      <c r="AE68" s="14"/>
      <c r="AG68" s="17"/>
      <c r="AH68" s="13"/>
      <c r="AI68" s="13"/>
      <c r="AJ68" s="14"/>
      <c r="AL68" s="17"/>
      <c r="AM68" s="13"/>
      <c r="AN68" s="13"/>
      <c r="AO68" s="14"/>
      <c r="AQ68" s="2">
        <v>13</v>
      </c>
    </row>
    <row r="69" spans="2:43" ht="18" customHeight="1" x14ac:dyDescent="0.2">
      <c r="B69" s="10">
        <v>69</v>
      </c>
      <c r="C69" s="10">
        <v>2</v>
      </c>
      <c r="D69" s="10">
        <v>36</v>
      </c>
      <c r="E69" s="10">
        <v>26</v>
      </c>
      <c r="F69" s="10" t="s">
        <v>133</v>
      </c>
      <c r="G69" s="38" t="s">
        <v>132</v>
      </c>
      <c r="H69" s="38" t="s">
        <v>132</v>
      </c>
      <c r="I69" s="10" t="s">
        <v>123</v>
      </c>
      <c r="J69" s="10" t="s">
        <v>123</v>
      </c>
      <c r="K69" s="10" t="s">
        <v>128</v>
      </c>
      <c r="L69" s="51" t="s">
        <v>257</v>
      </c>
      <c r="M69" s="11" t="s">
        <v>258</v>
      </c>
      <c r="O69" s="18">
        <v>12</v>
      </c>
      <c r="P69" s="15">
        <v>36</v>
      </c>
      <c r="Q69" s="15">
        <v>16</v>
      </c>
      <c r="R69" s="16">
        <v>8</v>
      </c>
      <c r="T69" s="18">
        <v>12</v>
      </c>
      <c r="U69" s="16">
        <v>4</v>
      </c>
      <c r="W69" s="18"/>
      <c r="X69" s="15"/>
      <c r="Y69" s="15"/>
      <c r="Z69" s="16"/>
      <c r="AB69" s="18"/>
      <c r="AC69" s="15"/>
      <c r="AD69" s="15"/>
      <c r="AE69" s="16"/>
      <c r="AG69" s="18"/>
      <c r="AH69" s="15"/>
      <c r="AI69" s="15"/>
      <c r="AJ69" s="16"/>
      <c r="AL69" s="18"/>
      <c r="AM69" s="15"/>
      <c r="AN69" s="15"/>
      <c r="AO69" s="16"/>
      <c r="AQ69" s="2">
        <v>13</v>
      </c>
    </row>
    <row r="70" spans="2:43" ht="18" customHeight="1" x14ac:dyDescent="0.2">
      <c r="B70" s="8">
        <v>70</v>
      </c>
      <c r="C70" s="8">
        <v>2</v>
      </c>
      <c r="D70" s="8">
        <v>37</v>
      </c>
      <c r="E70" s="8">
        <v>12</v>
      </c>
      <c r="F70" s="64" t="s">
        <v>131</v>
      </c>
      <c r="G70" s="8" t="s">
        <v>132</v>
      </c>
      <c r="H70" s="8" t="s">
        <v>123</v>
      </c>
      <c r="I70" s="8" t="s">
        <v>123</v>
      </c>
      <c r="J70" s="39" t="s">
        <v>123</v>
      </c>
      <c r="K70" s="8" t="s">
        <v>128</v>
      </c>
      <c r="L70" s="9" t="s">
        <v>134</v>
      </c>
      <c r="M70" s="9" t="s">
        <v>259</v>
      </c>
      <c r="O70" s="17">
        <v>12</v>
      </c>
      <c r="P70" s="13">
        <v>36</v>
      </c>
      <c r="Q70" s="13">
        <v>16</v>
      </c>
      <c r="R70" s="14">
        <v>8</v>
      </c>
      <c r="T70" s="17">
        <v>8</v>
      </c>
      <c r="U70" s="14">
        <v>1</v>
      </c>
      <c r="W70" s="17"/>
      <c r="X70" s="13"/>
      <c r="Y70" s="13"/>
      <c r="Z70" s="14"/>
      <c r="AB70" s="17"/>
      <c r="AC70" s="13"/>
      <c r="AD70" s="13"/>
      <c r="AE70" s="14"/>
      <c r="AG70" s="17"/>
      <c r="AH70" s="13"/>
      <c r="AI70" s="13"/>
      <c r="AJ70" s="14"/>
      <c r="AL70" s="17"/>
      <c r="AM70" s="13"/>
      <c r="AN70" s="13"/>
      <c r="AO70" s="14"/>
      <c r="AQ70" s="2">
        <v>13</v>
      </c>
    </row>
    <row r="71" spans="2:43" ht="18" customHeight="1" x14ac:dyDescent="0.2">
      <c r="B71" s="10">
        <v>71</v>
      </c>
      <c r="C71" s="10">
        <v>2</v>
      </c>
      <c r="D71" s="10">
        <v>38</v>
      </c>
      <c r="E71" s="10">
        <v>23</v>
      </c>
      <c r="F71" s="10" t="s">
        <v>260</v>
      </c>
      <c r="G71" s="10" t="s">
        <v>132</v>
      </c>
      <c r="H71" s="10" t="s">
        <v>123</v>
      </c>
      <c r="I71" s="10" t="s">
        <v>123</v>
      </c>
      <c r="J71" s="10" t="s">
        <v>123</v>
      </c>
      <c r="K71" s="10" t="s">
        <v>128</v>
      </c>
      <c r="L71" s="51" t="s">
        <v>146</v>
      </c>
      <c r="M71" s="11" t="s">
        <v>261</v>
      </c>
      <c r="O71" s="18">
        <v>12</v>
      </c>
      <c r="P71" s="15">
        <v>36</v>
      </c>
      <c r="Q71" s="15">
        <v>16</v>
      </c>
      <c r="R71" s="16">
        <v>8</v>
      </c>
      <c r="T71" s="18">
        <v>10</v>
      </c>
      <c r="U71" s="16">
        <v>8</v>
      </c>
      <c r="W71" s="18"/>
      <c r="X71" s="15"/>
      <c r="Y71" s="15"/>
      <c r="Z71" s="16"/>
      <c r="AB71" s="18"/>
      <c r="AC71" s="15"/>
      <c r="AD71" s="15"/>
      <c r="AE71" s="16"/>
      <c r="AG71" s="18"/>
      <c r="AH71" s="15"/>
      <c r="AI71" s="15"/>
      <c r="AJ71" s="16"/>
      <c r="AL71" s="18"/>
      <c r="AM71" s="15"/>
      <c r="AN71" s="15"/>
      <c r="AO71" s="16"/>
      <c r="AQ71" s="2">
        <v>13</v>
      </c>
    </row>
    <row r="72" spans="2:43" ht="18" customHeight="1" x14ac:dyDescent="0.2">
      <c r="B72" s="8">
        <v>72</v>
      </c>
      <c r="C72" s="8">
        <v>2</v>
      </c>
      <c r="D72" s="8">
        <v>39</v>
      </c>
      <c r="E72" s="8">
        <v>29</v>
      </c>
      <c r="F72" s="64" t="s">
        <v>122</v>
      </c>
      <c r="G72" s="39" t="s">
        <v>132</v>
      </c>
      <c r="H72" s="8" t="s">
        <v>123</v>
      </c>
      <c r="I72" s="8" t="s">
        <v>123</v>
      </c>
      <c r="J72" s="39" t="s">
        <v>123</v>
      </c>
      <c r="K72" s="8" t="s">
        <v>128</v>
      </c>
      <c r="L72" s="9" t="s">
        <v>213</v>
      </c>
      <c r="M72" s="9" t="s">
        <v>262</v>
      </c>
      <c r="O72" s="17">
        <v>12</v>
      </c>
      <c r="P72" s="13">
        <v>36</v>
      </c>
      <c r="Q72" s="13">
        <v>16</v>
      </c>
      <c r="R72" s="14">
        <v>8</v>
      </c>
      <c r="T72" s="17">
        <v>0</v>
      </c>
      <c r="U72" s="14">
        <v>1</v>
      </c>
      <c r="W72" s="17"/>
      <c r="X72" s="13"/>
      <c r="Y72" s="13"/>
      <c r="Z72" s="14"/>
      <c r="AB72" s="17"/>
      <c r="AC72" s="13"/>
      <c r="AD72" s="13"/>
      <c r="AE72" s="14"/>
      <c r="AG72" s="17"/>
      <c r="AH72" s="13"/>
      <c r="AI72" s="13"/>
      <c r="AJ72" s="14"/>
      <c r="AL72" s="17"/>
      <c r="AM72" s="13"/>
      <c r="AN72" s="13"/>
      <c r="AO72" s="14"/>
      <c r="AQ72" s="2">
        <v>13</v>
      </c>
    </row>
    <row r="73" spans="2:43" ht="18" customHeight="1" x14ac:dyDescent="0.2">
      <c r="B73" s="10">
        <v>73</v>
      </c>
      <c r="C73" s="10">
        <v>3</v>
      </c>
      <c r="D73" s="10">
        <v>1</v>
      </c>
      <c r="E73" s="10">
        <v>0</v>
      </c>
      <c r="F73" s="10" t="s">
        <v>178</v>
      </c>
      <c r="G73" s="10" t="s">
        <v>132</v>
      </c>
      <c r="H73" s="10" t="s">
        <v>132</v>
      </c>
      <c r="I73" s="10" t="s">
        <v>132</v>
      </c>
      <c r="J73" s="10" t="s">
        <v>123</v>
      </c>
      <c r="K73" s="10" t="s">
        <v>133</v>
      </c>
      <c r="L73" s="51" t="s">
        <v>179</v>
      </c>
      <c r="M73" s="11" t="s">
        <v>263</v>
      </c>
      <c r="O73" s="18">
        <v>10</v>
      </c>
      <c r="P73" s="15">
        <v>24</v>
      </c>
      <c r="Q73" s="15">
        <v>4</v>
      </c>
      <c r="R73" s="16">
        <v>4</v>
      </c>
      <c r="T73" s="18">
        <v>10</v>
      </c>
      <c r="U73" s="16">
        <v>4</v>
      </c>
      <c r="W73" s="18"/>
      <c r="X73" s="15"/>
      <c r="Y73" s="15"/>
      <c r="Z73" s="16"/>
      <c r="AB73" s="18"/>
      <c r="AC73" s="15"/>
      <c r="AD73" s="15"/>
      <c r="AE73" s="16"/>
      <c r="AG73" s="18"/>
      <c r="AH73" s="15"/>
      <c r="AI73" s="15"/>
      <c r="AJ73" s="16"/>
      <c r="AL73" s="18"/>
      <c r="AM73" s="15"/>
      <c r="AN73" s="15"/>
      <c r="AO73" s="16"/>
      <c r="AQ73" s="2">
        <v>3</v>
      </c>
    </row>
    <row r="74" spans="2:43" ht="18" customHeight="1" x14ac:dyDescent="0.2">
      <c r="B74" s="8">
        <v>74</v>
      </c>
      <c r="C74" s="8">
        <v>3</v>
      </c>
      <c r="D74" s="8">
        <v>2</v>
      </c>
      <c r="E74" s="8">
        <v>0</v>
      </c>
      <c r="F74" s="64" t="s">
        <v>102</v>
      </c>
      <c r="G74" s="8" t="s">
        <v>132</v>
      </c>
      <c r="H74" s="8" t="s">
        <v>132</v>
      </c>
      <c r="I74" s="8" t="s">
        <v>132</v>
      </c>
      <c r="J74" s="39" t="s">
        <v>123</v>
      </c>
      <c r="K74" s="8" t="s">
        <v>133</v>
      </c>
      <c r="L74" s="9" t="s">
        <v>218</v>
      </c>
      <c r="M74" s="9" t="s">
        <v>264</v>
      </c>
      <c r="O74" s="17">
        <v>10</v>
      </c>
      <c r="P74" s="13">
        <v>24</v>
      </c>
      <c r="Q74" s="13">
        <v>4</v>
      </c>
      <c r="R74" s="14">
        <v>4</v>
      </c>
      <c r="T74" s="17">
        <v>10</v>
      </c>
      <c r="U74" s="14">
        <v>4</v>
      </c>
      <c r="W74" s="17"/>
      <c r="X74" s="13"/>
      <c r="Y74" s="13"/>
      <c r="Z74" s="14"/>
      <c r="AB74" s="17"/>
      <c r="AC74" s="13"/>
      <c r="AD74" s="13"/>
      <c r="AE74" s="14"/>
      <c r="AG74" s="17"/>
      <c r="AH74" s="13"/>
      <c r="AI74" s="13"/>
      <c r="AJ74" s="14"/>
      <c r="AL74" s="17"/>
      <c r="AM74" s="13"/>
      <c r="AN74" s="13"/>
      <c r="AO74" s="14"/>
      <c r="AQ74" s="2">
        <v>3</v>
      </c>
    </row>
    <row r="75" spans="2:43" ht="18" customHeight="1" x14ac:dyDescent="0.2">
      <c r="B75" s="10">
        <v>75</v>
      </c>
      <c r="C75" s="10">
        <v>3</v>
      </c>
      <c r="D75" s="10">
        <v>3</v>
      </c>
      <c r="E75" s="10">
        <v>0</v>
      </c>
      <c r="F75" s="10" t="s">
        <v>122</v>
      </c>
      <c r="G75" s="10" t="s">
        <v>132</v>
      </c>
      <c r="H75" s="10" t="s">
        <v>132</v>
      </c>
      <c r="I75" s="10" t="s">
        <v>132</v>
      </c>
      <c r="J75" s="10" t="s">
        <v>123</v>
      </c>
      <c r="K75" s="10" t="s">
        <v>133</v>
      </c>
      <c r="L75" s="51" t="s">
        <v>139</v>
      </c>
      <c r="M75" s="11" t="s">
        <v>265</v>
      </c>
      <c r="O75" s="18">
        <v>10</v>
      </c>
      <c r="P75" s="15">
        <v>24</v>
      </c>
      <c r="Q75" s="15">
        <v>4</v>
      </c>
      <c r="R75" s="16">
        <v>8</v>
      </c>
      <c r="T75" s="18">
        <v>10</v>
      </c>
      <c r="U75" s="16">
        <v>8</v>
      </c>
      <c r="W75" s="18"/>
      <c r="X75" s="15"/>
      <c r="Y75" s="15"/>
      <c r="Z75" s="16"/>
      <c r="AB75" s="18"/>
      <c r="AC75" s="15"/>
      <c r="AD75" s="15"/>
      <c r="AE75" s="16"/>
      <c r="AG75" s="18"/>
      <c r="AH75" s="15"/>
      <c r="AI75" s="15"/>
      <c r="AJ75" s="16"/>
      <c r="AL75" s="18"/>
      <c r="AM75" s="15"/>
      <c r="AN75" s="15"/>
      <c r="AO75" s="16"/>
      <c r="AQ75" s="2">
        <v>4</v>
      </c>
    </row>
    <row r="76" spans="2:43" ht="18" customHeight="1" x14ac:dyDescent="0.2">
      <c r="B76" s="8">
        <v>76</v>
      </c>
      <c r="C76" s="8">
        <v>3</v>
      </c>
      <c r="D76" s="8">
        <v>4</v>
      </c>
      <c r="E76" s="8">
        <v>29</v>
      </c>
      <c r="F76" s="64" t="s">
        <v>235</v>
      </c>
      <c r="G76" s="8" t="s">
        <v>132</v>
      </c>
      <c r="H76" s="8" t="s">
        <v>123</v>
      </c>
      <c r="I76" s="8" t="s">
        <v>123</v>
      </c>
      <c r="J76" s="39" t="s">
        <v>123</v>
      </c>
      <c r="K76" s="8" t="s">
        <v>133</v>
      </c>
      <c r="L76" s="9" t="s">
        <v>236</v>
      </c>
      <c r="M76" s="9" t="s">
        <v>266</v>
      </c>
      <c r="O76" s="17">
        <v>11</v>
      </c>
      <c r="P76" s="13">
        <v>24</v>
      </c>
      <c r="Q76" s="13">
        <v>16</v>
      </c>
      <c r="R76" s="14">
        <v>8</v>
      </c>
      <c r="T76" s="17">
        <v>0</v>
      </c>
      <c r="U76" s="14">
        <v>0</v>
      </c>
      <c r="W76" s="17"/>
      <c r="X76" s="13"/>
      <c r="Y76" s="13"/>
      <c r="Z76" s="14"/>
      <c r="AB76" s="17"/>
      <c r="AC76" s="13"/>
      <c r="AD76" s="13"/>
      <c r="AE76" s="14"/>
      <c r="AG76" s="17"/>
      <c r="AH76" s="13"/>
      <c r="AI76" s="13"/>
      <c r="AJ76" s="14"/>
      <c r="AL76" s="17"/>
      <c r="AM76" s="13"/>
      <c r="AN76" s="13"/>
      <c r="AO76" s="14"/>
      <c r="AQ76" s="2">
        <v>8</v>
      </c>
    </row>
    <row r="77" spans="2:43" ht="18" customHeight="1" x14ac:dyDescent="0.2">
      <c r="B77" s="10">
        <v>77</v>
      </c>
      <c r="C77" s="10">
        <v>3</v>
      </c>
      <c r="D77" s="10">
        <v>5</v>
      </c>
      <c r="E77" s="10">
        <v>0</v>
      </c>
      <c r="F77" s="10" t="s">
        <v>122</v>
      </c>
      <c r="G77" s="10" t="s">
        <v>132</v>
      </c>
      <c r="H77" s="10" t="s">
        <v>132</v>
      </c>
      <c r="I77" s="10" t="s">
        <v>132</v>
      </c>
      <c r="J77" s="10" t="s">
        <v>123</v>
      </c>
      <c r="K77" s="10" t="s">
        <v>133</v>
      </c>
      <c r="L77" s="51" t="s">
        <v>267</v>
      </c>
      <c r="M77" s="11" t="s">
        <v>268</v>
      </c>
      <c r="O77" s="18">
        <v>11</v>
      </c>
      <c r="P77" s="15">
        <v>24</v>
      </c>
      <c r="Q77" s="15">
        <v>16</v>
      </c>
      <c r="R77" s="16">
        <v>4</v>
      </c>
      <c r="T77" s="18">
        <v>11</v>
      </c>
      <c r="U77" s="16">
        <v>4</v>
      </c>
      <c r="W77" s="18"/>
      <c r="X77" s="15"/>
      <c r="Y77" s="15"/>
      <c r="Z77" s="16"/>
      <c r="AB77" s="18"/>
      <c r="AC77" s="15"/>
      <c r="AD77" s="15"/>
      <c r="AE77" s="16"/>
      <c r="AG77" s="18"/>
      <c r="AH77" s="15"/>
      <c r="AI77" s="15"/>
      <c r="AJ77" s="16"/>
      <c r="AL77" s="18"/>
      <c r="AM77" s="15"/>
      <c r="AN77" s="15"/>
      <c r="AO77" s="16"/>
      <c r="AQ77" s="2">
        <v>7</v>
      </c>
    </row>
    <row r="78" spans="2:43" ht="18" customHeight="1" x14ac:dyDescent="0.2">
      <c r="B78" s="8">
        <v>78</v>
      </c>
      <c r="C78" s="8">
        <v>3</v>
      </c>
      <c r="D78" s="8">
        <v>6</v>
      </c>
      <c r="E78" s="8">
        <v>11</v>
      </c>
      <c r="F78" s="64" t="s">
        <v>178</v>
      </c>
      <c r="G78" s="8" t="s">
        <v>132</v>
      </c>
      <c r="H78" s="8" t="s">
        <v>132</v>
      </c>
      <c r="I78" s="39" t="s">
        <v>123</v>
      </c>
      <c r="J78" s="39" t="s">
        <v>123</v>
      </c>
      <c r="K78" s="8" t="s">
        <v>133</v>
      </c>
      <c r="L78" s="9" t="s">
        <v>179</v>
      </c>
      <c r="M78" s="9" t="s">
        <v>269</v>
      </c>
      <c r="O78" s="17">
        <v>11</v>
      </c>
      <c r="P78" s="13">
        <v>24</v>
      </c>
      <c r="Q78" s="13">
        <v>16</v>
      </c>
      <c r="R78" s="14">
        <v>8</v>
      </c>
      <c r="T78" s="17">
        <v>11</v>
      </c>
      <c r="U78" s="14">
        <v>0</v>
      </c>
      <c r="W78" s="17"/>
      <c r="X78" s="13"/>
      <c r="Y78" s="13"/>
      <c r="Z78" s="14"/>
      <c r="AB78" s="17"/>
      <c r="AC78" s="13"/>
      <c r="AD78" s="13"/>
      <c r="AE78" s="14"/>
      <c r="AG78" s="17"/>
      <c r="AH78" s="13"/>
      <c r="AI78" s="13"/>
      <c r="AJ78" s="14"/>
      <c r="AL78" s="17"/>
      <c r="AM78" s="13"/>
      <c r="AN78" s="13"/>
      <c r="AO78" s="14"/>
      <c r="AQ78" s="2">
        <v>8</v>
      </c>
    </row>
    <row r="79" spans="2:43" ht="18" customHeight="1" x14ac:dyDescent="0.2">
      <c r="B79" s="10">
        <v>79</v>
      </c>
      <c r="C79" s="10">
        <v>3</v>
      </c>
      <c r="D79" s="10">
        <v>7</v>
      </c>
      <c r="E79" s="10">
        <v>0</v>
      </c>
      <c r="F79" s="10" t="s">
        <v>122</v>
      </c>
      <c r="G79" s="10" t="s">
        <v>132</v>
      </c>
      <c r="H79" s="10" t="s">
        <v>132</v>
      </c>
      <c r="I79" s="10" t="s">
        <v>132</v>
      </c>
      <c r="J79" s="10" t="s">
        <v>123</v>
      </c>
      <c r="K79" s="10" t="s">
        <v>133</v>
      </c>
      <c r="L79" s="51" t="s">
        <v>186</v>
      </c>
      <c r="M79" s="11" t="s">
        <v>261</v>
      </c>
      <c r="O79" s="18">
        <v>11</v>
      </c>
      <c r="P79" s="15">
        <v>24</v>
      </c>
      <c r="Q79" s="15">
        <v>16</v>
      </c>
      <c r="R79" s="16">
        <v>8</v>
      </c>
      <c r="T79" s="18">
        <v>11</v>
      </c>
      <c r="U79" s="16">
        <v>8</v>
      </c>
      <c r="W79" s="18"/>
      <c r="X79" s="15"/>
      <c r="Y79" s="15"/>
      <c r="Z79" s="16"/>
      <c r="AB79" s="18"/>
      <c r="AC79" s="15"/>
      <c r="AD79" s="15"/>
      <c r="AE79" s="16"/>
      <c r="AG79" s="18"/>
      <c r="AH79" s="15"/>
      <c r="AI79" s="15"/>
      <c r="AJ79" s="16"/>
      <c r="AL79" s="18"/>
      <c r="AM79" s="15"/>
      <c r="AN79" s="15"/>
      <c r="AO79" s="16"/>
      <c r="AQ79" s="2">
        <v>8</v>
      </c>
    </row>
    <row r="80" spans="2:43" ht="18" customHeight="1" x14ac:dyDescent="0.2">
      <c r="B80" s="8">
        <v>80</v>
      </c>
      <c r="C80" s="8">
        <v>3</v>
      </c>
      <c r="D80" s="8">
        <v>8</v>
      </c>
      <c r="E80" s="8">
        <v>0</v>
      </c>
      <c r="F80" s="64" t="s">
        <v>131</v>
      </c>
      <c r="G80" s="8" t="s">
        <v>132</v>
      </c>
      <c r="H80" s="8" t="s">
        <v>132</v>
      </c>
      <c r="I80" s="39" t="s">
        <v>123</v>
      </c>
      <c r="J80" s="39" t="s">
        <v>123</v>
      </c>
      <c r="K80" s="8" t="s">
        <v>133</v>
      </c>
      <c r="L80" s="9" t="s">
        <v>134</v>
      </c>
      <c r="M80" s="9" t="s">
        <v>270</v>
      </c>
      <c r="O80" s="17">
        <v>11</v>
      </c>
      <c r="P80" s="13">
        <v>24</v>
      </c>
      <c r="Q80" s="13">
        <v>16</v>
      </c>
      <c r="R80" s="14">
        <v>8</v>
      </c>
      <c r="T80" s="17">
        <v>11</v>
      </c>
      <c r="U80" s="14">
        <v>4</v>
      </c>
      <c r="W80" s="17"/>
      <c r="X80" s="13"/>
      <c r="Y80" s="13"/>
      <c r="Z80" s="14"/>
      <c r="AB80" s="17"/>
      <c r="AC80" s="13"/>
      <c r="AD80" s="13"/>
      <c r="AE80" s="14"/>
      <c r="AG80" s="17"/>
      <c r="AH80" s="13"/>
      <c r="AI80" s="13"/>
      <c r="AJ80" s="14"/>
      <c r="AL80" s="17"/>
      <c r="AM80" s="13"/>
      <c r="AN80" s="13"/>
      <c r="AO80" s="14"/>
      <c r="AQ80" s="2">
        <v>8</v>
      </c>
    </row>
    <row r="81" spans="2:43" ht="18" customHeight="1" x14ac:dyDescent="0.2">
      <c r="B81" s="10">
        <v>81</v>
      </c>
      <c r="C81" s="10">
        <v>3</v>
      </c>
      <c r="D81" s="10">
        <v>9</v>
      </c>
      <c r="E81" s="10">
        <v>18</v>
      </c>
      <c r="F81" s="10" t="s">
        <v>235</v>
      </c>
      <c r="G81" s="10" t="s">
        <v>132</v>
      </c>
      <c r="H81" s="10" t="s">
        <v>132</v>
      </c>
      <c r="I81" s="38" t="s">
        <v>123</v>
      </c>
      <c r="J81" s="10" t="s">
        <v>123</v>
      </c>
      <c r="K81" s="10" t="s">
        <v>133</v>
      </c>
      <c r="L81" s="51" t="s">
        <v>236</v>
      </c>
      <c r="M81" s="11" t="s">
        <v>271</v>
      </c>
      <c r="O81" s="18">
        <v>11</v>
      </c>
      <c r="P81" s="15">
        <v>24</v>
      </c>
      <c r="Q81" s="15">
        <v>16</v>
      </c>
      <c r="R81" s="16">
        <v>8</v>
      </c>
      <c r="T81" s="18">
        <v>11</v>
      </c>
      <c r="U81" s="16">
        <v>2</v>
      </c>
      <c r="W81" s="18"/>
      <c r="X81" s="15"/>
      <c r="Y81" s="15"/>
      <c r="Z81" s="16"/>
      <c r="AB81" s="18"/>
      <c r="AC81" s="15"/>
      <c r="AD81" s="15"/>
      <c r="AE81" s="16"/>
      <c r="AG81" s="18"/>
      <c r="AH81" s="15"/>
      <c r="AI81" s="15"/>
      <c r="AJ81" s="16"/>
      <c r="AL81" s="18"/>
      <c r="AM81" s="15"/>
      <c r="AN81" s="15"/>
      <c r="AO81" s="16"/>
      <c r="AQ81" s="2">
        <v>8</v>
      </c>
    </row>
    <row r="82" spans="2:43" ht="18" customHeight="1" x14ac:dyDescent="0.2">
      <c r="B82" s="8">
        <v>82</v>
      </c>
      <c r="C82" s="8">
        <v>3</v>
      </c>
      <c r="D82" s="8">
        <v>10</v>
      </c>
      <c r="E82" s="8">
        <v>22</v>
      </c>
      <c r="F82" s="64" t="s">
        <v>122</v>
      </c>
      <c r="G82" s="8" t="s">
        <v>132</v>
      </c>
      <c r="H82" s="8" t="s">
        <v>132</v>
      </c>
      <c r="I82" s="39" t="s">
        <v>123</v>
      </c>
      <c r="J82" s="39" t="s">
        <v>123</v>
      </c>
      <c r="K82" s="8" t="s">
        <v>133</v>
      </c>
      <c r="L82" s="9" t="s">
        <v>272</v>
      </c>
      <c r="M82" s="9" t="s">
        <v>273</v>
      </c>
      <c r="O82" s="17">
        <v>11</v>
      </c>
      <c r="P82" s="13">
        <v>24</v>
      </c>
      <c r="Q82" s="13">
        <v>16</v>
      </c>
      <c r="R82" s="14">
        <v>8</v>
      </c>
      <c r="T82" s="17">
        <v>11</v>
      </c>
      <c r="U82" s="14">
        <v>3</v>
      </c>
      <c r="W82" s="17"/>
      <c r="X82" s="13"/>
      <c r="Y82" s="13"/>
      <c r="Z82" s="14"/>
      <c r="AB82" s="17"/>
      <c r="AC82" s="13"/>
      <c r="AD82" s="13"/>
      <c r="AE82" s="14"/>
      <c r="AG82" s="17"/>
      <c r="AH82" s="13"/>
      <c r="AI82" s="13"/>
      <c r="AJ82" s="14"/>
      <c r="AL82" s="17"/>
      <c r="AM82" s="13"/>
      <c r="AN82" s="13"/>
      <c r="AO82" s="14"/>
      <c r="AQ82" s="2">
        <v>8</v>
      </c>
    </row>
    <row r="83" spans="2:43" ht="18" customHeight="1" x14ac:dyDescent="0.2">
      <c r="B83" s="10">
        <v>83</v>
      </c>
      <c r="C83" s="10">
        <v>3</v>
      </c>
      <c r="D83" s="10">
        <v>11</v>
      </c>
      <c r="E83" s="10">
        <v>0</v>
      </c>
      <c r="F83" s="10" t="s">
        <v>122</v>
      </c>
      <c r="G83" s="10" t="s">
        <v>132</v>
      </c>
      <c r="H83" s="10" t="s">
        <v>132</v>
      </c>
      <c r="I83" s="10" t="s">
        <v>132</v>
      </c>
      <c r="J83" s="10" t="s">
        <v>123</v>
      </c>
      <c r="K83" s="10" t="s">
        <v>133</v>
      </c>
      <c r="L83" s="51" t="s">
        <v>274</v>
      </c>
      <c r="M83" s="11" t="s">
        <v>275</v>
      </c>
      <c r="O83" s="18">
        <v>11</v>
      </c>
      <c r="P83" s="15">
        <v>24</v>
      </c>
      <c r="Q83" s="15">
        <v>16</v>
      </c>
      <c r="R83" s="16">
        <v>8</v>
      </c>
      <c r="T83" s="18">
        <v>11</v>
      </c>
      <c r="U83" s="16">
        <v>8</v>
      </c>
      <c r="W83" s="18"/>
      <c r="X83" s="15"/>
      <c r="Y83" s="15"/>
      <c r="Z83" s="16"/>
      <c r="AB83" s="18"/>
      <c r="AC83" s="15"/>
      <c r="AD83" s="15"/>
      <c r="AE83" s="16"/>
      <c r="AG83" s="18"/>
      <c r="AH83" s="15"/>
      <c r="AI83" s="15"/>
      <c r="AJ83" s="16"/>
      <c r="AL83" s="18"/>
      <c r="AM83" s="15"/>
      <c r="AN83" s="15"/>
      <c r="AO83" s="16"/>
      <c r="AQ83" s="2">
        <v>8</v>
      </c>
    </row>
    <row r="84" spans="2:43" ht="18" customHeight="1" x14ac:dyDescent="0.2">
      <c r="B84" s="8">
        <v>84</v>
      </c>
      <c r="C84" s="8">
        <v>3</v>
      </c>
      <c r="D84" s="8">
        <v>12</v>
      </c>
      <c r="E84" s="8">
        <v>13</v>
      </c>
      <c r="F84" s="64" t="s">
        <v>122</v>
      </c>
      <c r="G84" s="8" t="s">
        <v>132</v>
      </c>
      <c r="H84" s="8" t="s">
        <v>123</v>
      </c>
      <c r="I84" s="8" t="s">
        <v>123</v>
      </c>
      <c r="J84" s="39" t="s">
        <v>123</v>
      </c>
      <c r="K84" s="8" t="s">
        <v>133</v>
      </c>
      <c r="L84" s="9" t="s">
        <v>186</v>
      </c>
      <c r="M84" s="9" t="s">
        <v>276</v>
      </c>
      <c r="O84" s="17">
        <v>11</v>
      </c>
      <c r="P84" s="13">
        <v>24</v>
      </c>
      <c r="Q84" s="13">
        <v>16</v>
      </c>
      <c r="R84" s="14">
        <v>8</v>
      </c>
      <c r="T84" s="17">
        <v>9</v>
      </c>
      <c r="U84" s="14">
        <v>2</v>
      </c>
      <c r="W84" s="17"/>
      <c r="X84" s="13"/>
      <c r="Y84" s="13"/>
      <c r="Z84" s="14"/>
      <c r="AB84" s="17"/>
      <c r="AC84" s="13"/>
      <c r="AD84" s="13"/>
      <c r="AE84" s="14"/>
      <c r="AG84" s="17"/>
      <c r="AH84" s="13"/>
      <c r="AI84" s="13"/>
      <c r="AJ84" s="14"/>
      <c r="AL84" s="17"/>
      <c r="AM84" s="13"/>
      <c r="AN84" s="13"/>
      <c r="AO84" s="14"/>
      <c r="AQ84" s="2">
        <v>8</v>
      </c>
    </row>
    <row r="85" spans="2:43" ht="18" customHeight="1" x14ac:dyDescent="0.2">
      <c r="B85" s="10">
        <v>85</v>
      </c>
      <c r="C85" s="10">
        <v>3</v>
      </c>
      <c r="D85" s="10">
        <v>13</v>
      </c>
      <c r="E85" s="10">
        <v>0</v>
      </c>
      <c r="F85" s="10" t="s">
        <v>122</v>
      </c>
      <c r="G85" s="10" t="s">
        <v>132</v>
      </c>
      <c r="H85" s="10" t="s">
        <v>132</v>
      </c>
      <c r="I85" s="10" t="s">
        <v>132</v>
      </c>
      <c r="J85" s="10" t="s">
        <v>123</v>
      </c>
      <c r="K85" s="10" t="s">
        <v>133</v>
      </c>
      <c r="L85" s="51" t="s">
        <v>173</v>
      </c>
      <c r="M85" s="11" t="s">
        <v>277</v>
      </c>
      <c r="O85" s="18">
        <v>11</v>
      </c>
      <c r="P85" s="15">
        <v>24</v>
      </c>
      <c r="Q85" s="15">
        <v>16</v>
      </c>
      <c r="R85" s="16">
        <v>8</v>
      </c>
      <c r="T85" s="18">
        <v>11</v>
      </c>
      <c r="U85" s="16">
        <v>8</v>
      </c>
      <c r="W85" s="18"/>
      <c r="X85" s="15"/>
      <c r="Y85" s="15"/>
      <c r="Z85" s="16"/>
      <c r="AB85" s="18"/>
      <c r="AC85" s="15"/>
      <c r="AD85" s="15"/>
      <c r="AE85" s="16"/>
      <c r="AG85" s="18"/>
      <c r="AH85" s="15"/>
      <c r="AI85" s="15"/>
      <c r="AJ85" s="16"/>
      <c r="AL85" s="18"/>
      <c r="AM85" s="15"/>
      <c r="AN85" s="15"/>
      <c r="AO85" s="16"/>
      <c r="AQ85" s="2">
        <v>8</v>
      </c>
    </row>
    <row r="86" spans="2:43" ht="18" customHeight="1" x14ac:dyDescent="0.2">
      <c r="B86" s="8">
        <v>86</v>
      </c>
      <c r="C86" s="8">
        <v>3</v>
      </c>
      <c r="D86" s="8">
        <v>14</v>
      </c>
      <c r="E86" s="8">
        <v>24</v>
      </c>
      <c r="F86" s="64" t="s">
        <v>122</v>
      </c>
      <c r="G86" s="8" t="s">
        <v>123</v>
      </c>
      <c r="H86" s="8" t="s">
        <v>123</v>
      </c>
      <c r="I86" s="8" t="s">
        <v>123</v>
      </c>
      <c r="J86" s="39" t="s">
        <v>132</v>
      </c>
      <c r="K86" s="8" t="s">
        <v>133</v>
      </c>
      <c r="L86" s="9" t="s">
        <v>272</v>
      </c>
      <c r="M86" s="9" t="s">
        <v>278</v>
      </c>
      <c r="O86" s="17">
        <v>11</v>
      </c>
      <c r="P86" s="13">
        <v>24</v>
      </c>
      <c r="Q86" s="13">
        <v>16</v>
      </c>
      <c r="R86" s="14">
        <v>8</v>
      </c>
      <c r="T86" s="17">
        <v>7</v>
      </c>
      <c r="U86" s="14">
        <v>3</v>
      </c>
      <c r="W86" s="17"/>
      <c r="X86" s="13"/>
      <c r="Y86" s="13"/>
      <c r="Z86" s="14"/>
      <c r="AB86" s="17"/>
      <c r="AC86" s="13"/>
      <c r="AD86" s="13"/>
      <c r="AE86" s="14"/>
      <c r="AG86" s="17"/>
      <c r="AH86" s="13"/>
      <c r="AI86" s="13"/>
      <c r="AJ86" s="14"/>
      <c r="AL86" s="17"/>
      <c r="AM86" s="13"/>
      <c r="AN86" s="13"/>
      <c r="AO86" s="14"/>
      <c r="AQ86" s="2">
        <v>8</v>
      </c>
    </row>
    <row r="87" spans="2:43" ht="18" customHeight="1" x14ac:dyDescent="0.2">
      <c r="B87" s="10">
        <v>87</v>
      </c>
      <c r="C87" s="10">
        <v>3</v>
      </c>
      <c r="D87" s="10">
        <v>15</v>
      </c>
      <c r="E87" s="10">
        <v>0</v>
      </c>
      <c r="F87" s="10" t="s">
        <v>235</v>
      </c>
      <c r="G87" s="10" t="s">
        <v>132</v>
      </c>
      <c r="H87" s="10" t="s">
        <v>132</v>
      </c>
      <c r="I87" s="10" t="s">
        <v>132</v>
      </c>
      <c r="J87" s="10" t="s">
        <v>123</v>
      </c>
      <c r="K87" s="10" t="s">
        <v>133</v>
      </c>
      <c r="L87" s="51" t="s">
        <v>236</v>
      </c>
      <c r="M87" s="11" t="s">
        <v>279</v>
      </c>
      <c r="O87" s="18">
        <v>11</v>
      </c>
      <c r="P87" s="15">
        <v>24</v>
      </c>
      <c r="Q87" s="15">
        <v>16</v>
      </c>
      <c r="R87" s="16">
        <v>8</v>
      </c>
      <c r="T87" s="18">
        <v>11</v>
      </c>
      <c r="U87" s="16">
        <v>8</v>
      </c>
      <c r="W87" s="18"/>
      <c r="X87" s="15"/>
      <c r="Y87" s="15"/>
      <c r="Z87" s="16"/>
      <c r="AB87" s="18"/>
      <c r="AC87" s="15"/>
      <c r="AD87" s="15"/>
      <c r="AE87" s="16"/>
      <c r="AG87" s="18"/>
      <c r="AH87" s="15"/>
      <c r="AI87" s="15"/>
      <c r="AJ87" s="16"/>
      <c r="AL87" s="18"/>
      <c r="AM87" s="15"/>
      <c r="AN87" s="15"/>
      <c r="AO87" s="16"/>
      <c r="AQ87" s="2">
        <v>8</v>
      </c>
    </row>
    <row r="88" spans="2:43" ht="18" customHeight="1" x14ac:dyDescent="0.2">
      <c r="B88" s="8">
        <v>88</v>
      </c>
      <c r="C88" s="8">
        <v>3</v>
      </c>
      <c r="D88" s="8">
        <v>16</v>
      </c>
      <c r="E88" s="8">
        <v>30</v>
      </c>
      <c r="F88" s="64" t="s">
        <v>122</v>
      </c>
      <c r="G88" s="8" t="s">
        <v>123</v>
      </c>
      <c r="H88" s="8" t="s">
        <v>132</v>
      </c>
      <c r="I88" s="8" t="s">
        <v>123</v>
      </c>
      <c r="J88" s="39" t="s">
        <v>123</v>
      </c>
      <c r="K88" s="8" t="s">
        <v>133</v>
      </c>
      <c r="L88" s="9" t="s">
        <v>136</v>
      </c>
      <c r="M88" s="9" t="s">
        <v>137</v>
      </c>
      <c r="O88" s="17">
        <v>11</v>
      </c>
      <c r="P88" s="13">
        <v>24</v>
      </c>
      <c r="Q88" s="13">
        <v>16</v>
      </c>
      <c r="R88" s="14">
        <v>8</v>
      </c>
      <c r="T88" s="17">
        <v>0</v>
      </c>
      <c r="U88" s="14">
        <v>0</v>
      </c>
      <c r="W88" s="17"/>
      <c r="X88" s="13"/>
      <c r="Y88" s="13"/>
      <c r="Z88" s="14"/>
      <c r="AB88" s="17"/>
      <c r="AC88" s="13"/>
      <c r="AD88" s="13"/>
      <c r="AE88" s="14"/>
      <c r="AG88" s="17"/>
      <c r="AH88" s="13"/>
      <c r="AI88" s="13"/>
      <c r="AJ88" s="14"/>
      <c r="AL88" s="17"/>
      <c r="AM88" s="13"/>
      <c r="AN88" s="13"/>
      <c r="AO88" s="14"/>
      <c r="AQ88" s="2">
        <v>8</v>
      </c>
    </row>
    <row r="89" spans="2:43" ht="18" customHeight="1" x14ac:dyDescent="0.2">
      <c r="B89" s="10">
        <v>89</v>
      </c>
      <c r="C89" s="10">
        <v>3</v>
      </c>
      <c r="D89" s="10">
        <v>17</v>
      </c>
      <c r="E89" s="10">
        <v>21</v>
      </c>
      <c r="F89" s="10" t="s">
        <v>122</v>
      </c>
      <c r="G89" s="10" t="s">
        <v>132</v>
      </c>
      <c r="H89" s="10" t="s">
        <v>123</v>
      </c>
      <c r="I89" s="10" t="s">
        <v>123</v>
      </c>
      <c r="J89" s="10" t="s">
        <v>132</v>
      </c>
      <c r="K89" s="10" t="s">
        <v>133</v>
      </c>
      <c r="L89" s="51" t="s">
        <v>280</v>
      </c>
      <c r="M89" s="11" t="s">
        <v>281</v>
      </c>
      <c r="O89" s="18">
        <v>11</v>
      </c>
      <c r="P89" s="15">
        <v>24</v>
      </c>
      <c r="Q89" s="15">
        <v>16</v>
      </c>
      <c r="R89" s="16">
        <v>8</v>
      </c>
      <c r="T89" s="18">
        <v>7</v>
      </c>
      <c r="U89" s="16">
        <v>0</v>
      </c>
      <c r="W89" s="18"/>
      <c r="X89" s="15"/>
      <c r="Y89" s="15"/>
      <c r="Z89" s="16"/>
      <c r="AB89" s="18"/>
      <c r="AC89" s="15"/>
      <c r="AD89" s="15"/>
      <c r="AE89" s="16"/>
      <c r="AG89" s="18"/>
      <c r="AH89" s="15"/>
      <c r="AI89" s="15"/>
      <c r="AJ89" s="16"/>
      <c r="AL89" s="18"/>
      <c r="AM89" s="15"/>
      <c r="AN89" s="15"/>
      <c r="AO89" s="16"/>
      <c r="AQ89" s="2">
        <v>8</v>
      </c>
    </row>
    <row r="90" spans="2:43" ht="18" customHeight="1" x14ac:dyDescent="0.2">
      <c r="B90" s="8">
        <v>90</v>
      </c>
      <c r="C90" s="8">
        <v>3</v>
      </c>
      <c r="D90" s="8">
        <v>18</v>
      </c>
      <c r="E90" s="8">
        <v>0</v>
      </c>
      <c r="F90" s="64" t="s">
        <v>122</v>
      </c>
      <c r="G90" s="8" t="s">
        <v>132</v>
      </c>
      <c r="H90" s="8" t="s">
        <v>132</v>
      </c>
      <c r="I90" s="8" t="s">
        <v>132</v>
      </c>
      <c r="J90" s="39" t="s">
        <v>123</v>
      </c>
      <c r="K90" s="8" t="s">
        <v>133</v>
      </c>
      <c r="L90" s="9" t="s">
        <v>206</v>
      </c>
      <c r="M90" s="9" t="s">
        <v>282</v>
      </c>
      <c r="O90" s="17">
        <v>11</v>
      </c>
      <c r="P90" s="13">
        <v>24</v>
      </c>
      <c r="Q90" s="13">
        <v>16</v>
      </c>
      <c r="R90" s="14">
        <v>8</v>
      </c>
      <c r="T90" s="17">
        <v>11</v>
      </c>
      <c r="U90" s="14">
        <v>8</v>
      </c>
      <c r="W90" s="17"/>
      <c r="X90" s="13"/>
      <c r="Y90" s="13"/>
      <c r="Z90" s="14"/>
      <c r="AB90" s="17"/>
      <c r="AC90" s="13"/>
      <c r="AD90" s="13"/>
      <c r="AE90" s="14"/>
      <c r="AG90" s="17"/>
      <c r="AH90" s="13"/>
      <c r="AI90" s="13"/>
      <c r="AJ90" s="14"/>
      <c r="AL90" s="17"/>
      <c r="AM90" s="13"/>
      <c r="AN90" s="13"/>
      <c r="AO90" s="14"/>
      <c r="AQ90" s="2">
        <v>8</v>
      </c>
    </row>
    <row r="91" spans="2:43" ht="18" customHeight="1" x14ac:dyDescent="0.2">
      <c r="B91" s="10">
        <v>91</v>
      </c>
      <c r="C91" s="10">
        <v>3</v>
      </c>
      <c r="D91" s="10">
        <v>19</v>
      </c>
      <c r="E91" s="10">
        <v>20</v>
      </c>
      <c r="F91" s="10" t="s">
        <v>260</v>
      </c>
      <c r="G91" s="10" t="s">
        <v>132</v>
      </c>
      <c r="H91" s="10" t="s">
        <v>123</v>
      </c>
      <c r="I91" s="10" t="s">
        <v>123</v>
      </c>
      <c r="J91" s="10" t="s">
        <v>123</v>
      </c>
      <c r="K91" s="10" t="s">
        <v>133</v>
      </c>
      <c r="L91" s="51" t="s">
        <v>146</v>
      </c>
      <c r="M91" s="11" t="s">
        <v>147</v>
      </c>
      <c r="O91" s="18">
        <v>12</v>
      </c>
      <c r="P91" s="15">
        <v>32</v>
      </c>
      <c r="Q91" s="15">
        <v>20</v>
      </c>
      <c r="R91" s="16">
        <v>8</v>
      </c>
      <c r="T91" s="18">
        <v>4</v>
      </c>
      <c r="U91" s="16">
        <v>0</v>
      </c>
      <c r="W91" s="18"/>
      <c r="X91" s="15"/>
      <c r="Y91" s="15"/>
      <c r="Z91" s="16"/>
      <c r="AB91" s="18"/>
      <c r="AC91" s="15"/>
      <c r="AD91" s="15"/>
      <c r="AE91" s="16"/>
      <c r="AG91" s="18"/>
      <c r="AH91" s="15"/>
      <c r="AI91" s="15"/>
      <c r="AJ91" s="16"/>
      <c r="AL91" s="18"/>
      <c r="AM91" s="15"/>
      <c r="AN91" s="15"/>
      <c r="AO91" s="16"/>
      <c r="AQ91" s="2">
        <v>12</v>
      </c>
    </row>
    <row r="92" spans="2:43" ht="18" customHeight="1" x14ac:dyDescent="0.2">
      <c r="B92" s="8">
        <v>92</v>
      </c>
      <c r="C92" s="8">
        <v>3</v>
      </c>
      <c r="D92" s="8">
        <v>20</v>
      </c>
      <c r="E92" s="8">
        <v>27</v>
      </c>
      <c r="F92" s="64" t="s">
        <v>122</v>
      </c>
      <c r="G92" s="8" t="s">
        <v>132</v>
      </c>
      <c r="H92" s="8" t="s">
        <v>123</v>
      </c>
      <c r="I92" s="8" t="s">
        <v>123</v>
      </c>
      <c r="J92" s="39" t="s">
        <v>123</v>
      </c>
      <c r="K92" s="8" t="s">
        <v>133</v>
      </c>
      <c r="L92" s="9" t="s">
        <v>163</v>
      </c>
      <c r="M92" s="9" t="s">
        <v>283</v>
      </c>
      <c r="O92" s="17">
        <v>12</v>
      </c>
      <c r="P92" s="13">
        <v>32</v>
      </c>
      <c r="Q92" s="13">
        <v>20</v>
      </c>
      <c r="R92" s="14">
        <v>8</v>
      </c>
      <c r="T92" s="17">
        <v>6</v>
      </c>
      <c r="U92" s="14">
        <v>1</v>
      </c>
      <c r="W92" s="17"/>
      <c r="X92" s="13"/>
      <c r="Y92" s="13"/>
      <c r="Z92" s="14"/>
      <c r="AB92" s="17"/>
      <c r="AC92" s="13"/>
      <c r="AD92" s="13"/>
      <c r="AE92" s="14"/>
      <c r="AG92" s="17"/>
      <c r="AH92" s="13"/>
      <c r="AI92" s="13"/>
      <c r="AJ92" s="14"/>
      <c r="AL92" s="17"/>
      <c r="AM92" s="13"/>
      <c r="AN92" s="13"/>
      <c r="AO92" s="14"/>
      <c r="AQ92" s="2">
        <v>12</v>
      </c>
    </row>
    <row r="93" spans="2:43" ht="18" customHeight="1" x14ac:dyDescent="0.2">
      <c r="B93" s="10">
        <v>93</v>
      </c>
      <c r="C93" s="10">
        <v>3</v>
      </c>
      <c r="D93" s="10">
        <v>21</v>
      </c>
      <c r="E93" s="10">
        <v>0</v>
      </c>
      <c r="F93" s="10" t="s">
        <v>235</v>
      </c>
      <c r="G93" s="10" t="s">
        <v>132</v>
      </c>
      <c r="H93" s="10" t="s">
        <v>132</v>
      </c>
      <c r="I93" s="10" t="s">
        <v>132</v>
      </c>
      <c r="J93" s="10" t="s">
        <v>123</v>
      </c>
      <c r="K93" s="10" t="s">
        <v>133</v>
      </c>
      <c r="L93" s="51" t="s">
        <v>236</v>
      </c>
      <c r="M93" s="11" t="s">
        <v>284</v>
      </c>
      <c r="O93" s="18">
        <v>12</v>
      </c>
      <c r="P93" s="15">
        <v>32</v>
      </c>
      <c r="Q93" s="15">
        <v>20</v>
      </c>
      <c r="R93" s="16">
        <v>8</v>
      </c>
      <c r="T93" s="18">
        <v>12</v>
      </c>
      <c r="U93" s="16">
        <v>8</v>
      </c>
      <c r="W93" s="18"/>
      <c r="X93" s="15"/>
      <c r="Y93" s="15"/>
      <c r="Z93" s="16"/>
      <c r="AB93" s="18"/>
      <c r="AC93" s="15"/>
      <c r="AD93" s="15"/>
      <c r="AE93" s="16"/>
      <c r="AG93" s="18"/>
      <c r="AH93" s="15"/>
      <c r="AI93" s="15"/>
      <c r="AJ93" s="16"/>
      <c r="AL93" s="18"/>
      <c r="AM93" s="15"/>
      <c r="AN93" s="15"/>
      <c r="AO93" s="16"/>
      <c r="AQ93" s="2">
        <v>12</v>
      </c>
    </row>
    <row r="94" spans="2:43" ht="18" customHeight="1" x14ac:dyDescent="0.2">
      <c r="B94" s="8">
        <v>94</v>
      </c>
      <c r="C94" s="8">
        <v>3</v>
      </c>
      <c r="D94" s="8">
        <v>22</v>
      </c>
      <c r="E94" s="8">
        <v>18</v>
      </c>
      <c r="F94" s="64" t="s">
        <v>131</v>
      </c>
      <c r="G94" s="8" t="s">
        <v>132</v>
      </c>
      <c r="H94" s="8" t="s">
        <v>123</v>
      </c>
      <c r="I94" s="8" t="s">
        <v>123</v>
      </c>
      <c r="J94" s="39" t="s">
        <v>123</v>
      </c>
      <c r="K94" s="8" t="s">
        <v>133</v>
      </c>
      <c r="L94" s="9" t="s">
        <v>134</v>
      </c>
      <c r="M94" s="9" t="s">
        <v>285</v>
      </c>
      <c r="O94" s="17">
        <v>12</v>
      </c>
      <c r="P94" s="13">
        <v>32</v>
      </c>
      <c r="Q94" s="13">
        <v>20</v>
      </c>
      <c r="R94" s="14">
        <v>8</v>
      </c>
      <c r="T94" s="17">
        <v>8</v>
      </c>
      <c r="U94" s="14">
        <v>3</v>
      </c>
      <c r="W94" s="17"/>
      <c r="X94" s="13"/>
      <c r="Y94" s="13"/>
      <c r="Z94" s="14"/>
      <c r="AB94" s="17"/>
      <c r="AC94" s="13"/>
      <c r="AD94" s="13"/>
      <c r="AE94" s="14"/>
      <c r="AG94" s="17"/>
      <c r="AH94" s="13"/>
      <c r="AI94" s="13"/>
      <c r="AJ94" s="14"/>
      <c r="AL94" s="17"/>
      <c r="AM94" s="13"/>
      <c r="AN94" s="13"/>
      <c r="AO94" s="14"/>
      <c r="AQ94" s="2">
        <v>12</v>
      </c>
    </row>
    <row r="95" spans="2:43" ht="18" customHeight="1" x14ac:dyDescent="0.2">
      <c r="B95" s="10">
        <v>95</v>
      </c>
      <c r="C95" s="10">
        <v>3</v>
      </c>
      <c r="D95" s="10">
        <v>23</v>
      </c>
      <c r="E95" s="10">
        <v>26</v>
      </c>
      <c r="F95" s="10" t="s">
        <v>260</v>
      </c>
      <c r="G95" s="10" t="s">
        <v>132</v>
      </c>
      <c r="H95" s="10" t="s">
        <v>123</v>
      </c>
      <c r="I95" s="10" t="s">
        <v>123</v>
      </c>
      <c r="J95" s="10" t="s">
        <v>123</v>
      </c>
      <c r="K95" s="10" t="s">
        <v>133</v>
      </c>
      <c r="L95" s="51" t="s">
        <v>146</v>
      </c>
      <c r="M95" s="11" t="s">
        <v>286</v>
      </c>
      <c r="O95" s="18">
        <v>12</v>
      </c>
      <c r="P95" s="15">
        <v>32</v>
      </c>
      <c r="Q95" s="15">
        <v>20</v>
      </c>
      <c r="R95" s="16">
        <v>8</v>
      </c>
      <c r="T95" s="18">
        <v>3</v>
      </c>
      <c r="U95" s="16">
        <v>0</v>
      </c>
      <c r="W95" s="18"/>
      <c r="X95" s="15"/>
      <c r="Y95" s="15"/>
      <c r="Z95" s="16"/>
      <c r="AB95" s="18"/>
      <c r="AC95" s="15"/>
      <c r="AD95" s="15"/>
      <c r="AE95" s="16"/>
      <c r="AG95" s="18"/>
      <c r="AH95" s="15"/>
      <c r="AI95" s="15"/>
      <c r="AJ95" s="16"/>
      <c r="AL95" s="18"/>
      <c r="AM95" s="15"/>
      <c r="AN95" s="15"/>
      <c r="AO95" s="16"/>
      <c r="AQ95" s="2">
        <v>12</v>
      </c>
    </row>
    <row r="96" spans="2:43" ht="18" customHeight="1" x14ac:dyDescent="0.2">
      <c r="B96" s="8">
        <v>96</v>
      </c>
      <c r="C96" s="8">
        <v>3</v>
      </c>
      <c r="D96" s="8">
        <v>24</v>
      </c>
      <c r="E96" s="8">
        <v>0</v>
      </c>
      <c r="F96" s="64" t="s">
        <v>128</v>
      </c>
      <c r="G96" s="8" t="s">
        <v>132</v>
      </c>
      <c r="H96" s="8" t="s">
        <v>132</v>
      </c>
      <c r="I96" s="8" t="s">
        <v>132</v>
      </c>
      <c r="J96" s="39" t="s">
        <v>123</v>
      </c>
      <c r="K96" s="8" t="s">
        <v>133</v>
      </c>
      <c r="L96" s="9" t="s">
        <v>161</v>
      </c>
      <c r="M96" s="9" t="s">
        <v>287</v>
      </c>
      <c r="O96" s="17">
        <v>12</v>
      </c>
      <c r="P96" s="13">
        <v>32</v>
      </c>
      <c r="Q96" s="13">
        <v>20</v>
      </c>
      <c r="R96" s="14">
        <v>8</v>
      </c>
      <c r="T96" s="17">
        <v>12</v>
      </c>
      <c r="U96" s="14">
        <v>8</v>
      </c>
      <c r="W96" s="17"/>
      <c r="X96" s="13"/>
      <c r="Y96" s="13"/>
      <c r="Z96" s="14"/>
      <c r="AB96" s="17"/>
      <c r="AC96" s="13"/>
      <c r="AD96" s="13"/>
      <c r="AE96" s="14"/>
      <c r="AG96" s="17"/>
      <c r="AH96" s="13"/>
      <c r="AI96" s="13"/>
      <c r="AJ96" s="14"/>
      <c r="AL96" s="17"/>
      <c r="AM96" s="13"/>
      <c r="AN96" s="13"/>
      <c r="AO96" s="14"/>
      <c r="AQ96" s="2">
        <v>12</v>
      </c>
    </row>
    <row r="97" spans="2:43" ht="18" customHeight="1" x14ac:dyDescent="0.2">
      <c r="B97" s="10">
        <v>97</v>
      </c>
      <c r="C97" s="10">
        <v>3</v>
      </c>
      <c r="D97" s="10">
        <v>25</v>
      </c>
      <c r="E97" s="10">
        <v>7</v>
      </c>
      <c r="F97" s="10" t="s">
        <v>102</v>
      </c>
      <c r="G97" s="10" t="s">
        <v>132</v>
      </c>
      <c r="H97" s="10" t="s">
        <v>132</v>
      </c>
      <c r="I97" s="10" t="s">
        <v>132</v>
      </c>
      <c r="J97" s="10" t="s">
        <v>123</v>
      </c>
      <c r="K97" s="10" t="s">
        <v>133</v>
      </c>
      <c r="L97" s="51" t="s">
        <v>218</v>
      </c>
      <c r="M97" s="11" t="s">
        <v>288</v>
      </c>
      <c r="O97" s="18">
        <v>12</v>
      </c>
      <c r="P97" s="15">
        <v>32</v>
      </c>
      <c r="Q97" s="15">
        <v>20</v>
      </c>
      <c r="R97" s="16">
        <v>8</v>
      </c>
      <c r="T97" s="18">
        <v>12</v>
      </c>
      <c r="U97" s="16">
        <v>8</v>
      </c>
      <c r="W97" s="18"/>
      <c r="X97" s="15"/>
      <c r="Y97" s="15"/>
      <c r="Z97" s="16"/>
      <c r="AB97" s="18"/>
      <c r="AC97" s="15"/>
      <c r="AD97" s="15"/>
      <c r="AE97" s="16"/>
      <c r="AG97" s="18"/>
      <c r="AH97" s="15"/>
      <c r="AI97" s="15"/>
      <c r="AJ97" s="16"/>
      <c r="AL97" s="18"/>
      <c r="AM97" s="15"/>
      <c r="AN97" s="15"/>
      <c r="AO97" s="16"/>
      <c r="AQ97" s="2">
        <v>12</v>
      </c>
    </row>
    <row r="98" spans="2:43" ht="18" customHeight="1" x14ac:dyDescent="0.2">
      <c r="B98" s="8">
        <v>98</v>
      </c>
      <c r="C98" s="8">
        <v>3</v>
      </c>
      <c r="D98" s="8">
        <v>26</v>
      </c>
      <c r="E98" s="8">
        <v>14</v>
      </c>
      <c r="F98" s="64" t="s">
        <v>122</v>
      </c>
      <c r="G98" s="8" t="s">
        <v>132</v>
      </c>
      <c r="H98" s="8" t="s">
        <v>132</v>
      </c>
      <c r="I98" s="39" t="s">
        <v>123</v>
      </c>
      <c r="J98" s="39" t="s">
        <v>123</v>
      </c>
      <c r="K98" s="8" t="s">
        <v>133</v>
      </c>
      <c r="L98" s="9" t="s">
        <v>289</v>
      </c>
      <c r="M98" s="9" t="s">
        <v>290</v>
      </c>
      <c r="O98" s="17">
        <v>12</v>
      </c>
      <c r="P98" s="13">
        <v>32</v>
      </c>
      <c r="Q98" s="13">
        <v>20</v>
      </c>
      <c r="R98" s="14">
        <v>8</v>
      </c>
      <c r="T98" s="17">
        <v>12</v>
      </c>
      <c r="U98" s="14">
        <v>1</v>
      </c>
      <c r="W98" s="17"/>
      <c r="X98" s="13"/>
      <c r="Y98" s="13"/>
      <c r="Z98" s="14"/>
      <c r="AB98" s="17"/>
      <c r="AC98" s="13"/>
      <c r="AD98" s="13"/>
      <c r="AE98" s="14"/>
      <c r="AG98" s="17"/>
      <c r="AH98" s="13"/>
      <c r="AI98" s="13"/>
      <c r="AJ98" s="14"/>
      <c r="AL98" s="17"/>
      <c r="AM98" s="13"/>
      <c r="AN98" s="13"/>
      <c r="AO98" s="14"/>
      <c r="AQ98" s="2">
        <v>12</v>
      </c>
    </row>
    <row r="99" spans="2:43" ht="18" customHeight="1" x14ac:dyDescent="0.2">
      <c r="B99" s="10">
        <v>99</v>
      </c>
      <c r="C99" s="10">
        <v>3</v>
      </c>
      <c r="D99" s="10">
        <v>27</v>
      </c>
      <c r="E99" s="10">
        <v>16</v>
      </c>
      <c r="F99" s="10" t="s">
        <v>122</v>
      </c>
      <c r="G99" s="10" t="s">
        <v>132</v>
      </c>
      <c r="H99" s="10" t="s">
        <v>123</v>
      </c>
      <c r="I99" s="10" t="s">
        <v>123</v>
      </c>
      <c r="J99" s="38" t="s">
        <v>123</v>
      </c>
      <c r="K99" s="10" t="s">
        <v>133</v>
      </c>
      <c r="L99" s="51" t="s">
        <v>144</v>
      </c>
      <c r="M99" s="11" t="s">
        <v>145</v>
      </c>
      <c r="O99" s="18">
        <v>12</v>
      </c>
      <c r="P99" s="15">
        <v>32</v>
      </c>
      <c r="Q99" s="15">
        <v>20</v>
      </c>
      <c r="R99" s="16">
        <v>8</v>
      </c>
      <c r="T99" s="18">
        <v>8</v>
      </c>
      <c r="U99" s="16">
        <v>0</v>
      </c>
      <c r="W99" s="18"/>
      <c r="X99" s="15"/>
      <c r="Y99" s="15"/>
      <c r="Z99" s="16"/>
      <c r="AB99" s="18"/>
      <c r="AC99" s="15"/>
      <c r="AD99" s="15"/>
      <c r="AE99" s="16"/>
      <c r="AG99" s="18"/>
      <c r="AH99" s="15"/>
      <c r="AI99" s="15"/>
      <c r="AJ99" s="16"/>
      <c r="AL99" s="18"/>
      <c r="AM99" s="15"/>
      <c r="AN99" s="15"/>
      <c r="AO99" s="16"/>
      <c r="AQ99" s="2">
        <v>12</v>
      </c>
    </row>
    <row r="100" spans="2:43" ht="18" customHeight="1" x14ac:dyDescent="0.2">
      <c r="B100" s="8">
        <v>100</v>
      </c>
      <c r="C100" s="8">
        <v>3</v>
      </c>
      <c r="D100" s="8">
        <v>28</v>
      </c>
      <c r="E100" s="8">
        <v>0</v>
      </c>
      <c r="F100" s="64" t="s">
        <v>122</v>
      </c>
      <c r="G100" s="8" t="s">
        <v>132</v>
      </c>
      <c r="H100" s="8" t="s">
        <v>132</v>
      </c>
      <c r="I100" s="8" t="s">
        <v>132</v>
      </c>
      <c r="J100" s="39" t="s">
        <v>123</v>
      </c>
      <c r="K100" s="8" t="s">
        <v>133</v>
      </c>
      <c r="L100" s="9" t="s">
        <v>291</v>
      </c>
      <c r="M100" s="9" t="s">
        <v>292</v>
      </c>
      <c r="O100" s="17">
        <v>12</v>
      </c>
      <c r="P100" s="13">
        <v>32</v>
      </c>
      <c r="Q100" s="13">
        <v>20</v>
      </c>
      <c r="R100" s="14">
        <v>8</v>
      </c>
      <c r="T100" s="17">
        <v>12</v>
      </c>
      <c r="U100" s="14">
        <v>8</v>
      </c>
      <c r="W100" s="17"/>
      <c r="X100" s="13"/>
      <c r="Y100" s="13"/>
      <c r="Z100" s="14"/>
      <c r="AB100" s="17"/>
      <c r="AC100" s="13"/>
      <c r="AD100" s="13"/>
      <c r="AE100" s="14"/>
      <c r="AG100" s="17"/>
      <c r="AH100" s="13"/>
      <c r="AI100" s="13"/>
      <c r="AJ100" s="14"/>
      <c r="AL100" s="17"/>
      <c r="AM100" s="13"/>
      <c r="AN100" s="13"/>
      <c r="AO100" s="14"/>
      <c r="AQ100" s="2">
        <v>12</v>
      </c>
    </row>
    <row r="101" spans="2:43" ht="18" customHeight="1" x14ac:dyDescent="0.2">
      <c r="B101" s="10">
        <v>101</v>
      </c>
      <c r="C101" s="10">
        <v>3</v>
      </c>
      <c r="D101" s="10">
        <v>29</v>
      </c>
      <c r="E101" s="10">
        <v>25</v>
      </c>
      <c r="F101" s="10" t="s">
        <v>131</v>
      </c>
      <c r="G101" s="10" t="s">
        <v>132</v>
      </c>
      <c r="H101" s="10" t="s">
        <v>123</v>
      </c>
      <c r="I101" s="10" t="s">
        <v>123</v>
      </c>
      <c r="J101" s="10" t="s">
        <v>123</v>
      </c>
      <c r="K101" s="10" t="s">
        <v>133</v>
      </c>
      <c r="L101" s="51" t="s">
        <v>134</v>
      </c>
      <c r="M101" s="11" t="s">
        <v>293</v>
      </c>
      <c r="O101" s="18">
        <v>12</v>
      </c>
      <c r="P101" s="15">
        <v>32</v>
      </c>
      <c r="Q101" s="15">
        <v>20</v>
      </c>
      <c r="R101" s="16">
        <v>8</v>
      </c>
      <c r="T101" s="18">
        <v>6</v>
      </c>
      <c r="U101" s="16">
        <v>2</v>
      </c>
      <c r="W101" s="18"/>
      <c r="X101" s="15"/>
      <c r="Y101" s="15"/>
      <c r="Z101" s="16"/>
      <c r="AB101" s="18"/>
      <c r="AC101" s="15"/>
      <c r="AD101" s="15"/>
      <c r="AE101" s="16"/>
      <c r="AG101" s="18"/>
      <c r="AH101" s="15"/>
      <c r="AI101" s="15"/>
      <c r="AJ101" s="16"/>
      <c r="AL101" s="18"/>
      <c r="AM101" s="15"/>
      <c r="AN101" s="15"/>
      <c r="AO101" s="16"/>
      <c r="AQ101" s="2">
        <v>12</v>
      </c>
    </row>
    <row r="102" spans="2:43" ht="18" customHeight="1" x14ac:dyDescent="0.2">
      <c r="B102" s="8">
        <v>102</v>
      </c>
      <c r="C102" s="8">
        <v>3</v>
      </c>
      <c r="D102" s="8">
        <v>30</v>
      </c>
      <c r="E102" s="8">
        <v>15</v>
      </c>
      <c r="F102" s="64" t="s">
        <v>235</v>
      </c>
      <c r="G102" s="8" t="s">
        <v>132</v>
      </c>
      <c r="H102" s="8" t="s">
        <v>132</v>
      </c>
      <c r="I102" s="39" t="s">
        <v>123</v>
      </c>
      <c r="J102" s="39" t="s">
        <v>123</v>
      </c>
      <c r="K102" s="8" t="s">
        <v>133</v>
      </c>
      <c r="L102" s="9" t="s">
        <v>236</v>
      </c>
      <c r="M102" s="9" t="s">
        <v>294</v>
      </c>
      <c r="O102" s="17">
        <v>12</v>
      </c>
      <c r="P102" s="13">
        <v>32</v>
      </c>
      <c r="Q102" s="13">
        <v>20</v>
      </c>
      <c r="R102" s="14">
        <v>8</v>
      </c>
      <c r="T102" s="17">
        <v>12</v>
      </c>
      <c r="U102" s="14">
        <v>5</v>
      </c>
      <c r="W102" s="17"/>
      <c r="X102" s="13"/>
      <c r="Y102" s="13"/>
      <c r="Z102" s="14"/>
      <c r="AB102" s="17"/>
      <c r="AC102" s="13"/>
      <c r="AD102" s="13"/>
      <c r="AE102" s="14"/>
      <c r="AG102" s="17"/>
      <c r="AH102" s="13"/>
      <c r="AI102" s="13"/>
      <c r="AJ102" s="14"/>
      <c r="AL102" s="17"/>
      <c r="AM102" s="13"/>
      <c r="AN102" s="13"/>
      <c r="AO102" s="14"/>
      <c r="AQ102" s="2">
        <v>12</v>
      </c>
    </row>
    <row r="103" spans="2:43" ht="18" customHeight="1" x14ac:dyDescent="0.2">
      <c r="B103" s="10">
        <v>103</v>
      </c>
      <c r="C103" s="10">
        <v>3</v>
      </c>
      <c r="D103" s="10">
        <v>31</v>
      </c>
      <c r="E103" s="10">
        <v>23</v>
      </c>
      <c r="F103" s="10" t="s">
        <v>102</v>
      </c>
      <c r="G103" s="10" t="s">
        <v>132</v>
      </c>
      <c r="H103" s="10" t="s">
        <v>123</v>
      </c>
      <c r="I103" s="10" t="s">
        <v>123</v>
      </c>
      <c r="J103" s="10" t="s">
        <v>123</v>
      </c>
      <c r="K103" s="10" t="s">
        <v>133</v>
      </c>
      <c r="L103" s="51" t="s">
        <v>218</v>
      </c>
      <c r="M103" s="11" t="s">
        <v>295</v>
      </c>
      <c r="O103" s="18">
        <v>12</v>
      </c>
      <c r="P103" s="15">
        <v>32</v>
      </c>
      <c r="Q103" s="15">
        <v>20</v>
      </c>
      <c r="R103" s="16">
        <v>8</v>
      </c>
      <c r="T103" s="18">
        <v>8</v>
      </c>
      <c r="U103" s="16">
        <v>3</v>
      </c>
      <c r="W103" s="18"/>
      <c r="X103" s="15"/>
      <c r="Y103" s="15"/>
      <c r="Z103" s="16"/>
      <c r="AB103" s="18"/>
      <c r="AC103" s="15"/>
      <c r="AD103" s="15"/>
      <c r="AE103" s="16"/>
      <c r="AG103" s="18"/>
      <c r="AH103" s="15"/>
      <c r="AI103" s="15"/>
      <c r="AJ103" s="16"/>
      <c r="AL103" s="18"/>
      <c r="AM103" s="15"/>
      <c r="AN103" s="15"/>
      <c r="AO103" s="16"/>
      <c r="AQ103" s="2">
        <v>12</v>
      </c>
    </row>
    <row r="104" spans="2:43" ht="18" customHeight="1" x14ac:dyDescent="0.2">
      <c r="B104" s="8">
        <v>104</v>
      </c>
      <c r="C104" s="8">
        <v>3</v>
      </c>
      <c r="D104" s="8">
        <v>32</v>
      </c>
      <c r="E104" s="8">
        <v>0</v>
      </c>
      <c r="F104" s="64" t="s">
        <v>122</v>
      </c>
      <c r="G104" s="8" t="s">
        <v>132</v>
      </c>
      <c r="H104" s="8" t="s">
        <v>132</v>
      </c>
      <c r="I104" s="8" t="s">
        <v>132</v>
      </c>
      <c r="J104" s="39" t="s">
        <v>123</v>
      </c>
      <c r="K104" s="8" t="s">
        <v>133</v>
      </c>
      <c r="L104" s="9" t="s">
        <v>144</v>
      </c>
      <c r="M104" s="9" t="s">
        <v>123</v>
      </c>
      <c r="O104" s="17">
        <v>12</v>
      </c>
      <c r="P104" s="13">
        <v>32</v>
      </c>
      <c r="Q104" s="13">
        <v>20</v>
      </c>
      <c r="R104" s="14">
        <v>8</v>
      </c>
      <c r="T104" s="17">
        <v>12</v>
      </c>
      <c r="U104" s="14">
        <v>8</v>
      </c>
      <c r="W104" s="17"/>
      <c r="X104" s="13"/>
      <c r="Y104" s="13"/>
      <c r="Z104" s="14"/>
      <c r="AB104" s="17"/>
      <c r="AC104" s="13"/>
      <c r="AD104" s="13"/>
      <c r="AE104" s="14"/>
      <c r="AG104" s="17"/>
      <c r="AH104" s="13"/>
      <c r="AI104" s="13"/>
      <c r="AJ104" s="14"/>
      <c r="AL104" s="17"/>
      <c r="AM104" s="13"/>
      <c r="AN104" s="13"/>
      <c r="AO104" s="14"/>
      <c r="AQ104" s="2">
        <v>12</v>
      </c>
    </row>
    <row r="105" spans="2:43" ht="18" customHeight="1" x14ac:dyDescent="0.2">
      <c r="B105" s="10">
        <v>105</v>
      </c>
      <c r="C105" s="10">
        <v>3</v>
      </c>
      <c r="D105" s="10">
        <v>33</v>
      </c>
      <c r="E105" s="10">
        <v>0</v>
      </c>
      <c r="F105" s="10" t="s">
        <v>122</v>
      </c>
      <c r="G105" s="10" t="s">
        <v>132</v>
      </c>
      <c r="H105" s="10" t="s">
        <v>132</v>
      </c>
      <c r="I105" s="38" t="s">
        <v>123</v>
      </c>
      <c r="J105" s="10" t="s">
        <v>123</v>
      </c>
      <c r="K105" s="10" t="s">
        <v>133</v>
      </c>
      <c r="L105" s="51" t="s">
        <v>213</v>
      </c>
      <c r="M105" s="11" t="s">
        <v>296</v>
      </c>
      <c r="O105" s="18">
        <v>12</v>
      </c>
      <c r="P105" s="15">
        <v>32</v>
      </c>
      <c r="Q105" s="15">
        <v>20</v>
      </c>
      <c r="R105" s="16">
        <v>8</v>
      </c>
      <c r="T105" s="18">
        <v>12</v>
      </c>
      <c r="U105" s="16">
        <v>3</v>
      </c>
      <c r="W105" s="18"/>
      <c r="X105" s="15"/>
      <c r="Y105" s="15"/>
      <c r="Z105" s="16"/>
      <c r="AB105" s="18"/>
      <c r="AC105" s="15"/>
      <c r="AD105" s="15"/>
      <c r="AE105" s="16"/>
      <c r="AG105" s="18"/>
      <c r="AH105" s="15"/>
      <c r="AI105" s="15"/>
      <c r="AJ105" s="16"/>
      <c r="AL105" s="18"/>
      <c r="AM105" s="15"/>
      <c r="AN105" s="15"/>
      <c r="AO105" s="16"/>
      <c r="AQ105" s="2">
        <v>12</v>
      </c>
    </row>
    <row r="106" spans="2:43" ht="18" customHeight="1" x14ac:dyDescent="0.2">
      <c r="B106" s="8">
        <v>106</v>
      </c>
      <c r="C106" s="8">
        <v>3</v>
      </c>
      <c r="D106" s="8">
        <v>34</v>
      </c>
      <c r="E106" s="8">
        <v>8</v>
      </c>
      <c r="F106" s="64" t="s">
        <v>102</v>
      </c>
      <c r="G106" s="8" t="s">
        <v>132</v>
      </c>
      <c r="H106" s="8" t="s">
        <v>132</v>
      </c>
      <c r="I106" s="8" t="s">
        <v>132</v>
      </c>
      <c r="J106" s="39" t="s">
        <v>123</v>
      </c>
      <c r="K106" s="8" t="s">
        <v>133</v>
      </c>
      <c r="L106" s="9" t="s">
        <v>218</v>
      </c>
      <c r="M106" s="9" t="s">
        <v>297</v>
      </c>
      <c r="O106" s="17">
        <v>12</v>
      </c>
      <c r="P106" s="13">
        <v>32</v>
      </c>
      <c r="Q106" s="13">
        <v>20</v>
      </c>
      <c r="R106" s="14">
        <v>8</v>
      </c>
      <c r="T106" s="17">
        <v>12</v>
      </c>
      <c r="U106" s="14">
        <v>8</v>
      </c>
      <c r="W106" s="17"/>
      <c r="X106" s="13"/>
      <c r="Y106" s="13"/>
      <c r="Z106" s="14"/>
      <c r="AB106" s="17"/>
      <c r="AC106" s="13"/>
      <c r="AD106" s="13"/>
      <c r="AE106" s="14"/>
      <c r="AG106" s="17"/>
      <c r="AH106" s="13"/>
      <c r="AI106" s="13"/>
      <c r="AJ106" s="14"/>
      <c r="AL106" s="17"/>
      <c r="AM106" s="13"/>
      <c r="AN106" s="13"/>
      <c r="AO106" s="14"/>
      <c r="AQ106" s="2">
        <v>12</v>
      </c>
    </row>
    <row r="107" spans="2:43" ht="18" customHeight="1" x14ac:dyDescent="0.2">
      <c r="B107" s="10">
        <v>107</v>
      </c>
      <c r="C107" s="10">
        <v>3</v>
      </c>
      <c r="D107" s="10">
        <v>35</v>
      </c>
      <c r="E107" s="10">
        <v>18</v>
      </c>
      <c r="F107" s="10" t="s">
        <v>131</v>
      </c>
      <c r="G107" s="10" t="s">
        <v>132</v>
      </c>
      <c r="H107" s="10" t="s">
        <v>123</v>
      </c>
      <c r="I107" s="10" t="s">
        <v>123</v>
      </c>
      <c r="J107" s="10" t="s">
        <v>123</v>
      </c>
      <c r="K107" s="10" t="s">
        <v>133</v>
      </c>
      <c r="L107" s="51" t="s">
        <v>134</v>
      </c>
      <c r="M107" s="11" t="s">
        <v>298</v>
      </c>
      <c r="O107" s="18">
        <v>12</v>
      </c>
      <c r="P107" s="15">
        <v>32</v>
      </c>
      <c r="Q107" s="15">
        <v>20</v>
      </c>
      <c r="R107" s="16">
        <v>8</v>
      </c>
      <c r="T107" s="18">
        <v>6</v>
      </c>
      <c r="U107" s="16">
        <v>3</v>
      </c>
      <c r="W107" s="18"/>
      <c r="X107" s="15"/>
      <c r="Y107" s="15"/>
      <c r="Z107" s="16"/>
      <c r="AB107" s="18"/>
      <c r="AC107" s="15"/>
      <c r="AD107" s="15"/>
      <c r="AE107" s="16"/>
      <c r="AG107" s="18"/>
      <c r="AH107" s="15"/>
      <c r="AI107" s="15"/>
      <c r="AJ107" s="16"/>
      <c r="AL107" s="18"/>
      <c r="AM107" s="15"/>
      <c r="AN107" s="15"/>
      <c r="AO107" s="16"/>
      <c r="AQ107" s="2">
        <v>12</v>
      </c>
    </row>
    <row r="108" spans="2:43" ht="18" customHeight="1" x14ac:dyDescent="0.2">
      <c r="B108" s="8">
        <v>108</v>
      </c>
      <c r="C108" s="8">
        <v>3</v>
      </c>
      <c r="D108" s="8">
        <v>36</v>
      </c>
      <c r="E108" s="8">
        <v>29</v>
      </c>
      <c r="F108" s="64" t="s">
        <v>260</v>
      </c>
      <c r="G108" s="8" t="s">
        <v>123</v>
      </c>
      <c r="H108" s="8" t="s">
        <v>123</v>
      </c>
      <c r="I108" s="8" t="s">
        <v>123</v>
      </c>
      <c r="J108" s="39" t="s">
        <v>123</v>
      </c>
      <c r="K108" s="8" t="s">
        <v>133</v>
      </c>
      <c r="L108" s="9" t="s">
        <v>146</v>
      </c>
      <c r="M108" s="9" t="s">
        <v>299</v>
      </c>
      <c r="O108" s="17">
        <v>12</v>
      </c>
      <c r="P108" s="13">
        <v>32</v>
      </c>
      <c r="Q108" s="13">
        <v>20</v>
      </c>
      <c r="R108" s="14">
        <v>8</v>
      </c>
      <c r="T108" s="17">
        <v>0</v>
      </c>
      <c r="U108" s="14">
        <v>1</v>
      </c>
      <c r="W108" s="17"/>
      <c r="X108" s="13"/>
      <c r="Y108" s="13"/>
      <c r="Z108" s="14"/>
      <c r="AB108" s="17"/>
      <c r="AC108" s="13"/>
      <c r="AD108" s="13"/>
      <c r="AE108" s="14"/>
      <c r="AG108" s="17"/>
      <c r="AH108" s="13"/>
      <c r="AI108" s="13"/>
      <c r="AJ108" s="14"/>
      <c r="AL108" s="17"/>
      <c r="AM108" s="13"/>
      <c r="AN108" s="13"/>
      <c r="AO108" s="14"/>
      <c r="AQ108" s="2">
        <v>12</v>
      </c>
    </row>
    <row r="109" spans="2:43" ht="18" customHeight="1" x14ac:dyDescent="0.2">
      <c r="B109" s="10">
        <v>109</v>
      </c>
      <c r="C109" s="10">
        <v>3</v>
      </c>
      <c r="D109" s="10">
        <v>37</v>
      </c>
      <c r="E109" s="10">
        <v>24</v>
      </c>
      <c r="F109" s="10" t="s">
        <v>122</v>
      </c>
      <c r="G109" s="10" t="s">
        <v>132</v>
      </c>
      <c r="H109" s="10" t="s">
        <v>123</v>
      </c>
      <c r="I109" s="10" t="s">
        <v>123</v>
      </c>
      <c r="J109" s="10" t="s">
        <v>123</v>
      </c>
      <c r="K109" s="10" t="s">
        <v>133</v>
      </c>
      <c r="L109" s="51" t="s">
        <v>300</v>
      </c>
      <c r="M109" s="11" t="s">
        <v>301</v>
      </c>
      <c r="O109" s="18">
        <v>12</v>
      </c>
      <c r="P109" s="15">
        <v>32</v>
      </c>
      <c r="Q109" s="15">
        <v>20</v>
      </c>
      <c r="R109" s="16">
        <v>8</v>
      </c>
      <c r="T109" s="18">
        <v>6</v>
      </c>
      <c r="U109" s="16">
        <v>0</v>
      </c>
      <c r="W109" s="18"/>
      <c r="X109" s="15"/>
      <c r="Y109" s="15"/>
      <c r="Z109" s="16"/>
      <c r="AB109" s="18"/>
      <c r="AC109" s="15"/>
      <c r="AD109" s="15"/>
      <c r="AE109" s="16"/>
      <c r="AG109" s="18"/>
      <c r="AH109" s="15"/>
      <c r="AI109" s="15"/>
      <c r="AJ109" s="16"/>
      <c r="AL109" s="18"/>
      <c r="AM109" s="15"/>
      <c r="AN109" s="15"/>
      <c r="AO109" s="16"/>
      <c r="AQ109" s="2">
        <v>12</v>
      </c>
    </row>
    <row r="110" spans="2:43" ht="18" customHeight="1" x14ac:dyDescent="0.2">
      <c r="B110" s="8">
        <v>110</v>
      </c>
      <c r="C110" s="8">
        <v>3</v>
      </c>
      <c r="D110" s="8">
        <v>38</v>
      </c>
      <c r="E110" s="8">
        <v>0</v>
      </c>
      <c r="F110" s="64" t="s">
        <v>131</v>
      </c>
      <c r="G110" s="8" t="s">
        <v>132</v>
      </c>
      <c r="H110" s="8" t="s">
        <v>132</v>
      </c>
      <c r="I110" s="8" t="s">
        <v>132</v>
      </c>
      <c r="J110" s="39" t="s">
        <v>123</v>
      </c>
      <c r="K110" s="8" t="s">
        <v>133</v>
      </c>
      <c r="L110" s="9" t="s">
        <v>134</v>
      </c>
      <c r="M110" s="9" t="s">
        <v>302</v>
      </c>
      <c r="O110" s="17">
        <v>12</v>
      </c>
      <c r="P110" s="13">
        <v>32</v>
      </c>
      <c r="Q110" s="13">
        <v>20</v>
      </c>
      <c r="R110" s="14">
        <v>8</v>
      </c>
      <c r="T110" s="17">
        <v>12</v>
      </c>
      <c r="U110" s="14">
        <v>8</v>
      </c>
      <c r="W110" s="17"/>
      <c r="X110" s="13"/>
      <c r="Y110" s="13"/>
      <c r="Z110" s="14"/>
      <c r="AB110" s="17"/>
      <c r="AC110" s="13"/>
      <c r="AD110" s="13"/>
      <c r="AE110" s="14"/>
      <c r="AG110" s="17"/>
      <c r="AH110" s="13"/>
      <c r="AI110" s="13"/>
      <c r="AJ110" s="14"/>
      <c r="AL110" s="17"/>
      <c r="AM110" s="13"/>
      <c r="AN110" s="13"/>
      <c r="AO110" s="14"/>
      <c r="AQ110" s="2">
        <v>12</v>
      </c>
    </row>
    <row r="111" spans="2:43" ht="18" customHeight="1" x14ac:dyDescent="0.2">
      <c r="B111" s="10">
        <v>111</v>
      </c>
      <c r="C111" s="10">
        <v>3</v>
      </c>
      <c r="D111" s="10">
        <v>39</v>
      </c>
      <c r="E111" s="10">
        <v>11</v>
      </c>
      <c r="F111" s="10" t="s">
        <v>178</v>
      </c>
      <c r="G111" s="10" t="s">
        <v>132</v>
      </c>
      <c r="H111" s="10" t="s">
        <v>123</v>
      </c>
      <c r="I111" s="10" t="s">
        <v>123</v>
      </c>
      <c r="J111" s="10" t="s">
        <v>123</v>
      </c>
      <c r="K111" s="10" t="s">
        <v>133</v>
      </c>
      <c r="L111" s="51" t="s">
        <v>179</v>
      </c>
      <c r="M111" s="11" t="s">
        <v>303</v>
      </c>
      <c r="O111" s="18">
        <v>12</v>
      </c>
      <c r="P111" s="15">
        <v>32</v>
      </c>
      <c r="Q111" s="15">
        <v>20</v>
      </c>
      <c r="R111" s="16">
        <v>8</v>
      </c>
      <c r="T111" s="18">
        <v>10</v>
      </c>
      <c r="U111" s="16">
        <v>3</v>
      </c>
      <c r="W111" s="18"/>
      <c r="X111" s="15"/>
      <c r="Y111" s="15"/>
      <c r="Z111" s="16"/>
      <c r="AB111" s="18"/>
      <c r="AC111" s="15"/>
      <c r="AD111" s="15"/>
      <c r="AE111" s="16"/>
      <c r="AG111" s="18"/>
      <c r="AH111" s="15"/>
      <c r="AI111" s="15"/>
      <c r="AJ111" s="16"/>
      <c r="AL111" s="18"/>
      <c r="AM111" s="15"/>
      <c r="AN111" s="15"/>
      <c r="AO111" s="16"/>
      <c r="AQ111" s="2">
        <v>12</v>
      </c>
    </row>
    <row r="112" spans="2:43" ht="18" customHeight="1" x14ac:dyDescent="0.2">
      <c r="B112" s="8">
        <v>112</v>
      </c>
      <c r="C112" s="8">
        <v>3</v>
      </c>
      <c r="D112" s="8">
        <v>40</v>
      </c>
      <c r="E112" s="8">
        <v>22</v>
      </c>
      <c r="F112" s="64" t="s">
        <v>122</v>
      </c>
      <c r="G112" s="8" t="s">
        <v>132</v>
      </c>
      <c r="H112" s="8" t="s">
        <v>123</v>
      </c>
      <c r="I112" s="8" t="s">
        <v>123</v>
      </c>
      <c r="J112" s="39" t="s">
        <v>123</v>
      </c>
      <c r="K112" s="8" t="s">
        <v>133</v>
      </c>
      <c r="L112" s="9" t="s">
        <v>163</v>
      </c>
      <c r="M112" s="9" t="s">
        <v>304</v>
      </c>
      <c r="O112" s="17">
        <v>12</v>
      </c>
      <c r="P112" s="13">
        <v>32</v>
      </c>
      <c r="Q112" s="13">
        <v>20</v>
      </c>
      <c r="R112" s="14">
        <v>8</v>
      </c>
      <c r="T112" s="17">
        <v>3</v>
      </c>
      <c r="U112" s="14">
        <v>0</v>
      </c>
      <c r="W112" s="17"/>
      <c r="X112" s="13"/>
      <c r="Y112" s="13"/>
      <c r="Z112" s="14"/>
      <c r="AB112" s="17"/>
      <c r="AC112" s="13"/>
      <c r="AD112" s="13"/>
      <c r="AE112" s="14"/>
      <c r="AG112" s="17"/>
      <c r="AH112" s="13"/>
      <c r="AI112" s="13"/>
      <c r="AJ112" s="14"/>
      <c r="AL112" s="17"/>
      <c r="AM112" s="13"/>
      <c r="AN112" s="13"/>
      <c r="AO112" s="14"/>
      <c r="AQ112" s="2">
        <v>12</v>
      </c>
    </row>
    <row r="113" spans="2:43" ht="18" customHeight="1" x14ac:dyDescent="0.2">
      <c r="B113" s="10">
        <v>113</v>
      </c>
      <c r="C113" s="10">
        <v>3</v>
      </c>
      <c r="D113" s="10">
        <v>41</v>
      </c>
      <c r="E113" s="10">
        <v>19</v>
      </c>
      <c r="F113" s="10" t="s">
        <v>122</v>
      </c>
      <c r="G113" s="38" t="s">
        <v>123</v>
      </c>
      <c r="H113" s="10" t="s">
        <v>123</v>
      </c>
      <c r="I113" s="10" t="s">
        <v>123</v>
      </c>
      <c r="J113" s="10" t="s">
        <v>132</v>
      </c>
      <c r="K113" s="10" t="s">
        <v>133</v>
      </c>
      <c r="L113" s="51" t="s">
        <v>305</v>
      </c>
      <c r="M113" s="11" t="s">
        <v>306</v>
      </c>
      <c r="O113" s="18">
        <v>12</v>
      </c>
      <c r="P113" s="15">
        <v>32</v>
      </c>
      <c r="Q113" s="15">
        <v>20</v>
      </c>
      <c r="R113" s="16">
        <v>8</v>
      </c>
      <c r="T113" s="18">
        <v>3</v>
      </c>
      <c r="U113" s="16">
        <v>0</v>
      </c>
      <c r="W113" s="18"/>
      <c r="X113" s="15"/>
      <c r="Y113" s="15"/>
      <c r="Z113" s="16"/>
      <c r="AB113" s="18"/>
      <c r="AC113" s="15"/>
      <c r="AD113" s="15"/>
      <c r="AE113" s="16"/>
      <c r="AG113" s="18"/>
      <c r="AH113" s="15"/>
      <c r="AI113" s="15"/>
      <c r="AJ113" s="16"/>
      <c r="AL113" s="18"/>
      <c r="AM113" s="15"/>
      <c r="AN113" s="15"/>
      <c r="AO113" s="16"/>
      <c r="AQ113" s="2">
        <v>12</v>
      </c>
    </row>
    <row r="114" spans="2:43" ht="18" customHeight="1" x14ac:dyDescent="0.2">
      <c r="B114" s="8">
        <v>114</v>
      </c>
      <c r="C114" s="8">
        <v>3</v>
      </c>
      <c r="D114" s="8">
        <v>42</v>
      </c>
      <c r="E114" s="8">
        <v>25</v>
      </c>
      <c r="F114" s="64" t="s">
        <v>131</v>
      </c>
      <c r="G114" s="8" t="s">
        <v>123</v>
      </c>
      <c r="H114" s="8" t="s">
        <v>123</v>
      </c>
      <c r="I114" s="8" t="s">
        <v>123</v>
      </c>
      <c r="J114" s="39" t="s">
        <v>123</v>
      </c>
      <c r="K114" s="8" t="s">
        <v>133</v>
      </c>
      <c r="L114" s="9" t="s">
        <v>134</v>
      </c>
      <c r="M114" s="9" t="s">
        <v>307</v>
      </c>
      <c r="O114" s="17">
        <v>13</v>
      </c>
      <c r="P114" s="13">
        <v>32</v>
      </c>
      <c r="Q114" s="13">
        <v>20</v>
      </c>
      <c r="R114" s="14">
        <v>12</v>
      </c>
      <c r="T114" s="17">
        <v>0</v>
      </c>
      <c r="U114" s="14">
        <v>1</v>
      </c>
      <c r="W114" s="17"/>
      <c r="X114" s="13"/>
      <c r="Y114" s="13"/>
      <c r="Z114" s="14"/>
      <c r="AB114" s="17"/>
      <c r="AC114" s="13"/>
      <c r="AD114" s="13"/>
      <c r="AE114" s="14"/>
      <c r="AG114" s="17"/>
      <c r="AH114" s="13"/>
      <c r="AI114" s="13"/>
      <c r="AJ114" s="14"/>
      <c r="AL114" s="17"/>
      <c r="AM114" s="13"/>
      <c r="AN114" s="13"/>
      <c r="AO114" s="14"/>
      <c r="AQ114" s="2">
        <v>16</v>
      </c>
    </row>
    <row r="115" spans="2:43" ht="18" customHeight="1" x14ac:dyDescent="0.2">
      <c r="B115" s="10">
        <v>115</v>
      </c>
      <c r="C115" s="10">
        <v>3</v>
      </c>
      <c r="D115" s="10">
        <v>43</v>
      </c>
      <c r="E115" s="10">
        <v>7</v>
      </c>
      <c r="F115" s="10" t="s">
        <v>178</v>
      </c>
      <c r="G115" s="10" t="s">
        <v>132</v>
      </c>
      <c r="H115" s="10" t="s">
        <v>123</v>
      </c>
      <c r="I115" s="10" t="s">
        <v>123</v>
      </c>
      <c r="J115" s="10" t="s">
        <v>123</v>
      </c>
      <c r="K115" s="10" t="s">
        <v>133</v>
      </c>
      <c r="L115" s="51" t="s">
        <v>179</v>
      </c>
      <c r="M115" s="11" t="s">
        <v>308</v>
      </c>
      <c r="O115" s="18">
        <v>13</v>
      </c>
      <c r="P115" s="15">
        <v>32</v>
      </c>
      <c r="Q115" s="15">
        <v>20</v>
      </c>
      <c r="R115" s="16">
        <v>12</v>
      </c>
      <c r="T115" s="18">
        <v>12</v>
      </c>
      <c r="U115" s="16">
        <v>3</v>
      </c>
      <c r="W115" s="18"/>
      <c r="X115" s="15"/>
      <c r="Y115" s="15"/>
      <c r="Z115" s="16"/>
      <c r="AB115" s="18"/>
      <c r="AC115" s="15"/>
      <c r="AD115" s="15"/>
      <c r="AE115" s="16"/>
      <c r="AG115" s="18"/>
      <c r="AH115" s="15"/>
      <c r="AI115" s="15"/>
      <c r="AJ115" s="16"/>
      <c r="AL115" s="18"/>
      <c r="AM115" s="15"/>
      <c r="AN115" s="15"/>
      <c r="AO115" s="16"/>
      <c r="AQ115" s="2">
        <v>16</v>
      </c>
    </row>
    <row r="116" spans="2:43" ht="18" customHeight="1" x14ac:dyDescent="0.2">
      <c r="B116" s="8">
        <v>116</v>
      </c>
      <c r="C116" s="8">
        <v>3</v>
      </c>
      <c r="D116" s="8">
        <v>44</v>
      </c>
      <c r="E116" s="8">
        <v>15</v>
      </c>
      <c r="F116" s="64" t="s">
        <v>235</v>
      </c>
      <c r="G116" s="39" t="s">
        <v>123</v>
      </c>
      <c r="H116" s="8" t="s">
        <v>123</v>
      </c>
      <c r="I116" s="8" t="s">
        <v>123</v>
      </c>
      <c r="J116" s="39" t="s">
        <v>132</v>
      </c>
      <c r="K116" s="8" t="s">
        <v>133</v>
      </c>
      <c r="L116" s="9" t="s">
        <v>236</v>
      </c>
      <c r="M116" s="9" t="s">
        <v>309</v>
      </c>
      <c r="O116" s="17">
        <v>13</v>
      </c>
      <c r="P116" s="13">
        <v>32</v>
      </c>
      <c r="Q116" s="13">
        <v>20</v>
      </c>
      <c r="R116" s="14">
        <v>12</v>
      </c>
      <c r="T116" s="17">
        <v>6</v>
      </c>
      <c r="U116" s="14">
        <v>1</v>
      </c>
      <c r="W116" s="17"/>
      <c r="X116" s="13"/>
      <c r="Y116" s="13"/>
      <c r="Z116" s="14"/>
      <c r="AB116" s="17"/>
      <c r="AC116" s="13"/>
      <c r="AD116" s="13"/>
      <c r="AE116" s="14"/>
      <c r="AG116" s="17"/>
      <c r="AH116" s="13"/>
      <c r="AI116" s="13"/>
      <c r="AJ116" s="14"/>
      <c r="AL116" s="17"/>
      <c r="AM116" s="13"/>
      <c r="AN116" s="13"/>
      <c r="AO116" s="14"/>
      <c r="AQ116" s="2">
        <v>16</v>
      </c>
    </row>
    <row r="117" spans="2:43" ht="18" customHeight="1" x14ac:dyDescent="0.2">
      <c r="B117" s="10">
        <v>117</v>
      </c>
      <c r="C117" s="10">
        <v>3</v>
      </c>
      <c r="D117" s="10">
        <v>45</v>
      </c>
      <c r="E117" s="10">
        <v>10</v>
      </c>
      <c r="F117" s="10" t="s">
        <v>122</v>
      </c>
      <c r="G117" s="10" t="s">
        <v>132</v>
      </c>
      <c r="H117" s="10" t="s">
        <v>123</v>
      </c>
      <c r="I117" s="10" t="s">
        <v>123</v>
      </c>
      <c r="J117" s="10" t="s">
        <v>123</v>
      </c>
      <c r="K117" s="10" t="s">
        <v>133</v>
      </c>
      <c r="L117" s="51" t="s">
        <v>183</v>
      </c>
      <c r="M117" s="11" t="s">
        <v>310</v>
      </c>
      <c r="O117" s="18">
        <v>13</v>
      </c>
      <c r="P117" s="15">
        <v>32</v>
      </c>
      <c r="Q117" s="15">
        <v>20</v>
      </c>
      <c r="R117" s="16">
        <v>12</v>
      </c>
      <c r="T117" s="18">
        <v>6</v>
      </c>
      <c r="U117" s="16">
        <v>2</v>
      </c>
      <c r="W117" s="18"/>
      <c r="X117" s="15"/>
      <c r="Y117" s="15"/>
      <c r="Z117" s="16"/>
      <c r="AB117" s="18"/>
      <c r="AC117" s="15"/>
      <c r="AD117" s="15"/>
      <c r="AE117" s="16"/>
      <c r="AG117" s="18"/>
      <c r="AH117" s="15"/>
      <c r="AI117" s="15"/>
      <c r="AJ117" s="16"/>
      <c r="AL117" s="18"/>
      <c r="AM117" s="15"/>
      <c r="AN117" s="15"/>
      <c r="AO117" s="16"/>
      <c r="AQ117" s="2">
        <v>16</v>
      </c>
    </row>
    <row r="118" spans="2:43" ht="18" customHeight="1" x14ac:dyDescent="0.2">
      <c r="B118" s="8">
        <v>118</v>
      </c>
      <c r="C118" s="8">
        <v>3</v>
      </c>
      <c r="D118" s="8">
        <v>46</v>
      </c>
      <c r="E118" s="8">
        <v>0</v>
      </c>
      <c r="F118" s="64" t="s">
        <v>260</v>
      </c>
      <c r="G118" s="8" t="s">
        <v>132</v>
      </c>
      <c r="H118" s="8" t="s">
        <v>132</v>
      </c>
      <c r="I118" s="39" t="s">
        <v>123</v>
      </c>
      <c r="J118" s="39" t="s">
        <v>123</v>
      </c>
      <c r="K118" s="8" t="s">
        <v>133</v>
      </c>
      <c r="L118" s="9" t="s">
        <v>146</v>
      </c>
      <c r="M118" s="9" t="s">
        <v>311</v>
      </c>
      <c r="O118" s="17">
        <v>13</v>
      </c>
      <c r="P118" s="13">
        <v>32</v>
      </c>
      <c r="Q118" s="13">
        <v>20</v>
      </c>
      <c r="R118" s="14">
        <v>12</v>
      </c>
      <c r="T118" s="17">
        <v>13</v>
      </c>
      <c r="U118" s="14">
        <v>9</v>
      </c>
      <c r="W118" s="17"/>
      <c r="X118" s="13"/>
      <c r="Y118" s="13"/>
      <c r="Z118" s="14"/>
      <c r="AB118" s="17"/>
      <c r="AC118" s="13"/>
      <c r="AD118" s="13"/>
      <c r="AE118" s="14"/>
      <c r="AG118" s="17"/>
      <c r="AH118" s="13"/>
      <c r="AI118" s="13"/>
      <c r="AJ118" s="14"/>
      <c r="AL118" s="17"/>
      <c r="AM118" s="13"/>
      <c r="AN118" s="13"/>
      <c r="AO118" s="14"/>
      <c r="AQ118" s="2">
        <v>16</v>
      </c>
    </row>
    <row r="119" spans="2:43" ht="18" customHeight="1" x14ac:dyDescent="0.2">
      <c r="B119" s="10">
        <v>119</v>
      </c>
      <c r="C119" s="10">
        <v>3</v>
      </c>
      <c r="D119" s="10">
        <v>47</v>
      </c>
      <c r="E119" s="10">
        <v>19</v>
      </c>
      <c r="F119" s="10" t="s">
        <v>122</v>
      </c>
      <c r="G119" s="10" t="s">
        <v>132</v>
      </c>
      <c r="H119" s="10" t="s">
        <v>132</v>
      </c>
      <c r="I119" s="10" t="s">
        <v>132</v>
      </c>
      <c r="J119" s="10" t="s">
        <v>123</v>
      </c>
      <c r="K119" s="10" t="s">
        <v>133</v>
      </c>
      <c r="L119" s="51" t="s">
        <v>166</v>
      </c>
      <c r="M119" s="11" t="s">
        <v>312</v>
      </c>
      <c r="O119" s="18">
        <v>13</v>
      </c>
      <c r="P119" s="15">
        <v>32</v>
      </c>
      <c r="Q119" s="15">
        <v>20</v>
      </c>
      <c r="R119" s="16">
        <v>12</v>
      </c>
      <c r="T119" s="18">
        <v>13</v>
      </c>
      <c r="U119" s="16">
        <v>12</v>
      </c>
      <c r="W119" s="18"/>
      <c r="X119" s="15"/>
      <c r="Y119" s="15"/>
      <c r="Z119" s="16"/>
      <c r="AB119" s="18"/>
      <c r="AC119" s="15"/>
      <c r="AD119" s="15"/>
      <c r="AE119" s="16"/>
      <c r="AG119" s="18"/>
      <c r="AH119" s="15"/>
      <c r="AI119" s="15"/>
      <c r="AJ119" s="16"/>
      <c r="AL119" s="18"/>
      <c r="AM119" s="15"/>
      <c r="AN119" s="15"/>
      <c r="AO119" s="16"/>
      <c r="AQ119" s="2">
        <v>16</v>
      </c>
    </row>
    <row r="120" spans="2:43" ht="18" customHeight="1" x14ac:dyDescent="0.2">
      <c r="B120" s="8">
        <v>120</v>
      </c>
      <c r="C120" s="8">
        <v>3</v>
      </c>
      <c r="D120" s="8">
        <v>48</v>
      </c>
      <c r="E120" s="8">
        <v>26</v>
      </c>
      <c r="F120" s="64" t="s">
        <v>122</v>
      </c>
      <c r="G120" s="8" t="s">
        <v>123</v>
      </c>
      <c r="H120" s="8" t="s">
        <v>123</v>
      </c>
      <c r="I120" s="8" t="s">
        <v>123</v>
      </c>
      <c r="J120" s="39" t="s">
        <v>123</v>
      </c>
      <c r="K120" s="8" t="s">
        <v>133</v>
      </c>
      <c r="L120" s="9" t="s">
        <v>313</v>
      </c>
      <c r="M120" s="9" t="s">
        <v>314</v>
      </c>
      <c r="O120" s="17">
        <v>13</v>
      </c>
      <c r="P120" s="13">
        <v>32</v>
      </c>
      <c r="Q120" s="13">
        <v>20</v>
      </c>
      <c r="R120" s="14">
        <v>12</v>
      </c>
      <c r="T120" s="17">
        <v>0</v>
      </c>
      <c r="U120" s="14">
        <v>0</v>
      </c>
      <c r="W120" s="17"/>
      <c r="X120" s="13"/>
      <c r="Y120" s="13"/>
      <c r="Z120" s="14"/>
      <c r="AB120" s="17"/>
      <c r="AC120" s="13"/>
      <c r="AD120" s="13"/>
      <c r="AE120" s="14"/>
      <c r="AG120" s="17"/>
      <c r="AH120" s="13"/>
      <c r="AI120" s="13"/>
      <c r="AJ120" s="14"/>
      <c r="AL120" s="17"/>
      <c r="AM120" s="13"/>
      <c r="AN120" s="13"/>
      <c r="AO120" s="14"/>
      <c r="AQ120" s="2">
        <v>16</v>
      </c>
    </row>
    <row r="121" spans="2:43" ht="18" customHeight="1" x14ac:dyDescent="0.2">
      <c r="B121" s="10">
        <v>121</v>
      </c>
      <c r="C121" s="10">
        <v>3</v>
      </c>
      <c r="D121" s="10">
        <v>49</v>
      </c>
      <c r="E121" s="10">
        <v>30</v>
      </c>
      <c r="F121" s="10" t="s">
        <v>131</v>
      </c>
      <c r="G121" s="10" t="s">
        <v>132</v>
      </c>
      <c r="H121" s="10" t="s">
        <v>123</v>
      </c>
      <c r="I121" s="10" t="s">
        <v>123</v>
      </c>
      <c r="J121" s="10" t="s">
        <v>123</v>
      </c>
      <c r="K121" s="10" t="s">
        <v>133</v>
      </c>
      <c r="L121" s="51" t="s">
        <v>134</v>
      </c>
      <c r="M121" s="11" t="s">
        <v>135</v>
      </c>
      <c r="O121" s="18">
        <v>13</v>
      </c>
      <c r="P121" s="15">
        <v>32</v>
      </c>
      <c r="Q121" s="15">
        <v>20</v>
      </c>
      <c r="R121" s="16">
        <v>12</v>
      </c>
      <c r="T121" s="18">
        <v>3</v>
      </c>
      <c r="U121" s="16">
        <v>0</v>
      </c>
      <c r="W121" s="18"/>
      <c r="X121" s="15"/>
      <c r="Y121" s="15"/>
      <c r="Z121" s="16"/>
      <c r="AB121" s="18"/>
      <c r="AC121" s="15"/>
      <c r="AD121" s="15"/>
      <c r="AE121" s="16"/>
      <c r="AG121" s="18"/>
      <c r="AH121" s="15"/>
      <c r="AI121" s="15"/>
      <c r="AJ121" s="16"/>
      <c r="AL121" s="18"/>
      <c r="AM121" s="15"/>
      <c r="AN121" s="15"/>
      <c r="AO121" s="16"/>
      <c r="AQ121" s="2">
        <v>16</v>
      </c>
    </row>
    <row r="122" spans="2:43" ht="18" customHeight="1" x14ac:dyDescent="0.2">
      <c r="B122" s="8">
        <v>122</v>
      </c>
      <c r="C122" s="8">
        <v>4</v>
      </c>
      <c r="D122" s="8">
        <v>1</v>
      </c>
      <c r="E122" s="8">
        <v>0</v>
      </c>
      <c r="F122" s="64" t="s">
        <v>102</v>
      </c>
      <c r="G122" s="8" t="s">
        <v>132</v>
      </c>
      <c r="H122" s="8" t="s">
        <v>132</v>
      </c>
      <c r="I122" s="8" t="s">
        <v>132</v>
      </c>
      <c r="J122" s="39" t="s">
        <v>123</v>
      </c>
      <c r="K122" s="8" t="s">
        <v>138</v>
      </c>
      <c r="L122" s="9" t="s">
        <v>218</v>
      </c>
      <c r="M122" s="9" t="s">
        <v>315</v>
      </c>
      <c r="O122" s="17">
        <v>11</v>
      </c>
      <c r="P122" s="13">
        <v>20</v>
      </c>
      <c r="Q122" s="13">
        <v>20</v>
      </c>
      <c r="R122" s="14">
        <v>8</v>
      </c>
      <c r="T122" s="17">
        <v>11</v>
      </c>
      <c r="U122" s="14">
        <v>8</v>
      </c>
      <c r="W122" s="17"/>
      <c r="X122" s="13"/>
      <c r="Y122" s="13"/>
      <c r="Z122" s="14"/>
      <c r="AB122" s="17"/>
      <c r="AC122" s="13"/>
      <c r="AD122" s="13"/>
      <c r="AE122" s="14"/>
      <c r="AG122" s="17"/>
      <c r="AH122" s="13"/>
      <c r="AI122" s="13"/>
      <c r="AJ122" s="14"/>
      <c r="AL122" s="17"/>
      <c r="AM122" s="13"/>
      <c r="AN122" s="13"/>
      <c r="AO122" s="14"/>
      <c r="AQ122" s="2">
        <v>5</v>
      </c>
    </row>
    <row r="123" spans="2:43" ht="18" customHeight="1" x14ac:dyDescent="0.2">
      <c r="B123" s="10">
        <v>123</v>
      </c>
      <c r="C123" s="10">
        <v>4</v>
      </c>
      <c r="D123" s="10">
        <v>2</v>
      </c>
      <c r="E123" s="10">
        <v>0</v>
      </c>
      <c r="F123" s="10" t="s">
        <v>122</v>
      </c>
      <c r="G123" s="10" t="s">
        <v>132</v>
      </c>
      <c r="H123" s="10" t="s">
        <v>132</v>
      </c>
      <c r="I123" s="10" t="s">
        <v>132</v>
      </c>
      <c r="J123" s="10" t="s">
        <v>123</v>
      </c>
      <c r="K123" s="10" t="s">
        <v>138</v>
      </c>
      <c r="L123" s="51" t="s">
        <v>163</v>
      </c>
      <c r="M123" s="11" t="s">
        <v>316</v>
      </c>
      <c r="O123" s="18">
        <v>11</v>
      </c>
      <c r="P123" s="15">
        <v>20</v>
      </c>
      <c r="Q123" s="15">
        <v>20</v>
      </c>
      <c r="R123" s="16">
        <v>8</v>
      </c>
      <c r="T123" s="18">
        <v>11</v>
      </c>
      <c r="U123" s="16">
        <v>8</v>
      </c>
      <c r="W123" s="18"/>
      <c r="X123" s="15"/>
      <c r="Y123" s="15"/>
      <c r="Z123" s="16"/>
      <c r="AB123" s="18"/>
      <c r="AC123" s="15"/>
      <c r="AD123" s="15"/>
      <c r="AE123" s="16"/>
      <c r="AG123" s="18"/>
      <c r="AH123" s="15"/>
      <c r="AI123" s="15"/>
      <c r="AJ123" s="16"/>
      <c r="AL123" s="18"/>
      <c r="AM123" s="15"/>
      <c r="AN123" s="15"/>
      <c r="AO123" s="16"/>
      <c r="AQ123" s="2">
        <v>5</v>
      </c>
    </row>
    <row r="124" spans="2:43" ht="18" customHeight="1" x14ac:dyDescent="0.2">
      <c r="B124" s="8">
        <v>124</v>
      </c>
      <c r="C124" s="8">
        <v>4</v>
      </c>
      <c r="D124" s="8">
        <v>3</v>
      </c>
      <c r="E124" s="8">
        <v>17</v>
      </c>
      <c r="F124" s="64" t="s">
        <v>122</v>
      </c>
      <c r="G124" s="8" t="s">
        <v>132</v>
      </c>
      <c r="H124" s="8" t="s">
        <v>123</v>
      </c>
      <c r="I124" s="39" t="s">
        <v>123</v>
      </c>
      <c r="J124" s="39" t="s">
        <v>123</v>
      </c>
      <c r="K124" s="8" t="s">
        <v>138</v>
      </c>
      <c r="L124" s="9" t="s">
        <v>317</v>
      </c>
      <c r="M124" s="9" t="s">
        <v>318</v>
      </c>
      <c r="O124" s="17">
        <v>11</v>
      </c>
      <c r="P124" s="13">
        <v>20</v>
      </c>
      <c r="Q124" s="13">
        <v>20</v>
      </c>
      <c r="R124" s="14">
        <v>8</v>
      </c>
      <c r="T124" s="17">
        <v>10</v>
      </c>
      <c r="U124" s="14">
        <v>1</v>
      </c>
      <c r="W124" s="17"/>
      <c r="X124" s="13"/>
      <c r="Y124" s="13"/>
      <c r="Z124" s="14"/>
      <c r="AB124" s="17"/>
      <c r="AC124" s="13"/>
      <c r="AD124" s="13"/>
      <c r="AE124" s="14"/>
      <c r="AG124" s="17"/>
      <c r="AH124" s="13"/>
      <c r="AI124" s="13"/>
      <c r="AJ124" s="14"/>
      <c r="AL124" s="17"/>
      <c r="AM124" s="13"/>
      <c r="AN124" s="13"/>
      <c r="AO124" s="14"/>
      <c r="AQ124" s="2">
        <v>5</v>
      </c>
    </row>
    <row r="125" spans="2:43" ht="18" customHeight="1" x14ac:dyDescent="0.2">
      <c r="B125" s="10">
        <v>125</v>
      </c>
      <c r="C125" s="10">
        <v>4</v>
      </c>
      <c r="D125" s="10">
        <v>4</v>
      </c>
      <c r="E125" s="10">
        <v>0</v>
      </c>
      <c r="F125" s="10" t="s">
        <v>235</v>
      </c>
      <c r="G125" s="10" t="s">
        <v>132</v>
      </c>
      <c r="H125" s="10" t="s">
        <v>132</v>
      </c>
      <c r="I125" s="10" t="s">
        <v>132</v>
      </c>
      <c r="J125" s="10" t="s">
        <v>123</v>
      </c>
      <c r="K125" s="10" t="s">
        <v>138</v>
      </c>
      <c r="L125" s="51" t="s">
        <v>236</v>
      </c>
      <c r="M125" s="11" t="s">
        <v>319</v>
      </c>
      <c r="O125" s="18">
        <v>11</v>
      </c>
      <c r="P125" s="15">
        <v>20</v>
      </c>
      <c r="Q125" s="15">
        <v>20</v>
      </c>
      <c r="R125" s="16">
        <v>8</v>
      </c>
      <c r="T125" s="18">
        <v>11</v>
      </c>
      <c r="U125" s="16">
        <v>8</v>
      </c>
      <c r="W125" s="18"/>
      <c r="X125" s="15"/>
      <c r="Y125" s="15"/>
      <c r="Z125" s="16"/>
      <c r="AB125" s="18"/>
      <c r="AC125" s="15"/>
      <c r="AD125" s="15"/>
      <c r="AE125" s="16"/>
      <c r="AG125" s="18"/>
      <c r="AH125" s="15"/>
      <c r="AI125" s="15"/>
      <c r="AJ125" s="16"/>
      <c r="AL125" s="18"/>
      <c r="AM125" s="15"/>
      <c r="AN125" s="15"/>
      <c r="AO125" s="16"/>
      <c r="AQ125" s="2">
        <v>5</v>
      </c>
    </row>
    <row r="126" spans="2:43" ht="18" customHeight="1" x14ac:dyDescent="0.2">
      <c r="B126" s="8">
        <v>126</v>
      </c>
      <c r="C126" s="8">
        <v>4</v>
      </c>
      <c r="D126" s="8">
        <v>5</v>
      </c>
      <c r="E126" s="8">
        <v>0</v>
      </c>
      <c r="F126" s="64" t="s">
        <v>122</v>
      </c>
      <c r="G126" s="8" t="s">
        <v>132</v>
      </c>
      <c r="H126" s="8" t="s">
        <v>132</v>
      </c>
      <c r="I126" s="8" t="s">
        <v>132</v>
      </c>
      <c r="J126" s="39" t="s">
        <v>123</v>
      </c>
      <c r="K126" s="8" t="s">
        <v>138</v>
      </c>
      <c r="L126" s="9" t="s">
        <v>170</v>
      </c>
      <c r="M126" s="9" t="s">
        <v>320</v>
      </c>
      <c r="O126" s="17">
        <v>11</v>
      </c>
      <c r="P126" s="13">
        <v>20</v>
      </c>
      <c r="Q126" s="13">
        <v>20</v>
      </c>
      <c r="R126" s="14">
        <v>8</v>
      </c>
      <c r="T126" s="17">
        <v>11</v>
      </c>
      <c r="U126" s="14">
        <v>8</v>
      </c>
      <c r="W126" s="17"/>
      <c r="X126" s="13"/>
      <c r="Y126" s="13"/>
      <c r="Z126" s="14"/>
      <c r="AB126" s="17"/>
      <c r="AC126" s="13"/>
      <c r="AD126" s="13"/>
      <c r="AE126" s="14"/>
      <c r="AG126" s="17"/>
      <c r="AH126" s="13"/>
      <c r="AI126" s="13"/>
      <c r="AJ126" s="14"/>
      <c r="AL126" s="17"/>
      <c r="AM126" s="13"/>
      <c r="AN126" s="13"/>
      <c r="AO126" s="14"/>
      <c r="AQ126" s="2">
        <v>5</v>
      </c>
    </row>
    <row r="127" spans="2:43" ht="18" customHeight="1" x14ac:dyDescent="0.2">
      <c r="B127" s="10">
        <v>127</v>
      </c>
      <c r="C127" s="10">
        <v>4</v>
      </c>
      <c r="D127" s="10">
        <v>6</v>
      </c>
      <c r="E127" s="10">
        <v>26</v>
      </c>
      <c r="F127" s="10" t="s">
        <v>122</v>
      </c>
      <c r="G127" s="10" t="s">
        <v>123</v>
      </c>
      <c r="H127" s="10" t="s">
        <v>123</v>
      </c>
      <c r="I127" s="10" t="s">
        <v>123</v>
      </c>
      <c r="J127" s="10" t="s">
        <v>123</v>
      </c>
      <c r="K127" s="10" t="s">
        <v>138</v>
      </c>
      <c r="L127" s="51" t="s">
        <v>199</v>
      </c>
      <c r="M127" s="11" t="s">
        <v>321</v>
      </c>
      <c r="O127" s="18">
        <v>11</v>
      </c>
      <c r="P127" s="15">
        <v>20</v>
      </c>
      <c r="Q127" s="15">
        <v>20</v>
      </c>
      <c r="R127" s="16">
        <v>8</v>
      </c>
      <c r="T127" s="18">
        <v>0</v>
      </c>
      <c r="U127" s="16">
        <v>0</v>
      </c>
      <c r="W127" s="18"/>
      <c r="X127" s="15"/>
      <c r="Y127" s="15"/>
      <c r="Z127" s="16"/>
      <c r="AB127" s="18"/>
      <c r="AC127" s="15"/>
      <c r="AD127" s="15"/>
      <c r="AE127" s="16"/>
      <c r="AG127" s="18"/>
      <c r="AH127" s="15"/>
      <c r="AI127" s="15"/>
      <c r="AJ127" s="16"/>
      <c r="AL127" s="18"/>
      <c r="AM127" s="15"/>
      <c r="AN127" s="15"/>
      <c r="AO127" s="16"/>
      <c r="AQ127" s="2">
        <v>5</v>
      </c>
    </row>
    <row r="128" spans="2:43" ht="18" customHeight="1" x14ac:dyDescent="0.2">
      <c r="B128" s="8">
        <v>128</v>
      </c>
      <c r="C128" s="8">
        <v>4</v>
      </c>
      <c r="D128" s="8">
        <v>7</v>
      </c>
      <c r="E128" s="8">
        <v>0</v>
      </c>
      <c r="F128" s="64" t="s">
        <v>235</v>
      </c>
      <c r="G128" s="8" t="s">
        <v>132</v>
      </c>
      <c r="H128" s="8" t="s">
        <v>132</v>
      </c>
      <c r="I128" s="8" t="s">
        <v>132</v>
      </c>
      <c r="J128" s="39" t="s">
        <v>123</v>
      </c>
      <c r="K128" s="8" t="s">
        <v>138</v>
      </c>
      <c r="L128" s="9" t="s">
        <v>236</v>
      </c>
      <c r="M128" s="9" t="s">
        <v>322</v>
      </c>
      <c r="O128" s="17">
        <v>12</v>
      </c>
      <c r="P128" s="13">
        <v>24</v>
      </c>
      <c r="Q128" s="13">
        <v>20</v>
      </c>
      <c r="R128" s="14">
        <v>12</v>
      </c>
      <c r="T128" s="17">
        <v>12</v>
      </c>
      <c r="U128" s="14">
        <v>12</v>
      </c>
      <c r="W128" s="17"/>
      <c r="X128" s="13"/>
      <c r="Y128" s="13"/>
      <c r="Z128" s="14"/>
      <c r="AB128" s="17"/>
      <c r="AC128" s="13"/>
      <c r="AD128" s="13"/>
      <c r="AE128" s="14"/>
      <c r="AG128" s="17"/>
      <c r="AH128" s="13"/>
      <c r="AI128" s="13"/>
      <c r="AJ128" s="14"/>
      <c r="AL128" s="17"/>
      <c r="AM128" s="13"/>
      <c r="AN128" s="13"/>
      <c r="AO128" s="14"/>
      <c r="AQ128" s="2">
        <v>10</v>
      </c>
    </row>
    <row r="129" spans="2:43" ht="18" customHeight="1" x14ac:dyDescent="0.2">
      <c r="B129" s="10">
        <v>129</v>
      </c>
      <c r="C129" s="10">
        <v>4</v>
      </c>
      <c r="D129" s="10">
        <v>8</v>
      </c>
      <c r="E129" s="10">
        <v>0</v>
      </c>
      <c r="F129" s="10" t="s">
        <v>260</v>
      </c>
      <c r="G129" s="10" t="s">
        <v>132</v>
      </c>
      <c r="H129" s="10" t="s">
        <v>132</v>
      </c>
      <c r="I129" s="10" t="s">
        <v>132</v>
      </c>
      <c r="J129" s="10" t="s">
        <v>123</v>
      </c>
      <c r="K129" s="10" t="s">
        <v>138</v>
      </c>
      <c r="L129" s="51" t="s">
        <v>146</v>
      </c>
      <c r="M129" s="11" t="s">
        <v>323</v>
      </c>
      <c r="O129" s="18">
        <v>12</v>
      </c>
      <c r="P129" s="15">
        <v>24</v>
      </c>
      <c r="Q129" s="15">
        <v>20</v>
      </c>
      <c r="R129" s="16">
        <v>12</v>
      </c>
      <c r="T129" s="18">
        <v>12</v>
      </c>
      <c r="U129" s="16">
        <v>12</v>
      </c>
      <c r="W129" s="18"/>
      <c r="X129" s="15"/>
      <c r="Y129" s="15"/>
      <c r="Z129" s="16"/>
      <c r="AB129" s="18"/>
      <c r="AC129" s="15"/>
      <c r="AD129" s="15"/>
      <c r="AE129" s="16"/>
      <c r="AG129" s="18"/>
      <c r="AH129" s="15"/>
      <c r="AI129" s="15"/>
      <c r="AJ129" s="16"/>
      <c r="AL129" s="18"/>
      <c r="AM129" s="15"/>
      <c r="AN129" s="15"/>
      <c r="AO129" s="16"/>
      <c r="AQ129" s="2">
        <v>10</v>
      </c>
    </row>
    <row r="130" spans="2:43" ht="18" customHeight="1" x14ac:dyDescent="0.2">
      <c r="B130" s="8">
        <v>130</v>
      </c>
      <c r="C130" s="8">
        <v>4</v>
      </c>
      <c r="D130" s="8">
        <v>9</v>
      </c>
      <c r="E130" s="8">
        <v>20</v>
      </c>
      <c r="F130" s="64" t="s">
        <v>122</v>
      </c>
      <c r="G130" s="39" t="s">
        <v>123</v>
      </c>
      <c r="H130" s="8" t="s">
        <v>123</v>
      </c>
      <c r="I130" s="8" t="s">
        <v>123</v>
      </c>
      <c r="J130" s="39" t="s">
        <v>132</v>
      </c>
      <c r="K130" s="8" t="s">
        <v>138</v>
      </c>
      <c r="L130" s="9" t="s">
        <v>313</v>
      </c>
      <c r="M130" s="9" t="s">
        <v>324</v>
      </c>
      <c r="O130" s="17">
        <v>12</v>
      </c>
      <c r="P130" s="13">
        <v>24</v>
      </c>
      <c r="Q130" s="13">
        <v>20</v>
      </c>
      <c r="R130" s="14">
        <v>12</v>
      </c>
      <c r="T130" s="17">
        <v>8</v>
      </c>
      <c r="U130" s="14">
        <v>0</v>
      </c>
      <c r="W130" s="17"/>
      <c r="X130" s="13"/>
      <c r="Y130" s="13"/>
      <c r="Z130" s="14"/>
      <c r="AB130" s="17"/>
      <c r="AC130" s="13"/>
      <c r="AD130" s="13"/>
      <c r="AE130" s="14"/>
      <c r="AG130" s="17"/>
      <c r="AH130" s="13"/>
      <c r="AI130" s="13"/>
      <c r="AJ130" s="14"/>
      <c r="AL130" s="17"/>
      <c r="AM130" s="13"/>
      <c r="AN130" s="13"/>
      <c r="AO130" s="14"/>
      <c r="AQ130" s="2">
        <v>10</v>
      </c>
    </row>
    <row r="131" spans="2:43" ht="18" customHeight="1" x14ac:dyDescent="0.2">
      <c r="B131" s="10">
        <v>131</v>
      </c>
      <c r="C131" s="10">
        <v>4</v>
      </c>
      <c r="D131" s="10">
        <v>10</v>
      </c>
      <c r="E131" s="10">
        <v>0</v>
      </c>
      <c r="F131" s="10" t="s">
        <v>131</v>
      </c>
      <c r="G131" s="10" t="s">
        <v>132</v>
      </c>
      <c r="H131" s="10" t="s">
        <v>132</v>
      </c>
      <c r="I131" s="10" t="s">
        <v>132</v>
      </c>
      <c r="J131" s="10" t="s">
        <v>123</v>
      </c>
      <c r="K131" s="10" t="s">
        <v>138</v>
      </c>
      <c r="L131" s="51" t="s">
        <v>134</v>
      </c>
      <c r="M131" s="11" t="s">
        <v>325</v>
      </c>
      <c r="O131" s="18">
        <v>12</v>
      </c>
      <c r="P131" s="15">
        <v>24</v>
      </c>
      <c r="Q131" s="15">
        <v>20</v>
      </c>
      <c r="R131" s="16">
        <v>12</v>
      </c>
      <c r="T131" s="18">
        <v>12</v>
      </c>
      <c r="U131" s="16">
        <v>12</v>
      </c>
      <c r="W131" s="18"/>
      <c r="X131" s="15"/>
      <c r="Y131" s="15"/>
      <c r="Z131" s="16"/>
      <c r="AB131" s="18"/>
      <c r="AC131" s="15"/>
      <c r="AD131" s="15"/>
      <c r="AE131" s="16"/>
      <c r="AG131" s="18"/>
      <c r="AH131" s="15"/>
      <c r="AI131" s="15"/>
      <c r="AJ131" s="16"/>
      <c r="AL131" s="18"/>
      <c r="AM131" s="15"/>
      <c r="AN131" s="15"/>
      <c r="AO131" s="16"/>
      <c r="AQ131" s="2">
        <v>10</v>
      </c>
    </row>
    <row r="132" spans="2:43" ht="18" customHeight="1" x14ac:dyDescent="0.2">
      <c r="B132" s="8">
        <v>132</v>
      </c>
      <c r="C132" s="8">
        <v>4</v>
      </c>
      <c r="D132" s="8">
        <v>11</v>
      </c>
      <c r="E132" s="8">
        <v>6</v>
      </c>
      <c r="F132" s="64" t="s">
        <v>235</v>
      </c>
      <c r="G132" s="8" t="s">
        <v>132</v>
      </c>
      <c r="H132" s="8" t="s">
        <v>132</v>
      </c>
      <c r="I132" s="8" t="s">
        <v>132</v>
      </c>
      <c r="J132" s="39" t="s">
        <v>123</v>
      </c>
      <c r="K132" s="8" t="s">
        <v>138</v>
      </c>
      <c r="L132" s="9" t="s">
        <v>236</v>
      </c>
      <c r="M132" s="9" t="s">
        <v>326</v>
      </c>
      <c r="O132" s="17">
        <v>12</v>
      </c>
      <c r="P132" s="13">
        <v>24</v>
      </c>
      <c r="Q132" s="13">
        <v>20</v>
      </c>
      <c r="R132" s="14">
        <v>12</v>
      </c>
      <c r="T132" s="17">
        <v>12</v>
      </c>
      <c r="U132" s="14">
        <v>12</v>
      </c>
      <c r="W132" s="17"/>
      <c r="X132" s="13"/>
      <c r="Y132" s="13"/>
      <c r="Z132" s="14"/>
      <c r="AB132" s="17"/>
      <c r="AC132" s="13"/>
      <c r="AD132" s="13"/>
      <c r="AE132" s="14"/>
      <c r="AG132" s="17"/>
      <c r="AH132" s="13"/>
      <c r="AI132" s="13"/>
      <c r="AJ132" s="14"/>
      <c r="AL132" s="17"/>
      <c r="AM132" s="13"/>
      <c r="AN132" s="13"/>
      <c r="AO132" s="14"/>
      <c r="AQ132" s="2">
        <v>10</v>
      </c>
    </row>
    <row r="133" spans="2:43" ht="18" customHeight="1" x14ac:dyDescent="0.2">
      <c r="B133" s="10">
        <v>133</v>
      </c>
      <c r="C133" s="10">
        <v>4</v>
      </c>
      <c r="D133" s="10">
        <v>12</v>
      </c>
      <c r="E133" s="10">
        <v>0</v>
      </c>
      <c r="F133" s="10" t="s">
        <v>128</v>
      </c>
      <c r="G133" s="10" t="s">
        <v>132</v>
      </c>
      <c r="H133" s="10" t="s">
        <v>132</v>
      </c>
      <c r="I133" s="38" t="s">
        <v>123</v>
      </c>
      <c r="J133" s="10" t="s">
        <v>123</v>
      </c>
      <c r="K133" s="10" t="s">
        <v>138</v>
      </c>
      <c r="L133" s="51" t="s">
        <v>161</v>
      </c>
      <c r="M133" s="11" t="s">
        <v>327</v>
      </c>
      <c r="O133" s="18">
        <v>12</v>
      </c>
      <c r="P133" s="15">
        <v>24</v>
      </c>
      <c r="Q133" s="15">
        <v>20</v>
      </c>
      <c r="R133" s="16">
        <v>12</v>
      </c>
      <c r="T133" s="18">
        <v>12</v>
      </c>
      <c r="U133" s="16">
        <v>2</v>
      </c>
      <c r="W133" s="18"/>
      <c r="X133" s="15"/>
      <c r="Y133" s="15"/>
      <c r="Z133" s="16"/>
      <c r="AB133" s="18"/>
      <c r="AC133" s="15"/>
      <c r="AD133" s="15"/>
      <c r="AE133" s="16"/>
      <c r="AG133" s="18"/>
      <c r="AH133" s="15"/>
      <c r="AI133" s="15"/>
      <c r="AJ133" s="16"/>
      <c r="AL133" s="18"/>
      <c r="AM133" s="15"/>
      <c r="AN133" s="15"/>
      <c r="AO133" s="16"/>
      <c r="AQ133" s="2">
        <v>10</v>
      </c>
    </row>
    <row r="134" spans="2:43" ht="18" customHeight="1" x14ac:dyDescent="0.2">
      <c r="B134" s="8">
        <v>134</v>
      </c>
      <c r="C134" s="8">
        <v>4</v>
      </c>
      <c r="D134" s="8">
        <v>13</v>
      </c>
      <c r="E134" s="8">
        <v>14</v>
      </c>
      <c r="F134" s="64" t="s">
        <v>122</v>
      </c>
      <c r="G134" s="8" t="s">
        <v>132</v>
      </c>
      <c r="H134" s="8" t="s">
        <v>123</v>
      </c>
      <c r="I134" s="8" t="s">
        <v>123</v>
      </c>
      <c r="J134" s="39" t="s">
        <v>123</v>
      </c>
      <c r="K134" s="8" t="s">
        <v>138</v>
      </c>
      <c r="L134" s="9" t="s">
        <v>139</v>
      </c>
      <c r="M134" s="9" t="s">
        <v>328</v>
      </c>
      <c r="O134" s="17">
        <v>12</v>
      </c>
      <c r="P134" s="13">
        <v>24</v>
      </c>
      <c r="Q134" s="13">
        <v>20</v>
      </c>
      <c r="R134" s="14">
        <v>12</v>
      </c>
      <c r="T134" s="17">
        <v>3</v>
      </c>
      <c r="U134" s="14">
        <v>1</v>
      </c>
      <c r="W134" s="17"/>
      <c r="X134" s="13"/>
      <c r="Y134" s="13"/>
      <c r="Z134" s="14"/>
      <c r="AB134" s="17"/>
      <c r="AC134" s="13"/>
      <c r="AD134" s="13"/>
      <c r="AE134" s="14"/>
      <c r="AG134" s="17"/>
      <c r="AH134" s="13"/>
      <c r="AI134" s="13"/>
      <c r="AJ134" s="14"/>
      <c r="AL134" s="17"/>
      <c r="AM134" s="13"/>
      <c r="AN134" s="13"/>
      <c r="AO134" s="14"/>
      <c r="AQ134" s="2">
        <v>10</v>
      </c>
    </row>
    <row r="135" spans="2:43" ht="18" customHeight="1" x14ac:dyDescent="0.2">
      <c r="B135" s="10">
        <v>135</v>
      </c>
      <c r="C135" s="10">
        <v>4</v>
      </c>
      <c r="D135" s="10">
        <v>14</v>
      </c>
      <c r="E135" s="10">
        <v>0</v>
      </c>
      <c r="F135" s="10" t="s">
        <v>122</v>
      </c>
      <c r="G135" s="10" t="s">
        <v>132</v>
      </c>
      <c r="H135" s="10" t="s">
        <v>132</v>
      </c>
      <c r="I135" s="10" t="s">
        <v>132</v>
      </c>
      <c r="J135" s="10" t="s">
        <v>123</v>
      </c>
      <c r="K135" s="10" t="s">
        <v>138</v>
      </c>
      <c r="L135" s="51" t="s">
        <v>329</v>
      </c>
      <c r="M135" s="11" t="s">
        <v>330</v>
      </c>
      <c r="O135" s="18">
        <v>12</v>
      </c>
      <c r="P135" s="15">
        <v>24</v>
      </c>
      <c r="Q135" s="15">
        <v>20</v>
      </c>
      <c r="R135" s="16">
        <v>12</v>
      </c>
      <c r="T135" s="18">
        <v>12</v>
      </c>
      <c r="U135" s="16">
        <v>12</v>
      </c>
      <c r="W135" s="18"/>
      <c r="X135" s="15"/>
      <c r="Y135" s="15"/>
      <c r="Z135" s="16"/>
      <c r="AB135" s="18"/>
      <c r="AC135" s="15"/>
      <c r="AD135" s="15"/>
      <c r="AE135" s="16"/>
      <c r="AG135" s="18"/>
      <c r="AH135" s="15"/>
      <c r="AI135" s="15"/>
      <c r="AJ135" s="16"/>
      <c r="AL135" s="18"/>
      <c r="AM135" s="15"/>
      <c r="AN135" s="15"/>
      <c r="AO135" s="16"/>
      <c r="AQ135" s="2">
        <v>10</v>
      </c>
    </row>
    <row r="136" spans="2:43" ht="18" customHeight="1" x14ac:dyDescent="0.2">
      <c r="B136" s="8">
        <v>136</v>
      </c>
      <c r="C136" s="8">
        <v>4</v>
      </c>
      <c r="D136" s="8">
        <v>15</v>
      </c>
      <c r="E136" s="8">
        <v>23</v>
      </c>
      <c r="F136" s="64" t="s">
        <v>260</v>
      </c>
      <c r="G136" s="8" t="s">
        <v>132</v>
      </c>
      <c r="H136" s="8" t="s">
        <v>123</v>
      </c>
      <c r="I136" s="8" t="s">
        <v>123</v>
      </c>
      <c r="J136" s="39" t="s">
        <v>123</v>
      </c>
      <c r="K136" s="8" t="s">
        <v>138</v>
      </c>
      <c r="L136" s="9" t="s">
        <v>146</v>
      </c>
      <c r="M136" s="9" t="s">
        <v>331</v>
      </c>
      <c r="O136" s="17">
        <v>12</v>
      </c>
      <c r="P136" s="13">
        <v>24</v>
      </c>
      <c r="Q136" s="13">
        <v>20</v>
      </c>
      <c r="R136" s="14">
        <v>12</v>
      </c>
      <c r="T136" s="17">
        <v>8</v>
      </c>
      <c r="U136" s="14">
        <v>8</v>
      </c>
      <c r="W136" s="17"/>
      <c r="X136" s="13"/>
      <c r="Y136" s="13"/>
      <c r="Z136" s="14"/>
      <c r="AB136" s="17"/>
      <c r="AC136" s="13"/>
      <c r="AD136" s="13"/>
      <c r="AE136" s="14"/>
      <c r="AG136" s="17"/>
      <c r="AH136" s="13"/>
      <c r="AI136" s="13"/>
      <c r="AJ136" s="14"/>
      <c r="AL136" s="17"/>
      <c r="AM136" s="13"/>
      <c r="AN136" s="13"/>
      <c r="AO136" s="14"/>
      <c r="AQ136" s="2">
        <v>10</v>
      </c>
    </row>
    <row r="137" spans="2:43" ht="18" customHeight="1" x14ac:dyDescent="0.2">
      <c r="B137" s="10">
        <v>137</v>
      </c>
      <c r="C137" s="10">
        <v>4</v>
      </c>
      <c r="D137" s="10">
        <v>16</v>
      </c>
      <c r="E137" s="10">
        <v>20</v>
      </c>
      <c r="F137" s="10" t="s">
        <v>131</v>
      </c>
      <c r="G137" s="10" t="s">
        <v>123</v>
      </c>
      <c r="H137" s="10" t="s">
        <v>123</v>
      </c>
      <c r="I137" s="10" t="s">
        <v>123</v>
      </c>
      <c r="J137" s="10" t="s">
        <v>123</v>
      </c>
      <c r="K137" s="10" t="s">
        <v>138</v>
      </c>
      <c r="L137" s="51" t="s">
        <v>134</v>
      </c>
      <c r="M137" s="11" t="s">
        <v>332</v>
      </c>
      <c r="O137" s="18">
        <v>12</v>
      </c>
      <c r="P137" s="15">
        <v>24</v>
      </c>
      <c r="Q137" s="15">
        <v>20</v>
      </c>
      <c r="R137" s="16">
        <v>12</v>
      </c>
      <c r="T137" s="18">
        <v>0</v>
      </c>
      <c r="U137" s="16">
        <v>0</v>
      </c>
      <c r="W137" s="18"/>
      <c r="X137" s="15"/>
      <c r="Y137" s="15"/>
      <c r="Z137" s="16"/>
      <c r="AB137" s="18"/>
      <c r="AC137" s="15"/>
      <c r="AD137" s="15"/>
      <c r="AE137" s="16"/>
      <c r="AG137" s="18"/>
      <c r="AH137" s="15"/>
      <c r="AI137" s="15"/>
      <c r="AJ137" s="16"/>
      <c r="AL137" s="18"/>
      <c r="AM137" s="15"/>
      <c r="AN137" s="15"/>
      <c r="AO137" s="16"/>
      <c r="AQ137" s="2">
        <v>10</v>
      </c>
    </row>
    <row r="138" spans="2:43" ht="18" customHeight="1" x14ac:dyDescent="0.2">
      <c r="B138" s="8">
        <v>138</v>
      </c>
      <c r="C138" s="8">
        <v>4</v>
      </c>
      <c r="D138" s="8">
        <v>17</v>
      </c>
      <c r="E138" s="8">
        <v>8</v>
      </c>
      <c r="F138" s="64" t="s">
        <v>122</v>
      </c>
      <c r="G138" s="8" t="s">
        <v>132</v>
      </c>
      <c r="H138" s="8" t="s">
        <v>132</v>
      </c>
      <c r="I138" s="8" t="s">
        <v>132</v>
      </c>
      <c r="J138" s="39" t="s">
        <v>123</v>
      </c>
      <c r="K138" s="8" t="s">
        <v>138</v>
      </c>
      <c r="L138" s="9" t="s">
        <v>333</v>
      </c>
      <c r="M138" s="9" t="s">
        <v>334</v>
      </c>
      <c r="O138" s="17">
        <v>13</v>
      </c>
      <c r="P138" s="13">
        <v>24</v>
      </c>
      <c r="Q138" s="13">
        <v>20</v>
      </c>
      <c r="R138" s="14">
        <v>16</v>
      </c>
      <c r="T138" s="17">
        <v>13</v>
      </c>
      <c r="U138" s="14">
        <v>16</v>
      </c>
      <c r="W138" s="17"/>
      <c r="X138" s="13"/>
      <c r="Y138" s="13"/>
      <c r="Z138" s="14"/>
      <c r="AB138" s="17"/>
      <c r="AC138" s="13"/>
      <c r="AD138" s="13"/>
      <c r="AE138" s="14"/>
      <c r="AG138" s="17"/>
      <c r="AH138" s="13"/>
      <c r="AI138" s="13"/>
      <c r="AJ138" s="14"/>
      <c r="AL138" s="17"/>
      <c r="AM138" s="13"/>
      <c r="AN138" s="13"/>
      <c r="AO138" s="14"/>
      <c r="AQ138" s="2">
        <v>14</v>
      </c>
    </row>
    <row r="139" spans="2:43" ht="18" customHeight="1" x14ac:dyDescent="0.2">
      <c r="B139" s="10">
        <v>139</v>
      </c>
      <c r="C139" s="10">
        <v>4</v>
      </c>
      <c r="D139" s="10">
        <v>18</v>
      </c>
      <c r="E139" s="10">
        <v>0</v>
      </c>
      <c r="F139" s="10" t="s">
        <v>178</v>
      </c>
      <c r="G139" s="10" t="s">
        <v>132</v>
      </c>
      <c r="H139" s="10" t="s">
        <v>132</v>
      </c>
      <c r="I139" s="10" t="s">
        <v>132</v>
      </c>
      <c r="J139" s="10" t="s">
        <v>123</v>
      </c>
      <c r="K139" s="10" t="s">
        <v>138</v>
      </c>
      <c r="L139" s="51" t="s">
        <v>179</v>
      </c>
      <c r="M139" s="11" t="s">
        <v>335</v>
      </c>
      <c r="O139" s="18">
        <v>12</v>
      </c>
      <c r="P139" s="15">
        <v>24</v>
      </c>
      <c r="Q139" s="15">
        <v>20</v>
      </c>
      <c r="R139" s="16">
        <v>12</v>
      </c>
      <c r="T139" s="18">
        <v>12</v>
      </c>
      <c r="U139" s="16">
        <v>12</v>
      </c>
      <c r="W139" s="18"/>
      <c r="X139" s="15"/>
      <c r="Y139" s="15"/>
      <c r="Z139" s="16"/>
      <c r="AB139" s="18"/>
      <c r="AC139" s="15"/>
      <c r="AD139" s="15"/>
      <c r="AE139" s="16"/>
      <c r="AG139" s="18"/>
      <c r="AH139" s="15"/>
      <c r="AI139" s="15"/>
      <c r="AJ139" s="16"/>
      <c r="AL139" s="18"/>
      <c r="AM139" s="15"/>
      <c r="AN139" s="15"/>
      <c r="AO139" s="16"/>
      <c r="AQ139" s="2">
        <v>10</v>
      </c>
    </row>
    <row r="140" spans="2:43" ht="18" customHeight="1" x14ac:dyDescent="0.2">
      <c r="B140" s="8">
        <v>140</v>
      </c>
      <c r="C140" s="8">
        <v>4</v>
      </c>
      <c r="D140" s="8">
        <v>19</v>
      </c>
      <c r="E140" s="8">
        <v>28</v>
      </c>
      <c r="F140" s="64" t="s">
        <v>122</v>
      </c>
      <c r="G140" s="8" t="s">
        <v>123</v>
      </c>
      <c r="H140" s="8" t="s">
        <v>123</v>
      </c>
      <c r="I140" s="8" t="s">
        <v>123</v>
      </c>
      <c r="J140" s="39" t="s">
        <v>123</v>
      </c>
      <c r="K140" s="8" t="s">
        <v>138</v>
      </c>
      <c r="L140" s="9" t="s">
        <v>176</v>
      </c>
      <c r="M140" s="9" t="s">
        <v>336</v>
      </c>
      <c r="O140" s="17">
        <v>12</v>
      </c>
      <c r="P140" s="13">
        <v>24</v>
      </c>
      <c r="Q140" s="13">
        <v>20</v>
      </c>
      <c r="R140" s="14">
        <v>12</v>
      </c>
      <c r="T140" s="17">
        <v>0</v>
      </c>
      <c r="U140" s="14">
        <v>0</v>
      </c>
      <c r="W140" s="17"/>
      <c r="X140" s="13"/>
      <c r="Y140" s="13"/>
      <c r="Z140" s="14"/>
      <c r="AB140" s="17"/>
      <c r="AC140" s="13"/>
      <c r="AD140" s="13"/>
      <c r="AE140" s="14"/>
      <c r="AG140" s="17"/>
      <c r="AH140" s="13"/>
      <c r="AI140" s="13"/>
      <c r="AJ140" s="14"/>
      <c r="AL140" s="17"/>
      <c r="AM140" s="13"/>
      <c r="AN140" s="13"/>
      <c r="AO140" s="14"/>
      <c r="AQ140" s="2">
        <v>10</v>
      </c>
    </row>
    <row r="141" spans="2:43" ht="18" customHeight="1" x14ac:dyDescent="0.2">
      <c r="B141" s="10">
        <v>141</v>
      </c>
      <c r="C141" s="10">
        <v>4</v>
      </c>
      <c r="D141" s="10">
        <v>20</v>
      </c>
      <c r="E141" s="10">
        <v>0</v>
      </c>
      <c r="F141" s="10" t="s">
        <v>260</v>
      </c>
      <c r="G141" s="10" t="s">
        <v>132</v>
      </c>
      <c r="H141" s="10" t="s">
        <v>132</v>
      </c>
      <c r="I141" s="10" t="s">
        <v>132</v>
      </c>
      <c r="J141" s="10" t="s">
        <v>123</v>
      </c>
      <c r="K141" s="10" t="s">
        <v>138</v>
      </c>
      <c r="L141" s="51" t="s">
        <v>146</v>
      </c>
      <c r="M141" s="11" t="s">
        <v>337</v>
      </c>
      <c r="O141" s="18">
        <v>13</v>
      </c>
      <c r="P141" s="15">
        <v>24</v>
      </c>
      <c r="Q141" s="15">
        <v>20</v>
      </c>
      <c r="R141" s="16">
        <v>16</v>
      </c>
      <c r="T141" s="18">
        <v>13</v>
      </c>
      <c r="U141" s="16">
        <v>16</v>
      </c>
      <c r="W141" s="18"/>
      <c r="X141" s="15"/>
      <c r="Y141" s="15"/>
      <c r="Z141" s="16"/>
      <c r="AB141" s="18"/>
      <c r="AC141" s="15"/>
      <c r="AD141" s="15"/>
      <c r="AE141" s="16"/>
      <c r="AG141" s="18"/>
      <c r="AH141" s="15"/>
      <c r="AI141" s="15"/>
      <c r="AJ141" s="16"/>
      <c r="AL141" s="18"/>
      <c r="AM141" s="15"/>
      <c r="AN141" s="15"/>
      <c r="AO141" s="16"/>
      <c r="AQ141" s="2">
        <v>14</v>
      </c>
    </row>
    <row r="142" spans="2:43" ht="18" customHeight="1" x14ac:dyDescent="0.2">
      <c r="B142" s="8">
        <v>142</v>
      </c>
      <c r="C142" s="8">
        <v>4</v>
      </c>
      <c r="D142" s="8">
        <v>21</v>
      </c>
      <c r="E142" s="8">
        <v>0</v>
      </c>
      <c r="F142" s="64" t="s">
        <v>131</v>
      </c>
      <c r="G142" s="8" t="s">
        <v>132</v>
      </c>
      <c r="H142" s="8" t="s">
        <v>132</v>
      </c>
      <c r="I142" s="8" t="s">
        <v>132</v>
      </c>
      <c r="J142" s="39" t="s">
        <v>123</v>
      </c>
      <c r="K142" s="8" t="s">
        <v>138</v>
      </c>
      <c r="L142" s="9" t="s">
        <v>134</v>
      </c>
      <c r="M142" s="9" t="s">
        <v>338</v>
      </c>
      <c r="O142" s="17">
        <v>12</v>
      </c>
      <c r="P142" s="13">
        <v>24</v>
      </c>
      <c r="Q142" s="13">
        <v>20</v>
      </c>
      <c r="R142" s="14">
        <v>12</v>
      </c>
      <c r="T142" s="17">
        <v>12</v>
      </c>
      <c r="U142" s="14">
        <v>12</v>
      </c>
      <c r="W142" s="17"/>
      <c r="X142" s="13"/>
      <c r="Y142" s="13"/>
      <c r="Z142" s="14"/>
      <c r="AB142" s="17"/>
      <c r="AC142" s="13"/>
      <c r="AD142" s="13"/>
      <c r="AE142" s="14"/>
      <c r="AG142" s="17"/>
      <c r="AH142" s="13"/>
      <c r="AI142" s="13"/>
      <c r="AJ142" s="14"/>
      <c r="AL142" s="17"/>
      <c r="AM142" s="13"/>
      <c r="AN142" s="13"/>
      <c r="AO142" s="14"/>
      <c r="AQ142" s="2">
        <v>10</v>
      </c>
    </row>
    <row r="143" spans="2:43" ht="18" customHeight="1" x14ac:dyDescent="0.2">
      <c r="B143" s="10">
        <v>143</v>
      </c>
      <c r="C143" s="10">
        <v>4</v>
      </c>
      <c r="D143" s="10">
        <v>22</v>
      </c>
      <c r="E143" s="10">
        <v>16</v>
      </c>
      <c r="F143" s="10" t="s">
        <v>122</v>
      </c>
      <c r="G143" s="10" t="s">
        <v>132</v>
      </c>
      <c r="H143" s="10" t="s">
        <v>123</v>
      </c>
      <c r="I143" s="10" t="s">
        <v>123</v>
      </c>
      <c r="J143" s="10" t="s">
        <v>123</v>
      </c>
      <c r="K143" s="10" t="s">
        <v>138</v>
      </c>
      <c r="L143" s="51" t="s">
        <v>176</v>
      </c>
      <c r="M143" s="11" t="s">
        <v>339</v>
      </c>
      <c r="O143" s="18">
        <v>13</v>
      </c>
      <c r="P143" s="15">
        <v>24</v>
      </c>
      <c r="Q143" s="15">
        <v>20</v>
      </c>
      <c r="R143" s="16">
        <v>16</v>
      </c>
      <c r="T143" s="18">
        <v>12</v>
      </c>
      <c r="U143" s="16">
        <v>1</v>
      </c>
      <c r="W143" s="18"/>
      <c r="X143" s="15"/>
      <c r="Y143" s="15"/>
      <c r="Z143" s="16"/>
      <c r="AB143" s="18"/>
      <c r="AC143" s="15"/>
      <c r="AD143" s="15"/>
      <c r="AE143" s="16"/>
      <c r="AG143" s="18"/>
      <c r="AH143" s="15"/>
      <c r="AI143" s="15"/>
      <c r="AJ143" s="16"/>
      <c r="AL143" s="18"/>
      <c r="AM143" s="15"/>
      <c r="AN143" s="15"/>
      <c r="AO143" s="16"/>
      <c r="AQ143" s="2">
        <v>14</v>
      </c>
    </row>
    <row r="144" spans="2:43" ht="18" customHeight="1" x14ac:dyDescent="0.2">
      <c r="B144" s="8">
        <v>144</v>
      </c>
      <c r="C144" s="8">
        <v>4</v>
      </c>
      <c r="D144" s="8">
        <v>23</v>
      </c>
      <c r="E144" s="8">
        <v>22</v>
      </c>
      <c r="F144" s="64" t="s">
        <v>122</v>
      </c>
      <c r="G144" s="39" t="s">
        <v>123</v>
      </c>
      <c r="H144" s="8" t="s">
        <v>123</v>
      </c>
      <c r="I144" s="8" t="s">
        <v>123</v>
      </c>
      <c r="J144" s="39" t="s">
        <v>123</v>
      </c>
      <c r="K144" s="8" t="s">
        <v>138</v>
      </c>
      <c r="L144" s="9" t="s">
        <v>313</v>
      </c>
      <c r="M144" s="9" t="s">
        <v>340</v>
      </c>
      <c r="O144" s="17">
        <v>13</v>
      </c>
      <c r="P144" s="13">
        <v>24</v>
      </c>
      <c r="Q144" s="13">
        <v>20</v>
      </c>
      <c r="R144" s="14">
        <v>16</v>
      </c>
      <c r="T144" s="17">
        <v>0</v>
      </c>
      <c r="U144" s="14">
        <v>2</v>
      </c>
      <c r="W144" s="17"/>
      <c r="X144" s="13"/>
      <c r="Y144" s="13"/>
      <c r="Z144" s="14"/>
      <c r="AB144" s="17"/>
      <c r="AC144" s="13"/>
      <c r="AD144" s="13"/>
      <c r="AE144" s="14"/>
      <c r="AG144" s="17"/>
      <c r="AH144" s="13"/>
      <c r="AI144" s="13"/>
      <c r="AJ144" s="14"/>
      <c r="AL144" s="17"/>
      <c r="AM144" s="13"/>
      <c r="AN144" s="13"/>
      <c r="AO144" s="14"/>
      <c r="AQ144" s="2">
        <v>14</v>
      </c>
    </row>
    <row r="145" spans="2:43" ht="18" customHeight="1" x14ac:dyDescent="0.2">
      <c r="B145" s="10">
        <v>145</v>
      </c>
      <c r="C145" s="10">
        <v>4</v>
      </c>
      <c r="D145" s="10">
        <v>24</v>
      </c>
      <c r="E145" s="10">
        <v>22</v>
      </c>
      <c r="F145" s="10" t="s">
        <v>122</v>
      </c>
      <c r="G145" s="38" t="s">
        <v>123</v>
      </c>
      <c r="H145" s="10" t="s">
        <v>123</v>
      </c>
      <c r="I145" s="10" t="s">
        <v>123</v>
      </c>
      <c r="J145" s="10" t="s">
        <v>123</v>
      </c>
      <c r="K145" s="10" t="s">
        <v>138</v>
      </c>
      <c r="L145" s="51" t="s">
        <v>206</v>
      </c>
      <c r="M145" s="11" t="s">
        <v>341</v>
      </c>
      <c r="O145" s="18">
        <v>13</v>
      </c>
      <c r="P145" s="15">
        <v>24</v>
      </c>
      <c r="Q145" s="15">
        <v>20</v>
      </c>
      <c r="R145" s="16">
        <v>16</v>
      </c>
      <c r="T145" s="18">
        <v>0</v>
      </c>
      <c r="U145" s="16">
        <v>5</v>
      </c>
      <c r="W145" s="18"/>
      <c r="X145" s="15"/>
      <c r="Y145" s="15"/>
      <c r="Z145" s="16"/>
      <c r="AB145" s="18"/>
      <c r="AC145" s="15"/>
      <c r="AD145" s="15"/>
      <c r="AE145" s="16"/>
      <c r="AG145" s="18"/>
      <c r="AH145" s="15"/>
      <c r="AI145" s="15"/>
      <c r="AJ145" s="16"/>
      <c r="AL145" s="18"/>
      <c r="AM145" s="15"/>
      <c r="AN145" s="15"/>
      <c r="AO145" s="16"/>
      <c r="AQ145" s="2">
        <v>14</v>
      </c>
    </row>
    <row r="146" spans="2:43" ht="18" customHeight="1" x14ac:dyDescent="0.2">
      <c r="B146" s="8">
        <v>146</v>
      </c>
      <c r="C146" s="8">
        <v>4</v>
      </c>
      <c r="D146" s="8">
        <v>25</v>
      </c>
      <c r="E146" s="8">
        <v>16</v>
      </c>
      <c r="F146" s="64" t="s">
        <v>122</v>
      </c>
      <c r="G146" s="8" t="s">
        <v>132</v>
      </c>
      <c r="H146" s="8" t="s">
        <v>123</v>
      </c>
      <c r="I146" s="8" t="s">
        <v>123</v>
      </c>
      <c r="J146" s="39" t="s">
        <v>123</v>
      </c>
      <c r="K146" s="8" t="s">
        <v>138</v>
      </c>
      <c r="L146" s="9" t="s">
        <v>342</v>
      </c>
      <c r="M146" s="9" t="s">
        <v>343</v>
      </c>
      <c r="O146" s="17">
        <v>13</v>
      </c>
      <c r="P146" s="13">
        <v>24</v>
      </c>
      <c r="Q146" s="13">
        <v>20</v>
      </c>
      <c r="R146" s="14">
        <v>16</v>
      </c>
      <c r="T146" s="17">
        <v>3</v>
      </c>
      <c r="U146" s="14">
        <v>0</v>
      </c>
      <c r="W146" s="17"/>
      <c r="X146" s="13"/>
      <c r="Y146" s="13"/>
      <c r="Z146" s="14"/>
      <c r="AB146" s="17"/>
      <c r="AC146" s="13"/>
      <c r="AD146" s="13"/>
      <c r="AE146" s="14"/>
      <c r="AG146" s="17"/>
      <c r="AH146" s="13"/>
      <c r="AI146" s="13"/>
      <c r="AJ146" s="14"/>
      <c r="AL146" s="17"/>
      <c r="AM146" s="13"/>
      <c r="AN146" s="13"/>
      <c r="AO146" s="14"/>
      <c r="AQ146" s="2">
        <v>14</v>
      </c>
    </row>
    <row r="147" spans="2:43" ht="18" customHeight="1" x14ac:dyDescent="0.2">
      <c r="B147" s="10">
        <v>147</v>
      </c>
      <c r="C147" s="10">
        <v>4</v>
      </c>
      <c r="D147" s="10">
        <v>26</v>
      </c>
      <c r="E147" s="10">
        <v>19</v>
      </c>
      <c r="F147" s="10" t="s">
        <v>102</v>
      </c>
      <c r="G147" s="38" t="s">
        <v>132</v>
      </c>
      <c r="H147" s="10" t="s">
        <v>123</v>
      </c>
      <c r="I147" s="10" t="s">
        <v>123</v>
      </c>
      <c r="J147" s="10" t="s">
        <v>123</v>
      </c>
      <c r="K147" s="10" t="s">
        <v>138</v>
      </c>
      <c r="L147" s="51" t="s">
        <v>218</v>
      </c>
      <c r="M147" s="11" t="s">
        <v>344</v>
      </c>
      <c r="O147" s="18">
        <v>13</v>
      </c>
      <c r="P147" s="15">
        <v>24</v>
      </c>
      <c r="Q147" s="15">
        <v>20</v>
      </c>
      <c r="R147" s="16">
        <v>16</v>
      </c>
      <c r="T147" s="18">
        <v>6</v>
      </c>
      <c r="U147" s="16">
        <v>1</v>
      </c>
      <c r="W147" s="18"/>
      <c r="X147" s="15"/>
      <c r="Y147" s="15"/>
      <c r="Z147" s="16"/>
      <c r="AB147" s="18"/>
      <c r="AC147" s="15"/>
      <c r="AD147" s="15"/>
      <c r="AE147" s="16"/>
      <c r="AG147" s="18"/>
      <c r="AH147" s="15"/>
      <c r="AI147" s="15"/>
      <c r="AJ147" s="16"/>
      <c r="AL147" s="18"/>
      <c r="AM147" s="15"/>
      <c r="AN147" s="15"/>
      <c r="AO147" s="16"/>
      <c r="AQ147" s="2">
        <v>14</v>
      </c>
    </row>
    <row r="148" spans="2:43" ht="18" customHeight="1" x14ac:dyDescent="0.2">
      <c r="B148" s="8">
        <v>148</v>
      </c>
      <c r="C148" s="8">
        <v>4</v>
      </c>
      <c r="D148" s="8">
        <v>27</v>
      </c>
      <c r="E148" s="8">
        <v>11</v>
      </c>
      <c r="F148" s="64" t="s">
        <v>178</v>
      </c>
      <c r="G148" s="8" t="s">
        <v>132</v>
      </c>
      <c r="H148" s="8" t="s">
        <v>132</v>
      </c>
      <c r="I148" s="39" t="s">
        <v>123</v>
      </c>
      <c r="J148" s="39" t="s">
        <v>123</v>
      </c>
      <c r="K148" s="8" t="s">
        <v>138</v>
      </c>
      <c r="L148" s="9" t="s">
        <v>179</v>
      </c>
      <c r="M148" s="9" t="s">
        <v>345</v>
      </c>
      <c r="O148" s="17">
        <v>13</v>
      </c>
      <c r="P148" s="13">
        <v>24</v>
      </c>
      <c r="Q148" s="13">
        <v>20</v>
      </c>
      <c r="R148" s="14">
        <v>16</v>
      </c>
      <c r="T148" s="17">
        <v>13</v>
      </c>
      <c r="U148" s="14">
        <v>11</v>
      </c>
      <c r="W148" s="17"/>
      <c r="X148" s="13"/>
      <c r="Y148" s="13"/>
      <c r="Z148" s="14"/>
      <c r="AB148" s="17"/>
      <c r="AC148" s="13"/>
      <c r="AD148" s="13"/>
      <c r="AE148" s="14"/>
      <c r="AG148" s="17"/>
      <c r="AH148" s="13"/>
      <c r="AI148" s="13"/>
      <c r="AJ148" s="14"/>
      <c r="AL148" s="17"/>
      <c r="AM148" s="13"/>
      <c r="AN148" s="13"/>
      <c r="AO148" s="14"/>
      <c r="AQ148" s="2">
        <v>14</v>
      </c>
    </row>
    <row r="149" spans="2:43" ht="18" customHeight="1" x14ac:dyDescent="0.2">
      <c r="B149" s="10">
        <v>149</v>
      </c>
      <c r="C149" s="10">
        <v>4</v>
      </c>
      <c r="D149" s="10">
        <v>28</v>
      </c>
      <c r="E149" s="10">
        <v>0</v>
      </c>
      <c r="F149" s="10" t="s">
        <v>122</v>
      </c>
      <c r="G149" s="10" t="s">
        <v>132</v>
      </c>
      <c r="H149" s="10" t="s">
        <v>132</v>
      </c>
      <c r="I149" s="10" t="s">
        <v>132</v>
      </c>
      <c r="J149" s="10" t="s">
        <v>123</v>
      </c>
      <c r="K149" s="10" t="s">
        <v>138</v>
      </c>
      <c r="L149" s="51" t="s">
        <v>313</v>
      </c>
      <c r="M149" s="11" t="s">
        <v>346</v>
      </c>
      <c r="O149" s="18">
        <v>13</v>
      </c>
      <c r="P149" s="15">
        <v>24</v>
      </c>
      <c r="Q149" s="15">
        <v>20</v>
      </c>
      <c r="R149" s="16">
        <v>16</v>
      </c>
      <c r="T149" s="18">
        <v>13</v>
      </c>
      <c r="U149" s="16">
        <v>16</v>
      </c>
      <c r="W149" s="18"/>
      <c r="X149" s="15"/>
      <c r="Y149" s="15"/>
      <c r="Z149" s="16"/>
      <c r="AB149" s="18"/>
      <c r="AC149" s="15"/>
      <c r="AD149" s="15"/>
      <c r="AE149" s="16"/>
      <c r="AG149" s="18"/>
      <c r="AH149" s="15"/>
      <c r="AI149" s="15"/>
      <c r="AJ149" s="16"/>
      <c r="AL149" s="18"/>
      <c r="AM149" s="15"/>
      <c r="AN149" s="15"/>
      <c r="AO149" s="16"/>
      <c r="AQ149" s="2">
        <v>14</v>
      </c>
    </row>
    <row r="150" spans="2:43" ht="18" customHeight="1" x14ac:dyDescent="0.2">
      <c r="B150" s="8">
        <v>150</v>
      </c>
      <c r="C150" s="8">
        <v>4</v>
      </c>
      <c r="D150" s="8">
        <v>29</v>
      </c>
      <c r="E150" s="8">
        <v>28</v>
      </c>
      <c r="F150" s="64" t="s">
        <v>260</v>
      </c>
      <c r="G150" s="8" t="s">
        <v>123</v>
      </c>
      <c r="H150" s="8" t="s">
        <v>123</v>
      </c>
      <c r="I150" s="8" t="s">
        <v>123</v>
      </c>
      <c r="J150" s="39" t="s">
        <v>123</v>
      </c>
      <c r="K150" s="8" t="s">
        <v>138</v>
      </c>
      <c r="L150" s="9" t="s">
        <v>146</v>
      </c>
      <c r="M150" s="9" t="s">
        <v>347</v>
      </c>
      <c r="O150" s="17">
        <v>13</v>
      </c>
      <c r="P150" s="13">
        <v>24</v>
      </c>
      <c r="Q150" s="13">
        <v>20</v>
      </c>
      <c r="R150" s="14">
        <v>16</v>
      </c>
      <c r="T150" s="17">
        <v>0</v>
      </c>
      <c r="U150" s="14">
        <v>0</v>
      </c>
      <c r="W150" s="17"/>
      <c r="X150" s="13"/>
      <c r="Y150" s="13"/>
      <c r="Z150" s="14"/>
      <c r="AB150" s="17"/>
      <c r="AC150" s="13"/>
      <c r="AD150" s="13"/>
      <c r="AE150" s="14"/>
      <c r="AG150" s="17"/>
      <c r="AH150" s="13"/>
      <c r="AI150" s="13"/>
      <c r="AJ150" s="14"/>
      <c r="AL150" s="17"/>
      <c r="AM150" s="13"/>
      <c r="AN150" s="13"/>
      <c r="AO150" s="14"/>
      <c r="AQ150" s="2">
        <v>14</v>
      </c>
    </row>
    <row r="151" spans="2:43" ht="18" customHeight="1" x14ac:dyDescent="0.2">
      <c r="B151" s="10">
        <v>151</v>
      </c>
      <c r="C151" s="10">
        <v>4</v>
      </c>
      <c r="D151" s="10">
        <v>30</v>
      </c>
      <c r="E151" s="10">
        <v>12</v>
      </c>
      <c r="F151" s="10" t="s">
        <v>131</v>
      </c>
      <c r="G151" s="10" t="s">
        <v>132</v>
      </c>
      <c r="H151" s="10" t="s">
        <v>123</v>
      </c>
      <c r="I151" s="10" t="s">
        <v>123</v>
      </c>
      <c r="J151" s="10" t="s">
        <v>123</v>
      </c>
      <c r="K151" s="10" t="s">
        <v>138</v>
      </c>
      <c r="L151" s="51" t="s">
        <v>134</v>
      </c>
      <c r="M151" s="11" t="s">
        <v>348</v>
      </c>
      <c r="O151" s="18">
        <v>13</v>
      </c>
      <c r="P151" s="15">
        <v>24</v>
      </c>
      <c r="Q151" s="15">
        <v>20</v>
      </c>
      <c r="R151" s="16">
        <v>16</v>
      </c>
      <c r="T151" s="18">
        <v>8</v>
      </c>
      <c r="U151" s="16">
        <v>3</v>
      </c>
      <c r="W151" s="18"/>
      <c r="X151" s="15"/>
      <c r="Y151" s="15"/>
      <c r="Z151" s="16"/>
      <c r="AB151" s="18"/>
      <c r="AC151" s="15"/>
      <c r="AD151" s="15"/>
      <c r="AE151" s="16"/>
      <c r="AG151" s="18"/>
      <c r="AH151" s="15"/>
      <c r="AI151" s="15"/>
      <c r="AJ151" s="16"/>
      <c r="AL151" s="18"/>
      <c r="AM151" s="15"/>
      <c r="AN151" s="15"/>
      <c r="AO151" s="16"/>
      <c r="AQ151" s="2">
        <v>14</v>
      </c>
    </row>
    <row r="152" spans="2:43" ht="18" customHeight="1" x14ac:dyDescent="0.2">
      <c r="B152" s="8">
        <v>152</v>
      </c>
      <c r="C152" s="8">
        <v>4</v>
      </c>
      <c r="D152" s="8">
        <v>31</v>
      </c>
      <c r="E152" s="8">
        <v>6</v>
      </c>
      <c r="F152" s="64" t="s">
        <v>235</v>
      </c>
      <c r="G152" s="8" t="s">
        <v>132</v>
      </c>
      <c r="H152" s="8" t="s">
        <v>132</v>
      </c>
      <c r="I152" s="8" t="s">
        <v>132</v>
      </c>
      <c r="J152" s="39" t="s">
        <v>123</v>
      </c>
      <c r="K152" s="8" t="s">
        <v>138</v>
      </c>
      <c r="L152" s="9" t="s">
        <v>236</v>
      </c>
      <c r="M152" s="9" t="s">
        <v>349</v>
      </c>
      <c r="O152" s="17">
        <v>13</v>
      </c>
      <c r="P152" s="13">
        <v>24</v>
      </c>
      <c r="Q152" s="13">
        <v>20</v>
      </c>
      <c r="R152" s="14">
        <v>16</v>
      </c>
      <c r="T152" s="17">
        <v>13</v>
      </c>
      <c r="U152" s="14">
        <v>16</v>
      </c>
      <c r="W152" s="17"/>
      <c r="X152" s="13"/>
      <c r="Y152" s="13"/>
      <c r="Z152" s="14"/>
      <c r="AB152" s="17"/>
      <c r="AC152" s="13"/>
      <c r="AD152" s="13"/>
      <c r="AE152" s="14"/>
      <c r="AG152" s="17"/>
      <c r="AH152" s="13"/>
      <c r="AI152" s="13"/>
      <c r="AJ152" s="14"/>
      <c r="AL152" s="17"/>
      <c r="AM152" s="13"/>
      <c r="AN152" s="13"/>
      <c r="AO152" s="14"/>
      <c r="AQ152" s="2">
        <v>14</v>
      </c>
    </row>
    <row r="153" spans="2:43" ht="18" customHeight="1" x14ac:dyDescent="0.2">
      <c r="B153" s="10">
        <v>153</v>
      </c>
      <c r="C153" s="10">
        <v>4</v>
      </c>
      <c r="D153" s="10">
        <v>32</v>
      </c>
      <c r="E153" s="10">
        <v>15</v>
      </c>
      <c r="F153" s="10" t="s">
        <v>235</v>
      </c>
      <c r="G153" s="10" t="s">
        <v>123</v>
      </c>
      <c r="H153" s="10" t="s">
        <v>123</v>
      </c>
      <c r="I153" s="10" t="s">
        <v>123</v>
      </c>
      <c r="J153" s="10" t="s">
        <v>123</v>
      </c>
      <c r="K153" s="10" t="s">
        <v>138</v>
      </c>
      <c r="L153" s="51" t="s">
        <v>236</v>
      </c>
      <c r="M153" s="11" t="s">
        <v>350</v>
      </c>
      <c r="O153" s="18">
        <v>13</v>
      </c>
      <c r="P153" s="15">
        <v>24</v>
      </c>
      <c r="Q153" s="15">
        <v>20</v>
      </c>
      <c r="R153" s="16">
        <v>16</v>
      </c>
      <c r="T153" s="18">
        <v>0</v>
      </c>
      <c r="U153" s="16">
        <v>4</v>
      </c>
      <c r="W153" s="18"/>
      <c r="X153" s="15"/>
      <c r="Y153" s="15"/>
      <c r="Z153" s="16"/>
      <c r="AB153" s="18"/>
      <c r="AC153" s="15"/>
      <c r="AD153" s="15"/>
      <c r="AE153" s="16"/>
      <c r="AG153" s="18"/>
      <c r="AH153" s="15"/>
      <c r="AI153" s="15"/>
      <c r="AJ153" s="16"/>
      <c r="AL153" s="18"/>
      <c r="AM153" s="15"/>
      <c r="AN153" s="15"/>
      <c r="AO153" s="16"/>
      <c r="AQ153" s="2">
        <v>14</v>
      </c>
    </row>
    <row r="154" spans="2:43" ht="18" customHeight="1" x14ac:dyDescent="0.2">
      <c r="B154" s="8">
        <v>154</v>
      </c>
      <c r="C154" s="8">
        <v>4</v>
      </c>
      <c r="D154" s="8">
        <v>33</v>
      </c>
      <c r="E154" s="8">
        <v>20</v>
      </c>
      <c r="F154" s="64" t="s">
        <v>131</v>
      </c>
      <c r="G154" s="39" t="s">
        <v>123</v>
      </c>
      <c r="H154" s="8" t="s">
        <v>123</v>
      </c>
      <c r="I154" s="8" t="s">
        <v>123</v>
      </c>
      <c r="J154" s="39" t="s">
        <v>123</v>
      </c>
      <c r="K154" s="8" t="s">
        <v>138</v>
      </c>
      <c r="L154" s="9" t="s">
        <v>134</v>
      </c>
      <c r="M154" s="9" t="s">
        <v>351</v>
      </c>
      <c r="O154" s="17">
        <v>13</v>
      </c>
      <c r="P154" s="13">
        <v>24</v>
      </c>
      <c r="Q154" s="13">
        <v>20</v>
      </c>
      <c r="R154" s="14">
        <v>16</v>
      </c>
      <c r="T154" s="17">
        <v>6</v>
      </c>
      <c r="U154" s="14">
        <v>2</v>
      </c>
      <c r="W154" s="17"/>
      <c r="X154" s="13"/>
      <c r="Y154" s="13"/>
      <c r="Z154" s="14"/>
      <c r="AB154" s="17"/>
      <c r="AC154" s="13"/>
      <c r="AD154" s="13"/>
      <c r="AE154" s="14"/>
      <c r="AG154" s="17"/>
      <c r="AH154" s="13"/>
      <c r="AI154" s="13"/>
      <c r="AJ154" s="14"/>
      <c r="AL154" s="17"/>
      <c r="AM154" s="13"/>
      <c r="AN154" s="13"/>
      <c r="AO154" s="14"/>
      <c r="AQ154" s="2">
        <v>14</v>
      </c>
    </row>
    <row r="155" spans="2:43" ht="18" customHeight="1" x14ac:dyDescent="0.2">
      <c r="B155" s="10">
        <v>155</v>
      </c>
      <c r="C155" s="10">
        <v>4</v>
      </c>
      <c r="D155" s="10">
        <v>34</v>
      </c>
      <c r="E155" s="10">
        <v>0</v>
      </c>
      <c r="F155" s="10" t="s">
        <v>122</v>
      </c>
      <c r="G155" s="10" t="s">
        <v>132</v>
      </c>
      <c r="H155" s="10" t="s">
        <v>132</v>
      </c>
      <c r="I155" s="10" t="s">
        <v>132</v>
      </c>
      <c r="J155" s="10" t="s">
        <v>123</v>
      </c>
      <c r="K155" s="10" t="s">
        <v>138</v>
      </c>
      <c r="L155" s="51" t="s">
        <v>352</v>
      </c>
      <c r="M155" s="11" t="s">
        <v>353</v>
      </c>
      <c r="O155" s="18">
        <v>13</v>
      </c>
      <c r="P155" s="15">
        <v>24</v>
      </c>
      <c r="Q155" s="15">
        <v>20</v>
      </c>
      <c r="R155" s="16">
        <v>16</v>
      </c>
      <c r="T155" s="18">
        <v>13</v>
      </c>
      <c r="U155" s="16">
        <v>16</v>
      </c>
      <c r="W155" s="18"/>
      <c r="X155" s="15"/>
      <c r="Y155" s="15"/>
      <c r="Z155" s="16"/>
      <c r="AB155" s="18"/>
      <c r="AC155" s="15"/>
      <c r="AD155" s="15"/>
      <c r="AE155" s="16"/>
      <c r="AG155" s="18"/>
      <c r="AH155" s="15"/>
      <c r="AI155" s="15"/>
      <c r="AJ155" s="16"/>
      <c r="AL155" s="18"/>
      <c r="AM155" s="15"/>
      <c r="AN155" s="15"/>
      <c r="AO155" s="16"/>
      <c r="AQ155" s="2">
        <v>14</v>
      </c>
    </row>
    <row r="156" spans="2:43" ht="18" customHeight="1" x14ac:dyDescent="0.2">
      <c r="B156" s="8">
        <v>156</v>
      </c>
      <c r="C156" s="8">
        <v>4</v>
      </c>
      <c r="D156" s="8">
        <v>35</v>
      </c>
      <c r="E156" s="8">
        <v>0</v>
      </c>
      <c r="F156" s="64" t="s">
        <v>122</v>
      </c>
      <c r="G156" s="8" t="s">
        <v>132</v>
      </c>
      <c r="H156" s="8" t="s">
        <v>123</v>
      </c>
      <c r="I156" s="8" t="s">
        <v>123</v>
      </c>
      <c r="J156" s="39" t="s">
        <v>123</v>
      </c>
      <c r="K156" s="8" t="s">
        <v>138</v>
      </c>
      <c r="L156" s="9" t="s">
        <v>354</v>
      </c>
      <c r="M156" s="9" t="s">
        <v>355</v>
      </c>
      <c r="O156" s="17">
        <v>13</v>
      </c>
      <c r="P156" s="13">
        <v>24</v>
      </c>
      <c r="Q156" s="13">
        <v>20</v>
      </c>
      <c r="R156" s="14">
        <v>16</v>
      </c>
      <c r="T156" s="17">
        <v>8</v>
      </c>
      <c r="U156" s="14">
        <v>6</v>
      </c>
      <c r="W156" s="17"/>
      <c r="X156" s="13"/>
      <c r="Y156" s="13"/>
      <c r="Z156" s="14"/>
      <c r="AB156" s="17"/>
      <c r="AC156" s="13"/>
      <c r="AD156" s="13"/>
      <c r="AE156" s="14"/>
      <c r="AG156" s="17"/>
      <c r="AH156" s="13"/>
      <c r="AI156" s="13"/>
      <c r="AJ156" s="14"/>
      <c r="AL156" s="17"/>
      <c r="AM156" s="13"/>
      <c r="AN156" s="13"/>
      <c r="AO156" s="14"/>
      <c r="AQ156" s="2">
        <v>14</v>
      </c>
    </row>
    <row r="157" spans="2:43" ht="18" customHeight="1" x14ac:dyDescent="0.2">
      <c r="B157" s="10">
        <v>157</v>
      </c>
      <c r="C157" s="10">
        <v>4</v>
      </c>
      <c r="D157" s="10">
        <v>36</v>
      </c>
      <c r="E157" s="10">
        <v>21</v>
      </c>
      <c r="F157" s="10" t="s">
        <v>122</v>
      </c>
      <c r="G157" s="10" t="s">
        <v>132</v>
      </c>
      <c r="H157" s="10" t="s">
        <v>123</v>
      </c>
      <c r="I157" s="10" t="s">
        <v>123</v>
      </c>
      <c r="J157" s="10" t="s">
        <v>123</v>
      </c>
      <c r="K157" s="10" t="s">
        <v>138</v>
      </c>
      <c r="L157" s="51" t="s">
        <v>356</v>
      </c>
      <c r="M157" s="11" t="s">
        <v>357</v>
      </c>
      <c r="O157" s="18">
        <v>13</v>
      </c>
      <c r="P157" s="15">
        <v>24</v>
      </c>
      <c r="Q157" s="15">
        <v>20</v>
      </c>
      <c r="R157" s="16">
        <v>16</v>
      </c>
      <c r="T157" s="18">
        <v>3</v>
      </c>
      <c r="U157" s="16">
        <v>2</v>
      </c>
      <c r="W157" s="18"/>
      <c r="X157" s="15"/>
      <c r="Y157" s="15"/>
      <c r="Z157" s="16"/>
      <c r="AB157" s="18"/>
      <c r="AC157" s="15"/>
      <c r="AD157" s="15"/>
      <c r="AE157" s="16"/>
      <c r="AG157" s="18"/>
      <c r="AH157" s="15"/>
      <c r="AI157" s="15"/>
      <c r="AJ157" s="16"/>
      <c r="AL157" s="18"/>
      <c r="AM157" s="15"/>
      <c r="AN157" s="15"/>
      <c r="AO157" s="16"/>
      <c r="AQ157" s="2">
        <v>14</v>
      </c>
    </row>
    <row r="158" spans="2:43" ht="18" customHeight="1" x14ac:dyDescent="0.2">
      <c r="B158" s="8">
        <v>158</v>
      </c>
      <c r="C158" s="8">
        <v>4</v>
      </c>
      <c r="D158" s="8">
        <v>37</v>
      </c>
      <c r="E158" s="8">
        <v>14</v>
      </c>
      <c r="F158" s="64" t="s">
        <v>102</v>
      </c>
      <c r="G158" s="8" t="s">
        <v>132</v>
      </c>
      <c r="H158" s="8" t="s">
        <v>132</v>
      </c>
      <c r="I158" s="39" t="s">
        <v>123</v>
      </c>
      <c r="J158" s="39" t="s">
        <v>123</v>
      </c>
      <c r="K158" s="8" t="s">
        <v>138</v>
      </c>
      <c r="L158" s="9" t="s">
        <v>218</v>
      </c>
      <c r="M158" s="9" t="s">
        <v>358</v>
      </c>
      <c r="O158" s="17">
        <v>13</v>
      </c>
      <c r="P158" s="13">
        <v>24</v>
      </c>
      <c r="Q158" s="13">
        <v>20</v>
      </c>
      <c r="R158" s="14">
        <v>16</v>
      </c>
      <c r="T158" s="17">
        <v>13</v>
      </c>
      <c r="U158" s="14">
        <v>10</v>
      </c>
      <c r="W158" s="17"/>
      <c r="X158" s="13"/>
      <c r="Y158" s="13"/>
      <c r="Z158" s="14"/>
      <c r="AB158" s="17"/>
      <c r="AC158" s="13"/>
      <c r="AD158" s="13"/>
      <c r="AE158" s="14"/>
      <c r="AG158" s="17"/>
      <c r="AH158" s="13"/>
      <c r="AI158" s="13"/>
      <c r="AJ158" s="14"/>
      <c r="AL158" s="17"/>
      <c r="AM158" s="13"/>
      <c r="AN158" s="13"/>
      <c r="AO158" s="14"/>
      <c r="AQ158" s="2">
        <v>14</v>
      </c>
    </row>
    <row r="159" spans="2:43" ht="18" customHeight="1" x14ac:dyDescent="0.2">
      <c r="B159" s="10">
        <v>159</v>
      </c>
      <c r="C159" s="10">
        <v>4</v>
      </c>
      <c r="D159" s="10">
        <v>38</v>
      </c>
      <c r="E159" s="10">
        <v>18</v>
      </c>
      <c r="F159" s="10" t="s">
        <v>122</v>
      </c>
      <c r="G159" s="10" t="s">
        <v>132</v>
      </c>
      <c r="H159" s="10" t="s">
        <v>123</v>
      </c>
      <c r="I159" s="10" t="s">
        <v>123</v>
      </c>
      <c r="J159" s="10" t="s">
        <v>123</v>
      </c>
      <c r="K159" s="10" t="s">
        <v>138</v>
      </c>
      <c r="L159" s="51" t="s">
        <v>313</v>
      </c>
      <c r="M159" s="11" t="s">
        <v>359</v>
      </c>
      <c r="O159" s="18">
        <v>13</v>
      </c>
      <c r="P159" s="15">
        <v>24</v>
      </c>
      <c r="Q159" s="15">
        <v>20</v>
      </c>
      <c r="R159" s="16">
        <v>16</v>
      </c>
      <c r="T159" s="18">
        <v>0</v>
      </c>
      <c r="U159" s="16">
        <v>5</v>
      </c>
      <c r="W159" s="18"/>
      <c r="X159" s="15"/>
      <c r="Y159" s="15"/>
      <c r="Z159" s="16"/>
      <c r="AB159" s="18"/>
      <c r="AC159" s="15"/>
      <c r="AD159" s="15"/>
      <c r="AE159" s="16"/>
      <c r="AG159" s="18"/>
      <c r="AH159" s="15"/>
      <c r="AI159" s="15"/>
      <c r="AJ159" s="16"/>
      <c r="AL159" s="18"/>
      <c r="AM159" s="15"/>
      <c r="AN159" s="15"/>
      <c r="AO159" s="16"/>
      <c r="AQ159" s="2">
        <v>14</v>
      </c>
    </row>
    <row r="160" spans="2:43" ht="18" customHeight="1" x14ac:dyDescent="0.2">
      <c r="B160" s="8">
        <v>160</v>
      </c>
      <c r="C160" s="8">
        <v>4</v>
      </c>
      <c r="D160" s="8">
        <v>39</v>
      </c>
      <c r="E160" s="8">
        <v>30</v>
      </c>
      <c r="F160" s="64" t="s">
        <v>122</v>
      </c>
      <c r="G160" s="39" t="s">
        <v>123</v>
      </c>
      <c r="H160" s="39" t="s">
        <v>123</v>
      </c>
      <c r="I160" s="39" t="s">
        <v>123</v>
      </c>
      <c r="J160" s="39" t="s">
        <v>123</v>
      </c>
      <c r="K160" s="8" t="s">
        <v>138</v>
      </c>
      <c r="L160" s="9" t="s">
        <v>139</v>
      </c>
      <c r="M160" s="9" t="s">
        <v>140</v>
      </c>
      <c r="O160" s="17">
        <v>13</v>
      </c>
      <c r="P160" s="13">
        <v>24</v>
      </c>
      <c r="Q160" s="13">
        <v>20</v>
      </c>
      <c r="R160" s="14">
        <v>16</v>
      </c>
      <c r="T160" s="17">
        <v>0</v>
      </c>
      <c r="U160" s="14">
        <v>0</v>
      </c>
      <c r="W160" s="17"/>
      <c r="X160" s="13"/>
      <c r="Y160" s="13"/>
      <c r="Z160" s="14"/>
      <c r="AB160" s="17"/>
      <c r="AC160" s="13"/>
      <c r="AD160" s="13"/>
      <c r="AE160" s="14"/>
      <c r="AG160" s="17"/>
      <c r="AH160" s="13"/>
      <c r="AI160" s="13"/>
      <c r="AJ160" s="14"/>
      <c r="AL160" s="17"/>
      <c r="AM160" s="13"/>
      <c r="AN160" s="13"/>
      <c r="AO160" s="14"/>
      <c r="AQ160" s="2">
        <v>14</v>
      </c>
    </row>
    <row r="161" spans="2:43" ht="18" customHeight="1" x14ac:dyDescent="0.2">
      <c r="B161" s="10">
        <v>161</v>
      </c>
      <c r="C161" s="10">
        <v>4</v>
      </c>
      <c r="D161" s="10">
        <v>40</v>
      </c>
      <c r="E161" s="10">
        <v>25</v>
      </c>
      <c r="F161" s="10" t="s">
        <v>131</v>
      </c>
      <c r="G161" s="38" t="s">
        <v>123</v>
      </c>
      <c r="H161" s="10" t="s">
        <v>123</v>
      </c>
      <c r="I161" s="10" t="s">
        <v>123</v>
      </c>
      <c r="J161" s="10" t="s">
        <v>123</v>
      </c>
      <c r="K161" s="10" t="s">
        <v>138</v>
      </c>
      <c r="L161" s="51" t="s">
        <v>134</v>
      </c>
      <c r="M161" s="11" t="s">
        <v>360</v>
      </c>
      <c r="O161" s="18">
        <v>13</v>
      </c>
      <c r="P161" s="15">
        <v>24</v>
      </c>
      <c r="Q161" s="15">
        <v>20</v>
      </c>
      <c r="R161" s="16">
        <v>16</v>
      </c>
      <c r="T161" s="18">
        <v>0</v>
      </c>
      <c r="U161" s="16">
        <v>0</v>
      </c>
      <c r="W161" s="18"/>
      <c r="X161" s="15"/>
      <c r="Y161" s="15"/>
      <c r="Z161" s="16"/>
      <c r="AB161" s="18"/>
      <c r="AC161" s="15"/>
      <c r="AD161" s="15"/>
      <c r="AE161" s="16"/>
      <c r="AG161" s="18"/>
      <c r="AH161" s="15"/>
      <c r="AI161" s="15"/>
      <c r="AJ161" s="16"/>
      <c r="AL161" s="18"/>
      <c r="AM161" s="15"/>
      <c r="AN161" s="15"/>
      <c r="AO161" s="16"/>
      <c r="AQ161" s="2">
        <v>14</v>
      </c>
    </row>
    <row r="162" spans="2:43" ht="18" customHeight="1" x14ac:dyDescent="0.2">
      <c r="B162" s="8">
        <v>162</v>
      </c>
      <c r="C162" s="8">
        <v>4</v>
      </c>
      <c r="D162" s="8">
        <v>99</v>
      </c>
      <c r="E162" s="8">
        <v>20</v>
      </c>
      <c r="F162" s="64" t="s">
        <v>122</v>
      </c>
      <c r="G162" s="39" t="s">
        <v>123</v>
      </c>
      <c r="H162" s="39" t="s">
        <v>123</v>
      </c>
      <c r="I162" s="39" t="s">
        <v>123</v>
      </c>
      <c r="J162" s="39" t="s">
        <v>123</v>
      </c>
      <c r="K162" s="8" t="s">
        <v>138</v>
      </c>
      <c r="L162" s="9" t="s">
        <v>361</v>
      </c>
      <c r="M162" s="9" t="s">
        <v>331</v>
      </c>
      <c r="O162" s="17">
        <v>13</v>
      </c>
      <c r="P162" s="13">
        <v>24</v>
      </c>
      <c r="Q162" s="13">
        <v>20</v>
      </c>
      <c r="R162" s="14">
        <v>16</v>
      </c>
      <c r="T162" s="17">
        <v>0</v>
      </c>
      <c r="U162" s="14">
        <v>0</v>
      </c>
      <c r="W162" s="17"/>
      <c r="X162" s="13"/>
      <c r="Y162" s="13"/>
      <c r="Z162" s="14"/>
      <c r="AB162" s="17"/>
      <c r="AC162" s="13"/>
      <c r="AD162" s="13"/>
      <c r="AE162" s="14"/>
      <c r="AG162" s="17"/>
      <c r="AH162" s="13"/>
      <c r="AI162" s="13"/>
      <c r="AJ162" s="14"/>
      <c r="AL162" s="17"/>
      <c r="AM162" s="13"/>
      <c r="AN162" s="13"/>
      <c r="AO162" s="14"/>
      <c r="AQ162" s="2">
        <v>14</v>
      </c>
    </row>
    <row r="163" spans="2:43" ht="18" customHeight="1" x14ac:dyDescent="0.2">
      <c r="B163" s="10">
        <v>163</v>
      </c>
      <c r="C163" s="10">
        <v>5</v>
      </c>
      <c r="D163" s="10">
        <v>1</v>
      </c>
      <c r="E163" s="10">
        <v>0</v>
      </c>
      <c r="F163" s="10" t="s">
        <v>131</v>
      </c>
      <c r="G163" s="10" t="s">
        <v>132</v>
      </c>
      <c r="H163" s="10" t="s">
        <v>132</v>
      </c>
      <c r="I163" s="10" t="s">
        <v>132</v>
      </c>
      <c r="J163" s="10" t="s">
        <v>123</v>
      </c>
      <c r="K163" s="10" t="s">
        <v>141</v>
      </c>
      <c r="L163" s="51" t="s">
        <v>134</v>
      </c>
      <c r="M163" s="11" t="s">
        <v>362</v>
      </c>
      <c r="O163" s="18">
        <v>12</v>
      </c>
      <c r="P163" s="15">
        <v>28</v>
      </c>
      <c r="Q163" s="15">
        <v>20</v>
      </c>
      <c r="R163" s="16">
        <v>12</v>
      </c>
      <c r="T163" s="18">
        <v>12</v>
      </c>
      <c r="U163" s="16">
        <v>12</v>
      </c>
      <c r="W163" s="18"/>
      <c r="X163" s="15"/>
      <c r="Y163" s="15"/>
      <c r="Z163" s="16"/>
      <c r="AB163" s="18"/>
      <c r="AC163" s="15"/>
      <c r="AD163" s="15"/>
      <c r="AE163" s="16"/>
      <c r="AG163" s="18"/>
      <c r="AH163" s="15"/>
      <c r="AI163" s="15"/>
      <c r="AJ163" s="16"/>
      <c r="AL163" s="18"/>
      <c r="AM163" s="15"/>
      <c r="AN163" s="15"/>
      <c r="AO163" s="16"/>
      <c r="AQ163" s="2">
        <v>11</v>
      </c>
    </row>
    <row r="164" spans="2:43" ht="18" customHeight="1" x14ac:dyDescent="0.2">
      <c r="B164" s="8">
        <v>164</v>
      </c>
      <c r="C164" s="8">
        <v>5</v>
      </c>
      <c r="D164" s="8">
        <v>2</v>
      </c>
      <c r="E164" s="8">
        <v>0</v>
      </c>
      <c r="F164" s="64" t="s">
        <v>235</v>
      </c>
      <c r="G164" s="8" t="s">
        <v>132</v>
      </c>
      <c r="H164" s="8" t="s">
        <v>132</v>
      </c>
      <c r="I164" s="8" t="s">
        <v>132</v>
      </c>
      <c r="J164" s="39" t="s">
        <v>123</v>
      </c>
      <c r="K164" s="8" t="s">
        <v>141</v>
      </c>
      <c r="L164" s="9" t="s">
        <v>236</v>
      </c>
      <c r="M164" s="9" t="s">
        <v>363</v>
      </c>
      <c r="O164" s="17">
        <v>12</v>
      </c>
      <c r="P164" s="13">
        <v>28</v>
      </c>
      <c r="Q164" s="13">
        <v>20</v>
      </c>
      <c r="R164" s="14">
        <v>12</v>
      </c>
      <c r="T164" s="17">
        <v>12</v>
      </c>
      <c r="U164" s="14">
        <v>12</v>
      </c>
      <c r="W164" s="17"/>
      <c r="X164" s="13"/>
      <c r="Y164" s="13"/>
      <c r="Z164" s="14"/>
      <c r="AB164" s="17"/>
      <c r="AC164" s="13"/>
      <c r="AD164" s="13"/>
      <c r="AE164" s="14"/>
      <c r="AG164" s="17"/>
      <c r="AH164" s="13"/>
      <c r="AI164" s="13"/>
      <c r="AJ164" s="14"/>
      <c r="AL164" s="17"/>
      <c r="AM164" s="13"/>
      <c r="AN164" s="13"/>
      <c r="AO164" s="14"/>
      <c r="AQ164" s="2">
        <v>11</v>
      </c>
    </row>
    <row r="165" spans="2:43" ht="18" customHeight="1" x14ac:dyDescent="0.2">
      <c r="B165" s="10">
        <v>165</v>
      </c>
      <c r="C165" s="10">
        <v>5</v>
      </c>
      <c r="D165" s="10">
        <v>3</v>
      </c>
      <c r="E165" s="10">
        <v>0</v>
      </c>
      <c r="F165" s="10" t="s">
        <v>122</v>
      </c>
      <c r="G165" s="10" t="s">
        <v>132</v>
      </c>
      <c r="H165" s="10" t="s">
        <v>132</v>
      </c>
      <c r="I165" s="10" t="s">
        <v>132</v>
      </c>
      <c r="J165" s="10" t="s">
        <v>123</v>
      </c>
      <c r="K165" s="10" t="s">
        <v>141</v>
      </c>
      <c r="L165" s="51" t="s">
        <v>364</v>
      </c>
      <c r="M165" s="11" t="s">
        <v>365</v>
      </c>
      <c r="O165" s="18">
        <v>12</v>
      </c>
      <c r="P165" s="15">
        <v>28</v>
      </c>
      <c r="Q165" s="15">
        <v>20</v>
      </c>
      <c r="R165" s="16">
        <v>12</v>
      </c>
      <c r="T165" s="18">
        <v>12</v>
      </c>
      <c r="U165" s="16">
        <v>12</v>
      </c>
      <c r="W165" s="18"/>
      <c r="X165" s="15"/>
      <c r="Y165" s="15"/>
      <c r="Z165" s="16"/>
      <c r="AB165" s="18"/>
      <c r="AC165" s="15"/>
      <c r="AD165" s="15"/>
      <c r="AE165" s="16"/>
      <c r="AG165" s="18"/>
      <c r="AH165" s="15"/>
      <c r="AI165" s="15"/>
      <c r="AJ165" s="16"/>
      <c r="AL165" s="18"/>
      <c r="AM165" s="15"/>
      <c r="AN165" s="15"/>
      <c r="AO165" s="16"/>
      <c r="AQ165" s="2">
        <v>11</v>
      </c>
    </row>
    <row r="166" spans="2:43" ht="18" customHeight="1" x14ac:dyDescent="0.2">
      <c r="B166" s="8">
        <v>166</v>
      </c>
      <c r="C166" s="8">
        <v>5</v>
      </c>
      <c r="D166" s="8">
        <v>4</v>
      </c>
      <c r="E166" s="8">
        <v>0</v>
      </c>
      <c r="F166" s="64" t="s">
        <v>122</v>
      </c>
      <c r="G166" s="8" t="s">
        <v>132</v>
      </c>
      <c r="H166" s="8" t="s">
        <v>132</v>
      </c>
      <c r="I166" s="8" t="s">
        <v>132</v>
      </c>
      <c r="J166" s="39" t="s">
        <v>123</v>
      </c>
      <c r="K166" s="8" t="s">
        <v>141</v>
      </c>
      <c r="L166" s="9" t="s">
        <v>366</v>
      </c>
      <c r="M166" s="9" t="s">
        <v>367</v>
      </c>
      <c r="O166" s="17">
        <v>12</v>
      </c>
      <c r="P166" s="13">
        <v>28</v>
      </c>
      <c r="Q166" s="13">
        <v>20</v>
      </c>
      <c r="R166" s="14">
        <v>12</v>
      </c>
      <c r="T166" s="17">
        <v>12</v>
      </c>
      <c r="U166" s="14">
        <v>12</v>
      </c>
      <c r="W166" s="17"/>
      <c r="X166" s="13"/>
      <c r="Y166" s="13"/>
      <c r="Z166" s="14"/>
      <c r="AB166" s="17"/>
      <c r="AC166" s="13"/>
      <c r="AD166" s="13"/>
      <c r="AE166" s="14"/>
      <c r="AG166" s="17"/>
      <c r="AH166" s="13"/>
      <c r="AI166" s="13"/>
      <c r="AJ166" s="14"/>
      <c r="AL166" s="17"/>
      <c r="AM166" s="13"/>
      <c r="AN166" s="13"/>
      <c r="AO166" s="14"/>
      <c r="AQ166" s="2">
        <v>11</v>
      </c>
    </row>
    <row r="167" spans="2:43" ht="18" customHeight="1" x14ac:dyDescent="0.2">
      <c r="B167" s="10">
        <v>167</v>
      </c>
      <c r="C167" s="10">
        <v>5</v>
      </c>
      <c r="D167" s="10">
        <v>5</v>
      </c>
      <c r="E167" s="10">
        <v>21</v>
      </c>
      <c r="F167" s="10" t="s">
        <v>122</v>
      </c>
      <c r="G167" s="38" t="s">
        <v>123</v>
      </c>
      <c r="H167" s="10" t="s">
        <v>123</v>
      </c>
      <c r="I167" s="10" t="s">
        <v>123</v>
      </c>
      <c r="J167" s="10" t="s">
        <v>123</v>
      </c>
      <c r="K167" s="10" t="s">
        <v>141</v>
      </c>
      <c r="L167" s="51" t="s">
        <v>368</v>
      </c>
      <c r="M167" s="11" t="s">
        <v>369</v>
      </c>
      <c r="O167" s="18">
        <v>13</v>
      </c>
      <c r="P167" s="15">
        <v>28</v>
      </c>
      <c r="Q167" s="15">
        <v>20</v>
      </c>
      <c r="R167" s="16">
        <v>16</v>
      </c>
      <c r="T167" s="18">
        <v>6</v>
      </c>
      <c r="U167" s="16">
        <v>2</v>
      </c>
      <c r="W167" s="18"/>
      <c r="X167" s="15"/>
      <c r="Y167" s="15"/>
      <c r="Z167" s="16"/>
      <c r="AB167" s="18"/>
      <c r="AC167" s="15"/>
      <c r="AD167" s="15"/>
      <c r="AE167" s="16"/>
      <c r="AG167" s="18"/>
      <c r="AH167" s="15"/>
      <c r="AI167" s="15"/>
      <c r="AJ167" s="16"/>
      <c r="AL167" s="18"/>
      <c r="AM167" s="15"/>
      <c r="AN167" s="15"/>
      <c r="AO167" s="16"/>
      <c r="AQ167" s="2">
        <v>15</v>
      </c>
    </row>
    <row r="168" spans="2:43" ht="18" customHeight="1" x14ac:dyDescent="0.2">
      <c r="B168" s="8">
        <v>168</v>
      </c>
      <c r="C168" s="8">
        <v>5</v>
      </c>
      <c r="D168" s="8">
        <v>6</v>
      </c>
      <c r="E168" s="8">
        <v>12</v>
      </c>
      <c r="F168" s="64" t="s">
        <v>131</v>
      </c>
      <c r="G168" s="8" t="s">
        <v>132</v>
      </c>
      <c r="H168" s="8" t="s">
        <v>132</v>
      </c>
      <c r="I168" s="8" t="s">
        <v>132</v>
      </c>
      <c r="J168" s="39" t="s">
        <v>123</v>
      </c>
      <c r="K168" s="8" t="s">
        <v>141</v>
      </c>
      <c r="L168" s="9" t="s">
        <v>134</v>
      </c>
      <c r="M168" s="9" t="s">
        <v>370</v>
      </c>
      <c r="O168" s="17">
        <v>13</v>
      </c>
      <c r="P168" s="13">
        <v>28</v>
      </c>
      <c r="Q168" s="13">
        <v>20</v>
      </c>
      <c r="R168" s="14">
        <v>16</v>
      </c>
      <c r="T168" s="17">
        <v>13</v>
      </c>
      <c r="U168" s="14">
        <v>3</v>
      </c>
      <c r="W168" s="17"/>
      <c r="X168" s="13"/>
      <c r="Y168" s="13"/>
      <c r="Z168" s="14"/>
      <c r="AB168" s="17"/>
      <c r="AC168" s="13"/>
      <c r="AD168" s="13"/>
      <c r="AE168" s="14"/>
      <c r="AG168" s="17"/>
      <c r="AH168" s="13"/>
      <c r="AI168" s="13"/>
      <c r="AJ168" s="14"/>
      <c r="AL168" s="17"/>
      <c r="AM168" s="13"/>
      <c r="AN168" s="13"/>
      <c r="AO168" s="14"/>
      <c r="AQ168" s="2">
        <v>15</v>
      </c>
    </row>
    <row r="169" spans="2:43" ht="18" customHeight="1" x14ac:dyDescent="0.2">
      <c r="B169" s="10">
        <v>169</v>
      </c>
      <c r="C169" s="10">
        <v>5</v>
      </c>
      <c r="D169" s="10">
        <v>7</v>
      </c>
      <c r="E169" s="10">
        <v>23</v>
      </c>
      <c r="F169" s="10" t="s">
        <v>122</v>
      </c>
      <c r="G169" s="38" t="s">
        <v>123</v>
      </c>
      <c r="H169" s="10" t="s">
        <v>123</v>
      </c>
      <c r="I169" s="10" t="s">
        <v>123</v>
      </c>
      <c r="J169" s="10" t="s">
        <v>123</v>
      </c>
      <c r="K169" s="10" t="s">
        <v>141</v>
      </c>
      <c r="L169" s="51" t="s">
        <v>139</v>
      </c>
      <c r="M169" s="11" t="s">
        <v>371</v>
      </c>
      <c r="O169" s="18">
        <v>13</v>
      </c>
      <c r="P169" s="15">
        <v>28</v>
      </c>
      <c r="Q169" s="15">
        <v>20</v>
      </c>
      <c r="R169" s="16">
        <v>16</v>
      </c>
      <c r="T169" s="18">
        <v>6</v>
      </c>
      <c r="U169" s="16">
        <v>2</v>
      </c>
      <c r="W169" s="18"/>
      <c r="X169" s="15"/>
      <c r="Y169" s="15"/>
      <c r="Z169" s="16"/>
      <c r="AB169" s="18"/>
      <c r="AC169" s="15"/>
      <c r="AD169" s="15"/>
      <c r="AE169" s="16"/>
      <c r="AG169" s="18"/>
      <c r="AH169" s="15"/>
      <c r="AI169" s="15"/>
      <c r="AJ169" s="16"/>
      <c r="AL169" s="18"/>
      <c r="AM169" s="15"/>
      <c r="AN169" s="15"/>
      <c r="AO169" s="16"/>
      <c r="AQ169" s="2">
        <v>15</v>
      </c>
    </row>
    <row r="170" spans="2:43" ht="18" customHeight="1" x14ac:dyDescent="0.2">
      <c r="B170" s="8">
        <v>170</v>
      </c>
      <c r="C170" s="8">
        <v>5</v>
      </c>
      <c r="D170" s="8">
        <v>8</v>
      </c>
      <c r="E170" s="8">
        <v>0</v>
      </c>
      <c r="F170" s="64" t="s">
        <v>131</v>
      </c>
      <c r="G170" s="8" t="s">
        <v>132</v>
      </c>
      <c r="H170" s="8" t="s">
        <v>132</v>
      </c>
      <c r="I170" s="8" t="s">
        <v>132</v>
      </c>
      <c r="J170" s="39" t="s">
        <v>123</v>
      </c>
      <c r="K170" s="8" t="s">
        <v>141</v>
      </c>
      <c r="L170" s="9" t="s">
        <v>134</v>
      </c>
      <c r="M170" s="9" t="s">
        <v>372</v>
      </c>
      <c r="O170" s="17">
        <v>13</v>
      </c>
      <c r="P170" s="13">
        <v>28</v>
      </c>
      <c r="Q170" s="13">
        <v>20</v>
      </c>
      <c r="R170" s="14">
        <v>16</v>
      </c>
      <c r="T170" s="17">
        <v>13</v>
      </c>
      <c r="U170" s="14">
        <v>16</v>
      </c>
      <c r="W170" s="17"/>
      <c r="X170" s="13"/>
      <c r="Y170" s="13"/>
      <c r="Z170" s="14"/>
      <c r="AB170" s="17"/>
      <c r="AC170" s="13"/>
      <c r="AD170" s="13"/>
      <c r="AE170" s="14"/>
      <c r="AG170" s="17"/>
      <c r="AH170" s="13"/>
      <c r="AI170" s="13"/>
      <c r="AJ170" s="14"/>
      <c r="AL170" s="17"/>
      <c r="AM170" s="13"/>
      <c r="AN170" s="13"/>
      <c r="AO170" s="14"/>
      <c r="AQ170" s="2">
        <v>15</v>
      </c>
    </row>
    <row r="171" spans="2:43" ht="18" customHeight="1" x14ac:dyDescent="0.2">
      <c r="B171" s="10">
        <v>171</v>
      </c>
      <c r="C171" s="10">
        <v>5</v>
      </c>
      <c r="D171" s="10">
        <v>9</v>
      </c>
      <c r="E171" s="10">
        <v>28</v>
      </c>
      <c r="F171" s="10" t="s">
        <v>122</v>
      </c>
      <c r="G171" s="10" t="s">
        <v>123</v>
      </c>
      <c r="H171" s="10" t="s">
        <v>123</v>
      </c>
      <c r="I171" s="10" t="s">
        <v>123</v>
      </c>
      <c r="J171" s="10" t="s">
        <v>123</v>
      </c>
      <c r="K171" s="10" t="s">
        <v>141</v>
      </c>
      <c r="L171" s="51" t="s">
        <v>373</v>
      </c>
      <c r="M171" s="11" t="s">
        <v>374</v>
      </c>
      <c r="O171" s="18">
        <v>13</v>
      </c>
      <c r="P171" s="15">
        <v>28</v>
      </c>
      <c r="Q171" s="15">
        <v>20</v>
      </c>
      <c r="R171" s="16">
        <v>16</v>
      </c>
      <c r="T171" s="18">
        <v>0</v>
      </c>
      <c r="U171" s="16">
        <v>1</v>
      </c>
      <c r="W171" s="18"/>
      <c r="X171" s="15"/>
      <c r="Y171" s="15"/>
      <c r="Z171" s="16"/>
      <c r="AB171" s="18"/>
      <c r="AC171" s="15"/>
      <c r="AD171" s="15"/>
      <c r="AE171" s="16"/>
      <c r="AG171" s="18"/>
      <c r="AH171" s="15"/>
      <c r="AI171" s="15"/>
      <c r="AJ171" s="16"/>
      <c r="AL171" s="18"/>
      <c r="AM171" s="15"/>
      <c r="AN171" s="15"/>
      <c r="AO171" s="16"/>
      <c r="AQ171" s="2">
        <v>15</v>
      </c>
    </row>
    <row r="172" spans="2:43" ht="18" customHeight="1" x14ac:dyDescent="0.2">
      <c r="B172" s="8">
        <v>172</v>
      </c>
      <c r="C172" s="8">
        <v>5</v>
      </c>
      <c r="D172" s="8">
        <v>10</v>
      </c>
      <c r="E172" s="8">
        <v>0</v>
      </c>
      <c r="F172" s="64" t="s">
        <v>122</v>
      </c>
      <c r="G172" s="8" t="s">
        <v>132</v>
      </c>
      <c r="H172" s="8" t="s">
        <v>132</v>
      </c>
      <c r="I172" s="8" t="s">
        <v>132</v>
      </c>
      <c r="J172" s="39" t="s">
        <v>123</v>
      </c>
      <c r="K172" s="8" t="s">
        <v>141</v>
      </c>
      <c r="L172" s="9" t="s">
        <v>375</v>
      </c>
      <c r="M172" s="9" t="s">
        <v>376</v>
      </c>
      <c r="O172" s="17">
        <v>13</v>
      </c>
      <c r="P172" s="13">
        <v>28</v>
      </c>
      <c r="Q172" s="13">
        <v>20</v>
      </c>
      <c r="R172" s="14">
        <v>16</v>
      </c>
      <c r="T172" s="17">
        <v>13</v>
      </c>
      <c r="U172" s="14">
        <v>16</v>
      </c>
      <c r="W172" s="17"/>
      <c r="X172" s="13"/>
      <c r="Y172" s="13"/>
      <c r="Z172" s="14"/>
      <c r="AB172" s="17"/>
      <c r="AC172" s="13"/>
      <c r="AD172" s="13"/>
      <c r="AE172" s="14"/>
      <c r="AG172" s="17"/>
      <c r="AH172" s="13"/>
      <c r="AI172" s="13"/>
      <c r="AJ172" s="14"/>
      <c r="AL172" s="17"/>
      <c r="AM172" s="13"/>
      <c r="AN172" s="13"/>
      <c r="AO172" s="14"/>
      <c r="AQ172" s="2">
        <v>15</v>
      </c>
    </row>
    <row r="173" spans="2:43" ht="18" customHeight="1" x14ac:dyDescent="0.2">
      <c r="B173" s="10">
        <v>173</v>
      </c>
      <c r="C173" s="10">
        <v>5</v>
      </c>
      <c r="D173" s="10">
        <v>11</v>
      </c>
      <c r="E173" s="10">
        <v>29</v>
      </c>
      <c r="F173" s="10" t="s">
        <v>122</v>
      </c>
      <c r="G173" s="38" t="s">
        <v>123</v>
      </c>
      <c r="H173" s="38" t="s">
        <v>123</v>
      </c>
      <c r="I173" s="38" t="s">
        <v>123</v>
      </c>
      <c r="J173" s="10" t="s">
        <v>123</v>
      </c>
      <c r="K173" s="10" t="s">
        <v>141</v>
      </c>
      <c r="L173" s="51" t="s">
        <v>377</v>
      </c>
      <c r="M173" s="11" t="s">
        <v>378</v>
      </c>
      <c r="O173" s="18">
        <v>13</v>
      </c>
      <c r="P173" s="15">
        <v>28</v>
      </c>
      <c r="Q173" s="15">
        <v>20</v>
      </c>
      <c r="R173" s="16">
        <v>16</v>
      </c>
      <c r="T173" s="18">
        <v>0</v>
      </c>
      <c r="U173" s="16">
        <v>0</v>
      </c>
      <c r="W173" s="18"/>
      <c r="X173" s="15"/>
      <c r="Y173" s="15"/>
      <c r="Z173" s="16"/>
      <c r="AB173" s="18"/>
      <c r="AC173" s="15"/>
      <c r="AD173" s="15"/>
      <c r="AE173" s="16"/>
      <c r="AG173" s="18"/>
      <c r="AH173" s="15"/>
      <c r="AI173" s="15"/>
      <c r="AJ173" s="16"/>
      <c r="AL173" s="18"/>
      <c r="AM173" s="15"/>
      <c r="AN173" s="15"/>
      <c r="AO173" s="16"/>
      <c r="AQ173" s="2">
        <v>15</v>
      </c>
    </row>
    <row r="174" spans="2:43" ht="18" customHeight="1" x14ac:dyDescent="0.2">
      <c r="B174" s="8">
        <v>174</v>
      </c>
      <c r="C174" s="8">
        <v>5</v>
      </c>
      <c r="D174" s="8">
        <v>12</v>
      </c>
      <c r="E174" s="8">
        <v>15</v>
      </c>
      <c r="F174" s="64" t="s">
        <v>235</v>
      </c>
      <c r="G174" s="8" t="s">
        <v>132</v>
      </c>
      <c r="H174" s="8" t="s">
        <v>123</v>
      </c>
      <c r="I174" s="8" t="s">
        <v>123</v>
      </c>
      <c r="J174" s="39" t="s">
        <v>123</v>
      </c>
      <c r="K174" s="8" t="s">
        <v>141</v>
      </c>
      <c r="L174" s="9" t="s">
        <v>236</v>
      </c>
      <c r="M174" s="9" t="s">
        <v>379</v>
      </c>
      <c r="O174" s="17">
        <v>13</v>
      </c>
      <c r="P174" s="13">
        <v>28</v>
      </c>
      <c r="Q174" s="13">
        <v>20</v>
      </c>
      <c r="R174" s="14">
        <v>16</v>
      </c>
      <c r="T174" s="17">
        <v>6</v>
      </c>
      <c r="U174" s="14">
        <v>6</v>
      </c>
      <c r="W174" s="17"/>
      <c r="X174" s="13"/>
      <c r="Y174" s="13"/>
      <c r="Z174" s="14"/>
      <c r="AB174" s="17"/>
      <c r="AC174" s="13"/>
      <c r="AD174" s="13"/>
      <c r="AE174" s="14"/>
      <c r="AG174" s="17"/>
      <c r="AH174" s="13"/>
      <c r="AI174" s="13"/>
      <c r="AJ174" s="14"/>
      <c r="AL174" s="17"/>
      <c r="AM174" s="13"/>
      <c r="AN174" s="13"/>
      <c r="AO174" s="14"/>
      <c r="AQ174" s="2">
        <v>15</v>
      </c>
    </row>
    <row r="175" spans="2:43" ht="18" customHeight="1" x14ac:dyDescent="0.2">
      <c r="B175" s="10">
        <v>175</v>
      </c>
      <c r="C175" s="10">
        <v>5</v>
      </c>
      <c r="D175" s="10">
        <v>13</v>
      </c>
      <c r="E175" s="10">
        <v>30</v>
      </c>
      <c r="F175" s="10" t="s">
        <v>122</v>
      </c>
      <c r="G175" s="38" t="s">
        <v>123</v>
      </c>
      <c r="H175" s="38" t="s">
        <v>123</v>
      </c>
      <c r="I175" s="38" t="s">
        <v>123</v>
      </c>
      <c r="J175" s="10" t="s">
        <v>123</v>
      </c>
      <c r="K175" s="10" t="s">
        <v>141</v>
      </c>
      <c r="L175" s="51" t="s">
        <v>142</v>
      </c>
      <c r="M175" s="11" t="s">
        <v>143</v>
      </c>
      <c r="O175" s="18">
        <v>13</v>
      </c>
      <c r="P175" s="15">
        <v>28</v>
      </c>
      <c r="Q175" s="15">
        <v>20</v>
      </c>
      <c r="R175" s="16">
        <v>16</v>
      </c>
      <c r="T175" s="18">
        <v>0</v>
      </c>
      <c r="U175" s="16">
        <v>0</v>
      </c>
      <c r="W175" s="18"/>
      <c r="X175" s="15"/>
      <c r="Y175" s="15"/>
      <c r="Z175" s="16"/>
      <c r="AB175" s="18"/>
      <c r="AC175" s="15"/>
      <c r="AD175" s="15"/>
      <c r="AE175" s="16"/>
      <c r="AG175" s="18"/>
      <c r="AH175" s="15"/>
      <c r="AI175" s="15"/>
      <c r="AJ175" s="16"/>
      <c r="AL175" s="18"/>
      <c r="AM175" s="15"/>
      <c r="AN175" s="15"/>
      <c r="AO175" s="16"/>
      <c r="AQ175" s="2">
        <v>15</v>
      </c>
    </row>
    <row r="176" spans="2:43" ht="18" customHeight="1" x14ac:dyDescent="0.2">
      <c r="B176" s="8">
        <v>176</v>
      </c>
      <c r="C176" s="8">
        <v>5</v>
      </c>
      <c r="D176" s="8">
        <v>14</v>
      </c>
      <c r="E176" s="8">
        <v>7</v>
      </c>
      <c r="F176" s="64" t="s">
        <v>260</v>
      </c>
      <c r="G176" s="8" t="s">
        <v>132</v>
      </c>
      <c r="H176" s="8" t="s">
        <v>123</v>
      </c>
      <c r="I176" s="8" t="s">
        <v>123</v>
      </c>
      <c r="J176" s="39" t="s">
        <v>123</v>
      </c>
      <c r="K176" s="8" t="s">
        <v>141</v>
      </c>
      <c r="L176" s="9" t="s">
        <v>146</v>
      </c>
      <c r="M176" s="9" t="s">
        <v>380</v>
      </c>
      <c r="O176" s="17">
        <v>13</v>
      </c>
      <c r="P176" s="13">
        <v>28</v>
      </c>
      <c r="Q176" s="13">
        <v>20</v>
      </c>
      <c r="R176" s="14">
        <v>16</v>
      </c>
      <c r="T176" s="17">
        <v>12</v>
      </c>
      <c r="U176" s="14">
        <v>5</v>
      </c>
      <c r="W176" s="17"/>
      <c r="X176" s="13"/>
      <c r="Y176" s="13"/>
      <c r="Z176" s="14"/>
      <c r="AB176" s="17"/>
      <c r="AC176" s="13"/>
      <c r="AD176" s="13"/>
      <c r="AE176" s="14"/>
      <c r="AG176" s="17"/>
      <c r="AH176" s="13"/>
      <c r="AI176" s="13"/>
      <c r="AJ176" s="14"/>
      <c r="AL176" s="17"/>
      <c r="AM176" s="13"/>
      <c r="AN176" s="13"/>
      <c r="AO176" s="14"/>
      <c r="AQ176" s="2">
        <v>15</v>
      </c>
    </row>
    <row r="177" spans="2:43" ht="18" customHeight="1" x14ac:dyDescent="0.2">
      <c r="B177" s="10">
        <v>177</v>
      </c>
      <c r="C177" s="10">
        <v>5</v>
      </c>
      <c r="D177" s="10">
        <v>15</v>
      </c>
      <c r="E177" s="10">
        <v>20</v>
      </c>
      <c r="F177" s="10" t="s">
        <v>133</v>
      </c>
      <c r="G177" s="10" t="s">
        <v>123</v>
      </c>
      <c r="H177" s="10" t="s">
        <v>123</v>
      </c>
      <c r="I177" s="10" t="s">
        <v>123</v>
      </c>
      <c r="J177" s="10" t="s">
        <v>123</v>
      </c>
      <c r="K177" s="10" t="s">
        <v>141</v>
      </c>
      <c r="L177" s="51" t="s">
        <v>257</v>
      </c>
      <c r="M177" s="11" t="s">
        <v>381</v>
      </c>
      <c r="O177" s="18">
        <v>13</v>
      </c>
      <c r="P177" s="15">
        <v>28</v>
      </c>
      <c r="Q177" s="15">
        <v>20</v>
      </c>
      <c r="R177" s="16">
        <v>16</v>
      </c>
      <c r="T177" s="18">
        <v>0</v>
      </c>
      <c r="U177" s="16">
        <v>5</v>
      </c>
      <c r="W177" s="18"/>
      <c r="X177" s="15"/>
      <c r="Y177" s="15"/>
      <c r="Z177" s="16"/>
      <c r="AB177" s="18"/>
      <c r="AC177" s="15"/>
      <c r="AD177" s="15"/>
      <c r="AE177" s="16"/>
      <c r="AG177" s="18"/>
      <c r="AH177" s="15"/>
      <c r="AI177" s="15"/>
      <c r="AJ177" s="16"/>
      <c r="AL177" s="18"/>
      <c r="AM177" s="15"/>
      <c r="AN177" s="15"/>
      <c r="AO177" s="16"/>
      <c r="AQ177" s="2">
        <v>15</v>
      </c>
    </row>
    <row r="178" spans="2:43" ht="18" customHeight="1" x14ac:dyDescent="0.2">
      <c r="B178" s="8">
        <v>178</v>
      </c>
      <c r="C178" s="8">
        <v>5</v>
      </c>
      <c r="D178" s="8">
        <v>16</v>
      </c>
      <c r="E178" s="8">
        <v>0</v>
      </c>
      <c r="F178" s="64" t="s">
        <v>131</v>
      </c>
      <c r="G178" s="8" t="s">
        <v>132</v>
      </c>
      <c r="H178" s="8" t="s">
        <v>132</v>
      </c>
      <c r="I178" s="8" t="s">
        <v>132</v>
      </c>
      <c r="J178" s="39" t="s">
        <v>123</v>
      </c>
      <c r="K178" s="8" t="s">
        <v>141</v>
      </c>
      <c r="L178" s="9" t="s">
        <v>134</v>
      </c>
      <c r="M178" s="9" t="s">
        <v>382</v>
      </c>
      <c r="O178" s="17">
        <v>13</v>
      </c>
      <c r="P178" s="13">
        <v>28</v>
      </c>
      <c r="Q178" s="13">
        <v>20</v>
      </c>
      <c r="R178" s="14">
        <v>16</v>
      </c>
      <c r="T178" s="17">
        <v>13</v>
      </c>
      <c r="U178" s="14">
        <v>16</v>
      </c>
      <c r="W178" s="17"/>
      <c r="X178" s="13"/>
      <c r="Y178" s="13"/>
      <c r="Z178" s="14"/>
      <c r="AB178" s="17"/>
      <c r="AC178" s="13"/>
      <c r="AD178" s="13"/>
      <c r="AE178" s="14"/>
      <c r="AG178" s="17"/>
      <c r="AH178" s="13"/>
      <c r="AI178" s="13"/>
      <c r="AJ178" s="14"/>
      <c r="AL178" s="17"/>
      <c r="AM178" s="13"/>
      <c r="AN178" s="13"/>
      <c r="AO178" s="14"/>
      <c r="AQ178" s="2">
        <v>15</v>
      </c>
    </row>
    <row r="179" spans="2:43" ht="18" customHeight="1" x14ac:dyDescent="0.2">
      <c r="B179" s="10">
        <v>179</v>
      </c>
      <c r="C179" s="10">
        <v>5</v>
      </c>
      <c r="D179" s="10">
        <v>17</v>
      </c>
      <c r="E179" s="10">
        <v>24</v>
      </c>
      <c r="F179" s="10" t="s">
        <v>122</v>
      </c>
      <c r="G179" s="10" t="s">
        <v>132</v>
      </c>
      <c r="H179" s="10" t="s">
        <v>123</v>
      </c>
      <c r="I179" s="10" t="s">
        <v>123</v>
      </c>
      <c r="J179" s="10" t="s">
        <v>123</v>
      </c>
      <c r="K179" s="10" t="s">
        <v>141</v>
      </c>
      <c r="L179" s="51" t="s">
        <v>383</v>
      </c>
      <c r="M179" s="11">
        <v>1789</v>
      </c>
      <c r="O179" s="18">
        <v>13</v>
      </c>
      <c r="P179" s="15">
        <v>28</v>
      </c>
      <c r="Q179" s="15">
        <v>20</v>
      </c>
      <c r="R179" s="16">
        <v>16</v>
      </c>
      <c r="T179" s="18">
        <v>8</v>
      </c>
      <c r="U179" s="16">
        <v>1</v>
      </c>
      <c r="W179" s="18"/>
      <c r="X179" s="15"/>
      <c r="Y179" s="15"/>
      <c r="Z179" s="16"/>
      <c r="AB179" s="18"/>
      <c r="AC179" s="15"/>
      <c r="AD179" s="15"/>
      <c r="AE179" s="16"/>
      <c r="AG179" s="18"/>
      <c r="AH179" s="15"/>
      <c r="AI179" s="15"/>
      <c r="AJ179" s="16"/>
      <c r="AL179" s="18"/>
      <c r="AM179" s="15"/>
      <c r="AN179" s="15"/>
      <c r="AO179" s="16"/>
      <c r="AQ179" s="2">
        <v>15</v>
      </c>
    </row>
    <row r="180" spans="2:43" ht="18" customHeight="1" x14ac:dyDescent="0.2">
      <c r="B180" s="8">
        <v>180</v>
      </c>
      <c r="C180" s="8">
        <v>5</v>
      </c>
      <c r="D180" s="8">
        <v>18</v>
      </c>
      <c r="E180" s="8">
        <v>0</v>
      </c>
      <c r="F180" s="64" t="s">
        <v>122</v>
      </c>
      <c r="G180" s="8" t="s">
        <v>132</v>
      </c>
      <c r="H180" s="8" t="s">
        <v>132</v>
      </c>
      <c r="I180" s="39" t="s">
        <v>123</v>
      </c>
      <c r="J180" s="39" t="s">
        <v>123</v>
      </c>
      <c r="K180" s="8" t="s">
        <v>141</v>
      </c>
      <c r="L180" s="9" t="s">
        <v>366</v>
      </c>
      <c r="M180" s="9" t="s">
        <v>384</v>
      </c>
      <c r="O180" s="17">
        <v>13</v>
      </c>
      <c r="P180" s="13">
        <v>28</v>
      </c>
      <c r="Q180" s="13">
        <v>20</v>
      </c>
      <c r="R180" s="14">
        <v>16</v>
      </c>
      <c r="T180" s="17">
        <v>13</v>
      </c>
      <c r="U180" s="14">
        <v>8</v>
      </c>
      <c r="W180" s="17"/>
      <c r="X180" s="13"/>
      <c r="Y180" s="13"/>
      <c r="Z180" s="14"/>
      <c r="AB180" s="17"/>
      <c r="AC180" s="13"/>
      <c r="AD180" s="13"/>
      <c r="AE180" s="14"/>
      <c r="AG180" s="17"/>
      <c r="AH180" s="13"/>
      <c r="AI180" s="13"/>
      <c r="AJ180" s="14"/>
      <c r="AL180" s="17"/>
      <c r="AM180" s="13"/>
      <c r="AN180" s="13"/>
      <c r="AO180" s="14"/>
      <c r="AQ180" s="2">
        <v>15</v>
      </c>
    </row>
    <row r="181" spans="2:43" ht="18" customHeight="1" x14ac:dyDescent="0.2">
      <c r="B181" s="10">
        <v>181</v>
      </c>
      <c r="C181" s="10">
        <v>5</v>
      </c>
      <c r="D181" s="10">
        <v>19</v>
      </c>
      <c r="E181" s="10">
        <v>19</v>
      </c>
      <c r="F181" s="10" t="s">
        <v>102</v>
      </c>
      <c r="G181" s="10" t="s">
        <v>123</v>
      </c>
      <c r="H181" s="10" t="s">
        <v>123</v>
      </c>
      <c r="I181" s="10" t="s">
        <v>123</v>
      </c>
      <c r="J181" s="10" t="s">
        <v>123</v>
      </c>
      <c r="K181" s="10" t="s">
        <v>141</v>
      </c>
      <c r="L181" s="51" t="s">
        <v>218</v>
      </c>
      <c r="M181" s="11" t="s">
        <v>385</v>
      </c>
      <c r="O181" s="18">
        <v>13</v>
      </c>
      <c r="P181" s="15">
        <v>28</v>
      </c>
      <c r="Q181" s="15">
        <v>20</v>
      </c>
      <c r="R181" s="16">
        <v>16</v>
      </c>
      <c r="T181" s="18">
        <v>0</v>
      </c>
      <c r="U181" s="16">
        <v>3</v>
      </c>
      <c r="W181" s="18"/>
      <c r="X181" s="15"/>
      <c r="Y181" s="15"/>
      <c r="Z181" s="16"/>
      <c r="AB181" s="18"/>
      <c r="AC181" s="15"/>
      <c r="AD181" s="15"/>
      <c r="AE181" s="16"/>
      <c r="AG181" s="18"/>
      <c r="AH181" s="15"/>
      <c r="AI181" s="15"/>
      <c r="AJ181" s="16"/>
      <c r="AL181" s="18"/>
      <c r="AM181" s="15"/>
      <c r="AN181" s="15"/>
      <c r="AO181" s="16"/>
      <c r="AQ181" s="2">
        <v>15</v>
      </c>
    </row>
    <row r="182" spans="2:43" ht="18" customHeight="1" x14ac:dyDescent="0.2">
      <c r="B182" s="8">
        <v>182</v>
      </c>
      <c r="C182" s="8">
        <v>5</v>
      </c>
      <c r="D182" s="8">
        <v>20</v>
      </c>
      <c r="E182" s="8">
        <v>0</v>
      </c>
      <c r="F182" s="64" t="s">
        <v>122</v>
      </c>
      <c r="G182" s="8" t="s">
        <v>132</v>
      </c>
      <c r="H182" s="8" t="s">
        <v>132</v>
      </c>
      <c r="I182" s="39" t="s">
        <v>123</v>
      </c>
      <c r="J182" s="39" t="s">
        <v>123</v>
      </c>
      <c r="K182" s="8" t="s">
        <v>141</v>
      </c>
      <c r="L182" s="9" t="s">
        <v>305</v>
      </c>
      <c r="M182" s="9" t="s">
        <v>386</v>
      </c>
      <c r="O182" s="17">
        <v>13</v>
      </c>
      <c r="P182" s="13">
        <v>28</v>
      </c>
      <c r="Q182" s="13">
        <v>20</v>
      </c>
      <c r="R182" s="14">
        <v>16</v>
      </c>
      <c r="T182" s="17">
        <v>13</v>
      </c>
      <c r="U182" s="14">
        <v>6</v>
      </c>
      <c r="W182" s="17"/>
      <c r="X182" s="13"/>
      <c r="Y182" s="13"/>
      <c r="Z182" s="14"/>
      <c r="AB182" s="17"/>
      <c r="AC182" s="13"/>
      <c r="AD182" s="13"/>
      <c r="AE182" s="14"/>
      <c r="AG182" s="17"/>
      <c r="AH182" s="13"/>
      <c r="AI182" s="13"/>
      <c r="AJ182" s="14"/>
      <c r="AL182" s="17"/>
      <c r="AM182" s="13"/>
      <c r="AN182" s="13"/>
      <c r="AO182" s="14"/>
      <c r="AQ182" s="2">
        <v>15</v>
      </c>
    </row>
    <row r="183" spans="2:43" ht="18" customHeight="1" x14ac:dyDescent="0.2">
      <c r="B183" s="10">
        <v>183</v>
      </c>
      <c r="C183" s="10">
        <v>5</v>
      </c>
      <c r="D183" s="10">
        <v>21</v>
      </c>
      <c r="E183" s="10">
        <v>8</v>
      </c>
      <c r="F183" s="10" t="s">
        <v>122</v>
      </c>
      <c r="G183" s="10" t="s">
        <v>132</v>
      </c>
      <c r="H183" s="10" t="s">
        <v>123</v>
      </c>
      <c r="I183" s="10" t="s">
        <v>123</v>
      </c>
      <c r="J183" s="10" t="s">
        <v>123</v>
      </c>
      <c r="K183" s="10" t="s">
        <v>141</v>
      </c>
      <c r="L183" s="51" t="s">
        <v>387</v>
      </c>
      <c r="M183" s="11" t="s">
        <v>388</v>
      </c>
      <c r="O183" s="18">
        <v>13</v>
      </c>
      <c r="P183" s="15">
        <v>28</v>
      </c>
      <c r="Q183" s="15">
        <v>20</v>
      </c>
      <c r="R183" s="16">
        <v>16</v>
      </c>
      <c r="T183" s="18">
        <v>10</v>
      </c>
      <c r="U183" s="16">
        <v>11</v>
      </c>
      <c r="W183" s="18"/>
      <c r="X183" s="15"/>
      <c r="Y183" s="15"/>
      <c r="Z183" s="16"/>
      <c r="AB183" s="18"/>
      <c r="AC183" s="15"/>
      <c r="AD183" s="15"/>
      <c r="AE183" s="16"/>
      <c r="AG183" s="18"/>
      <c r="AH183" s="15"/>
      <c r="AI183" s="15"/>
      <c r="AJ183" s="16"/>
      <c r="AL183" s="18"/>
      <c r="AM183" s="15"/>
      <c r="AN183" s="15"/>
      <c r="AO183" s="16"/>
      <c r="AQ183" s="2">
        <v>15</v>
      </c>
    </row>
    <row r="184" spans="2:43" ht="18" customHeight="1" x14ac:dyDescent="0.2">
      <c r="B184" s="8">
        <v>184</v>
      </c>
      <c r="C184" s="8">
        <v>5</v>
      </c>
      <c r="D184" s="8">
        <v>22</v>
      </c>
      <c r="E184" s="8">
        <v>22</v>
      </c>
      <c r="F184" s="64" t="s">
        <v>122</v>
      </c>
      <c r="G184" s="8" t="s">
        <v>123</v>
      </c>
      <c r="H184" s="8" t="s">
        <v>123</v>
      </c>
      <c r="I184" s="8" t="s">
        <v>123</v>
      </c>
      <c r="J184" s="39" t="s">
        <v>123</v>
      </c>
      <c r="K184" s="8" t="s">
        <v>141</v>
      </c>
      <c r="L184" s="9" t="s">
        <v>389</v>
      </c>
      <c r="M184" s="9" t="s">
        <v>390</v>
      </c>
      <c r="O184" s="17">
        <v>13</v>
      </c>
      <c r="P184" s="13">
        <v>28</v>
      </c>
      <c r="Q184" s="13">
        <v>20</v>
      </c>
      <c r="R184" s="14">
        <v>16</v>
      </c>
      <c r="T184" s="17">
        <v>0</v>
      </c>
      <c r="U184" s="14">
        <v>1</v>
      </c>
      <c r="W184" s="17"/>
      <c r="X184" s="13"/>
      <c r="Y184" s="13"/>
      <c r="Z184" s="14"/>
      <c r="AB184" s="17"/>
      <c r="AC184" s="13"/>
      <c r="AD184" s="13"/>
      <c r="AE184" s="14"/>
      <c r="AG184" s="17"/>
      <c r="AH184" s="13"/>
      <c r="AI184" s="13"/>
      <c r="AJ184" s="14"/>
      <c r="AL184" s="17"/>
      <c r="AM184" s="13"/>
      <c r="AN184" s="13"/>
      <c r="AO184" s="14"/>
      <c r="AQ184" s="2">
        <v>15</v>
      </c>
    </row>
    <row r="185" spans="2:43" ht="18" customHeight="1" x14ac:dyDescent="0.2">
      <c r="B185" s="10">
        <v>185</v>
      </c>
      <c r="C185" s="10">
        <v>5</v>
      </c>
      <c r="D185" s="10">
        <v>23</v>
      </c>
      <c r="E185" s="10">
        <v>14</v>
      </c>
      <c r="F185" s="10" t="s">
        <v>260</v>
      </c>
      <c r="G185" s="10" t="s">
        <v>132</v>
      </c>
      <c r="H185" s="10" t="s">
        <v>123</v>
      </c>
      <c r="I185" s="10" t="s">
        <v>123</v>
      </c>
      <c r="J185" s="10" t="s">
        <v>123</v>
      </c>
      <c r="K185" s="10" t="s">
        <v>141</v>
      </c>
      <c r="L185" s="51" t="s">
        <v>146</v>
      </c>
      <c r="M185" s="11" t="s">
        <v>391</v>
      </c>
      <c r="O185" s="18">
        <v>13</v>
      </c>
      <c r="P185" s="15">
        <v>28</v>
      </c>
      <c r="Q185" s="15">
        <v>20</v>
      </c>
      <c r="R185" s="16">
        <v>16</v>
      </c>
      <c r="T185" s="18">
        <v>12</v>
      </c>
      <c r="U185" s="16">
        <v>3</v>
      </c>
      <c r="W185" s="18"/>
      <c r="X185" s="15"/>
      <c r="Y185" s="15"/>
      <c r="Z185" s="16"/>
      <c r="AB185" s="18"/>
      <c r="AC185" s="15"/>
      <c r="AD185" s="15"/>
      <c r="AE185" s="16"/>
      <c r="AG185" s="18"/>
      <c r="AH185" s="15"/>
      <c r="AI185" s="15"/>
      <c r="AJ185" s="16"/>
      <c r="AL185" s="18"/>
      <c r="AM185" s="15"/>
      <c r="AN185" s="15"/>
      <c r="AO185" s="16"/>
      <c r="AQ185" s="2">
        <v>15</v>
      </c>
    </row>
    <row r="186" spans="2:43" ht="18" customHeight="1" x14ac:dyDescent="0.2">
      <c r="B186" s="8">
        <v>186</v>
      </c>
      <c r="C186" s="8">
        <v>5</v>
      </c>
      <c r="D186" s="8">
        <v>24</v>
      </c>
      <c r="E186" s="8">
        <v>28</v>
      </c>
      <c r="F186" s="64" t="s">
        <v>122</v>
      </c>
      <c r="G186" s="39" t="s">
        <v>123</v>
      </c>
      <c r="H186" s="8" t="s">
        <v>123</v>
      </c>
      <c r="I186" s="8" t="s">
        <v>123</v>
      </c>
      <c r="J186" s="39" t="s">
        <v>123</v>
      </c>
      <c r="K186" s="8" t="s">
        <v>141</v>
      </c>
      <c r="L186" s="9" t="s">
        <v>392</v>
      </c>
      <c r="M186" s="9" t="s">
        <v>393</v>
      </c>
      <c r="O186" s="17">
        <v>13</v>
      </c>
      <c r="P186" s="13">
        <v>28</v>
      </c>
      <c r="Q186" s="13">
        <v>20</v>
      </c>
      <c r="R186" s="14">
        <v>16</v>
      </c>
      <c r="T186" s="17">
        <v>0</v>
      </c>
      <c r="U186" s="14">
        <v>0</v>
      </c>
      <c r="W186" s="17"/>
      <c r="X186" s="13"/>
      <c r="Y186" s="13"/>
      <c r="Z186" s="14"/>
      <c r="AB186" s="17"/>
      <c r="AC186" s="13"/>
      <c r="AD186" s="13"/>
      <c r="AE186" s="14"/>
      <c r="AG186" s="17"/>
      <c r="AH186" s="13"/>
      <c r="AI186" s="13"/>
      <c r="AJ186" s="14"/>
      <c r="AL186" s="17"/>
      <c r="AM186" s="13"/>
      <c r="AN186" s="13"/>
      <c r="AO186" s="14"/>
      <c r="AQ186" s="2">
        <v>15</v>
      </c>
    </row>
    <row r="187" spans="2:43" ht="18" customHeight="1" x14ac:dyDescent="0.2">
      <c r="B187" s="10">
        <v>187</v>
      </c>
      <c r="C187" s="10">
        <v>5</v>
      </c>
      <c r="D187" s="10">
        <v>25</v>
      </c>
      <c r="E187" s="10">
        <v>0</v>
      </c>
      <c r="F187" s="10" t="s">
        <v>122</v>
      </c>
      <c r="G187" s="10" t="s">
        <v>132</v>
      </c>
      <c r="H187" s="10" t="s">
        <v>132</v>
      </c>
      <c r="I187" s="10" t="s">
        <v>132</v>
      </c>
      <c r="J187" s="10" t="s">
        <v>123</v>
      </c>
      <c r="K187" s="10" t="s">
        <v>141</v>
      </c>
      <c r="L187" s="51" t="s">
        <v>394</v>
      </c>
      <c r="M187" s="11" t="s">
        <v>395</v>
      </c>
      <c r="O187" s="18">
        <v>13</v>
      </c>
      <c r="P187" s="15">
        <v>28</v>
      </c>
      <c r="Q187" s="15">
        <v>20</v>
      </c>
      <c r="R187" s="16">
        <v>16</v>
      </c>
      <c r="T187" s="18">
        <v>13</v>
      </c>
      <c r="U187" s="16">
        <v>16</v>
      </c>
      <c r="W187" s="18"/>
      <c r="X187" s="15"/>
      <c r="Y187" s="15"/>
      <c r="Z187" s="16"/>
      <c r="AB187" s="18"/>
      <c r="AC187" s="15"/>
      <c r="AD187" s="15"/>
      <c r="AE187" s="16"/>
      <c r="AG187" s="18"/>
      <c r="AH187" s="15"/>
      <c r="AI187" s="15"/>
      <c r="AJ187" s="16"/>
      <c r="AL187" s="18"/>
      <c r="AM187" s="15"/>
      <c r="AN187" s="15"/>
      <c r="AO187" s="16"/>
      <c r="AQ187" s="2">
        <v>15</v>
      </c>
    </row>
    <row r="188" spans="2:43" ht="18" customHeight="1" x14ac:dyDescent="0.2">
      <c r="B188" s="8">
        <v>188</v>
      </c>
      <c r="C188" s="8">
        <v>5</v>
      </c>
      <c r="D188" s="8">
        <v>26</v>
      </c>
      <c r="E188" s="8">
        <v>23</v>
      </c>
      <c r="F188" s="64" t="s">
        <v>122</v>
      </c>
      <c r="G188" s="39" t="s">
        <v>123</v>
      </c>
      <c r="H188" s="8" t="s">
        <v>123</v>
      </c>
      <c r="I188" s="8" t="s">
        <v>123</v>
      </c>
      <c r="J188" s="39" t="s">
        <v>123</v>
      </c>
      <c r="K188" s="8" t="s">
        <v>141</v>
      </c>
      <c r="L188" s="9" t="s">
        <v>396</v>
      </c>
      <c r="M188" s="9" t="s">
        <v>397</v>
      </c>
      <c r="O188" s="17">
        <v>13</v>
      </c>
      <c r="P188" s="13">
        <v>28</v>
      </c>
      <c r="Q188" s="13">
        <v>20</v>
      </c>
      <c r="R188" s="14">
        <v>16</v>
      </c>
      <c r="T188" s="17">
        <v>6</v>
      </c>
      <c r="U188" s="14">
        <v>6</v>
      </c>
      <c r="W188" s="17"/>
      <c r="X188" s="13"/>
      <c r="Y188" s="13"/>
      <c r="Z188" s="14"/>
      <c r="AB188" s="17"/>
      <c r="AC188" s="13"/>
      <c r="AD188" s="13"/>
      <c r="AE188" s="14"/>
      <c r="AG188" s="17"/>
      <c r="AH188" s="13"/>
      <c r="AI188" s="13"/>
      <c r="AJ188" s="14"/>
      <c r="AL188" s="17"/>
      <c r="AM188" s="13"/>
      <c r="AN188" s="13"/>
      <c r="AO188" s="14"/>
      <c r="AQ188" s="2">
        <v>15</v>
      </c>
    </row>
    <row r="189" spans="2:43" ht="18" customHeight="1" x14ac:dyDescent="0.2">
      <c r="B189" s="10">
        <v>189</v>
      </c>
      <c r="C189" s="10">
        <v>5</v>
      </c>
      <c r="D189" s="10">
        <v>27</v>
      </c>
      <c r="E189" s="10">
        <v>12</v>
      </c>
      <c r="F189" s="10" t="s">
        <v>131</v>
      </c>
      <c r="G189" s="10" t="s">
        <v>123</v>
      </c>
      <c r="H189" s="10" t="s">
        <v>123</v>
      </c>
      <c r="I189" s="10" t="s">
        <v>123</v>
      </c>
      <c r="J189" s="10" t="s">
        <v>123</v>
      </c>
      <c r="K189" s="10" t="s">
        <v>141</v>
      </c>
      <c r="L189" s="51" t="s">
        <v>134</v>
      </c>
      <c r="M189" s="11" t="s">
        <v>150</v>
      </c>
      <c r="O189" s="18">
        <v>13</v>
      </c>
      <c r="P189" s="15">
        <v>28</v>
      </c>
      <c r="Q189" s="15">
        <v>20</v>
      </c>
      <c r="R189" s="16">
        <v>16</v>
      </c>
      <c r="T189" s="18">
        <v>0</v>
      </c>
      <c r="U189" s="16">
        <v>2</v>
      </c>
      <c r="W189" s="18"/>
      <c r="X189" s="15"/>
      <c r="Y189" s="15"/>
      <c r="Z189" s="16"/>
      <c r="AB189" s="18"/>
      <c r="AC189" s="15"/>
      <c r="AD189" s="15"/>
      <c r="AE189" s="16"/>
      <c r="AG189" s="18"/>
      <c r="AH189" s="15"/>
      <c r="AI189" s="15"/>
      <c r="AJ189" s="16"/>
      <c r="AL189" s="18"/>
      <c r="AM189" s="15"/>
      <c r="AN189" s="15"/>
      <c r="AO189" s="16"/>
      <c r="AQ189" s="2">
        <v>15</v>
      </c>
    </row>
    <row r="190" spans="2:43" ht="18" customHeight="1" x14ac:dyDescent="0.2">
      <c r="B190" s="8">
        <v>190</v>
      </c>
      <c r="C190" s="8">
        <v>5</v>
      </c>
      <c r="D190" s="8">
        <v>28</v>
      </c>
      <c r="E190" s="8">
        <v>27</v>
      </c>
      <c r="F190" s="64" t="s">
        <v>122</v>
      </c>
      <c r="G190" s="8" t="s">
        <v>123</v>
      </c>
      <c r="H190" s="8" t="s">
        <v>123</v>
      </c>
      <c r="I190" s="8" t="s">
        <v>123</v>
      </c>
      <c r="J190" s="39" t="s">
        <v>123</v>
      </c>
      <c r="K190" s="8" t="s">
        <v>141</v>
      </c>
      <c r="L190" s="9" t="s">
        <v>63</v>
      </c>
      <c r="M190" s="9" t="s">
        <v>64</v>
      </c>
      <c r="O190" s="17">
        <v>13</v>
      </c>
      <c r="P190" s="13">
        <v>28</v>
      </c>
      <c r="Q190" s="13">
        <v>20</v>
      </c>
      <c r="R190" s="14">
        <v>16</v>
      </c>
      <c r="T190" s="17">
        <v>0</v>
      </c>
      <c r="U190" s="14">
        <v>0</v>
      </c>
      <c r="W190" s="17"/>
      <c r="X190" s="13"/>
      <c r="Y190" s="13"/>
      <c r="Z190" s="14"/>
      <c r="AB190" s="17"/>
      <c r="AC190" s="13"/>
      <c r="AD190" s="13"/>
      <c r="AE190" s="14"/>
      <c r="AG190" s="17"/>
      <c r="AH190" s="13"/>
      <c r="AI190" s="13"/>
      <c r="AJ190" s="14"/>
      <c r="AL190" s="17"/>
      <c r="AM190" s="13"/>
      <c r="AN190" s="13"/>
      <c r="AO190" s="14"/>
      <c r="AQ190" s="2">
        <v>15</v>
      </c>
    </row>
    <row r="191" spans="2:43" ht="18" customHeight="1" x14ac:dyDescent="0.2">
      <c r="B191" s="10">
        <v>191</v>
      </c>
      <c r="C191" s="10">
        <v>5</v>
      </c>
      <c r="D191" s="10">
        <v>29</v>
      </c>
      <c r="E191" s="10">
        <v>29</v>
      </c>
      <c r="F191" s="10" t="s">
        <v>122</v>
      </c>
      <c r="G191" s="38" t="s">
        <v>123</v>
      </c>
      <c r="H191" s="38" t="s">
        <v>123</v>
      </c>
      <c r="I191" s="38" t="s">
        <v>123</v>
      </c>
      <c r="J191" s="10" t="s">
        <v>123</v>
      </c>
      <c r="K191" s="10" t="s">
        <v>141</v>
      </c>
      <c r="L191" s="51" t="s">
        <v>398</v>
      </c>
      <c r="M191" s="11" t="s">
        <v>399</v>
      </c>
      <c r="O191" s="18">
        <v>13</v>
      </c>
      <c r="P191" s="15">
        <v>28</v>
      </c>
      <c r="Q191" s="15">
        <v>20</v>
      </c>
      <c r="R191" s="16">
        <v>16</v>
      </c>
      <c r="T191" s="18">
        <v>0</v>
      </c>
      <c r="U191" s="16">
        <v>0</v>
      </c>
      <c r="W191" s="18"/>
      <c r="X191" s="15"/>
      <c r="Y191" s="15"/>
      <c r="Z191" s="16"/>
      <c r="AB191" s="18"/>
      <c r="AC191" s="15"/>
      <c r="AD191" s="15"/>
      <c r="AE191" s="16"/>
      <c r="AG191" s="18"/>
      <c r="AH191" s="15"/>
      <c r="AI191" s="15"/>
      <c r="AJ191" s="16"/>
      <c r="AL191" s="18"/>
      <c r="AM191" s="15"/>
      <c r="AN191" s="15"/>
      <c r="AO191" s="16"/>
      <c r="AQ191" s="2">
        <v>15</v>
      </c>
    </row>
    <row r="192" spans="2:43" ht="18" customHeight="1" x14ac:dyDescent="0.2">
      <c r="B192" s="8">
        <v>192</v>
      </c>
      <c r="C192" s="8">
        <v>5</v>
      </c>
      <c r="D192" s="8">
        <v>30</v>
      </c>
      <c r="E192" s="8">
        <v>17</v>
      </c>
      <c r="F192" s="64" t="s">
        <v>122</v>
      </c>
      <c r="G192" s="8" t="s">
        <v>132</v>
      </c>
      <c r="H192" s="8" t="s">
        <v>123</v>
      </c>
      <c r="I192" s="8" t="s">
        <v>123</v>
      </c>
      <c r="J192" s="39" t="s">
        <v>123</v>
      </c>
      <c r="K192" s="8" t="s">
        <v>141</v>
      </c>
      <c r="L192" s="9" t="s">
        <v>400</v>
      </c>
      <c r="M192" s="9" t="s">
        <v>401</v>
      </c>
      <c r="O192" s="17">
        <v>13</v>
      </c>
      <c r="P192" s="13">
        <v>28</v>
      </c>
      <c r="Q192" s="13">
        <v>20</v>
      </c>
      <c r="R192" s="14">
        <v>16</v>
      </c>
      <c r="T192" s="17">
        <v>8</v>
      </c>
      <c r="U192" s="14">
        <v>6</v>
      </c>
      <c r="W192" s="17"/>
      <c r="X192" s="13"/>
      <c r="Y192" s="13"/>
      <c r="Z192" s="14"/>
      <c r="AB192" s="17"/>
      <c r="AC192" s="13"/>
      <c r="AD192" s="13"/>
      <c r="AE192" s="14"/>
      <c r="AG192" s="17"/>
      <c r="AH192" s="13"/>
      <c r="AI192" s="13"/>
      <c r="AJ192" s="14"/>
      <c r="AL192" s="17"/>
      <c r="AM192" s="13"/>
      <c r="AN192" s="13"/>
      <c r="AO192" s="14"/>
      <c r="AQ192" s="2">
        <v>15</v>
      </c>
    </row>
    <row r="193" spans="2:43" ht="18" customHeight="1" x14ac:dyDescent="0.2">
      <c r="B193" s="10">
        <v>193</v>
      </c>
      <c r="C193" s="10">
        <v>5</v>
      </c>
      <c r="D193" s="10">
        <v>31</v>
      </c>
      <c r="E193" s="10">
        <v>0</v>
      </c>
      <c r="F193" s="10" t="s">
        <v>133</v>
      </c>
      <c r="G193" s="10" t="s">
        <v>132</v>
      </c>
      <c r="H193" s="10" t="s">
        <v>132</v>
      </c>
      <c r="I193" s="10" t="s">
        <v>132</v>
      </c>
      <c r="J193" s="10" t="s">
        <v>123</v>
      </c>
      <c r="K193" s="10" t="s">
        <v>141</v>
      </c>
      <c r="L193" s="51" t="s">
        <v>257</v>
      </c>
      <c r="M193" s="11" t="s">
        <v>402</v>
      </c>
      <c r="O193" s="18">
        <v>13</v>
      </c>
      <c r="P193" s="15">
        <v>28</v>
      </c>
      <c r="Q193" s="15">
        <v>20</v>
      </c>
      <c r="R193" s="16">
        <v>16</v>
      </c>
      <c r="T193" s="18">
        <v>13</v>
      </c>
      <c r="U193" s="16">
        <v>16</v>
      </c>
      <c r="W193" s="18"/>
      <c r="X193" s="15"/>
      <c r="Y193" s="15"/>
      <c r="Z193" s="16"/>
      <c r="AB193" s="18"/>
      <c r="AC193" s="15"/>
      <c r="AD193" s="15"/>
      <c r="AE193" s="16"/>
      <c r="AG193" s="18"/>
      <c r="AH193" s="15"/>
      <c r="AI193" s="15"/>
      <c r="AJ193" s="16"/>
      <c r="AL193" s="18"/>
      <c r="AM193" s="15"/>
      <c r="AN193" s="15"/>
      <c r="AO193" s="16"/>
      <c r="AQ193" s="2">
        <v>15</v>
      </c>
    </row>
    <row r="194" spans="2:43" ht="18" customHeight="1" x14ac:dyDescent="0.2">
      <c r="B194" s="8">
        <v>194</v>
      </c>
      <c r="C194" s="8">
        <v>5</v>
      </c>
      <c r="D194" s="8">
        <v>32</v>
      </c>
      <c r="E194" s="8">
        <v>13</v>
      </c>
      <c r="F194" s="64" t="s">
        <v>122</v>
      </c>
      <c r="G194" s="8" t="s">
        <v>132</v>
      </c>
      <c r="H194" s="8" t="s">
        <v>132</v>
      </c>
      <c r="I194" s="39" t="s">
        <v>123</v>
      </c>
      <c r="J194" s="39" t="s">
        <v>123</v>
      </c>
      <c r="K194" s="8" t="s">
        <v>141</v>
      </c>
      <c r="L194" s="9" t="s">
        <v>403</v>
      </c>
      <c r="M194" s="9" t="s">
        <v>404</v>
      </c>
      <c r="O194" s="17">
        <v>13</v>
      </c>
      <c r="P194" s="13">
        <v>28</v>
      </c>
      <c r="Q194" s="13">
        <v>20</v>
      </c>
      <c r="R194" s="14">
        <v>16</v>
      </c>
      <c r="T194" s="17">
        <v>13</v>
      </c>
      <c r="U194" s="14">
        <v>12</v>
      </c>
      <c r="W194" s="17"/>
      <c r="X194" s="13"/>
      <c r="Y194" s="13"/>
      <c r="Z194" s="14"/>
      <c r="AB194" s="17"/>
      <c r="AC194" s="13"/>
      <c r="AD194" s="13"/>
      <c r="AE194" s="14"/>
      <c r="AG194" s="17"/>
      <c r="AH194" s="13"/>
      <c r="AI194" s="13"/>
      <c r="AJ194" s="14"/>
      <c r="AL194" s="17"/>
      <c r="AM194" s="13"/>
      <c r="AN194" s="13"/>
      <c r="AO194" s="14"/>
      <c r="AQ194" s="2">
        <v>15</v>
      </c>
    </row>
    <row r="195" spans="2:43" ht="18" customHeight="1" x14ac:dyDescent="0.2">
      <c r="B195" s="10">
        <v>195</v>
      </c>
      <c r="C195" s="10">
        <v>5</v>
      </c>
      <c r="D195" s="10">
        <v>33</v>
      </c>
      <c r="E195" s="10">
        <v>18</v>
      </c>
      <c r="F195" s="10" t="s">
        <v>122</v>
      </c>
      <c r="G195" s="10" t="s">
        <v>123</v>
      </c>
      <c r="H195" s="10" t="s">
        <v>123</v>
      </c>
      <c r="I195" s="10" t="s">
        <v>123</v>
      </c>
      <c r="J195" s="10" t="s">
        <v>123</v>
      </c>
      <c r="K195" s="10" t="s">
        <v>141</v>
      </c>
      <c r="L195" s="51" t="s">
        <v>405</v>
      </c>
      <c r="M195" s="11" t="s">
        <v>406</v>
      </c>
      <c r="O195" s="18">
        <v>13</v>
      </c>
      <c r="P195" s="15">
        <v>28</v>
      </c>
      <c r="Q195" s="15">
        <v>20</v>
      </c>
      <c r="R195" s="16">
        <v>16</v>
      </c>
      <c r="T195" s="18">
        <v>0</v>
      </c>
      <c r="U195" s="16">
        <v>7</v>
      </c>
      <c r="W195" s="18"/>
      <c r="X195" s="15"/>
      <c r="Y195" s="15"/>
      <c r="Z195" s="16"/>
      <c r="AB195" s="18"/>
      <c r="AC195" s="15"/>
      <c r="AD195" s="15"/>
      <c r="AE195" s="16"/>
      <c r="AG195" s="18"/>
      <c r="AH195" s="15"/>
      <c r="AI195" s="15"/>
      <c r="AJ195" s="16"/>
      <c r="AL195" s="18"/>
      <c r="AM195" s="15"/>
      <c r="AN195" s="15"/>
      <c r="AO195" s="16"/>
      <c r="AQ195" s="2">
        <v>15</v>
      </c>
    </row>
    <row r="196" spans="2:43" ht="18" customHeight="1" x14ac:dyDescent="0.2">
      <c r="B196" s="8">
        <v>196</v>
      </c>
      <c r="C196" s="8">
        <v>5</v>
      </c>
      <c r="D196" s="8">
        <v>34</v>
      </c>
      <c r="E196" s="8">
        <v>21</v>
      </c>
      <c r="F196" s="64" t="s">
        <v>407</v>
      </c>
      <c r="G196" s="8" t="s">
        <v>123</v>
      </c>
      <c r="H196" s="8" t="s">
        <v>123</v>
      </c>
      <c r="I196" s="8" t="s">
        <v>123</v>
      </c>
      <c r="J196" s="39" t="s">
        <v>123</v>
      </c>
      <c r="K196" s="8" t="s">
        <v>141</v>
      </c>
      <c r="L196" s="9" t="s">
        <v>61</v>
      </c>
      <c r="M196" s="9" t="s">
        <v>62</v>
      </c>
      <c r="O196" s="17">
        <v>13</v>
      </c>
      <c r="P196" s="13">
        <v>28</v>
      </c>
      <c r="Q196" s="13">
        <v>20</v>
      </c>
      <c r="R196" s="14">
        <v>16</v>
      </c>
      <c r="T196" s="17">
        <v>0</v>
      </c>
      <c r="U196" s="14">
        <v>1</v>
      </c>
      <c r="W196" s="17"/>
      <c r="X196" s="13"/>
      <c r="Y196" s="13"/>
      <c r="Z196" s="14"/>
      <c r="AB196" s="17"/>
      <c r="AC196" s="13"/>
      <c r="AD196" s="13"/>
      <c r="AE196" s="14"/>
      <c r="AG196" s="17"/>
      <c r="AH196" s="13"/>
      <c r="AI196" s="13"/>
      <c r="AJ196" s="14"/>
      <c r="AL196" s="17"/>
      <c r="AM196" s="13"/>
      <c r="AN196" s="13"/>
      <c r="AO196" s="14"/>
      <c r="AQ196" s="2">
        <v>15</v>
      </c>
    </row>
    <row r="197" spans="2:43" ht="18" customHeight="1" x14ac:dyDescent="0.2">
      <c r="B197" s="10">
        <v>197</v>
      </c>
      <c r="C197" s="10">
        <v>5</v>
      </c>
      <c r="D197" s="10">
        <v>35</v>
      </c>
      <c r="E197" s="10">
        <v>27</v>
      </c>
      <c r="F197" s="10" t="s">
        <v>122</v>
      </c>
      <c r="G197" s="10" t="s">
        <v>123</v>
      </c>
      <c r="H197" s="10" t="s">
        <v>123</v>
      </c>
      <c r="I197" s="10" t="s">
        <v>123</v>
      </c>
      <c r="J197" s="10" t="s">
        <v>123</v>
      </c>
      <c r="K197" s="10" t="s">
        <v>141</v>
      </c>
      <c r="L197" s="51" t="s">
        <v>400</v>
      </c>
      <c r="M197" s="11" t="s">
        <v>408</v>
      </c>
      <c r="O197" s="18">
        <v>13</v>
      </c>
      <c r="P197" s="15">
        <v>28</v>
      </c>
      <c r="Q197" s="15">
        <v>20</v>
      </c>
      <c r="R197" s="16">
        <v>16</v>
      </c>
      <c r="T197" s="18">
        <v>0</v>
      </c>
      <c r="U197" s="16">
        <v>0</v>
      </c>
      <c r="W197" s="18"/>
      <c r="X197" s="15"/>
      <c r="Y197" s="15"/>
      <c r="Z197" s="16"/>
      <c r="AB197" s="18"/>
      <c r="AC197" s="15"/>
      <c r="AD197" s="15"/>
      <c r="AE197" s="16"/>
      <c r="AG197" s="18"/>
      <c r="AH197" s="15"/>
      <c r="AI197" s="15"/>
      <c r="AJ197" s="16"/>
      <c r="AL197" s="18"/>
      <c r="AM197" s="15"/>
      <c r="AN197" s="15"/>
      <c r="AO197" s="16"/>
      <c r="AQ197" s="2">
        <v>15</v>
      </c>
    </row>
    <row r="198" spans="2:43" ht="18" customHeight="1" x14ac:dyDescent="0.2">
      <c r="B198" s="8">
        <v>198</v>
      </c>
      <c r="C198" s="8">
        <v>5</v>
      </c>
      <c r="D198" s="8">
        <v>36</v>
      </c>
      <c r="E198" s="8">
        <v>6</v>
      </c>
      <c r="F198" s="64" t="s">
        <v>122</v>
      </c>
      <c r="G198" s="39" t="s">
        <v>123</v>
      </c>
      <c r="H198" s="8" t="s">
        <v>132</v>
      </c>
      <c r="I198" s="39" t="s">
        <v>123</v>
      </c>
      <c r="J198" s="39" t="s">
        <v>123</v>
      </c>
      <c r="K198" s="8" t="s">
        <v>141</v>
      </c>
      <c r="L198" s="9" t="s">
        <v>394</v>
      </c>
      <c r="M198" s="9" t="s">
        <v>409</v>
      </c>
      <c r="O198" s="17">
        <v>13</v>
      </c>
      <c r="P198" s="13">
        <v>28</v>
      </c>
      <c r="Q198" s="13">
        <v>20</v>
      </c>
      <c r="R198" s="14">
        <v>16</v>
      </c>
      <c r="T198" s="17">
        <v>13</v>
      </c>
      <c r="U198" s="14">
        <v>2</v>
      </c>
      <c r="W198" s="17"/>
      <c r="X198" s="13"/>
      <c r="Y198" s="13"/>
      <c r="Z198" s="14"/>
      <c r="AB198" s="17"/>
      <c r="AC198" s="13"/>
      <c r="AD198" s="13"/>
      <c r="AE198" s="14"/>
      <c r="AG198" s="17"/>
      <c r="AH198" s="13"/>
      <c r="AI198" s="13"/>
      <c r="AJ198" s="14"/>
      <c r="AL198" s="17"/>
      <c r="AM198" s="13"/>
      <c r="AN198" s="13"/>
      <c r="AO198" s="14"/>
      <c r="AQ198" s="2">
        <v>15</v>
      </c>
    </row>
    <row r="199" spans="2:43" ht="18" customHeight="1" x14ac:dyDescent="0.2">
      <c r="B199" s="10">
        <v>199</v>
      </c>
      <c r="C199" s="10">
        <v>5</v>
      </c>
      <c r="D199" s="10">
        <v>37</v>
      </c>
      <c r="E199" s="10">
        <v>26</v>
      </c>
      <c r="F199" s="10" t="s">
        <v>133</v>
      </c>
      <c r="G199" s="10" t="s">
        <v>123</v>
      </c>
      <c r="H199" s="10" t="s">
        <v>123</v>
      </c>
      <c r="I199" s="10" t="s">
        <v>123</v>
      </c>
      <c r="J199" s="10" t="s">
        <v>123</v>
      </c>
      <c r="K199" s="10" t="s">
        <v>141</v>
      </c>
      <c r="L199" s="51" t="s">
        <v>257</v>
      </c>
      <c r="M199" s="11" t="s">
        <v>410</v>
      </c>
      <c r="O199" s="18">
        <v>13</v>
      </c>
      <c r="P199" s="15">
        <v>28</v>
      </c>
      <c r="Q199" s="15">
        <v>20</v>
      </c>
      <c r="R199" s="16">
        <v>16</v>
      </c>
      <c r="T199" s="18">
        <v>3</v>
      </c>
      <c r="U199" s="16">
        <v>0</v>
      </c>
      <c r="W199" s="18"/>
      <c r="X199" s="15"/>
      <c r="Y199" s="15"/>
      <c r="Z199" s="16"/>
      <c r="AB199" s="18"/>
      <c r="AC199" s="15"/>
      <c r="AD199" s="15"/>
      <c r="AE199" s="16"/>
      <c r="AG199" s="18"/>
      <c r="AH199" s="15"/>
      <c r="AI199" s="15"/>
      <c r="AJ199" s="16"/>
      <c r="AL199" s="18"/>
      <c r="AM199" s="15"/>
      <c r="AN199" s="15"/>
      <c r="AO199" s="16"/>
      <c r="AQ199" s="2">
        <v>15</v>
      </c>
    </row>
    <row r="200" spans="2:43" ht="18" customHeight="1" x14ac:dyDescent="0.2">
      <c r="B200" s="8">
        <v>200</v>
      </c>
      <c r="C200" s="8">
        <v>5</v>
      </c>
      <c r="D200" s="8">
        <v>38</v>
      </c>
      <c r="E200" s="8">
        <v>17</v>
      </c>
      <c r="F200" s="64" t="s">
        <v>122</v>
      </c>
      <c r="G200" s="8" t="s">
        <v>123</v>
      </c>
      <c r="H200" s="8" t="s">
        <v>123</v>
      </c>
      <c r="I200" s="8" t="s">
        <v>123</v>
      </c>
      <c r="J200" s="39" t="s">
        <v>123</v>
      </c>
      <c r="K200" s="8" t="s">
        <v>141</v>
      </c>
      <c r="L200" s="9" t="s">
        <v>411</v>
      </c>
      <c r="M200" s="9" t="s">
        <v>412</v>
      </c>
      <c r="O200" s="17">
        <v>13</v>
      </c>
      <c r="P200" s="13">
        <v>28</v>
      </c>
      <c r="Q200" s="13">
        <v>20</v>
      </c>
      <c r="R200" s="14">
        <v>16</v>
      </c>
      <c r="T200" s="17">
        <v>0</v>
      </c>
      <c r="U200" s="14">
        <v>1</v>
      </c>
      <c r="W200" s="17"/>
      <c r="X200" s="13"/>
      <c r="Y200" s="13"/>
      <c r="Z200" s="14"/>
      <c r="AB200" s="17"/>
      <c r="AC200" s="13"/>
      <c r="AD200" s="13"/>
      <c r="AE200" s="14"/>
      <c r="AG200" s="17"/>
      <c r="AH200" s="13"/>
      <c r="AI200" s="13"/>
      <c r="AJ200" s="14"/>
      <c r="AL200" s="17"/>
      <c r="AM200" s="13"/>
      <c r="AN200" s="13"/>
      <c r="AO200" s="14"/>
      <c r="AQ200" s="2">
        <v>15</v>
      </c>
    </row>
    <row r="201" spans="2:43" ht="18" customHeight="1" x14ac:dyDescent="0.2">
      <c r="B201" s="10">
        <v>201</v>
      </c>
      <c r="C201" s="10">
        <v>5</v>
      </c>
      <c r="D201" s="10">
        <v>39</v>
      </c>
      <c r="E201" s="10">
        <v>0</v>
      </c>
      <c r="F201" s="10" t="s">
        <v>122</v>
      </c>
      <c r="G201" s="10" t="s">
        <v>123</v>
      </c>
      <c r="H201" s="10" t="s">
        <v>123</v>
      </c>
      <c r="I201" s="10" t="s">
        <v>123</v>
      </c>
      <c r="J201" s="10" t="s">
        <v>123</v>
      </c>
      <c r="K201" s="10" t="s">
        <v>141</v>
      </c>
      <c r="L201" s="51" t="s">
        <v>356</v>
      </c>
      <c r="M201" s="11" t="s">
        <v>413</v>
      </c>
      <c r="O201" s="18">
        <v>13</v>
      </c>
      <c r="P201" s="15">
        <v>28</v>
      </c>
      <c r="Q201" s="15">
        <v>20</v>
      </c>
      <c r="R201" s="16">
        <v>16</v>
      </c>
      <c r="T201" s="18">
        <v>6</v>
      </c>
      <c r="U201" s="16">
        <v>1</v>
      </c>
      <c r="W201" s="18"/>
      <c r="X201" s="15"/>
      <c r="Y201" s="15"/>
      <c r="Z201" s="16"/>
      <c r="AB201" s="18"/>
      <c r="AC201" s="15"/>
      <c r="AD201" s="15"/>
      <c r="AE201" s="16"/>
      <c r="AG201" s="18"/>
      <c r="AH201" s="15"/>
      <c r="AI201" s="15"/>
      <c r="AJ201" s="16"/>
      <c r="AL201" s="18"/>
      <c r="AM201" s="15"/>
      <c r="AN201" s="15"/>
      <c r="AO201" s="16"/>
      <c r="AQ201" s="2">
        <v>15</v>
      </c>
    </row>
    <row r="202" spans="2:43" ht="18" customHeight="1" x14ac:dyDescent="0.2">
      <c r="B202" s="8">
        <v>202</v>
      </c>
      <c r="C202" s="8">
        <v>5</v>
      </c>
      <c r="D202" s="8">
        <v>40</v>
      </c>
      <c r="E202" s="8">
        <v>27</v>
      </c>
      <c r="F202" s="64" t="s">
        <v>122</v>
      </c>
      <c r="G202" s="8" t="s">
        <v>123</v>
      </c>
      <c r="H202" s="8" t="s">
        <v>123</v>
      </c>
      <c r="I202" s="8" t="s">
        <v>123</v>
      </c>
      <c r="J202" s="39" t="s">
        <v>123</v>
      </c>
      <c r="K202" s="8" t="s">
        <v>141</v>
      </c>
      <c r="L202" s="9" t="s">
        <v>394</v>
      </c>
      <c r="M202" s="9" t="s">
        <v>414</v>
      </c>
      <c r="O202" s="17">
        <v>13</v>
      </c>
      <c r="P202" s="13">
        <v>28</v>
      </c>
      <c r="Q202" s="13">
        <v>20</v>
      </c>
      <c r="R202" s="14">
        <v>16</v>
      </c>
      <c r="T202" s="17">
        <v>0</v>
      </c>
      <c r="U202" s="14">
        <v>0</v>
      </c>
      <c r="W202" s="17"/>
      <c r="X202" s="13"/>
      <c r="Y202" s="13"/>
      <c r="Z202" s="14"/>
      <c r="AB202" s="17"/>
      <c r="AC202" s="13"/>
      <c r="AD202" s="13"/>
      <c r="AE202" s="14"/>
      <c r="AG202" s="17"/>
      <c r="AH202" s="13"/>
      <c r="AI202" s="13"/>
      <c r="AJ202" s="14"/>
      <c r="AL202" s="17"/>
      <c r="AM202" s="13"/>
      <c r="AN202" s="13"/>
      <c r="AO202" s="14"/>
      <c r="AQ202" s="2">
        <v>15</v>
      </c>
    </row>
    <row r="203" spans="2:43" ht="18" customHeight="1" x14ac:dyDescent="0.2">
      <c r="B203" s="10">
        <v>203</v>
      </c>
      <c r="C203" s="10">
        <v>5</v>
      </c>
      <c r="D203" s="10">
        <v>41</v>
      </c>
      <c r="E203" s="10">
        <v>13</v>
      </c>
      <c r="F203" s="10" t="s">
        <v>122</v>
      </c>
      <c r="G203" s="10" t="s">
        <v>123</v>
      </c>
      <c r="H203" s="10" t="s">
        <v>132</v>
      </c>
      <c r="I203" s="38" t="s">
        <v>123</v>
      </c>
      <c r="J203" s="10" t="s">
        <v>123</v>
      </c>
      <c r="K203" s="10" t="s">
        <v>141</v>
      </c>
      <c r="L203" s="51" t="s">
        <v>415</v>
      </c>
      <c r="M203" s="11" t="s">
        <v>416</v>
      </c>
      <c r="O203" s="18">
        <v>13</v>
      </c>
      <c r="P203" s="15">
        <v>28</v>
      </c>
      <c r="Q203" s="15">
        <v>20</v>
      </c>
      <c r="R203" s="16">
        <v>16</v>
      </c>
      <c r="T203" s="18">
        <v>13</v>
      </c>
      <c r="U203" s="16">
        <v>11</v>
      </c>
      <c r="W203" s="18"/>
      <c r="X203" s="15"/>
      <c r="Y203" s="15"/>
      <c r="Z203" s="16"/>
      <c r="AB203" s="18"/>
      <c r="AC203" s="15"/>
      <c r="AD203" s="15"/>
      <c r="AE203" s="16"/>
      <c r="AG203" s="18"/>
      <c r="AH203" s="15"/>
      <c r="AI203" s="15"/>
      <c r="AJ203" s="16"/>
      <c r="AL203" s="18"/>
      <c r="AM203" s="15"/>
      <c r="AN203" s="15"/>
      <c r="AO203" s="16"/>
      <c r="AQ203" s="2">
        <v>15</v>
      </c>
    </row>
    <row r="204" spans="2:43" ht="18" customHeight="1" x14ac:dyDescent="0.2">
      <c r="B204" s="8">
        <v>204</v>
      </c>
      <c r="C204" s="8">
        <v>5</v>
      </c>
      <c r="D204" s="8">
        <v>42</v>
      </c>
      <c r="E204" s="8">
        <v>16</v>
      </c>
      <c r="F204" s="64" t="s">
        <v>133</v>
      </c>
      <c r="G204" s="8" t="s">
        <v>123</v>
      </c>
      <c r="H204" s="8" t="s">
        <v>123</v>
      </c>
      <c r="I204" s="8" t="s">
        <v>123</v>
      </c>
      <c r="J204" s="39" t="s">
        <v>123</v>
      </c>
      <c r="K204" s="8" t="s">
        <v>141</v>
      </c>
      <c r="L204" s="9" t="s">
        <v>257</v>
      </c>
      <c r="M204" s="9" t="s">
        <v>417</v>
      </c>
      <c r="O204" s="17">
        <v>13</v>
      </c>
      <c r="P204" s="13">
        <v>28</v>
      </c>
      <c r="Q204" s="13">
        <v>20</v>
      </c>
      <c r="R204" s="14">
        <v>16</v>
      </c>
      <c r="T204" s="17">
        <v>3</v>
      </c>
      <c r="U204" s="14">
        <v>1</v>
      </c>
      <c r="W204" s="17"/>
      <c r="X204" s="13"/>
      <c r="Y204" s="13"/>
      <c r="Z204" s="14"/>
      <c r="AB204" s="17"/>
      <c r="AC204" s="13"/>
      <c r="AD204" s="13"/>
      <c r="AE204" s="14"/>
      <c r="AG204" s="17"/>
      <c r="AH204" s="13"/>
      <c r="AI204" s="13"/>
      <c r="AJ204" s="14"/>
      <c r="AL204" s="17"/>
      <c r="AM204" s="13"/>
      <c r="AN204" s="13"/>
      <c r="AO204" s="14"/>
      <c r="AQ204" s="2">
        <v>15</v>
      </c>
    </row>
    <row r="205" spans="2:43" ht="18" customHeight="1" x14ac:dyDescent="0.2">
      <c r="B205" s="10">
        <v>205</v>
      </c>
      <c r="C205" s="10">
        <v>5</v>
      </c>
      <c r="D205" s="10">
        <v>43</v>
      </c>
      <c r="E205" s="10">
        <v>20</v>
      </c>
      <c r="F205" s="10" t="s">
        <v>407</v>
      </c>
      <c r="G205" s="10" t="s">
        <v>123</v>
      </c>
      <c r="H205" s="10" t="s">
        <v>123</v>
      </c>
      <c r="I205" s="10" t="s">
        <v>123</v>
      </c>
      <c r="J205" s="10" t="s">
        <v>123</v>
      </c>
      <c r="K205" s="10" t="s">
        <v>141</v>
      </c>
      <c r="L205" s="51" t="s">
        <v>0</v>
      </c>
      <c r="M205" s="11" t="s">
        <v>1</v>
      </c>
      <c r="O205" s="18">
        <v>13</v>
      </c>
      <c r="P205" s="15">
        <v>28</v>
      </c>
      <c r="Q205" s="15">
        <v>20</v>
      </c>
      <c r="R205" s="16">
        <v>16</v>
      </c>
      <c r="T205" s="18">
        <v>0</v>
      </c>
      <c r="U205" s="16">
        <v>1</v>
      </c>
      <c r="W205" s="18"/>
      <c r="X205" s="15"/>
      <c r="Y205" s="15"/>
      <c r="Z205" s="16"/>
      <c r="AB205" s="18"/>
      <c r="AC205" s="15"/>
      <c r="AD205" s="15"/>
      <c r="AE205" s="16"/>
      <c r="AG205" s="18"/>
      <c r="AH205" s="15"/>
      <c r="AI205" s="15"/>
      <c r="AJ205" s="16"/>
      <c r="AL205" s="18"/>
      <c r="AM205" s="15"/>
      <c r="AN205" s="15"/>
      <c r="AO205" s="16"/>
      <c r="AQ205" s="2">
        <v>15</v>
      </c>
    </row>
    <row r="206" spans="2:43" ht="18" customHeight="1" x14ac:dyDescent="0.2">
      <c r="B206" s="8">
        <v>206</v>
      </c>
      <c r="C206" s="8">
        <v>5</v>
      </c>
      <c r="D206" s="8">
        <v>44</v>
      </c>
      <c r="E206" s="8">
        <v>22</v>
      </c>
      <c r="F206" s="64" t="s">
        <v>122</v>
      </c>
      <c r="G206" s="39" t="s">
        <v>123</v>
      </c>
      <c r="H206" s="8" t="s">
        <v>123</v>
      </c>
      <c r="I206" s="8" t="s">
        <v>123</v>
      </c>
      <c r="J206" s="39" t="s">
        <v>123</v>
      </c>
      <c r="K206" s="8" t="s">
        <v>141</v>
      </c>
      <c r="L206" s="9" t="s">
        <v>394</v>
      </c>
      <c r="M206" s="9" t="s">
        <v>418</v>
      </c>
      <c r="O206" s="17">
        <v>13</v>
      </c>
      <c r="P206" s="13">
        <v>28</v>
      </c>
      <c r="Q206" s="13">
        <v>20</v>
      </c>
      <c r="R206" s="14">
        <v>16</v>
      </c>
      <c r="T206" s="17">
        <v>0</v>
      </c>
      <c r="U206" s="14">
        <v>3</v>
      </c>
      <c r="W206" s="17"/>
      <c r="X206" s="13"/>
      <c r="Y206" s="13"/>
      <c r="Z206" s="14"/>
      <c r="AB206" s="17"/>
      <c r="AC206" s="13"/>
      <c r="AD206" s="13"/>
      <c r="AE206" s="14"/>
      <c r="AG206" s="17"/>
      <c r="AH206" s="13"/>
      <c r="AI206" s="13"/>
      <c r="AJ206" s="14"/>
      <c r="AL206" s="17"/>
      <c r="AM206" s="13"/>
      <c r="AN206" s="13"/>
      <c r="AO206" s="14"/>
      <c r="AQ206" s="2">
        <v>15</v>
      </c>
    </row>
    <row r="207" spans="2:43" ht="18" customHeight="1" x14ac:dyDescent="0.2">
      <c r="B207" s="10">
        <v>207</v>
      </c>
      <c r="C207" s="10">
        <v>5</v>
      </c>
      <c r="D207" s="10">
        <v>45</v>
      </c>
      <c r="E207" s="10">
        <v>24</v>
      </c>
      <c r="F207" s="10" t="s">
        <v>122</v>
      </c>
      <c r="G207" s="10" t="s">
        <v>123</v>
      </c>
      <c r="H207" s="10" t="s">
        <v>123</v>
      </c>
      <c r="I207" s="10" t="s">
        <v>123</v>
      </c>
      <c r="J207" s="10" t="s">
        <v>123</v>
      </c>
      <c r="K207" s="10" t="s">
        <v>141</v>
      </c>
      <c r="L207" s="51" t="s">
        <v>419</v>
      </c>
      <c r="M207" s="11" t="s">
        <v>420</v>
      </c>
      <c r="O207" s="18">
        <v>13</v>
      </c>
      <c r="P207" s="15">
        <v>28</v>
      </c>
      <c r="Q207" s="15">
        <v>20</v>
      </c>
      <c r="R207" s="16">
        <v>16</v>
      </c>
      <c r="T207" s="18">
        <v>0</v>
      </c>
      <c r="U207" s="16">
        <v>0</v>
      </c>
      <c r="W207" s="18"/>
      <c r="X207" s="15"/>
      <c r="Y207" s="15"/>
      <c r="Z207" s="16"/>
      <c r="AB207" s="18"/>
      <c r="AC207" s="15"/>
      <c r="AD207" s="15"/>
      <c r="AE207" s="16"/>
      <c r="AG207" s="18"/>
      <c r="AH207" s="15"/>
      <c r="AI207" s="15"/>
      <c r="AJ207" s="16"/>
      <c r="AL207" s="18"/>
      <c r="AM207" s="15"/>
      <c r="AN207" s="15"/>
      <c r="AO207" s="16"/>
      <c r="AQ207" s="2">
        <v>15</v>
      </c>
    </row>
    <row r="208" spans="2:43" ht="18" customHeight="1" x14ac:dyDescent="0.2">
      <c r="B208" s="8">
        <v>208</v>
      </c>
      <c r="C208" s="8">
        <v>5</v>
      </c>
      <c r="D208" s="8">
        <v>46</v>
      </c>
      <c r="E208" s="8">
        <v>28</v>
      </c>
      <c r="F208" s="64" t="s">
        <v>133</v>
      </c>
      <c r="G208" s="8" t="s">
        <v>123</v>
      </c>
      <c r="H208" s="8" t="s">
        <v>123</v>
      </c>
      <c r="I208" s="8" t="s">
        <v>123</v>
      </c>
      <c r="J208" s="39" t="s">
        <v>123</v>
      </c>
      <c r="K208" s="8" t="s">
        <v>141</v>
      </c>
      <c r="L208" s="9" t="s">
        <v>257</v>
      </c>
      <c r="M208" s="9" t="s">
        <v>421</v>
      </c>
      <c r="O208" s="17">
        <v>13</v>
      </c>
      <c r="P208" s="13">
        <v>28</v>
      </c>
      <c r="Q208" s="13">
        <v>20</v>
      </c>
      <c r="R208" s="14">
        <v>16</v>
      </c>
      <c r="T208" s="17">
        <v>0</v>
      </c>
      <c r="U208" s="14">
        <v>0</v>
      </c>
      <c r="W208" s="17"/>
      <c r="X208" s="13"/>
      <c r="Y208" s="13"/>
      <c r="Z208" s="14"/>
      <c r="AB208" s="17"/>
      <c r="AC208" s="13"/>
      <c r="AD208" s="13"/>
      <c r="AE208" s="14"/>
      <c r="AG208" s="17"/>
      <c r="AH208" s="13"/>
      <c r="AI208" s="13"/>
      <c r="AJ208" s="14"/>
      <c r="AL208" s="17"/>
      <c r="AM208" s="13"/>
      <c r="AN208" s="13"/>
      <c r="AO208" s="14"/>
      <c r="AQ208" s="2">
        <v>15</v>
      </c>
    </row>
    <row r="209" spans="2:43" ht="18" customHeight="1" x14ac:dyDescent="0.2">
      <c r="B209" s="10">
        <v>209</v>
      </c>
      <c r="C209" s="10">
        <v>5</v>
      </c>
      <c r="D209" s="10">
        <v>47</v>
      </c>
      <c r="E209" s="10">
        <v>0</v>
      </c>
      <c r="F209" s="10" t="s">
        <v>122</v>
      </c>
      <c r="G209" s="10" t="s">
        <v>123</v>
      </c>
      <c r="H209" s="10" t="s">
        <v>123</v>
      </c>
      <c r="I209" s="10" t="s">
        <v>123</v>
      </c>
      <c r="J209" s="10" t="s">
        <v>123</v>
      </c>
      <c r="K209" s="10" t="s">
        <v>141</v>
      </c>
      <c r="L209" s="51" t="s">
        <v>356</v>
      </c>
      <c r="M209" s="11" t="s">
        <v>422</v>
      </c>
      <c r="O209" s="18">
        <v>13</v>
      </c>
      <c r="P209" s="15">
        <v>28</v>
      </c>
      <c r="Q209" s="15">
        <v>20</v>
      </c>
      <c r="R209" s="16">
        <v>16</v>
      </c>
      <c r="T209" s="18">
        <v>4</v>
      </c>
      <c r="U209" s="16">
        <v>0</v>
      </c>
      <c r="W209" s="18"/>
      <c r="X209" s="15"/>
      <c r="Y209" s="15"/>
      <c r="Z209" s="16"/>
      <c r="AB209" s="18"/>
      <c r="AC209" s="15"/>
      <c r="AD209" s="15"/>
      <c r="AE209" s="16"/>
      <c r="AG209" s="18"/>
      <c r="AH209" s="15"/>
      <c r="AI209" s="15"/>
      <c r="AJ209" s="16"/>
      <c r="AL209" s="18"/>
      <c r="AM209" s="15"/>
      <c r="AN209" s="15"/>
      <c r="AO209" s="16"/>
      <c r="AQ209" s="2">
        <v>15</v>
      </c>
    </row>
    <row r="210" spans="2:43" ht="18" customHeight="1" x14ac:dyDescent="0.2">
      <c r="B210" s="8">
        <v>210</v>
      </c>
      <c r="C210" s="8">
        <v>5</v>
      </c>
      <c r="D210" s="8">
        <v>48</v>
      </c>
      <c r="E210" s="8">
        <v>16</v>
      </c>
      <c r="F210" s="64" t="s">
        <v>133</v>
      </c>
      <c r="G210" s="8" t="s">
        <v>123</v>
      </c>
      <c r="H210" s="8" t="s">
        <v>123</v>
      </c>
      <c r="I210" s="8" t="s">
        <v>123</v>
      </c>
      <c r="J210" s="39" t="s">
        <v>123</v>
      </c>
      <c r="K210" s="8" t="s">
        <v>141</v>
      </c>
      <c r="L210" s="9" t="s">
        <v>257</v>
      </c>
      <c r="M210" s="9" t="s">
        <v>423</v>
      </c>
      <c r="O210" s="17">
        <v>13</v>
      </c>
      <c r="P210" s="13">
        <v>28</v>
      </c>
      <c r="Q210" s="13">
        <v>20</v>
      </c>
      <c r="R210" s="14">
        <v>16</v>
      </c>
      <c r="T210" s="17">
        <v>0</v>
      </c>
      <c r="U210" s="14">
        <v>1</v>
      </c>
      <c r="W210" s="17"/>
      <c r="X210" s="13"/>
      <c r="Y210" s="13"/>
      <c r="Z210" s="14"/>
      <c r="AB210" s="17"/>
      <c r="AC210" s="13"/>
      <c r="AD210" s="13"/>
      <c r="AE210" s="14"/>
      <c r="AG210" s="17"/>
      <c r="AH210" s="13"/>
      <c r="AI210" s="13"/>
      <c r="AJ210" s="14"/>
      <c r="AL210" s="17"/>
      <c r="AM210" s="13"/>
      <c r="AN210" s="13"/>
      <c r="AO210" s="14"/>
      <c r="AQ210" s="2">
        <v>15</v>
      </c>
    </row>
  </sheetData>
  <autoFilter ref="E1:L210"/>
  <sortState ref="B2:AO205">
    <sortCondition ref="C2:C205"/>
    <sortCondition ref="D2:D205"/>
    <sortCondition ref="K2:K205"/>
    <sortCondition ref="E2:E205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AK210"/>
  <sheetViews>
    <sheetView showGridLines="0" workbookViewId="0">
      <pane ySplit="1" topLeftCell="A2" activePane="bottomLeft" state="frozenSplit"/>
      <selection activeCell="A175" sqref="A175:XFD175"/>
      <selection pane="bottomLeft" activeCell="A2" sqref="A2"/>
    </sheetView>
  </sheetViews>
  <sheetFormatPr baseColWidth="10" defaultColWidth="3.7109375" defaultRowHeight="18" customHeight="1" x14ac:dyDescent="0.2"/>
  <cols>
    <col min="2" max="11" width="3.7109375" style="2" customWidth="1"/>
    <col min="12" max="12" width="20.7109375" style="1" customWidth="1"/>
    <col min="13" max="13" width="30.7109375" style="1" customWidth="1"/>
    <col min="14" max="14" width="3.7109375" style="2" customWidth="1"/>
    <col min="15" max="21" width="4.7109375" style="2" customWidth="1"/>
    <col min="22" max="22" width="3.7109375" style="2"/>
    <col min="23" max="29" width="4.7109375" style="2" customWidth="1"/>
    <col min="30" max="30" width="3.7109375" style="2"/>
    <col min="31" max="37" width="4.7109375" style="2" customWidth="1"/>
  </cols>
  <sheetData>
    <row r="1" spans="2:37" s="2" customFormat="1" ht="50.1" customHeight="1" x14ac:dyDescent="0.2">
      <c r="B1" s="7" t="s">
        <v>113</v>
      </c>
      <c r="C1" s="7" t="s">
        <v>114</v>
      </c>
      <c r="D1" s="7" t="s">
        <v>115</v>
      </c>
      <c r="E1" s="7" t="s">
        <v>116</v>
      </c>
      <c r="F1" s="7" t="s">
        <v>117</v>
      </c>
      <c r="G1" s="7" t="s">
        <v>69</v>
      </c>
      <c r="H1" s="7" t="s">
        <v>70</v>
      </c>
      <c r="I1" s="7" t="s">
        <v>71</v>
      </c>
      <c r="J1" s="7" t="s">
        <v>118</v>
      </c>
      <c r="K1" s="6" t="s">
        <v>119</v>
      </c>
      <c r="L1" s="6" t="s">
        <v>120</v>
      </c>
      <c r="M1" s="6" t="s">
        <v>121</v>
      </c>
      <c r="N1" s="5"/>
      <c r="O1" s="6" t="s">
        <v>424</v>
      </c>
      <c r="P1" s="6" t="s">
        <v>425</v>
      </c>
      <c r="Q1" s="6" t="s">
        <v>426</v>
      </c>
      <c r="R1" s="6" t="s">
        <v>427</v>
      </c>
      <c r="S1" s="6" t="s">
        <v>428</v>
      </c>
      <c r="T1" s="6" t="s">
        <v>429</v>
      </c>
      <c r="U1" s="7" t="s">
        <v>76</v>
      </c>
      <c r="V1" s="5"/>
      <c r="W1" s="6" t="s">
        <v>424</v>
      </c>
      <c r="X1" s="6" t="s">
        <v>425</v>
      </c>
      <c r="Y1" s="6" t="s">
        <v>426</v>
      </c>
      <c r="Z1" s="6" t="s">
        <v>427</v>
      </c>
      <c r="AA1" s="6" t="s">
        <v>428</v>
      </c>
      <c r="AB1" s="6" t="s">
        <v>429</v>
      </c>
      <c r="AC1" s="7" t="s">
        <v>430</v>
      </c>
      <c r="AD1" s="5"/>
      <c r="AE1" s="6" t="s">
        <v>424</v>
      </c>
      <c r="AF1" s="6" t="s">
        <v>425</v>
      </c>
      <c r="AG1" s="6" t="s">
        <v>426</v>
      </c>
      <c r="AH1" s="6" t="s">
        <v>427</v>
      </c>
      <c r="AI1" s="6" t="s">
        <v>428</v>
      </c>
      <c r="AJ1" s="6" t="s">
        <v>429</v>
      </c>
      <c r="AK1" s="7" t="s">
        <v>431</v>
      </c>
    </row>
    <row r="2" spans="2:37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garage!J2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17">
        <v>5</v>
      </c>
      <c r="P2" s="13">
        <v>12</v>
      </c>
      <c r="Q2" s="13">
        <v>30</v>
      </c>
      <c r="R2" s="13"/>
      <c r="S2" s="13"/>
      <c r="T2" s="14"/>
      <c r="U2" s="49">
        <f t="shared" ref="U2:U33" si="0">SUM(O2:T2)</f>
        <v>47</v>
      </c>
      <c r="W2" s="26">
        <v>5</v>
      </c>
      <c r="X2" s="27">
        <v>12</v>
      </c>
      <c r="Y2" s="27">
        <v>30</v>
      </c>
      <c r="Z2" s="27"/>
      <c r="AA2" s="27"/>
      <c r="AB2" s="28"/>
      <c r="AC2" s="28">
        <f t="shared" ref="AC2:AC13" si="1">SUM(W2:AB2)</f>
        <v>47</v>
      </c>
      <c r="AE2" s="32"/>
      <c r="AF2" s="33"/>
      <c r="AG2" s="33"/>
      <c r="AH2" s="33"/>
      <c r="AI2" s="33"/>
      <c r="AJ2" s="34"/>
      <c r="AK2" s="34"/>
    </row>
    <row r="3" spans="2:37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garage!J3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18">
        <v>5</v>
      </c>
      <c r="P3" s="15">
        <v>12</v>
      </c>
      <c r="Q3" s="15">
        <v>45</v>
      </c>
      <c r="R3" s="15"/>
      <c r="S3" s="15"/>
      <c r="T3" s="16"/>
      <c r="U3" s="50">
        <f t="shared" si="0"/>
        <v>62</v>
      </c>
      <c r="W3" s="29">
        <v>5</v>
      </c>
      <c r="X3" s="30">
        <v>12</v>
      </c>
      <c r="Y3" s="30">
        <v>45</v>
      </c>
      <c r="Z3" s="30"/>
      <c r="AA3" s="30"/>
      <c r="AB3" s="31"/>
      <c r="AC3" s="31">
        <f t="shared" si="1"/>
        <v>62</v>
      </c>
      <c r="AE3" s="35"/>
      <c r="AF3" s="36"/>
      <c r="AG3" s="36"/>
      <c r="AH3" s="36"/>
      <c r="AI3" s="36"/>
      <c r="AJ3" s="37"/>
      <c r="AK3" s="37"/>
    </row>
    <row r="4" spans="2:37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17">
        <v>5</v>
      </c>
      <c r="P4" s="13">
        <v>12</v>
      </c>
      <c r="Q4" s="13">
        <v>30</v>
      </c>
      <c r="R4" s="13"/>
      <c r="S4" s="13"/>
      <c r="T4" s="14"/>
      <c r="U4" s="49">
        <f t="shared" si="0"/>
        <v>47</v>
      </c>
      <c r="W4" s="26">
        <v>5</v>
      </c>
      <c r="X4" s="27">
        <v>12</v>
      </c>
      <c r="Y4" s="27">
        <v>30</v>
      </c>
      <c r="Z4" s="27"/>
      <c r="AA4" s="27"/>
      <c r="AB4" s="28"/>
      <c r="AC4" s="28">
        <f t="shared" si="1"/>
        <v>47</v>
      </c>
      <c r="AE4" s="32"/>
      <c r="AF4" s="33"/>
      <c r="AG4" s="33"/>
      <c r="AH4" s="33"/>
      <c r="AI4" s="33"/>
      <c r="AJ4" s="34"/>
      <c r="AK4" s="34"/>
    </row>
    <row r="5" spans="2:37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garage!J5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18">
        <v>15</v>
      </c>
      <c r="P5" s="15">
        <v>25</v>
      </c>
      <c r="Q5" s="15">
        <v>55</v>
      </c>
      <c r="R5" s="15"/>
      <c r="S5" s="15"/>
      <c r="T5" s="16"/>
      <c r="U5" s="50">
        <f t="shared" si="0"/>
        <v>95</v>
      </c>
      <c r="W5" s="29">
        <v>15</v>
      </c>
      <c r="X5" s="30">
        <v>25</v>
      </c>
      <c r="Y5" s="30">
        <v>55</v>
      </c>
      <c r="Z5" s="30"/>
      <c r="AA5" s="30"/>
      <c r="AB5" s="31"/>
      <c r="AC5" s="31">
        <f t="shared" si="1"/>
        <v>95</v>
      </c>
      <c r="AE5" s="35"/>
      <c r="AF5" s="36"/>
      <c r="AG5" s="36"/>
      <c r="AH5" s="36"/>
      <c r="AI5" s="36"/>
      <c r="AJ5" s="37"/>
      <c r="AK5" s="37"/>
    </row>
    <row r="6" spans="2:37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garage!J6</f>
        <v>N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17">
        <v>10</v>
      </c>
      <c r="P6" s="13">
        <v>20</v>
      </c>
      <c r="Q6" s="13">
        <v>30</v>
      </c>
      <c r="R6" s="13"/>
      <c r="S6" s="13"/>
      <c r="T6" s="14"/>
      <c r="U6" s="49">
        <f t="shared" si="0"/>
        <v>60</v>
      </c>
      <c r="W6" s="26">
        <v>10</v>
      </c>
      <c r="X6" s="27">
        <v>20</v>
      </c>
      <c r="Y6" s="27">
        <v>30</v>
      </c>
      <c r="Z6" s="27"/>
      <c r="AA6" s="27"/>
      <c r="AB6" s="28"/>
      <c r="AC6" s="28">
        <f t="shared" si="1"/>
        <v>60</v>
      </c>
      <c r="AE6" s="32"/>
      <c r="AF6" s="33"/>
      <c r="AG6" s="33"/>
      <c r="AH6" s="33"/>
      <c r="AI6" s="33"/>
      <c r="AJ6" s="34"/>
      <c r="AK6" s="34"/>
    </row>
    <row r="7" spans="2:37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garage!J7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18">
        <v>30</v>
      </c>
      <c r="P7" s="15">
        <v>23</v>
      </c>
      <c r="Q7" s="15"/>
      <c r="R7" s="15"/>
      <c r="S7" s="15"/>
      <c r="T7" s="16"/>
      <c r="U7" s="50"/>
      <c r="W7" s="29">
        <v>30</v>
      </c>
      <c r="X7" s="30">
        <v>20</v>
      </c>
      <c r="Y7" s="30"/>
      <c r="Z7" s="30"/>
      <c r="AA7" s="30"/>
      <c r="AB7" s="31"/>
      <c r="AC7" s="31"/>
      <c r="AE7" s="35"/>
      <c r="AF7" s="36">
        <f t="shared" ref="AF7" si="2">P7-X7</f>
        <v>3</v>
      </c>
      <c r="AG7" s="36">
        <f t="shared" ref="AG7" si="3">Q7-Y7</f>
        <v>0</v>
      </c>
      <c r="AH7" s="36">
        <v>0</v>
      </c>
      <c r="AI7" s="36"/>
      <c r="AJ7" s="37"/>
      <c r="AK7" s="37">
        <f t="shared" ref="AK7" si="4">SUM(AE7:AJ7)</f>
        <v>3</v>
      </c>
    </row>
    <row r="8" spans="2:37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garage!J8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17">
        <v>20</v>
      </c>
      <c r="P8" s="13">
        <v>12</v>
      </c>
      <c r="Q8" s="13">
        <v>30</v>
      </c>
      <c r="R8" s="13"/>
      <c r="S8" s="13"/>
      <c r="T8" s="14"/>
      <c r="U8" s="49">
        <f t="shared" si="0"/>
        <v>62</v>
      </c>
      <c r="W8" s="26">
        <v>20</v>
      </c>
      <c r="X8" s="27">
        <v>12</v>
      </c>
      <c r="Y8" s="27">
        <v>30</v>
      </c>
      <c r="Z8" s="27"/>
      <c r="AA8" s="27"/>
      <c r="AB8" s="28"/>
      <c r="AC8" s="28">
        <f t="shared" si="1"/>
        <v>62</v>
      </c>
      <c r="AE8" s="32"/>
      <c r="AF8" s="33"/>
      <c r="AG8" s="33"/>
      <c r="AH8" s="33"/>
      <c r="AI8" s="33"/>
      <c r="AJ8" s="34"/>
      <c r="AK8" s="34"/>
    </row>
    <row r="9" spans="2:37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garage!J9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18">
        <v>20</v>
      </c>
      <c r="P9" s="15">
        <v>12</v>
      </c>
      <c r="Q9" s="15">
        <v>30</v>
      </c>
      <c r="R9" s="15"/>
      <c r="S9" s="15"/>
      <c r="T9" s="16"/>
      <c r="U9" s="50">
        <f t="shared" si="0"/>
        <v>62</v>
      </c>
      <c r="W9" s="29">
        <v>20</v>
      </c>
      <c r="X9" s="30">
        <v>12</v>
      </c>
      <c r="Y9" s="30">
        <v>30</v>
      </c>
      <c r="Z9" s="30"/>
      <c r="AA9" s="30"/>
      <c r="AB9" s="31"/>
      <c r="AC9" s="31">
        <f t="shared" si="1"/>
        <v>62</v>
      </c>
      <c r="AE9" s="35"/>
      <c r="AF9" s="36"/>
      <c r="AG9" s="36"/>
      <c r="AH9" s="36"/>
      <c r="AI9" s="36"/>
      <c r="AJ9" s="37"/>
      <c r="AK9" s="37"/>
    </row>
    <row r="10" spans="2:37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garage!J10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17">
        <v>20</v>
      </c>
      <c r="P10" s="13">
        <v>12</v>
      </c>
      <c r="Q10" s="13">
        <v>30</v>
      </c>
      <c r="R10" s="13"/>
      <c r="S10" s="13"/>
      <c r="T10" s="14"/>
      <c r="U10" s="49">
        <f t="shared" si="0"/>
        <v>62</v>
      </c>
      <c r="W10" s="26">
        <v>20</v>
      </c>
      <c r="X10" s="27">
        <v>12</v>
      </c>
      <c r="Y10" s="27">
        <v>30</v>
      </c>
      <c r="Z10" s="27"/>
      <c r="AA10" s="27"/>
      <c r="AB10" s="28"/>
      <c r="AC10" s="28">
        <f t="shared" si="1"/>
        <v>62</v>
      </c>
      <c r="AE10" s="32"/>
      <c r="AF10" s="33"/>
      <c r="AG10" s="33"/>
      <c r="AH10" s="33"/>
      <c r="AI10" s="33"/>
      <c r="AJ10" s="34"/>
      <c r="AK10" s="34"/>
    </row>
    <row r="11" spans="2:37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garage!J11</f>
        <v>O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18">
        <v>30</v>
      </c>
      <c r="P11" s="15">
        <v>23</v>
      </c>
      <c r="Q11" s="15">
        <v>33</v>
      </c>
      <c r="R11" s="15">
        <v>42</v>
      </c>
      <c r="S11" s="15"/>
      <c r="T11" s="16"/>
      <c r="U11" s="50">
        <f t="shared" si="0"/>
        <v>128</v>
      </c>
      <c r="W11" s="29">
        <v>30</v>
      </c>
      <c r="X11" s="30">
        <v>23</v>
      </c>
      <c r="Y11" s="30">
        <v>33</v>
      </c>
      <c r="Z11" s="30">
        <v>8</v>
      </c>
      <c r="AA11" s="30"/>
      <c r="AB11" s="31"/>
      <c r="AC11" s="31">
        <f t="shared" si="1"/>
        <v>94</v>
      </c>
      <c r="AE11" s="35"/>
      <c r="AF11" s="36"/>
      <c r="AG11" s="36"/>
      <c r="AH11" s="36">
        <f t="shared" ref="AH11:AH33" si="5">R11-Z11</f>
        <v>34</v>
      </c>
      <c r="AI11" s="36"/>
      <c r="AJ11" s="37"/>
      <c r="AK11" s="37">
        <f t="shared" ref="AK11:AK34" si="6">SUM(AE11:AJ11)</f>
        <v>34</v>
      </c>
    </row>
    <row r="12" spans="2:37" ht="18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garage!J12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17">
        <v>30</v>
      </c>
      <c r="P12" s="13">
        <v>23</v>
      </c>
      <c r="Q12" s="13">
        <v>33</v>
      </c>
      <c r="R12" s="13">
        <v>42</v>
      </c>
      <c r="S12" s="13"/>
      <c r="T12" s="14"/>
      <c r="U12" s="49">
        <f t="shared" si="0"/>
        <v>128</v>
      </c>
      <c r="W12" s="26">
        <v>21</v>
      </c>
      <c r="X12" s="27"/>
      <c r="Y12" s="27"/>
      <c r="Z12" s="27"/>
      <c r="AA12" s="27"/>
      <c r="AB12" s="28"/>
      <c r="AC12" s="28">
        <f t="shared" si="1"/>
        <v>21</v>
      </c>
      <c r="AE12" s="32">
        <f t="shared" ref="AE12:AE34" si="7">O12-W12</f>
        <v>9</v>
      </c>
      <c r="AF12" s="33">
        <f t="shared" ref="AF12:AF34" si="8">P12-X12</f>
        <v>23</v>
      </c>
      <c r="AG12" s="33">
        <f t="shared" ref="AG12:AG34" si="9">Q12-Y12</f>
        <v>33</v>
      </c>
      <c r="AH12" s="33">
        <f t="shared" si="5"/>
        <v>42</v>
      </c>
      <c r="AI12" s="33"/>
      <c r="AJ12" s="34"/>
      <c r="AK12" s="34">
        <f t="shared" si="6"/>
        <v>107</v>
      </c>
    </row>
    <row r="13" spans="2:37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garage!J13</f>
        <v>O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18">
        <v>30</v>
      </c>
      <c r="P13" s="15">
        <v>23</v>
      </c>
      <c r="Q13" s="15">
        <v>33</v>
      </c>
      <c r="R13" s="15">
        <v>42</v>
      </c>
      <c r="S13" s="15"/>
      <c r="T13" s="16"/>
      <c r="U13" s="50">
        <f t="shared" si="0"/>
        <v>128</v>
      </c>
      <c r="W13" s="29">
        <v>30</v>
      </c>
      <c r="X13" s="30">
        <v>23</v>
      </c>
      <c r="Y13" s="30">
        <v>33</v>
      </c>
      <c r="Z13" s="30"/>
      <c r="AA13" s="30"/>
      <c r="AB13" s="31"/>
      <c r="AC13" s="31">
        <f t="shared" si="1"/>
        <v>86</v>
      </c>
      <c r="AE13" s="35"/>
      <c r="AF13" s="36"/>
      <c r="AG13" s="36"/>
      <c r="AH13" s="36">
        <f t="shared" si="5"/>
        <v>42</v>
      </c>
      <c r="AI13" s="36"/>
      <c r="AJ13" s="37"/>
      <c r="AK13" s="37">
        <f t="shared" si="6"/>
        <v>42</v>
      </c>
    </row>
    <row r="14" spans="2:37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garage!J14</f>
        <v>N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17">
        <v>30</v>
      </c>
      <c r="P14" s="13">
        <v>23</v>
      </c>
      <c r="Q14" s="13">
        <v>33</v>
      </c>
      <c r="R14" s="13">
        <v>42</v>
      </c>
      <c r="S14" s="13"/>
      <c r="T14" s="14"/>
      <c r="U14" s="49">
        <f t="shared" si="0"/>
        <v>128</v>
      </c>
      <c r="W14" s="26">
        <v>30</v>
      </c>
      <c r="X14" s="27">
        <v>3</v>
      </c>
      <c r="Y14" s="27"/>
      <c r="Z14" s="27"/>
      <c r="AA14" s="27"/>
      <c r="AB14" s="28"/>
      <c r="AC14" s="28"/>
      <c r="AE14" s="32"/>
      <c r="AF14" s="33">
        <f t="shared" si="8"/>
        <v>20</v>
      </c>
      <c r="AG14" s="33">
        <f t="shared" si="9"/>
        <v>33</v>
      </c>
      <c r="AH14" s="33">
        <f t="shared" si="5"/>
        <v>42</v>
      </c>
      <c r="AI14" s="33"/>
      <c r="AJ14" s="34"/>
      <c r="AK14" s="34">
        <f t="shared" si="6"/>
        <v>95</v>
      </c>
    </row>
    <row r="15" spans="2:37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garage!J15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18">
        <v>25</v>
      </c>
      <c r="P15" s="15">
        <v>8</v>
      </c>
      <c r="Q15" s="15">
        <v>14</v>
      </c>
      <c r="R15" s="15">
        <v>28</v>
      </c>
      <c r="S15" s="15"/>
      <c r="T15" s="16"/>
      <c r="U15" s="50">
        <f t="shared" si="0"/>
        <v>75</v>
      </c>
      <c r="W15" s="29">
        <v>25</v>
      </c>
      <c r="X15" s="30">
        <v>8</v>
      </c>
      <c r="Y15" s="30">
        <v>14</v>
      </c>
      <c r="Z15" s="30">
        <v>28</v>
      </c>
      <c r="AA15" s="30"/>
      <c r="AB15" s="31"/>
      <c r="AC15" s="31">
        <f t="shared" ref="AC15:AC34" si="10">SUM(W15:AB15)</f>
        <v>75</v>
      </c>
      <c r="AE15" s="35"/>
      <c r="AF15" s="36"/>
      <c r="AG15" s="36"/>
      <c r="AH15" s="36"/>
      <c r="AI15" s="36"/>
      <c r="AJ15" s="37"/>
      <c r="AK15" s="37"/>
    </row>
    <row r="16" spans="2:37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garage!J16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17">
        <v>30</v>
      </c>
      <c r="P16" s="13">
        <v>23</v>
      </c>
      <c r="Q16" s="13">
        <v>33</v>
      </c>
      <c r="R16" s="13">
        <v>42</v>
      </c>
      <c r="S16" s="13"/>
      <c r="T16" s="14"/>
      <c r="U16" s="49">
        <f t="shared" si="0"/>
        <v>128</v>
      </c>
      <c r="W16" s="26">
        <v>30</v>
      </c>
      <c r="X16" s="27">
        <v>23</v>
      </c>
      <c r="Y16" s="27">
        <v>33</v>
      </c>
      <c r="Z16" s="27">
        <v>42</v>
      </c>
      <c r="AA16" s="27"/>
      <c r="AB16" s="28"/>
      <c r="AC16" s="28">
        <f t="shared" si="10"/>
        <v>128</v>
      </c>
      <c r="AE16" s="32"/>
      <c r="AF16" s="33"/>
      <c r="AG16" s="33"/>
      <c r="AH16" s="33"/>
      <c r="AI16" s="33"/>
      <c r="AJ16" s="34"/>
      <c r="AK16" s="34"/>
    </row>
    <row r="17" spans="2:37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garage!J17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18">
        <v>25</v>
      </c>
      <c r="P17" s="15">
        <v>12</v>
      </c>
      <c r="Q17" s="15">
        <v>18</v>
      </c>
      <c r="R17" s="15">
        <v>28</v>
      </c>
      <c r="S17" s="15"/>
      <c r="T17" s="16"/>
      <c r="U17" s="50">
        <f t="shared" si="0"/>
        <v>83</v>
      </c>
      <c r="W17" s="29">
        <v>25</v>
      </c>
      <c r="X17" s="30">
        <v>12</v>
      </c>
      <c r="Y17" s="30">
        <v>18</v>
      </c>
      <c r="Z17" s="30">
        <v>28</v>
      </c>
      <c r="AA17" s="30"/>
      <c r="AB17" s="31"/>
      <c r="AC17" s="31">
        <f t="shared" si="10"/>
        <v>83</v>
      </c>
      <c r="AE17" s="35"/>
      <c r="AF17" s="36"/>
      <c r="AG17" s="36"/>
      <c r="AH17" s="36"/>
      <c r="AI17" s="36"/>
      <c r="AJ17" s="37"/>
      <c r="AK17" s="37"/>
    </row>
    <row r="18" spans="2:37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garage!J18</f>
        <v>O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17">
        <v>30</v>
      </c>
      <c r="P18" s="13">
        <v>23</v>
      </c>
      <c r="Q18" s="13">
        <v>33</v>
      </c>
      <c r="R18" s="13">
        <v>42</v>
      </c>
      <c r="S18" s="13"/>
      <c r="T18" s="14"/>
      <c r="U18" s="49">
        <f t="shared" si="0"/>
        <v>128</v>
      </c>
      <c r="W18" s="26">
        <v>30</v>
      </c>
      <c r="X18" s="27">
        <v>23</v>
      </c>
      <c r="Y18" s="27">
        <v>11</v>
      </c>
      <c r="Z18" s="27"/>
      <c r="AA18" s="27"/>
      <c r="AB18" s="28"/>
      <c r="AC18" s="28">
        <f t="shared" si="10"/>
        <v>64</v>
      </c>
      <c r="AE18" s="32"/>
      <c r="AF18" s="33"/>
      <c r="AG18" s="33">
        <f t="shared" si="9"/>
        <v>22</v>
      </c>
      <c r="AH18" s="33">
        <f t="shared" si="5"/>
        <v>42</v>
      </c>
      <c r="AI18" s="33"/>
      <c r="AJ18" s="34"/>
      <c r="AK18" s="34">
        <f t="shared" si="6"/>
        <v>64</v>
      </c>
    </row>
    <row r="19" spans="2:37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garage!J19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18">
        <v>20</v>
      </c>
      <c r="P19" s="15">
        <v>8</v>
      </c>
      <c r="Q19" s="15">
        <v>14</v>
      </c>
      <c r="R19" s="15">
        <v>28</v>
      </c>
      <c r="S19" s="15"/>
      <c r="T19" s="16"/>
      <c r="U19" s="50">
        <f t="shared" si="0"/>
        <v>70</v>
      </c>
      <c r="W19" s="29">
        <v>20</v>
      </c>
      <c r="X19" s="30">
        <v>8</v>
      </c>
      <c r="Y19" s="30">
        <v>14</v>
      </c>
      <c r="Z19" s="30">
        <v>28</v>
      </c>
      <c r="AA19" s="30"/>
      <c r="AB19" s="31"/>
      <c r="AC19" s="31">
        <f t="shared" si="10"/>
        <v>70</v>
      </c>
      <c r="AE19" s="35"/>
      <c r="AF19" s="36"/>
      <c r="AG19" s="36"/>
      <c r="AH19" s="36"/>
      <c r="AI19" s="36"/>
      <c r="AJ19" s="37"/>
      <c r="AK19" s="37"/>
    </row>
    <row r="20" spans="2:37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garage!J20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17">
        <v>30</v>
      </c>
      <c r="P20" s="13">
        <v>23</v>
      </c>
      <c r="Q20" s="13">
        <v>33</v>
      </c>
      <c r="R20" s="13">
        <v>42</v>
      </c>
      <c r="S20" s="13"/>
      <c r="T20" s="14"/>
      <c r="U20" s="49">
        <f t="shared" si="0"/>
        <v>128</v>
      </c>
      <c r="W20" s="26">
        <v>30</v>
      </c>
      <c r="X20" s="27">
        <v>23</v>
      </c>
      <c r="Y20" s="27">
        <v>33</v>
      </c>
      <c r="Z20" s="27">
        <v>42</v>
      </c>
      <c r="AA20" s="27"/>
      <c r="AB20" s="28"/>
      <c r="AC20" s="28">
        <f t="shared" si="10"/>
        <v>128</v>
      </c>
      <c r="AE20" s="32"/>
      <c r="AF20" s="33"/>
      <c r="AG20" s="33"/>
      <c r="AH20" s="33"/>
      <c r="AI20" s="33"/>
      <c r="AJ20" s="34"/>
      <c r="AK20" s="34"/>
    </row>
    <row r="21" spans="2:37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garage!J21</f>
        <v>O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18">
        <v>30</v>
      </c>
      <c r="P21" s="15">
        <v>23</v>
      </c>
      <c r="Q21" s="15">
        <v>33</v>
      </c>
      <c r="R21" s="15">
        <v>42</v>
      </c>
      <c r="S21" s="15"/>
      <c r="T21" s="16"/>
      <c r="U21" s="50">
        <f t="shared" si="0"/>
        <v>128</v>
      </c>
      <c r="W21" s="29">
        <v>30</v>
      </c>
      <c r="X21" s="30">
        <v>23</v>
      </c>
      <c r="Y21" s="30">
        <v>33</v>
      </c>
      <c r="Z21" s="30">
        <v>42</v>
      </c>
      <c r="AA21" s="30"/>
      <c r="AB21" s="31"/>
      <c r="AC21" s="31">
        <f t="shared" si="10"/>
        <v>128</v>
      </c>
      <c r="AE21" s="35"/>
      <c r="AF21" s="36"/>
      <c r="AG21" s="36"/>
      <c r="AH21" s="36"/>
      <c r="AI21" s="36"/>
      <c r="AJ21" s="37"/>
      <c r="AK21" s="37"/>
    </row>
    <row r="22" spans="2:37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garage!J22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17">
        <v>30</v>
      </c>
      <c r="P22" s="13">
        <v>23</v>
      </c>
      <c r="Q22" s="13">
        <v>33</v>
      </c>
      <c r="R22" s="13">
        <v>42</v>
      </c>
      <c r="S22" s="13"/>
      <c r="T22" s="14"/>
      <c r="U22" s="49">
        <f t="shared" si="0"/>
        <v>128</v>
      </c>
      <c r="W22" s="26">
        <v>30</v>
      </c>
      <c r="X22" s="27">
        <v>23</v>
      </c>
      <c r="Y22" s="27">
        <v>33</v>
      </c>
      <c r="Z22" s="27"/>
      <c r="AA22" s="27"/>
      <c r="AB22" s="28"/>
      <c r="AC22" s="28">
        <f t="shared" si="10"/>
        <v>86</v>
      </c>
      <c r="AE22" s="32"/>
      <c r="AF22" s="33"/>
      <c r="AG22" s="33"/>
      <c r="AH22" s="33">
        <f t="shared" si="5"/>
        <v>42</v>
      </c>
      <c r="AI22" s="33"/>
      <c r="AJ22" s="34"/>
      <c r="AK22" s="34">
        <f t="shared" si="6"/>
        <v>42</v>
      </c>
    </row>
    <row r="23" spans="2:37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garage!J23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18">
        <v>30</v>
      </c>
      <c r="P23" s="15">
        <v>23</v>
      </c>
      <c r="Q23" s="15">
        <v>33</v>
      </c>
      <c r="R23" s="15">
        <v>42</v>
      </c>
      <c r="S23" s="15"/>
      <c r="T23" s="16"/>
      <c r="U23" s="50">
        <f t="shared" si="0"/>
        <v>128</v>
      </c>
      <c r="W23" s="29">
        <v>30</v>
      </c>
      <c r="X23" s="30">
        <v>23</v>
      </c>
      <c r="Y23" s="30">
        <v>33</v>
      </c>
      <c r="Z23" s="30">
        <v>42</v>
      </c>
      <c r="AA23" s="30"/>
      <c r="AB23" s="31"/>
      <c r="AC23" s="31">
        <f t="shared" si="10"/>
        <v>128</v>
      </c>
      <c r="AE23" s="35"/>
      <c r="AF23" s="36"/>
      <c r="AG23" s="36"/>
      <c r="AH23" s="36"/>
      <c r="AI23" s="36"/>
      <c r="AJ23" s="37"/>
      <c r="AK23" s="37"/>
    </row>
    <row r="24" spans="2:37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garage!J24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17">
        <v>30</v>
      </c>
      <c r="P24" s="13">
        <v>23</v>
      </c>
      <c r="Q24" s="13">
        <v>33</v>
      </c>
      <c r="R24" s="13">
        <v>42</v>
      </c>
      <c r="S24" s="13"/>
      <c r="T24" s="14"/>
      <c r="U24" s="49">
        <f t="shared" si="0"/>
        <v>128</v>
      </c>
      <c r="W24" s="26">
        <v>30</v>
      </c>
      <c r="X24" s="27">
        <v>23</v>
      </c>
      <c r="Y24" s="27">
        <v>1</v>
      </c>
      <c r="Z24" s="27"/>
      <c r="AA24" s="27"/>
      <c r="AB24" s="28"/>
      <c r="AC24" s="28">
        <f t="shared" si="10"/>
        <v>54</v>
      </c>
      <c r="AE24" s="32"/>
      <c r="AF24" s="33"/>
      <c r="AG24" s="33">
        <f t="shared" si="9"/>
        <v>32</v>
      </c>
      <c r="AH24" s="33">
        <f t="shared" si="5"/>
        <v>42</v>
      </c>
      <c r="AI24" s="33"/>
      <c r="AJ24" s="34"/>
      <c r="AK24" s="34">
        <f t="shared" si="6"/>
        <v>74</v>
      </c>
    </row>
    <row r="25" spans="2:37" ht="18" customHeight="1" x14ac:dyDescent="0.2">
      <c r="B25" s="10">
        <f>garage!B25</f>
        <v>25</v>
      </c>
      <c r="C25" s="10">
        <f>garage!C25</f>
        <v>1</v>
      </c>
      <c r="D25" s="10">
        <f>garage!D25</f>
        <v>24</v>
      </c>
      <c r="E25" s="10">
        <f>garage!E25</f>
        <v>10</v>
      </c>
      <c r="F25" s="10" t="str">
        <f>garage!F25</f>
        <v>--</v>
      </c>
      <c r="G25" s="10" t="str">
        <f>garage!G25</f>
        <v>O</v>
      </c>
      <c r="H25" s="10" t="str">
        <f>garage!H25</f>
        <v>O</v>
      </c>
      <c r="I25" s="10" t="str">
        <f>garage!I25</f>
        <v>N</v>
      </c>
      <c r="J25" s="10" t="str">
        <f>garage!J25</f>
        <v>N</v>
      </c>
      <c r="K25" s="10" t="str">
        <f>garage!K25</f>
        <v>D</v>
      </c>
      <c r="L25" s="11" t="str">
        <f>garage!L25</f>
        <v>Honda</v>
      </c>
      <c r="M25" s="11" t="str">
        <f>garage!M25</f>
        <v>Civic Type-R</v>
      </c>
      <c r="O25" s="18">
        <v>30</v>
      </c>
      <c r="P25" s="15">
        <v>23</v>
      </c>
      <c r="Q25" s="15">
        <v>33</v>
      </c>
      <c r="R25" s="15">
        <v>42</v>
      </c>
      <c r="S25" s="15"/>
      <c r="T25" s="16"/>
      <c r="U25" s="50">
        <f t="shared" si="0"/>
        <v>128</v>
      </c>
      <c r="W25" s="29">
        <v>30</v>
      </c>
      <c r="X25" s="30">
        <v>23</v>
      </c>
      <c r="Y25" s="30">
        <v>33</v>
      </c>
      <c r="Z25" s="30">
        <v>42</v>
      </c>
      <c r="AA25" s="30"/>
      <c r="AB25" s="31"/>
      <c r="AC25" s="31">
        <f t="shared" si="10"/>
        <v>128</v>
      </c>
      <c r="AE25" s="35"/>
      <c r="AF25" s="36"/>
      <c r="AG25" s="36"/>
      <c r="AH25" s="36"/>
      <c r="AI25" s="36"/>
      <c r="AJ25" s="37"/>
      <c r="AK25" s="37"/>
    </row>
    <row r="26" spans="2:37" ht="18" customHeight="1" x14ac:dyDescent="0.2">
      <c r="B26" s="8">
        <f>garage!B26</f>
        <v>26</v>
      </c>
      <c r="C26" s="8">
        <f>garage!C26</f>
        <v>1</v>
      </c>
      <c r="D26" s="8">
        <f>garage!D26</f>
        <v>25</v>
      </c>
      <c r="E26" s="8">
        <f>garage!E26</f>
        <v>11</v>
      </c>
      <c r="F26" s="8" t="str">
        <f>garage!F26</f>
        <v>P</v>
      </c>
      <c r="G26" s="8" t="str">
        <f>garage!G26</f>
        <v>O</v>
      </c>
      <c r="H26" s="8" t="str">
        <f>garage!H26</f>
        <v>O</v>
      </c>
      <c r="I26" s="8" t="str">
        <f>garage!I26</f>
        <v>O</v>
      </c>
      <c r="J26" s="8" t="str">
        <f>garage!J26</f>
        <v>N</v>
      </c>
      <c r="K26" s="8" t="str">
        <f>garage!K26</f>
        <v>D</v>
      </c>
      <c r="L26" s="9" t="str">
        <f>garage!L26</f>
        <v>Porsche</v>
      </c>
      <c r="M26" s="9" t="str">
        <f>garage!M26</f>
        <v>Taycan Turbo S</v>
      </c>
      <c r="O26" s="17">
        <v>30</v>
      </c>
      <c r="P26" s="13">
        <v>23</v>
      </c>
      <c r="Q26" s="13">
        <v>33</v>
      </c>
      <c r="R26" s="13">
        <v>42</v>
      </c>
      <c r="S26" s="13"/>
      <c r="T26" s="14"/>
      <c r="U26" s="49">
        <f t="shared" si="0"/>
        <v>128</v>
      </c>
      <c r="W26" s="26">
        <v>30</v>
      </c>
      <c r="X26" s="27">
        <v>23</v>
      </c>
      <c r="Y26" s="27">
        <v>33</v>
      </c>
      <c r="Z26" s="27">
        <v>42</v>
      </c>
      <c r="AA26" s="27"/>
      <c r="AB26" s="28"/>
      <c r="AC26" s="28">
        <f t="shared" si="10"/>
        <v>128</v>
      </c>
      <c r="AE26" s="32"/>
      <c r="AF26" s="33"/>
      <c r="AG26" s="33"/>
      <c r="AH26" s="33"/>
      <c r="AI26" s="33"/>
      <c r="AJ26" s="34"/>
      <c r="AK26" s="34"/>
    </row>
    <row r="27" spans="2:37" ht="18" customHeight="1" x14ac:dyDescent="0.2">
      <c r="B27" s="10">
        <f>garage!B27</f>
        <v>27</v>
      </c>
      <c r="C27" s="10">
        <f>garage!C27</f>
        <v>1</v>
      </c>
      <c r="D27" s="10">
        <f>garage!D27</f>
        <v>26</v>
      </c>
      <c r="E27" s="10">
        <f>garage!E27</f>
        <v>7</v>
      </c>
      <c r="F27" s="10" t="str">
        <f>garage!F27</f>
        <v>--</v>
      </c>
      <c r="G27" s="10" t="str">
        <f>garage!G27</f>
        <v>O</v>
      </c>
      <c r="H27" s="10" t="str">
        <f>garage!H27</f>
        <v>O</v>
      </c>
      <c r="I27" s="10" t="str">
        <f>garage!I27</f>
        <v>O</v>
      </c>
      <c r="J27" s="10" t="str">
        <f>garage!J27</f>
        <v>N</v>
      </c>
      <c r="K27" s="10" t="str">
        <f>garage!K27</f>
        <v>D</v>
      </c>
      <c r="L27" s="11" t="str">
        <f>garage!L27</f>
        <v>TVR</v>
      </c>
      <c r="M27" s="11" t="str">
        <f>garage!M27</f>
        <v>Griffith</v>
      </c>
      <c r="O27" s="18">
        <v>30</v>
      </c>
      <c r="P27" s="15">
        <v>23</v>
      </c>
      <c r="Q27" s="15">
        <v>33</v>
      </c>
      <c r="R27" s="15">
        <v>42</v>
      </c>
      <c r="S27" s="15"/>
      <c r="T27" s="16"/>
      <c r="U27" s="50">
        <f t="shared" si="0"/>
        <v>128</v>
      </c>
      <c r="W27" s="29">
        <v>30</v>
      </c>
      <c r="X27" s="30">
        <v>23</v>
      </c>
      <c r="Y27" s="30">
        <v>33</v>
      </c>
      <c r="Z27" s="30">
        <v>42</v>
      </c>
      <c r="AA27" s="30"/>
      <c r="AB27" s="31"/>
      <c r="AC27" s="31">
        <f t="shared" si="10"/>
        <v>128</v>
      </c>
      <c r="AE27" s="35"/>
      <c r="AF27" s="36"/>
      <c r="AG27" s="36"/>
      <c r="AH27" s="36"/>
      <c r="AI27" s="36"/>
      <c r="AJ27" s="37"/>
      <c r="AK27" s="37"/>
    </row>
    <row r="28" spans="2:37" ht="18" customHeight="1" x14ac:dyDescent="0.2">
      <c r="B28" s="8">
        <f>garage!B28</f>
        <v>28</v>
      </c>
      <c r="C28" s="8">
        <f>garage!C28</f>
        <v>1</v>
      </c>
      <c r="D28" s="8">
        <f>garage!D28</f>
        <v>27</v>
      </c>
      <c r="E28" s="8">
        <f>garage!E28</f>
        <v>14</v>
      </c>
      <c r="F28" s="8" t="str">
        <f>garage!F28</f>
        <v>--</v>
      </c>
      <c r="G28" s="8" t="str">
        <f>garage!G28</f>
        <v>O</v>
      </c>
      <c r="H28" s="8" t="str">
        <f>garage!H28</f>
        <v>O</v>
      </c>
      <c r="I28" s="8" t="str">
        <f>garage!I28</f>
        <v>N</v>
      </c>
      <c r="J28" s="8" t="str">
        <f>garage!J28</f>
        <v>N</v>
      </c>
      <c r="K28" s="8" t="str">
        <f>garage!K28</f>
        <v>D</v>
      </c>
      <c r="L28" s="9" t="str">
        <f>garage!L28</f>
        <v>Bentley</v>
      </c>
      <c r="M28" s="9" t="str">
        <f>garage!M28</f>
        <v>Continental GT3</v>
      </c>
      <c r="O28" s="17" t="s">
        <v>432</v>
      </c>
      <c r="P28" s="13">
        <v>26</v>
      </c>
      <c r="Q28" s="13">
        <v>38</v>
      </c>
      <c r="R28" s="13">
        <v>64</v>
      </c>
      <c r="S28" s="13"/>
      <c r="T28" s="14"/>
      <c r="U28" s="49">
        <f t="shared" si="0"/>
        <v>128</v>
      </c>
      <c r="W28" s="26" t="s">
        <v>432</v>
      </c>
      <c r="X28" s="27">
        <v>26</v>
      </c>
      <c r="Y28" s="27">
        <v>38</v>
      </c>
      <c r="Z28" s="27">
        <v>64</v>
      </c>
      <c r="AA28" s="27"/>
      <c r="AB28" s="28"/>
      <c r="AC28" s="28">
        <f t="shared" si="10"/>
        <v>128</v>
      </c>
      <c r="AE28" s="32"/>
      <c r="AF28" s="33"/>
      <c r="AG28" s="33"/>
      <c r="AH28" s="33"/>
      <c r="AI28" s="33"/>
      <c r="AJ28" s="34"/>
      <c r="AK28" s="34"/>
    </row>
    <row r="29" spans="2:37" ht="18" customHeight="1" x14ac:dyDescent="0.2">
      <c r="B29" s="10">
        <f>garage!B29</f>
        <v>29</v>
      </c>
      <c r="C29" s="10">
        <f>garage!C29</f>
        <v>1</v>
      </c>
      <c r="D29" s="10">
        <f>garage!D29</f>
        <v>28</v>
      </c>
      <c r="E29" s="10">
        <f>garage!E29</f>
        <v>0</v>
      </c>
      <c r="F29" s="10" t="str">
        <f>garage!F29</f>
        <v>--</v>
      </c>
      <c r="G29" s="10" t="str">
        <f>garage!G29</f>
        <v>O</v>
      </c>
      <c r="H29" s="10" t="str">
        <f>garage!H29</f>
        <v>O</v>
      </c>
      <c r="I29" s="10" t="str">
        <f>garage!I29</f>
        <v>O</v>
      </c>
      <c r="J29" s="10" t="str">
        <f>garage!J29</f>
        <v>N</v>
      </c>
      <c r="K29" s="10" t="str">
        <f>garage!K29</f>
        <v>D</v>
      </c>
      <c r="L29" s="11" t="str">
        <f>garage!L29</f>
        <v>Mazda</v>
      </c>
      <c r="M29" s="11" t="str">
        <f>garage!M29</f>
        <v>Furai</v>
      </c>
      <c r="O29" s="18">
        <v>30</v>
      </c>
      <c r="P29" s="15">
        <v>23</v>
      </c>
      <c r="Q29" s="15">
        <v>33</v>
      </c>
      <c r="R29" s="15">
        <v>42</v>
      </c>
      <c r="S29" s="15"/>
      <c r="T29" s="16"/>
      <c r="U29" s="50">
        <f t="shared" si="0"/>
        <v>128</v>
      </c>
      <c r="W29" s="29">
        <v>30</v>
      </c>
      <c r="X29" s="30">
        <v>23</v>
      </c>
      <c r="Y29" s="30">
        <v>33</v>
      </c>
      <c r="Z29" s="30">
        <v>42</v>
      </c>
      <c r="AA29" s="30"/>
      <c r="AB29" s="31"/>
      <c r="AC29" s="31">
        <f t="shared" si="10"/>
        <v>128</v>
      </c>
      <c r="AE29" s="35"/>
      <c r="AF29" s="36"/>
      <c r="AG29" s="36"/>
      <c r="AH29" s="36"/>
      <c r="AI29" s="36"/>
      <c r="AJ29" s="37"/>
      <c r="AK29" s="37"/>
    </row>
    <row r="30" spans="2:37" ht="18" customHeight="1" x14ac:dyDescent="0.2">
      <c r="B30" s="8">
        <f>garage!B30</f>
        <v>30</v>
      </c>
      <c r="C30" s="8">
        <f>garage!C30</f>
        <v>1</v>
      </c>
      <c r="D30" s="8">
        <f>garage!D30</f>
        <v>29</v>
      </c>
      <c r="E30" s="8">
        <f>garage!E30</f>
        <v>13</v>
      </c>
      <c r="F30" s="8" t="str">
        <f>garage!F30</f>
        <v>C</v>
      </c>
      <c r="G30" s="8" t="str">
        <f>garage!G30</f>
        <v>O</v>
      </c>
      <c r="H30" s="8" t="str">
        <f>garage!H30</f>
        <v>O</v>
      </c>
      <c r="I30" s="8" t="str">
        <f>garage!I30</f>
        <v>N</v>
      </c>
      <c r="J30" s="8" t="str">
        <f>garage!J30</f>
        <v>N</v>
      </c>
      <c r="K30" s="8" t="str">
        <f>garage!K30</f>
        <v>D</v>
      </c>
      <c r="L30" s="9" t="str">
        <f>garage!L30</f>
        <v>Chevrolet</v>
      </c>
      <c r="M30" s="9" t="str">
        <f>garage!M30</f>
        <v>Corvette C7.R</v>
      </c>
      <c r="O30" s="17" t="s">
        <v>432</v>
      </c>
      <c r="P30" s="13">
        <v>22</v>
      </c>
      <c r="Q30" s="13">
        <v>30</v>
      </c>
      <c r="R30" s="13">
        <v>35</v>
      </c>
      <c r="S30" s="13">
        <v>38</v>
      </c>
      <c r="T30" s="14"/>
      <c r="U30" s="49">
        <f t="shared" si="0"/>
        <v>125</v>
      </c>
      <c r="W30" s="26" t="s">
        <v>432</v>
      </c>
      <c r="X30" s="27">
        <v>22</v>
      </c>
      <c r="Y30" s="27">
        <v>30</v>
      </c>
      <c r="Z30" s="27">
        <v>35</v>
      </c>
      <c r="AA30" s="27">
        <v>38</v>
      </c>
      <c r="AB30" s="28"/>
      <c r="AC30" s="28">
        <f t="shared" si="10"/>
        <v>125</v>
      </c>
      <c r="AE30" s="32"/>
      <c r="AF30" s="33"/>
      <c r="AG30" s="33"/>
      <c r="AH30" s="33"/>
      <c r="AI30" s="33"/>
      <c r="AJ30" s="34"/>
      <c r="AK30" s="34"/>
    </row>
    <row r="31" spans="2:37" ht="18" customHeight="1" x14ac:dyDescent="0.2">
      <c r="B31" s="10">
        <f>garage!B31</f>
        <v>31</v>
      </c>
      <c r="C31" s="10">
        <f>garage!C31</f>
        <v>1</v>
      </c>
      <c r="D31" s="10">
        <f>garage!D31</f>
        <v>30</v>
      </c>
      <c r="E31" s="10">
        <f>garage!E31</f>
        <v>16</v>
      </c>
      <c r="F31" s="10" t="str">
        <f>garage!F31</f>
        <v>L</v>
      </c>
      <c r="G31" s="10" t="str">
        <f>garage!G31</f>
        <v>N</v>
      </c>
      <c r="H31" s="10" t="str">
        <f>garage!H31</f>
        <v>N</v>
      </c>
      <c r="I31" s="10" t="str">
        <f>garage!I31</f>
        <v>N</v>
      </c>
      <c r="J31" s="10" t="str">
        <f>garage!J31</f>
        <v>N</v>
      </c>
      <c r="K31" s="10" t="str">
        <f>garage!K31</f>
        <v>D</v>
      </c>
      <c r="L31" s="11" t="str">
        <f>garage!L31</f>
        <v>Lamborghini</v>
      </c>
      <c r="M31" s="11" t="str">
        <f>garage!M31</f>
        <v>Huracan Super Trofeo Evo</v>
      </c>
      <c r="O31" s="18" t="s">
        <v>432</v>
      </c>
      <c r="P31" s="15">
        <v>22</v>
      </c>
      <c r="Q31" s="15">
        <v>30</v>
      </c>
      <c r="R31" s="15">
        <v>35</v>
      </c>
      <c r="S31" s="15">
        <v>38</v>
      </c>
      <c r="T31" s="16"/>
      <c r="U31" s="50">
        <f t="shared" si="0"/>
        <v>125</v>
      </c>
      <c r="W31" s="29"/>
      <c r="X31" s="30">
        <v>22</v>
      </c>
      <c r="Y31" s="30">
        <v>30</v>
      </c>
      <c r="Z31" s="30">
        <v>4</v>
      </c>
      <c r="AA31" s="30"/>
      <c r="AB31" s="31"/>
      <c r="AC31" s="31">
        <f t="shared" si="10"/>
        <v>56</v>
      </c>
      <c r="AE31" s="35" t="s">
        <v>432</v>
      </c>
      <c r="AF31" s="36"/>
      <c r="AG31" s="36"/>
      <c r="AH31" s="36">
        <f t="shared" ref="AH31:AH32" si="11">R31-Z31</f>
        <v>31</v>
      </c>
      <c r="AI31" s="36">
        <f t="shared" ref="AI31:AI32" si="12">S31-AA31</f>
        <v>38</v>
      </c>
      <c r="AJ31" s="37"/>
      <c r="AK31" s="37">
        <f t="shared" ref="AK31:AK32" si="13">SUM(AF31:AJ31)</f>
        <v>69</v>
      </c>
    </row>
    <row r="32" spans="2:37" ht="18" customHeight="1" x14ac:dyDescent="0.2">
      <c r="B32" s="8">
        <f>garage!B32</f>
        <v>32</v>
      </c>
      <c r="C32" s="8">
        <f>garage!C32</f>
        <v>1</v>
      </c>
      <c r="D32" s="8">
        <f>garage!D32</f>
        <v>31</v>
      </c>
      <c r="E32" s="8">
        <f>garage!E32</f>
        <v>21</v>
      </c>
      <c r="F32" s="8" t="str">
        <f>garage!F32</f>
        <v>--</v>
      </c>
      <c r="G32" s="8" t="str">
        <f>garage!G32</f>
        <v>N</v>
      </c>
      <c r="H32" s="8" t="str">
        <f>garage!H32</f>
        <v>N</v>
      </c>
      <c r="I32" s="8" t="str">
        <f>garage!I32</f>
        <v>N</v>
      </c>
      <c r="J32" s="8" t="str">
        <f>garage!J32</f>
        <v>N</v>
      </c>
      <c r="K32" s="8" t="str">
        <f>garage!K32</f>
        <v>D</v>
      </c>
      <c r="L32" s="9" t="str">
        <f>garage!L32</f>
        <v>Volkswagen</v>
      </c>
      <c r="M32" s="9" t="str">
        <f>garage!M32</f>
        <v>Electric R</v>
      </c>
      <c r="O32" s="17" t="s">
        <v>432</v>
      </c>
      <c r="P32" s="13">
        <v>22</v>
      </c>
      <c r="Q32" s="13">
        <v>30</v>
      </c>
      <c r="R32" s="13">
        <v>35</v>
      </c>
      <c r="S32" s="13">
        <v>38</v>
      </c>
      <c r="T32" s="14"/>
      <c r="U32" s="49">
        <f t="shared" si="0"/>
        <v>125</v>
      </c>
      <c r="W32" s="26"/>
      <c r="X32" s="27">
        <v>22</v>
      </c>
      <c r="Y32" s="27">
        <v>16</v>
      </c>
      <c r="Z32" s="27"/>
      <c r="AA32" s="27"/>
      <c r="AB32" s="28"/>
      <c r="AC32" s="28">
        <f t="shared" si="10"/>
        <v>38</v>
      </c>
      <c r="AE32" s="32" t="s">
        <v>432</v>
      </c>
      <c r="AF32" s="33">
        <f t="shared" ref="AF32" si="14">P32-X32</f>
        <v>0</v>
      </c>
      <c r="AG32" s="33">
        <f t="shared" ref="AG32" si="15">Q32-Y32</f>
        <v>14</v>
      </c>
      <c r="AH32" s="33">
        <f t="shared" si="11"/>
        <v>35</v>
      </c>
      <c r="AI32" s="33">
        <f t="shared" si="12"/>
        <v>38</v>
      </c>
      <c r="AJ32" s="34"/>
      <c r="AK32" s="34">
        <f t="shared" si="13"/>
        <v>87</v>
      </c>
    </row>
    <row r="33" spans="2:37" ht="18" customHeight="1" x14ac:dyDescent="0.2">
      <c r="B33" s="10">
        <f>garage!B33</f>
        <v>33</v>
      </c>
      <c r="C33" s="10">
        <f>garage!C33</f>
        <v>1</v>
      </c>
      <c r="D33" s="10">
        <f>garage!D33</f>
        <v>32</v>
      </c>
      <c r="E33" s="10">
        <f>garage!E33</f>
        <v>27</v>
      </c>
      <c r="F33" s="10" t="str">
        <f>garage!F33</f>
        <v>--</v>
      </c>
      <c r="G33" s="10" t="str">
        <f>garage!G33</f>
        <v>N</v>
      </c>
      <c r="H33" s="10" t="str">
        <f>garage!H33</f>
        <v>N</v>
      </c>
      <c r="I33" s="10" t="str">
        <f>garage!I33</f>
        <v>N</v>
      </c>
      <c r="J33" s="10" t="str">
        <f>garage!J33</f>
        <v>N</v>
      </c>
      <c r="K33" s="10" t="str">
        <f>garage!K33</f>
        <v>D</v>
      </c>
      <c r="L33" s="11" t="str">
        <f>garage!L33</f>
        <v>Glickhaus</v>
      </c>
      <c r="M33" s="11" t="str">
        <f>garage!M33</f>
        <v>004C</v>
      </c>
      <c r="O33" s="18">
        <v>22</v>
      </c>
      <c r="P33" s="15"/>
      <c r="Q33" s="15"/>
      <c r="R33" s="15"/>
      <c r="S33" s="15"/>
      <c r="T33" s="16"/>
      <c r="U33" s="50">
        <f t="shared" si="0"/>
        <v>22</v>
      </c>
      <c r="W33" s="29">
        <v>0</v>
      </c>
      <c r="X33" s="30"/>
      <c r="Y33" s="30"/>
      <c r="Z33" s="30"/>
      <c r="AA33" s="30"/>
      <c r="AB33" s="31"/>
      <c r="AC33" s="31">
        <f t="shared" si="10"/>
        <v>0</v>
      </c>
      <c r="AE33" s="35">
        <f t="shared" si="7"/>
        <v>22</v>
      </c>
      <c r="AF33" s="36">
        <f t="shared" si="8"/>
        <v>0</v>
      </c>
      <c r="AG33" s="36">
        <f t="shared" si="9"/>
        <v>0</v>
      </c>
      <c r="AH33" s="36">
        <f t="shared" si="5"/>
        <v>0</v>
      </c>
      <c r="AI33" s="36">
        <f t="shared" ref="AI33" si="16">S33-AA33</f>
        <v>0</v>
      </c>
      <c r="AJ33" s="37"/>
      <c r="AK33" s="37">
        <f t="shared" si="6"/>
        <v>22</v>
      </c>
    </row>
    <row r="34" spans="2:37" ht="18" customHeight="1" x14ac:dyDescent="0.2">
      <c r="B34" s="8">
        <f>garage!B34</f>
        <v>34</v>
      </c>
      <c r="C34" s="8">
        <f>garage!C34</f>
        <v>2</v>
      </c>
      <c r="D34" s="8">
        <f>garage!D34</f>
        <v>1</v>
      </c>
      <c r="E34" s="8">
        <f>garage!E34</f>
        <v>0</v>
      </c>
      <c r="F34" s="8" t="str">
        <f>garage!F34</f>
        <v>--</v>
      </c>
      <c r="G34" s="8" t="str">
        <f>garage!G34</f>
        <v>O</v>
      </c>
      <c r="H34" s="8" t="str">
        <f>garage!H34</f>
        <v>O</v>
      </c>
      <c r="I34" s="8" t="str">
        <f>garage!I34</f>
        <v>O</v>
      </c>
      <c r="J34" s="8" t="str">
        <f>garage!J34</f>
        <v>N</v>
      </c>
      <c r="K34" s="8" t="str">
        <f>garage!K34</f>
        <v>C</v>
      </c>
      <c r="L34" s="9" t="str">
        <f>garage!L34</f>
        <v>Dodge</v>
      </c>
      <c r="M34" s="9" t="str">
        <f>garage!M34</f>
        <v>Challenger SRT8</v>
      </c>
      <c r="O34" s="17">
        <v>15</v>
      </c>
      <c r="P34" s="13">
        <v>20</v>
      </c>
      <c r="Q34" s="13">
        <v>50</v>
      </c>
      <c r="R34" s="13"/>
      <c r="S34" s="13"/>
      <c r="T34" s="14"/>
      <c r="U34" s="49">
        <f t="shared" ref="U34" si="17">SUM(O34:T34)</f>
        <v>85</v>
      </c>
      <c r="W34" s="26"/>
      <c r="X34" s="27"/>
      <c r="Y34" s="27"/>
      <c r="Z34" s="27"/>
      <c r="AA34" s="27"/>
      <c r="AB34" s="28"/>
      <c r="AC34" s="28">
        <f t="shared" si="10"/>
        <v>0</v>
      </c>
      <c r="AE34" s="32">
        <f t="shared" si="7"/>
        <v>15</v>
      </c>
      <c r="AF34" s="33">
        <f t="shared" si="8"/>
        <v>20</v>
      </c>
      <c r="AG34" s="33">
        <f t="shared" si="9"/>
        <v>50</v>
      </c>
      <c r="AH34" s="33"/>
      <c r="AI34" s="33"/>
      <c r="AJ34" s="34"/>
      <c r="AK34" s="34">
        <f t="shared" si="6"/>
        <v>85</v>
      </c>
    </row>
    <row r="35" spans="2:37" ht="18" customHeight="1" x14ac:dyDescent="0.2">
      <c r="B35" s="10">
        <f>garage!B35</f>
        <v>35</v>
      </c>
      <c r="C35" s="10">
        <f>garage!C35</f>
        <v>2</v>
      </c>
      <c r="D35" s="10">
        <f>garage!D35</f>
        <v>2</v>
      </c>
      <c r="E35" s="10">
        <f>garage!E35</f>
        <v>0</v>
      </c>
      <c r="F35" s="10" t="str">
        <f>garage!F35</f>
        <v>--</v>
      </c>
      <c r="G35" s="10" t="str">
        <f>garage!G35</f>
        <v>O</v>
      </c>
      <c r="H35" s="10" t="str">
        <f>garage!H35</f>
        <v>O</v>
      </c>
      <c r="I35" s="10" t="str">
        <f>garage!I35</f>
        <v>O</v>
      </c>
      <c r="J35" s="10" t="str">
        <f>garage!J35</f>
        <v>N</v>
      </c>
      <c r="K35" s="10" t="str">
        <f>garage!K35</f>
        <v>C</v>
      </c>
      <c r="L35" s="11" t="str">
        <f>garage!L35</f>
        <v>BMW</v>
      </c>
      <c r="M35" s="11" t="str">
        <f>garage!M35</f>
        <v>3.0 CSL Hommage</v>
      </c>
      <c r="O35" s="18">
        <v>20</v>
      </c>
      <c r="P35" s="15">
        <v>20</v>
      </c>
      <c r="Q35" s="15">
        <v>50</v>
      </c>
      <c r="R35" s="15"/>
      <c r="S35" s="15"/>
      <c r="T35" s="16"/>
      <c r="U35" s="50">
        <f t="shared" ref="U35:U100" si="18">SUM(O35:T35)</f>
        <v>90</v>
      </c>
      <c r="W35" s="29">
        <v>20</v>
      </c>
      <c r="X35" s="30">
        <v>20</v>
      </c>
      <c r="Y35" s="30">
        <v>50</v>
      </c>
      <c r="Z35" s="30"/>
      <c r="AA35" s="30"/>
      <c r="AB35" s="31"/>
      <c r="AC35" s="31">
        <f t="shared" ref="AC35:AC100" si="19">SUM(W35:AB35)</f>
        <v>90</v>
      </c>
      <c r="AE35" s="35"/>
      <c r="AF35" s="36"/>
      <c r="AG35" s="36"/>
      <c r="AH35" s="36"/>
      <c r="AI35" s="36"/>
      <c r="AJ35" s="37"/>
      <c r="AK35" s="37"/>
    </row>
    <row r="36" spans="2:37" ht="18" customHeight="1" x14ac:dyDescent="0.2">
      <c r="B36" s="8">
        <f>garage!B36</f>
        <v>36</v>
      </c>
      <c r="C36" s="8">
        <f>garage!C36</f>
        <v>2</v>
      </c>
      <c r="D36" s="8">
        <f>garage!D36</f>
        <v>3</v>
      </c>
      <c r="E36" s="8">
        <f>garage!E36</f>
        <v>28</v>
      </c>
      <c r="F36" s="8" t="str">
        <f>garage!F36</f>
        <v>P</v>
      </c>
      <c r="G36" s="8" t="str">
        <f>garage!G36</f>
        <v>O</v>
      </c>
      <c r="H36" s="8" t="str">
        <f>garage!H36</f>
        <v>O</v>
      </c>
      <c r="I36" s="8" t="str">
        <f>garage!I36</f>
        <v>N</v>
      </c>
      <c r="J36" s="8" t="str">
        <f>garage!J36</f>
        <v>N</v>
      </c>
      <c r="K36" s="8" t="str">
        <f>garage!K36</f>
        <v>C</v>
      </c>
      <c r="L36" s="9" t="str">
        <f>garage!L36</f>
        <v>Porsche</v>
      </c>
      <c r="M36" s="9" t="str">
        <f>garage!M36</f>
        <v>Boxster 25th</v>
      </c>
      <c r="O36" s="17">
        <v>55</v>
      </c>
      <c r="P36" s="13">
        <v>38</v>
      </c>
      <c r="Q36" s="13">
        <v>90</v>
      </c>
      <c r="R36" s="13"/>
      <c r="S36" s="13"/>
      <c r="T36" s="14"/>
      <c r="U36" s="49">
        <f t="shared" si="18"/>
        <v>183</v>
      </c>
      <c r="W36" s="26">
        <v>55</v>
      </c>
      <c r="X36" s="27">
        <v>38</v>
      </c>
      <c r="Y36" s="27">
        <v>90</v>
      </c>
      <c r="Z36" s="27"/>
      <c r="AA36" s="27"/>
      <c r="AB36" s="28"/>
      <c r="AC36" s="28">
        <f t="shared" si="19"/>
        <v>183</v>
      </c>
      <c r="AE36" s="32"/>
      <c r="AF36" s="33"/>
      <c r="AG36" s="33"/>
      <c r="AH36" s="33"/>
      <c r="AI36" s="33"/>
      <c r="AJ36" s="34"/>
      <c r="AK36" s="34"/>
    </row>
    <row r="37" spans="2:37" ht="18" customHeight="1" x14ac:dyDescent="0.2">
      <c r="B37" s="10">
        <f>garage!B37</f>
        <v>37</v>
      </c>
      <c r="C37" s="10">
        <f>garage!C37</f>
        <v>2</v>
      </c>
      <c r="D37" s="10">
        <f>garage!D37</f>
        <v>4</v>
      </c>
      <c r="E37" s="10">
        <f>garage!E37</f>
        <v>0</v>
      </c>
      <c r="F37" s="10" t="str">
        <f>garage!F37</f>
        <v>C</v>
      </c>
      <c r="G37" s="10" t="str">
        <f>garage!G37</f>
        <v>O</v>
      </c>
      <c r="H37" s="10" t="str">
        <f>garage!H37</f>
        <v>O</v>
      </c>
      <c r="I37" s="10" t="str">
        <f>garage!I37</f>
        <v>O</v>
      </c>
      <c r="J37" s="10" t="str">
        <f>garage!J37</f>
        <v>N</v>
      </c>
      <c r="K37" s="10" t="str">
        <f>garage!K37</f>
        <v>C</v>
      </c>
      <c r="L37" s="11" t="str">
        <f>garage!L37</f>
        <v>Chevrolet</v>
      </c>
      <c r="M37" s="11" t="str">
        <f>garage!M37</f>
        <v>Camaro ZL1 50th Edition</v>
      </c>
      <c r="O37" s="18">
        <v>25</v>
      </c>
      <c r="P37" s="15">
        <v>20</v>
      </c>
      <c r="Q37" s="15">
        <v>50</v>
      </c>
      <c r="R37" s="15"/>
      <c r="S37" s="15"/>
      <c r="T37" s="16"/>
      <c r="U37" s="50">
        <f t="shared" si="18"/>
        <v>95</v>
      </c>
      <c r="W37" s="29">
        <v>25</v>
      </c>
      <c r="X37" s="30">
        <v>20</v>
      </c>
      <c r="Y37" s="30">
        <v>50</v>
      </c>
      <c r="Z37" s="30"/>
      <c r="AA37" s="30"/>
      <c r="AB37" s="31"/>
      <c r="AC37" s="31">
        <f t="shared" si="19"/>
        <v>95</v>
      </c>
      <c r="AE37" s="35"/>
      <c r="AF37" s="36"/>
      <c r="AG37" s="36"/>
      <c r="AH37" s="36"/>
      <c r="AI37" s="36"/>
      <c r="AJ37" s="37"/>
      <c r="AK37" s="37"/>
    </row>
    <row r="38" spans="2:37" ht="18" customHeight="1" x14ac:dyDescent="0.2">
      <c r="B38" s="8">
        <f>garage!B38</f>
        <v>38</v>
      </c>
      <c r="C38" s="8">
        <f>garage!C38</f>
        <v>2</v>
      </c>
      <c r="D38" s="8">
        <f>garage!D38</f>
        <v>5</v>
      </c>
      <c r="E38" s="8">
        <f>garage!E38</f>
        <v>0</v>
      </c>
      <c r="F38" s="8" t="str">
        <f>garage!F38</f>
        <v>--</v>
      </c>
      <c r="G38" s="8" t="str">
        <f>garage!G38</f>
        <v>O</v>
      </c>
      <c r="H38" s="8" t="str">
        <f>garage!H38</f>
        <v>O</v>
      </c>
      <c r="I38" s="8" t="str">
        <f>garage!I38</f>
        <v>O</v>
      </c>
      <c r="J38" s="8" t="str">
        <f>garage!J38</f>
        <v>N</v>
      </c>
      <c r="K38" s="8" t="str">
        <f>garage!K38</f>
        <v>C</v>
      </c>
      <c r="L38" s="9" t="str">
        <f>garage!L38</f>
        <v>Lotus</v>
      </c>
      <c r="M38" s="9" t="str">
        <f>garage!M38</f>
        <v>Evora Sport 410</v>
      </c>
      <c r="O38" s="17">
        <v>20</v>
      </c>
      <c r="P38" s="13">
        <v>20</v>
      </c>
      <c r="Q38" s="13">
        <v>50</v>
      </c>
      <c r="R38" s="13"/>
      <c r="S38" s="13"/>
      <c r="T38" s="14"/>
      <c r="U38" s="49">
        <f t="shared" si="18"/>
        <v>90</v>
      </c>
      <c r="W38" s="26">
        <v>20</v>
      </c>
      <c r="X38" s="27">
        <v>20</v>
      </c>
      <c r="Y38" s="27">
        <v>50</v>
      </c>
      <c r="Z38" s="27"/>
      <c r="AA38" s="27"/>
      <c r="AB38" s="28"/>
      <c r="AC38" s="28">
        <f t="shared" si="19"/>
        <v>90</v>
      </c>
      <c r="AE38" s="32"/>
      <c r="AF38" s="33"/>
      <c r="AG38" s="33"/>
      <c r="AH38" s="33"/>
      <c r="AI38" s="33"/>
      <c r="AJ38" s="34"/>
      <c r="AK38" s="34"/>
    </row>
    <row r="39" spans="2:37" ht="18" customHeight="1" x14ac:dyDescent="0.2">
      <c r="B39" s="10">
        <f>garage!B39</f>
        <v>39</v>
      </c>
      <c r="C39" s="10">
        <f>garage!C39</f>
        <v>2</v>
      </c>
      <c r="D39" s="10">
        <f>garage!D39</f>
        <v>6</v>
      </c>
      <c r="E39" s="10">
        <f>garage!E39</f>
        <v>0</v>
      </c>
      <c r="F39" s="10" t="str">
        <f>garage!F39</f>
        <v>--</v>
      </c>
      <c r="G39" s="10" t="str">
        <f>garage!G39</f>
        <v>O</v>
      </c>
      <c r="H39" s="10" t="str">
        <f>garage!H39</f>
        <v>O</v>
      </c>
      <c r="I39" s="10" t="str">
        <f>garage!I39</f>
        <v>O</v>
      </c>
      <c r="J39" s="10" t="str">
        <f>garage!J39</f>
        <v>N</v>
      </c>
      <c r="K39" s="10" t="str">
        <f>garage!K39</f>
        <v>C</v>
      </c>
      <c r="L39" s="11" t="str">
        <f>garage!L39</f>
        <v>Mercedes-Benz</v>
      </c>
      <c r="M39" s="11" t="str">
        <f>garage!M39</f>
        <v>AMG GT S</v>
      </c>
      <c r="O39" s="18">
        <v>30</v>
      </c>
      <c r="P39" s="15">
        <v>20</v>
      </c>
      <c r="Q39" s="15">
        <v>50</v>
      </c>
      <c r="R39" s="15"/>
      <c r="S39" s="15"/>
      <c r="T39" s="16"/>
      <c r="U39" s="50">
        <f t="shared" si="18"/>
        <v>100</v>
      </c>
      <c r="W39" s="29">
        <v>30</v>
      </c>
      <c r="X39" s="30">
        <v>20</v>
      </c>
      <c r="Y39" s="30">
        <v>50</v>
      </c>
      <c r="Z39" s="30"/>
      <c r="AA39" s="30"/>
      <c r="AB39" s="31"/>
      <c r="AC39" s="31">
        <f t="shared" si="19"/>
        <v>100</v>
      </c>
      <c r="AE39" s="35"/>
      <c r="AF39" s="36"/>
      <c r="AG39" s="36"/>
      <c r="AH39" s="36"/>
      <c r="AI39" s="36"/>
      <c r="AJ39" s="37"/>
      <c r="AK39" s="37"/>
    </row>
    <row r="40" spans="2:37" ht="18" customHeight="1" x14ac:dyDescent="0.2">
      <c r="B40" s="8">
        <f>garage!B40</f>
        <v>40</v>
      </c>
      <c r="C40" s="8">
        <f>garage!C40</f>
        <v>2</v>
      </c>
      <c r="D40" s="8">
        <f>garage!D40</f>
        <v>7</v>
      </c>
      <c r="E40" s="8">
        <f>garage!E40</f>
        <v>0</v>
      </c>
      <c r="F40" s="8" t="str">
        <f>garage!F40</f>
        <v>--</v>
      </c>
      <c r="G40" s="8" t="str">
        <f>garage!G40</f>
        <v>O</v>
      </c>
      <c r="H40" s="8" t="str">
        <f>garage!H40</f>
        <v>O</v>
      </c>
      <c r="I40" s="8" t="str">
        <f>garage!I40</f>
        <v>O</v>
      </c>
      <c r="J40" s="8" t="str">
        <f>garage!J40</f>
        <v>N</v>
      </c>
      <c r="K40" s="8" t="str">
        <f>garage!K40</f>
        <v>C</v>
      </c>
      <c r="L40" s="9" t="str">
        <f>garage!L40</f>
        <v>BMW</v>
      </c>
      <c r="M40" s="9" t="str">
        <f>garage!M40</f>
        <v>M4 GTS</v>
      </c>
      <c r="O40" s="17">
        <v>40</v>
      </c>
      <c r="P40" s="13">
        <v>20</v>
      </c>
      <c r="Q40" s="13">
        <v>50</v>
      </c>
      <c r="R40" s="13"/>
      <c r="S40" s="13"/>
      <c r="T40" s="14"/>
      <c r="U40" s="49">
        <f t="shared" si="18"/>
        <v>110</v>
      </c>
      <c r="W40" s="26">
        <v>40</v>
      </c>
      <c r="X40" s="27">
        <v>20</v>
      </c>
      <c r="Y40" s="27">
        <v>50</v>
      </c>
      <c r="Z40" s="27"/>
      <c r="AA40" s="27"/>
      <c r="AB40" s="28"/>
      <c r="AC40" s="28">
        <f t="shared" si="19"/>
        <v>110</v>
      </c>
      <c r="AE40" s="32"/>
      <c r="AF40" s="33"/>
      <c r="AG40" s="33"/>
      <c r="AH40" s="33"/>
      <c r="AI40" s="33"/>
      <c r="AJ40" s="34"/>
      <c r="AK40" s="34"/>
    </row>
    <row r="41" spans="2:37" ht="18" customHeight="1" x14ac:dyDescent="0.2">
      <c r="B41" s="10">
        <f>garage!B41</f>
        <v>41</v>
      </c>
      <c r="C41" s="10">
        <f>garage!C41</f>
        <v>2</v>
      </c>
      <c r="D41" s="10">
        <f>garage!D41</f>
        <v>8</v>
      </c>
      <c r="E41" s="10">
        <f>garage!E41</f>
        <v>0</v>
      </c>
      <c r="F41" s="10" t="str">
        <f>garage!F41</f>
        <v>--</v>
      </c>
      <c r="G41" s="10" t="str">
        <f>garage!G41</f>
        <v>O</v>
      </c>
      <c r="H41" s="10" t="str">
        <f>garage!H41</f>
        <v>O</v>
      </c>
      <c r="I41" s="10" t="str">
        <f>garage!I41</f>
        <v>O</v>
      </c>
      <c r="J41" s="10" t="str">
        <f>garage!J41</f>
        <v>N</v>
      </c>
      <c r="K41" s="10" t="str">
        <f>garage!K41</f>
        <v>C</v>
      </c>
      <c r="L41" s="11" t="str">
        <f>garage!L41</f>
        <v>Rezvani</v>
      </c>
      <c r="M41" s="11" t="str">
        <f>garage!M41</f>
        <v>Beast X</v>
      </c>
      <c r="O41" s="18">
        <v>35</v>
      </c>
      <c r="P41" s="15">
        <v>15</v>
      </c>
      <c r="Q41" s="15">
        <v>21</v>
      </c>
      <c r="R41" s="15">
        <v>32</v>
      </c>
      <c r="S41" s="15"/>
      <c r="T41" s="16"/>
      <c r="U41" s="50">
        <f t="shared" si="18"/>
        <v>103</v>
      </c>
      <c r="W41" s="29">
        <v>35</v>
      </c>
      <c r="X41" s="30">
        <v>15</v>
      </c>
      <c r="Y41" s="30">
        <v>21</v>
      </c>
      <c r="Z41" s="30">
        <v>32</v>
      </c>
      <c r="AA41" s="30"/>
      <c r="AB41" s="31"/>
      <c r="AC41" s="31">
        <f t="shared" si="19"/>
        <v>103</v>
      </c>
      <c r="AE41" s="35"/>
      <c r="AF41" s="36"/>
      <c r="AG41" s="36"/>
      <c r="AH41" s="36"/>
      <c r="AI41" s="36"/>
      <c r="AJ41" s="37"/>
      <c r="AK41" s="37"/>
    </row>
    <row r="42" spans="2:37" ht="18" customHeight="1" x14ac:dyDescent="0.2">
      <c r="B42" s="8">
        <f>garage!B42</f>
        <v>42</v>
      </c>
      <c r="C42" s="8">
        <f>garage!C42</f>
        <v>2</v>
      </c>
      <c r="D42" s="8">
        <f>garage!D42</f>
        <v>9</v>
      </c>
      <c r="E42" s="8">
        <f>garage!E42</f>
        <v>20</v>
      </c>
      <c r="F42" s="8" t="str">
        <f>garage!F42</f>
        <v>AM</v>
      </c>
      <c r="G42" s="8" t="str">
        <f>garage!G42</f>
        <v>O</v>
      </c>
      <c r="H42" s="8" t="str">
        <f>garage!H42</f>
        <v>N</v>
      </c>
      <c r="I42" s="8" t="str">
        <f>garage!I42</f>
        <v>N</v>
      </c>
      <c r="J42" s="8" t="str">
        <f>garage!J42</f>
        <v>N</v>
      </c>
      <c r="K42" s="8" t="str">
        <f>garage!K42</f>
        <v>C</v>
      </c>
      <c r="L42" s="9" t="str">
        <f>garage!L42</f>
        <v>Aston Martin</v>
      </c>
      <c r="M42" s="9" t="str">
        <f>garage!M42</f>
        <v>V12 Speedster</v>
      </c>
      <c r="O42" s="17">
        <v>50</v>
      </c>
      <c r="P42" s="13">
        <v>29</v>
      </c>
      <c r="Q42" s="13">
        <v>38</v>
      </c>
      <c r="R42" s="13">
        <v>48</v>
      </c>
      <c r="S42" s="13"/>
      <c r="T42" s="14"/>
      <c r="U42" s="49">
        <f t="shared" si="18"/>
        <v>165</v>
      </c>
      <c r="W42" s="26">
        <v>50</v>
      </c>
      <c r="X42" s="27">
        <v>29</v>
      </c>
      <c r="Y42" s="27">
        <v>27</v>
      </c>
      <c r="Z42" s="27"/>
      <c r="AA42" s="27"/>
      <c r="AB42" s="28"/>
      <c r="AC42" s="28">
        <f t="shared" si="19"/>
        <v>106</v>
      </c>
      <c r="AE42" s="32"/>
      <c r="AF42" s="33"/>
      <c r="AG42" s="33">
        <f t="shared" ref="AG42:AG95" si="20">Q42-Y42</f>
        <v>11</v>
      </c>
      <c r="AH42" s="33">
        <f t="shared" ref="AH42:AH99" si="21">R42-Z42</f>
        <v>48</v>
      </c>
      <c r="AI42" s="33"/>
      <c r="AJ42" s="34"/>
      <c r="AK42" s="34">
        <f t="shared" ref="AK42:AK99" si="22">SUM(AE42:AJ42)</f>
        <v>59</v>
      </c>
    </row>
    <row r="43" spans="2:37" ht="18" customHeight="1" x14ac:dyDescent="0.2">
      <c r="B43" s="10">
        <f>garage!B43</f>
        <v>43</v>
      </c>
      <c r="C43" s="10">
        <f>garage!C43</f>
        <v>2</v>
      </c>
      <c r="D43" s="10">
        <f>garage!D43</f>
        <v>10</v>
      </c>
      <c r="E43" s="10">
        <f>garage!E43</f>
        <v>29</v>
      </c>
      <c r="F43" s="10" t="str">
        <f>garage!F43</f>
        <v>--</v>
      </c>
      <c r="G43" s="10" t="str">
        <f>garage!G43</f>
        <v>O</v>
      </c>
      <c r="H43" s="10" t="str">
        <f>garage!H43</f>
        <v>N</v>
      </c>
      <c r="I43" s="10" t="str">
        <f>garage!I43</f>
        <v>N</v>
      </c>
      <c r="J43" s="10" t="str">
        <f>garage!J43</f>
        <v>N</v>
      </c>
      <c r="K43" s="10" t="str">
        <f>garage!K43</f>
        <v>C</v>
      </c>
      <c r="L43" s="11" t="str">
        <f>garage!L43</f>
        <v>Donkervoort</v>
      </c>
      <c r="M43" s="11" t="str">
        <f>garage!M43</f>
        <v>D8 GTO</v>
      </c>
      <c r="O43" s="18"/>
      <c r="P43" s="15"/>
      <c r="Q43" s="15"/>
      <c r="R43" s="15"/>
      <c r="S43" s="15"/>
      <c r="T43" s="16"/>
      <c r="U43" s="50">
        <f t="shared" si="18"/>
        <v>0</v>
      </c>
      <c r="W43" s="29"/>
      <c r="X43" s="30"/>
      <c r="Y43" s="30"/>
      <c r="Z43" s="30"/>
      <c r="AA43" s="30"/>
      <c r="AB43" s="31"/>
      <c r="AC43" s="31">
        <f t="shared" si="19"/>
        <v>0</v>
      </c>
      <c r="AE43" s="35"/>
      <c r="AF43" s="36"/>
      <c r="AG43" s="36"/>
      <c r="AH43" s="36"/>
      <c r="AI43" s="36"/>
      <c r="AJ43" s="37"/>
      <c r="AK43" s="37"/>
    </row>
    <row r="44" spans="2:37" ht="18" customHeight="1" x14ac:dyDescent="0.2">
      <c r="B44" s="8">
        <f>garage!B44</f>
        <v>44</v>
      </c>
      <c r="C44" s="8">
        <f>garage!C44</f>
        <v>2</v>
      </c>
      <c r="D44" s="8">
        <f>garage!D44</f>
        <v>11</v>
      </c>
      <c r="E44" s="8">
        <f>garage!E44</f>
        <v>0</v>
      </c>
      <c r="F44" s="8" t="str">
        <f>garage!F44</f>
        <v>--</v>
      </c>
      <c r="G44" s="8" t="str">
        <f>garage!G44</f>
        <v>O</v>
      </c>
      <c r="H44" s="8" t="str">
        <f>garage!H44</f>
        <v>O</v>
      </c>
      <c r="I44" s="8" t="str">
        <f>garage!I44</f>
        <v>O</v>
      </c>
      <c r="J44" s="8" t="str">
        <f>garage!J44</f>
        <v>N</v>
      </c>
      <c r="K44" s="8" t="str">
        <f>garage!K44</f>
        <v>C</v>
      </c>
      <c r="L44" s="9" t="str">
        <f>garage!L44</f>
        <v>Dodge</v>
      </c>
      <c r="M44" s="9" t="str">
        <f>garage!M44</f>
        <v>Viper ACR</v>
      </c>
      <c r="O44" s="17">
        <v>35</v>
      </c>
      <c r="P44" s="13">
        <v>15</v>
      </c>
      <c r="Q44" s="13">
        <v>21</v>
      </c>
      <c r="R44" s="13">
        <v>32</v>
      </c>
      <c r="S44" s="13"/>
      <c r="T44" s="14"/>
      <c r="U44" s="49">
        <f t="shared" si="18"/>
        <v>103</v>
      </c>
      <c r="W44" s="26">
        <v>35</v>
      </c>
      <c r="X44" s="27">
        <v>15</v>
      </c>
      <c r="Y44" s="27">
        <v>21</v>
      </c>
      <c r="Z44" s="27">
        <v>32</v>
      </c>
      <c r="AA44" s="27"/>
      <c r="AB44" s="28"/>
      <c r="AC44" s="28">
        <f t="shared" si="19"/>
        <v>103</v>
      </c>
      <c r="AE44" s="32"/>
      <c r="AF44" s="33"/>
      <c r="AG44" s="33"/>
      <c r="AH44" s="33"/>
      <c r="AI44" s="33"/>
      <c r="AJ44" s="34"/>
      <c r="AK44" s="34"/>
    </row>
    <row r="45" spans="2:37" ht="18" customHeight="1" x14ac:dyDescent="0.2">
      <c r="B45" s="10">
        <f>garage!B45</f>
        <v>45</v>
      </c>
      <c r="C45" s="10">
        <f>garage!C45</f>
        <v>2</v>
      </c>
      <c r="D45" s="10">
        <f>garage!D45</f>
        <v>12</v>
      </c>
      <c r="E45" s="10">
        <f>garage!E45</f>
        <v>24</v>
      </c>
      <c r="F45" s="10" t="str">
        <f>garage!F45</f>
        <v>--</v>
      </c>
      <c r="G45" s="10" t="str">
        <f>garage!G45</f>
        <v>O</v>
      </c>
      <c r="H45" s="10" t="str">
        <f>garage!H45</f>
        <v>N</v>
      </c>
      <c r="I45" s="10" t="str">
        <f>garage!I45</f>
        <v>N</v>
      </c>
      <c r="J45" s="10" t="str">
        <f>garage!J45</f>
        <v>O</v>
      </c>
      <c r="K45" s="10" t="str">
        <f>garage!K45</f>
        <v>C</v>
      </c>
      <c r="L45" s="11" t="str">
        <f>garage!L45</f>
        <v>Bolwell</v>
      </c>
      <c r="M45" s="11" t="str">
        <f>garage!M45</f>
        <v>MK X Nagari 500</v>
      </c>
      <c r="O45" s="18">
        <v>50</v>
      </c>
      <c r="P45" s="15">
        <v>29</v>
      </c>
      <c r="Q45" s="15">
        <v>38</v>
      </c>
      <c r="R45" s="15">
        <v>48</v>
      </c>
      <c r="S45" s="15"/>
      <c r="T45" s="16"/>
      <c r="U45" s="50">
        <f t="shared" si="18"/>
        <v>165</v>
      </c>
      <c r="W45" s="29">
        <v>50</v>
      </c>
      <c r="X45" s="30">
        <v>29</v>
      </c>
      <c r="Y45" s="30">
        <v>38</v>
      </c>
      <c r="Z45" s="30">
        <v>48</v>
      </c>
      <c r="AA45" s="30"/>
      <c r="AB45" s="31"/>
      <c r="AC45" s="31">
        <f t="shared" si="19"/>
        <v>165</v>
      </c>
      <c r="AE45" s="35"/>
      <c r="AF45" s="36"/>
      <c r="AG45" s="36"/>
      <c r="AH45" s="36"/>
      <c r="AI45" s="36"/>
      <c r="AJ45" s="37"/>
      <c r="AK45" s="37"/>
    </row>
    <row r="46" spans="2:37" ht="18" customHeight="1" x14ac:dyDescent="0.2">
      <c r="B46" s="8">
        <f>garage!B46</f>
        <v>46</v>
      </c>
      <c r="C46" s="8">
        <f>garage!C46</f>
        <v>2</v>
      </c>
      <c r="D46" s="8">
        <f>garage!D46</f>
        <v>13</v>
      </c>
      <c r="E46" s="8">
        <f>garage!E46</f>
        <v>0</v>
      </c>
      <c r="F46" s="8" t="str">
        <f>garage!F46</f>
        <v>--</v>
      </c>
      <c r="G46" s="8" t="str">
        <f>garage!G46</f>
        <v>O</v>
      </c>
      <c r="H46" s="8" t="str">
        <f>garage!H46</f>
        <v>O</v>
      </c>
      <c r="I46" s="8" t="str">
        <f>garage!I46</f>
        <v>O</v>
      </c>
      <c r="J46" s="8" t="str">
        <f>garage!J46</f>
        <v>N</v>
      </c>
      <c r="K46" s="8" t="str">
        <f>garage!K46</f>
        <v>C</v>
      </c>
      <c r="L46" s="9" t="str">
        <f>garage!L46</f>
        <v>Ford</v>
      </c>
      <c r="M46" s="9" t="str">
        <f>garage!M46</f>
        <v>Shelby GR-1</v>
      </c>
      <c r="O46" s="17">
        <v>50</v>
      </c>
      <c r="P46" s="13">
        <v>29</v>
      </c>
      <c r="Q46" s="13">
        <v>38</v>
      </c>
      <c r="R46" s="13">
        <v>48</v>
      </c>
      <c r="S46" s="13"/>
      <c r="T46" s="14"/>
      <c r="U46" s="49">
        <f t="shared" si="18"/>
        <v>165</v>
      </c>
      <c r="W46" s="26">
        <v>50</v>
      </c>
      <c r="X46" s="27">
        <v>29</v>
      </c>
      <c r="Y46" s="27">
        <v>38</v>
      </c>
      <c r="Z46" s="27">
        <v>48</v>
      </c>
      <c r="AA46" s="27"/>
      <c r="AB46" s="28"/>
      <c r="AC46" s="28">
        <f t="shared" si="19"/>
        <v>165</v>
      </c>
      <c r="AE46" s="32"/>
      <c r="AF46" s="33"/>
      <c r="AG46" s="33"/>
      <c r="AH46" s="33"/>
      <c r="AI46" s="33"/>
      <c r="AJ46" s="34"/>
      <c r="AK46" s="34"/>
    </row>
    <row r="47" spans="2:37" ht="18" customHeight="1" x14ac:dyDescent="0.2">
      <c r="B47" s="10">
        <f>garage!B47</f>
        <v>47</v>
      </c>
      <c r="C47" s="10">
        <f>garage!C47</f>
        <v>2</v>
      </c>
      <c r="D47" s="10">
        <f>garage!D47</f>
        <v>14</v>
      </c>
      <c r="E47" s="10">
        <f>garage!E47</f>
        <v>0</v>
      </c>
      <c r="F47" s="10" t="str">
        <f>garage!F47</f>
        <v>--</v>
      </c>
      <c r="G47" s="10" t="str">
        <f>garage!G47</f>
        <v>O</v>
      </c>
      <c r="H47" s="10" t="str">
        <f>garage!H47</f>
        <v>O</v>
      </c>
      <c r="I47" s="10" t="str">
        <f>garage!I47</f>
        <v>O</v>
      </c>
      <c r="J47" s="10" t="str">
        <f>garage!J47</f>
        <v>N</v>
      </c>
      <c r="K47" s="10" t="str">
        <f>garage!K47</f>
        <v>C</v>
      </c>
      <c r="L47" s="11" t="str">
        <f>garage!L47</f>
        <v>Pininfarina</v>
      </c>
      <c r="M47" s="11" t="str">
        <f>garage!M47</f>
        <v>H2 Speed</v>
      </c>
      <c r="O47" s="18">
        <v>35</v>
      </c>
      <c r="P47" s="15">
        <v>10</v>
      </c>
      <c r="Q47" s="15">
        <v>20</v>
      </c>
      <c r="R47" s="15">
        <v>32</v>
      </c>
      <c r="S47" s="15"/>
      <c r="T47" s="16"/>
      <c r="U47" s="50">
        <f t="shared" si="18"/>
        <v>97</v>
      </c>
      <c r="W47" s="29">
        <v>35</v>
      </c>
      <c r="X47" s="30">
        <v>10</v>
      </c>
      <c r="Y47" s="30">
        <v>20</v>
      </c>
      <c r="Z47" s="30">
        <v>32</v>
      </c>
      <c r="AA47" s="30"/>
      <c r="AB47" s="31"/>
      <c r="AC47" s="31">
        <f t="shared" si="19"/>
        <v>97</v>
      </c>
      <c r="AE47" s="35"/>
      <c r="AF47" s="36"/>
      <c r="AG47" s="36"/>
      <c r="AH47" s="36"/>
      <c r="AI47" s="36"/>
      <c r="AJ47" s="37"/>
      <c r="AK47" s="37"/>
    </row>
    <row r="48" spans="2:37" ht="18" customHeight="1" x14ac:dyDescent="0.2">
      <c r="B48" s="8">
        <f>garage!B48</f>
        <v>48</v>
      </c>
      <c r="C48" s="8">
        <f>garage!C48</f>
        <v>2</v>
      </c>
      <c r="D48" s="8">
        <f>garage!D48</f>
        <v>15</v>
      </c>
      <c r="E48" s="8">
        <f>garage!E48</f>
        <v>7</v>
      </c>
      <c r="F48" s="8" t="str">
        <f>garage!F48</f>
        <v>--</v>
      </c>
      <c r="G48" s="8" t="str">
        <f>garage!G48</f>
        <v>O</v>
      </c>
      <c r="H48" s="8" t="str">
        <f>garage!H48</f>
        <v>O</v>
      </c>
      <c r="I48" s="8" t="str">
        <f>garage!I48</f>
        <v>O</v>
      </c>
      <c r="J48" s="8" t="str">
        <f>garage!J48</f>
        <v>N</v>
      </c>
      <c r="K48" s="8" t="str">
        <f>garage!K48</f>
        <v>C</v>
      </c>
      <c r="L48" s="9" t="str">
        <f>garage!L48</f>
        <v>Artega</v>
      </c>
      <c r="M48" s="9" t="str">
        <f>garage!M48</f>
        <v>Scalo Superelletra</v>
      </c>
      <c r="O48" s="17">
        <v>50</v>
      </c>
      <c r="P48" s="13">
        <v>29</v>
      </c>
      <c r="Q48" s="13">
        <v>38</v>
      </c>
      <c r="R48" s="13">
        <v>48</v>
      </c>
      <c r="S48" s="13"/>
      <c r="T48" s="14"/>
      <c r="U48" s="49">
        <f t="shared" si="18"/>
        <v>165</v>
      </c>
      <c r="W48" s="26">
        <v>50</v>
      </c>
      <c r="X48" s="27">
        <v>29</v>
      </c>
      <c r="Y48" s="27">
        <v>38</v>
      </c>
      <c r="Z48" s="27">
        <v>48</v>
      </c>
      <c r="AA48" s="27"/>
      <c r="AB48" s="28"/>
      <c r="AC48" s="28">
        <f t="shared" si="19"/>
        <v>165</v>
      </c>
      <c r="AE48" s="32"/>
      <c r="AF48" s="33"/>
      <c r="AG48" s="33"/>
      <c r="AH48" s="33"/>
      <c r="AI48" s="33"/>
      <c r="AJ48" s="34"/>
      <c r="AK48" s="34"/>
    </row>
    <row r="49" spans="2:37" ht="18" customHeight="1" x14ac:dyDescent="0.2">
      <c r="B49" s="10">
        <f>garage!B49</f>
        <v>49</v>
      </c>
      <c r="C49" s="10">
        <f>garage!C49</f>
        <v>2</v>
      </c>
      <c r="D49" s="10">
        <f>garage!D49</f>
        <v>16</v>
      </c>
      <c r="E49" s="10">
        <f>garage!E49</f>
        <v>22</v>
      </c>
      <c r="F49" s="10" t="str">
        <f>garage!F49</f>
        <v>--</v>
      </c>
      <c r="G49" s="10" t="str">
        <f>garage!G49</f>
        <v>O</v>
      </c>
      <c r="H49" s="10" t="str">
        <f>garage!H49</f>
        <v>N</v>
      </c>
      <c r="I49" s="10" t="str">
        <f>garage!I49</f>
        <v>N</v>
      </c>
      <c r="J49" s="10" t="str">
        <f>garage!J49</f>
        <v>N</v>
      </c>
      <c r="K49" s="10" t="str">
        <f>garage!K49</f>
        <v>C</v>
      </c>
      <c r="L49" s="11" t="str">
        <f>garage!L49</f>
        <v>Saleen</v>
      </c>
      <c r="M49" s="11" t="str">
        <f>garage!M49</f>
        <v>S1</v>
      </c>
      <c r="O49" s="18">
        <v>50</v>
      </c>
      <c r="P49" s="15">
        <v>29</v>
      </c>
      <c r="Q49" s="15">
        <v>38</v>
      </c>
      <c r="R49" s="15">
        <v>48</v>
      </c>
      <c r="S49" s="15"/>
      <c r="T49" s="16"/>
      <c r="U49" s="50">
        <f t="shared" si="18"/>
        <v>165</v>
      </c>
      <c r="W49" s="29">
        <v>50</v>
      </c>
      <c r="X49" s="30">
        <v>29</v>
      </c>
      <c r="Y49" s="30">
        <v>18</v>
      </c>
      <c r="Z49" s="30"/>
      <c r="AA49" s="30"/>
      <c r="AB49" s="31"/>
      <c r="AC49" s="31">
        <f t="shared" si="19"/>
        <v>97</v>
      </c>
      <c r="AE49" s="35"/>
      <c r="AF49" s="36"/>
      <c r="AG49" s="36">
        <f t="shared" si="20"/>
        <v>20</v>
      </c>
      <c r="AH49" s="36">
        <f t="shared" si="21"/>
        <v>48</v>
      </c>
      <c r="AI49" s="36"/>
      <c r="AJ49" s="37"/>
      <c r="AK49" s="37">
        <f t="shared" si="22"/>
        <v>68</v>
      </c>
    </row>
    <row r="50" spans="2:37" ht="18" customHeight="1" x14ac:dyDescent="0.2">
      <c r="B50" s="8">
        <f>garage!B50</f>
        <v>50</v>
      </c>
      <c r="C50" s="8">
        <f>garage!C50</f>
        <v>2</v>
      </c>
      <c r="D50" s="8">
        <f>garage!D50</f>
        <v>17</v>
      </c>
      <c r="E50" s="8">
        <f>garage!E50</f>
        <v>0</v>
      </c>
      <c r="F50" s="8" t="str">
        <f>garage!F50</f>
        <v>--</v>
      </c>
      <c r="G50" s="8" t="str">
        <f>garage!G50</f>
        <v>O</v>
      </c>
      <c r="H50" s="8" t="str">
        <f>garage!H50</f>
        <v>O</v>
      </c>
      <c r="I50" s="8" t="str">
        <f>garage!I50</f>
        <v>O</v>
      </c>
      <c r="J50" s="8" t="str">
        <f>garage!J50</f>
        <v>N</v>
      </c>
      <c r="K50" s="8" t="str">
        <f>garage!K50</f>
        <v>C</v>
      </c>
      <c r="L50" s="9" t="str">
        <f>garage!L50</f>
        <v>Acura</v>
      </c>
      <c r="M50" s="9" t="str">
        <f>garage!M50</f>
        <v>2017 NSX</v>
      </c>
      <c r="O50" s="17">
        <v>35</v>
      </c>
      <c r="P50" s="13">
        <v>10</v>
      </c>
      <c r="Q50" s="13">
        <v>20</v>
      </c>
      <c r="R50" s="13">
        <v>32</v>
      </c>
      <c r="S50" s="13"/>
      <c r="T50" s="14"/>
      <c r="U50" s="49">
        <f t="shared" si="18"/>
        <v>97</v>
      </c>
      <c r="W50" s="26">
        <v>35</v>
      </c>
      <c r="X50" s="27">
        <v>10</v>
      </c>
      <c r="Y50" s="27">
        <v>20</v>
      </c>
      <c r="Z50" s="27">
        <v>32</v>
      </c>
      <c r="AA50" s="27"/>
      <c r="AB50" s="28"/>
      <c r="AC50" s="28">
        <f t="shared" si="19"/>
        <v>97</v>
      </c>
      <c r="AE50" s="32"/>
      <c r="AF50" s="33"/>
      <c r="AG50" s="33"/>
      <c r="AH50" s="33"/>
      <c r="AI50" s="33"/>
      <c r="AJ50" s="34"/>
      <c r="AK50" s="34"/>
    </row>
    <row r="51" spans="2:37" ht="18" customHeight="1" x14ac:dyDescent="0.2">
      <c r="B51" s="10">
        <f>garage!B51</f>
        <v>51</v>
      </c>
      <c r="C51" s="10">
        <f>garage!C51</f>
        <v>2</v>
      </c>
      <c r="D51" s="10">
        <f>garage!D51</f>
        <v>18</v>
      </c>
      <c r="E51" s="10">
        <f>garage!E51</f>
        <v>0</v>
      </c>
      <c r="F51" s="10" t="str">
        <f>garage!F51</f>
        <v>--</v>
      </c>
      <c r="G51" s="10" t="str">
        <f>garage!G51</f>
        <v>O</v>
      </c>
      <c r="H51" s="10" t="str">
        <f>garage!H51</f>
        <v>O</v>
      </c>
      <c r="I51" s="10" t="str">
        <f>garage!I51</f>
        <v>O</v>
      </c>
      <c r="J51" s="10" t="str">
        <f>garage!J51</f>
        <v>N</v>
      </c>
      <c r="K51" s="10" t="str">
        <f>garage!K51</f>
        <v>C</v>
      </c>
      <c r="L51" s="11" t="str">
        <f>garage!L51</f>
        <v>Maserati</v>
      </c>
      <c r="M51" s="11" t="str">
        <f>garage!M51</f>
        <v>Alfieri</v>
      </c>
      <c r="O51" s="18">
        <v>35</v>
      </c>
      <c r="P51" s="15">
        <v>10</v>
      </c>
      <c r="Q51" s="15">
        <v>20</v>
      </c>
      <c r="R51" s="15">
        <v>32</v>
      </c>
      <c r="S51" s="15"/>
      <c r="T51" s="16"/>
      <c r="U51" s="50">
        <f t="shared" si="18"/>
        <v>97</v>
      </c>
      <c r="W51" s="29">
        <v>35</v>
      </c>
      <c r="X51" s="30">
        <v>10</v>
      </c>
      <c r="Y51" s="30">
        <v>20</v>
      </c>
      <c r="Z51" s="30">
        <v>32</v>
      </c>
      <c r="AA51" s="30"/>
      <c r="AB51" s="31"/>
      <c r="AC51" s="31">
        <f t="shared" si="19"/>
        <v>97</v>
      </c>
      <c r="AE51" s="35"/>
      <c r="AF51" s="36"/>
      <c r="AG51" s="36"/>
      <c r="AH51" s="36"/>
      <c r="AI51" s="36"/>
      <c r="AJ51" s="37"/>
      <c r="AK51" s="37"/>
    </row>
    <row r="52" spans="2:37" ht="18" customHeight="1" x14ac:dyDescent="0.2">
      <c r="B52" s="8">
        <f>garage!B52</f>
        <v>52</v>
      </c>
      <c r="C52" s="8">
        <f>garage!C52</f>
        <v>2</v>
      </c>
      <c r="D52" s="8">
        <f>garage!D52</f>
        <v>19</v>
      </c>
      <c r="E52" s="8">
        <f>garage!E52</f>
        <v>26</v>
      </c>
      <c r="F52" s="8" t="str">
        <f>garage!F52</f>
        <v>F</v>
      </c>
      <c r="G52" s="8" t="str">
        <f>garage!G52</f>
        <v>O</v>
      </c>
      <c r="H52" s="8" t="str">
        <f>garage!H52</f>
        <v>N</v>
      </c>
      <c r="I52" s="8" t="str">
        <f>garage!I52</f>
        <v>N</v>
      </c>
      <c r="J52" s="8" t="str">
        <f>garage!J52</f>
        <v>O</v>
      </c>
      <c r="K52" s="8" t="str">
        <f>garage!K52</f>
        <v>C</v>
      </c>
      <c r="L52" s="9" t="str">
        <f>garage!L52</f>
        <v>Ferrari</v>
      </c>
      <c r="M52" s="9" t="str">
        <f>garage!M52</f>
        <v>Monza SP1</v>
      </c>
      <c r="O52" s="17">
        <v>50</v>
      </c>
      <c r="P52" s="13">
        <v>29</v>
      </c>
      <c r="Q52" s="13">
        <v>38</v>
      </c>
      <c r="R52" s="13">
        <v>48</v>
      </c>
      <c r="S52" s="13"/>
      <c r="T52" s="14"/>
      <c r="U52" s="49">
        <f t="shared" si="18"/>
        <v>165</v>
      </c>
      <c r="W52" s="26">
        <v>50</v>
      </c>
      <c r="X52" s="27">
        <v>29</v>
      </c>
      <c r="Y52" s="27"/>
      <c r="Z52" s="27"/>
      <c r="AA52" s="27"/>
      <c r="AB52" s="28"/>
      <c r="AC52" s="28">
        <f t="shared" si="19"/>
        <v>79</v>
      </c>
      <c r="AE52" s="32"/>
      <c r="AF52" s="33"/>
      <c r="AG52" s="33">
        <f t="shared" si="20"/>
        <v>38</v>
      </c>
      <c r="AH52" s="33">
        <f t="shared" si="21"/>
        <v>48</v>
      </c>
      <c r="AI52" s="33"/>
      <c r="AJ52" s="34"/>
      <c r="AK52" s="34">
        <f t="shared" si="22"/>
        <v>86</v>
      </c>
    </row>
    <row r="53" spans="2:37" ht="18" customHeight="1" x14ac:dyDescent="0.2">
      <c r="B53" s="10">
        <f>garage!B53</f>
        <v>53</v>
      </c>
      <c r="C53" s="10">
        <f>garage!C53</f>
        <v>2</v>
      </c>
      <c r="D53" s="10">
        <f>garage!D53</f>
        <v>20</v>
      </c>
      <c r="E53" s="10">
        <f>garage!E53</f>
        <v>18</v>
      </c>
      <c r="F53" s="10" t="str">
        <f>garage!F53</f>
        <v>--</v>
      </c>
      <c r="G53" s="10" t="str">
        <f>garage!G53</f>
        <v>O</v>
      </c>
      <c r="H53" s="10" t="str">
        <f>garage!H53</f>
        <v>O</v>
      </c>
      <c r="I53" s="10" t="str">
        <f>garage!I53</f>
        <v>N</v>
      </c>
      <c r="J53" s="10" t="str">
        <f>garage!J53</f>
        <v>N</v>
      </c>
      <c r="K53" s="10" t="str">
        <f>garage!K53</f>
        <v>C</v>
      </c>
      <c r="L53" s="11" t="str">
        <f>garage!L53</f>
        <v>ATS Automobili</v>
      </c>
      <c r="M53" s="11" t="str">
        <f>garage!M53</f>
        <v>Corsa RRTurbo</v>
      </c>
      <c r="O53" s="18" t="s">
        <v>432</v>
      </c>
      <c r="P53" s="15">
        <v>25</v>
      </c>
      <c r="Q53" s="15">
        <v>38</v>
      </c>
      <c r="R53" s="15">
        <v>52</v>
      </c>
      <c r="S53" s="15"/>
      <c r="T53" s="16"/>
      <c r="U53" s="50">
        <f t="shared" si="18"/>
        <v>115</v>
      </c>
      <c r="W53" s="29" t="s">
        <v>432</v>
      </c>
      <c r="X53" s="30">
        <v>25</v>
      </c>
      <c r="Y53" s="30">
        <v>38</v>
      </c>
      <c r="Z53" s="30">
        <v>52</v>
      </c>
      <c r="AA53" s="30"/>
      <c r="AB53" s="31"/>
      <c r="AC53" s="31">
        <f t="shared" si="19"/>
        <v>115</v>
      </c>
      <c r="AE53" s="35"/>
      <c r="AF53" s="36"/>
      <c r="AG53" s="36"/>
      <c r="AH53" s="36"/>
      <c r="AI53" s="36"/>
      <c r="AJ53" s="37"/>
      <c r="AK53" s="37"/>
    </row>
    <row r="54" spans="2:37" ht="18" customHeight="1" x14ac:dyDescent="0.2">
      <c r="B54" s="8">
        <f>garage!B54</f>
        <v>54</v>
      </c>
      <c r="C54" s="8">
        <f>garage!C54</f>
        <v>2</v>
      </c>
      <c r="D54" s="8">
        <f>garage!D54</f>
        <v>21</v>
      </c>
      <c r="E54" s="8">
        <f>garage!E54</f>
        <v>27</v>
      </c>
      <c r="F54" s="8" t="str">
        <f>garage!F54</f>
        <v>--</v>
      </c>
      <c r="G54" s="8" t="str">
        <f>garage!G54</f>
        <v>N</v>
      </c>
      <c r="H54" s="8" t="str">
        <f>garage!H54</f>
        <v>N</v>
      </c>
      <c r="I54" s="8" t="str">
        <f>garage!I54</f>
        <v>N</v>
      </c>
      <c r="J54" s="8" t="str">
        <f>garage!J54</f>
        <v>N</v>
      </c>
      <c r="K54" s="8" t="str">
        <f>garage!K54</f>
        <v>C</v>
      </c>
      <c r="L54" s="9" t="str">
        <f>garage!L54</f>
        <v>Jaguar</v>
      </c>
      <c r="M54" s="9" t="str">
        <f>garage!M54</f>
        <v>XE SV Project 8</v>
      </c>
      <c r="O54" s="17">
        <v>35</v>
      </c>
      <c r="P54" s="13">
        <v>15</v>
      </c>
      <c r="Q54" s="13">
        <v>21</v>
      </c>
      <c r="R54" s="13">
        <v>28</v>
      </c>
      <c r="S54" s="13">
        <v>35</v>
      </c>
      <c r="T54" s="14"/>
      <c r="U54" s="49">
        <f t="shared" si="18"/>
        <v>134</v>
      </c>
      <c r="W54" s="26">
        <v>3</v>
      </c>
      <c r="X54" s="27"/>
      <c r="Y54" s="27"/>
      <c r="Z54" s="27"/>
      <c r="AA54" s="27"/>
      <c r="AB54" s="28"/>
      <c r="AC54" s="28">
        <f t="shared" si="19"/>
        <v>3</v>
      </c>
      <c r="AE54" s="32">
        <f t="shared" ref="AE54:AE67" si="23">O54-W54</f>
        <v>32</v>
      </c>
      <c r="AF54" s="33">
        <f t="shared" ref="AF54:AF95" si="24">P54-X54</f>
        <v>15</v>
      </c>
      <c r="AG54" s="33">
        <f t="shared" si="20"/>
        <v>21</v>
      </c>
      <c r="AH54" s="33">
        <f t="shared" si="21"/>
        <v>28</v>
      </c>
      <c r="AI54" s="33">
        <f t="shared" ref="AI54:AI99" si="25">S54-AA54</f>
        <v>35</v>
      </c>
      <c r="AJ54" s="34"/>
      <c r="AK54" s="34">
        <f t="shared" si="22"/>
        <v>131</v>
      </c>
    </row>
    <row r="55" spans="2:37" ht="18" customHeight="1" x14ac:dyDescent="0.2">
      <c r="B55" s="10">
        <f>garage!B55</f>
        <v>55</v>
      </c>
      <c r="C55" s="10">
        <f>garage!C55</f>
        <v>2</v>
      </c>
      <c r="D55" s="10">
        <f>garage!D55</f>
        <v>22</v>
      </c>
      <c r="E55" s="10">
        <f>garage!E55</f>
        <v>15</v>
      </c>
      <c r="F55" s="10" t="str">
        <f>garage!F55</f>
        <v>F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garage!J55</f>
        <v>N</v>
      </c>
      <c r="K55" s="10" t="str">
        <f>garage!K55</f>
        <v>C</v>
      </c>
      <c r="L55" s="11" t="str">
        <f>garage!L55</f>
        <v>Ferrari</v>
      </c>
      <c r="M55" s="11" t="str">
        <f>garage!M55</f>
        <v>F40</v>
      </c>
      <c r="O55" s="18">
        <v>35</v>
      </c>
      <c r="P55" s="15">
        <v>15</v>
      </c>
      <c r="Q55" s="15">
        <v>21</v>
      </c>
      <c r="R55" s="15">
        <v>28</v>
      </c>
      <c r="S55" s="15">
        <v>35</v>
      </c>
      <c r="T55" s="16"/>
      <c r="U55" s="50">
        <f t="shared" si="18"/>
        <v>134</v>
      </c>
      <c r="W55" s="29">
        <v>35</v>
      </c>
      <c r="X55" s="30">
        <v>15</v>
      </c>
      <c r="Y55" s="30">
        <v>21</v>
      </c>
      <c r="Z55" s="30">
        <v>28</v>
      </c>
      <c r="AA55" s="30">
        <v>35</v>
      </c>
      <c r="AB55" s="31"/>
      <c r="AC55" s="31">
        <f t="shared" si="19"/>
        <v>134</v>
      </c>
      <c r="AE55" s="35"/>
      <c r="AF55" s="36"/>
      <c r="AG55" s="36"/>
      <c r="AH55" s="36"/>
      <c r="AI55" s="36"/>
      <c r="AJ55" s="37"/>
      <c r="AK55" s="37"/>
    </row>
    <row r="56" spans="2:37" ht="18" customHeight="1" x14ac:dyDescent="0.2">
      <c r="B56" s="8">
        <f>garage!B56</f>
        <v>56</v>
      </c>
      <c r="C56" s="8">
        <f>garage!C56</f>
        <v>2</v>
      </c>
      <c r="D56" s="8">
        <f>garage!D56</f>
        <v>23</v>
      </c>
      <c r="E56" s="8">
        <f>garage!E56</f>
        <v>19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garage!J56</f>
        <v>N</v>
      </c>
      <c r="K56" s="8" t="str">
        <f>garage!K56</f>
        <v>C</v>
      </c>
      <c r="L56" s="9" t="str">
        <f>garage!L56</f>
        <v>Renault</v>
      </c>
      <c r="M56" s="9" t="str">
        <f>garage!M56</f>
        <v>R.S. 01</v>
      </c>
      <c r="O56" s="17" t="s">
        <v>432</v>
      </c>
      <c r="P56" s="13">
        <v>25</v>
      </c>
      <c r="Q56" s="13">
        <v>32</v>
      </c>
      <c r="R56" s="13">
        <v>36</v>
      </c>
      <c r="S56" s="13">
        <v>40</v>
      </c>
      <c r="T56" s="14"/>
      <c r="U56" s="49">
        <f t="shared" si="18"/>
        <v>133</v>
      </c>
      <c r="W56" s="26"/>
      <c r="X56" s="27">
        <v>21</v>
      </c>
      <c r="Y56" s="27"/>
      <c r="Z56" s="27"/>
      <c r="AA56" s="27"/>
      <c r="AB56" s="28"/>
      <c r="AC56" s="28">
        <f t="shared" si="19"/>
        <v>21</v>
      </c>
      <c r="AE56" s="32" t="s">
        <v>432</v>
      </c>
      <c r="AF56" s="33">
        <f t="shared" si="24"/>
        <v>4</v>
      </c>
      <c r="AG56" s="33">
        <f t="shared" si="20"/>
        <v>32</v>
      </c>
      <c r="AH56" s="33">
        <f t="shared" si="21"/>
        <v>36</v>
      </c>
      <c r="AI56" s="33">
        <f t="shared" si="25"/>
        <v>40</v>
      </c>
      <c r="AJ56" s="34"/>
      <c r="AK56" s="34">
        <f t="shared" si="22"/>
        <v>112</v>
      </c>
    </row>
    <row r="57" spans="2:37" ht="18" customHeight="1" x14ac:dyDescent="0.2">
      <c r="B57" s="10">
        <f>garage!B57</f>
        <v>57</v>
      </c>
      <c r="C57" s="10">
        <f>garage!C57</f>
        <v>2</v>
      </c>
      <c r="D57" s="10">
        <f>garage!D57</f>
        <v>24</v>
      </c>
      <c r="E57" s="10">
        <f>garage!E57</f>
        <v>17</v>
      </c>
      <c r="F57" s="10" t="str">
        <f>garage!F57</f>
        <v>--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garage!J57</f>
        <v>N</v>
      </c>
      <c r="K57" s="10" t="str">
        <f>garage!K57</f>
        <v>C</v>
      </c>
      <c r="L57" s="11" t="str">
        <f>garage!L57</f>
        <v>Acura</v>
      </c>
      <c r="M57" s="11" t="str">
        <f>garage!M57</f>
        <v>NSX GT3 EVO</v>
      </c>
      <c r="O57" s="18" t="s">
        <v>432</v>
      </c>
      <c r="P57" s="15">
        <v>25</v>
      </c>
      <c r="Q57" s="15">
        <v>32</v>
      </c>
      <c r="R57" s="15">
        <v>36</v>
      </c>
      <c r="S57" s="15">
        <v>41</v>
      </c>
      <c r="T57" s="16"/>
      <c r="U57" s="50">
        <f t="shared" si="18"/>
        <v>134</v>
      </c>
      <c r="W57" s="29" t="s">
        <v>432</v>
      </c>
      <c r="X57" s="30">
        <v>25</v>
      </c>
      <c r="Y57" s="30">
        <v>32</v>
      </c>
      <c r="Z57" s="30">
        <v>36</v>
      </c>
      <c r="AA57" s="30">
        <v>41</v>
      </c>
      <c r="AB57" s="31"/>
      <c r="AC57" s="31">
        <f t="shared" si="19"/>
        <v>134</v>
      </c>
      <c r="AE57" s="35"/>
      <c r="AF57" s="36"/>
      <c r="AG57" s="36"/>
      <c r="AH57" s="36"/>
      <c r="AI57" s="36"/>
      <c r="AJ57" s="37"/>
      <c r="AK57" s="37"/>
    </row>
    <row r="58" spans="2:37" ht="18" customHeight="1" x14ac:dyDescent="0.2">
      <c r="B58" s="8">
        <f>garage!B58</f>
        <v>58</v>
      </c>
      <c r="C58" s="8">
        <f>garage!C58</f>
        <v>2</v>
      </c>
      <c r="D58" s="8">
        <f>garage!D58</f>
        <v>25</v>
      </c>
      <c r="E58" s="8">
        <f>garage!E58</f>
        <v>0</v>
      </c>
      <c r="F58" s="8" t="str">
        <f>garage!F58</f>
        <v>--</v>
      </c>
      <c r="G58" s="8" t="str">
        <f>garage!G58</f>
        <v>O</v>
      </c>
      <c r="H58" s="8" t="str">
        <f>garage!H58</f>
        <v>O</v>
      </c>
      <c r="I58" s="8" t="str">
        <f>garage!I58</f>
        <v>O</v>
      </c>
      <c r="J58" s="8" t="str">
        <f>garage!J58</f>
        <v>N</v>
      </c>
      <c r="K58" s="8" t="str">
        <f>garage!K58</f>
        <v>C</v>
      </c>
      <c r="L58" s="9" t="str">
        <f>garage!L58</f>
        <v>Vencer</v>
      </c>
      <c r="M58" s="9" t="str">
        <f>garage!M58</f>
        <v>Sarthe</v>
      </c>
      <c r="O58" s="17">
        <v>35</v>
      </c>
      <c r="P58" s="13">
        <v>15</v>
      </c>
      <c r="Q58" s="13">
        <v>21</v>
      </c>
      <c r="R58" s="13">
        <v>28</v>
      </c>
      <c r="S58" s="13">
        <v>35</v>
      </c>
      <c r="T58" s="14"/>
      <c r="U58" s="49">
        <f t="shared" si="18"/>
        <v>134</v>
      </c>
      <c r="W58" s="26">
        <v>35</v>
      </c>
      <c r="X58" s="27">
        <v>15</v>
      </c>
      <c r="Y58" s="27">
        <v>21</v>
      </c>
      <c r="Z58" s="27">
        <v>28</v>
      </c>
      <c r="AA58" s="27">
        <v>35</v>
      </c>
      <c r="AB58" s="28"/>
      <c r="AC58" s="28">
        <f t="shared" si="19"/>
        <v>134</v>
      </c>
      <c r="AE58" s="32"/>
      <c r="AF58" s="33"/>
      <c r="AG58" s="33"/>
      <c r="AH58" s="33"/>
      <c r="AI58" s="33"/>
      <c r="AJ58" s="34"/>
      <c r="AK58" s="34"/>
    </row>
    <row r="59" spans="2:37" ht="18" customHeight="1" x14ac:dyDescent="0.2">
      <c r="B59" s="10">
        <f>garage!B59</f>
        <v>59</v>
      </c>
      <c r="C59" s="10">
        <f>garage!C59</f>
        <v>2</v>
      </c>
      <c r="D59" s="10">
        <f>garage!D59</f>
        <v>26</v>
      </c>
      <c r="E59" s="10">
        <f>garage!E59</f>
        <v>30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garage!J59</f>
        <v>N</v>
      </c>
      <c r="K59" s="10" t="str">
        <f>garage!K59</f>
        <v>C</v>
      </c>
      <c r="L59" s="11" t="str">
        <f>garage!L59</f>
        <v>Maserati</v>
      </c>
      <c r="M59" s="11" t="str">
        <f>garage!M59</f>
        <v>MC12</v>
      </c>
      <c r="O59" s="18" t="s">
        <v>432</v>
      </c>
      <c r="P59" s="15">
        <v>25</v>
      </c>
      <c r="Q59" s="15">
        <v>32</v>
      </c>
      <c r="R59" s="15">
        <v>36</v>
      </c>
      <c r="S59" s="15">
        <v>40</v>
      </c>
      <c r="T59" s="16"/>
      <c r="U59" s="50">
        <f t="shared" si="18"/>
        <v>133</v>
      </c>
      <c r="W59" s="29"/>
      <c r="X59" s="30">
        <v>20</v>
      </c>
      <c r="Y59" s="30"/>
      <c r="Z59" s="30"/>
      <c r="AA59" s="30"/>
      <c r="AB59" s="31"/>
      <c r="AC59" s="31"/>
      <c r="AE59" s="35" t="s">
        <v>432</v>
      </c>
      <c r="AF59" s="36">
        <f t="shared" ref="AF59" si="26">P59-X59</f>
        <v>5</v>
      </c>
      <c r="AG59" s="36">
        <f t="shared" ref="AG59" si="27">Q59-Y59</f>
        <v>32</v>
      </c>
      <c r="AH59" s="36">
        <f t="shared" ref="AH59" si="28">R59-Z59</f>
        <v>36</v>
      </c>
      <c r="AI59" s="36">
        <f t="shared" ref="AI59" si="29">S59-AA59</f>
        <v>40</v>
      </c>
      <c r="AJ59" s="37"/>
      <c r="AK59" s="37">
        <f t="shared" ref="AK59" si="30">SUM(AE59:AJ59)</f>
        <v>113</v>
      </c>
    </row>
    <row r="60" spans="2:37" ht="18" customHeight="1" x14ac:dyDescent="0.2">
      <c r="B60" s="8">
        <f>garage!B60</f>
        <v>60</v>
      </c>
      <c r="C60" s="8">
        <f>garage!C60</f>
        <v>2</v>
      </c>
      <c r="D60" s="8">
        <f>garage!D60</f>
        <v>27</v>
      </c>
      <c r="E60" s="8">
        <f>garage!E60</f>
        <v>14</v>
      </c>
      <c r="F60" s="8" t="str">
        <f>garage!F60</f>
        <v>--</v>
      </c>
      <c r="G60" s="8" t="str">
        <f>garage!G60</f>
        <v>O</v>
      </c>
      <c r="H60" s="8" t="str">
        <f>garage!H60</f>
        <v>N</v>
      </c>
      <c r="I60" s="8" t="str">
        <f>garage!I60</f>
        <v>N</v>
      </c>
      <c r="J60" s="8" t="str">
        <f>garage!J60</f>
        <v>N</v>
      </c>
      <c r="K60" s="8" t="str">
        <f>garage!K60</f>
        <v>C</v>
      </c>
      <c r="L60" s="9" t="str">
        <f>garage!L60</f>
        <v>Bentley</v>
      </c>
      <c r="M60" s="9" t="str">
        <f>garage!M60</f>
        <v>Mulliner Bacalar</v>
      </c>
      <c r="O60" s="17">
        <v>35</v>
      </c>
      <c r="P60" s="13">
        <v>15</v>
      </c>
      <c r="Q60" s="13">
        <v>21</v>
      </c>
      <c r="R60" s="13">
        <v>28</v>
      </c>
      <c r="S60" s="13">
        <v>35</v>
      </c>
      <c r="T60" s="14"/>
      <c r="U60" s="49">
        <f t="shared" si="18"/>
        <v>134</v>
      </c>
      <c r="W60" s="26">
        <v>35</v>
      </c>
      <c r="X60" s="27">
        <v>15</v>
      </c>
      <c r="Y60" s="27">
        <v>21</v>
      </c>
      <c r="Z60" s="27">
        <v>1</v>
      </c>
      <c r="AA60" s="27"/>
      <c r="AB60" s="28"/>
      <c r="AC60" s="28">
        <f t="shared" si="19"/>
        <v>72</v>
      </c>
      <c r="AE60" s="32"/>
      <c r="AF60" s="33"/>
      <c r="AG60" s="33"/>
      <c r="AH60" s="33">
        <f t="shared" si="21"/>
        <v>27</v>
      </c>
      <c r="AI60" s="33">
        <f t="shared" si="25"/>
        <v>35</v>
      </c>
      <c r="AJ60" s="34"/>
      <c r="AK60" s="34">
        <f t="shared" si="22"/>
        <v>62</v>
      </c>
    </row>
    <row r="61" spans="2:37" ht="18" customHeight="1" x14ac:dyDescent="0.2">
      <c r="B61" s="10">
        <f>garage!B61</f>
        <v>61</v>
      </c>
      <c r="C61" s="10">
        <f>garage!C61</f>
        <v>2</v>
      </c>
      <c r="D61" s="10">
        <f>garage!D61</f>
        <v>28</v>
      </c>
      <c r="E61" s="10">
        <f>garage!E61</f>
        <v>25</v>
      </c>
      <c r="F61" s="10" t="str">
        <f>garage!F61</f>
        <v>L</v>
      </c>
      <c r="G61" s="10" t="str">
        <f>garage!G61</f>
        <v>N</v>
      </c>
      <c r="H61" s="10" t="str">
        <f>garage!H61</f>
        <v>N</v>
      </c>
      <c r="I61" s="10" t="str">
        <f>garage!I61</f>
        <v>N</v>
      </c>
      <c r="J61" s="10" t="str">
        <f>garage!J61</f>
        <v>N</v>
      </c>
      <c r="K61" s="10" t="str">
        <f>garage!K61</f>
        <v>C</v>
      </c>
      <c r="L61" s="11" t="str">
        <f>garage!L61</f>
        <v>Lamborghini</v>
      </c>
      <c r="M61" s="11" t="str">
        <f>garage!M61</f>
        <v>Miura Concept</v>
      </c>
      <c r="O61" s="18" t="s">
        <v>432</v>
      </c>
      <c r="P61" s="15">
        <v>25</v>
      </c>
      <c r="Q61" s="15">
        <v>32</v>
      </c>
      <c r="R61" s="15">
        <v>36</v>
      </c>
      <c r="S61" s="15">
        <v>40</v>
      </c>
      <c r="T61" s="16"/>
      <c r="U61" s="50">
        <f t="shared" si="18"/>
        <v>133</v>
      </c>
      <c r="W61" s="29"/>
      <c r="X61" s="30">
        <v>25</v>
      </c>
      <c r="Y61" s="30">
        <v>20</v>
      </c>
      <c r="Z61" s="30"/>
      <c r="AA61" s="30"/>
      <c r="AB61" s="31"/>
      <c r="AC61" s="31">
        <f t="shared" si="19"/>
        <v>45</v>
      </c>
      <c r="AE61" s="35" t="s">
        <v>432</v>
      </c>
      <c r="AF61" s="36"/>
      <c r="AG61" s="36">
        <f t="shared" si="20"/>
        <v>12</v>
      </c>
      <c r="AH61" s="36">
        <f t="shared" si="21"/>
        <v>36</v>
      </c>
      <c r="AI61" s="36">
        <f t="shared" si="25"/>
        <v>40</v>
      </c>
      <c r="AJ61" s="37"/>
      <c r="AK61" s="37">
        <f t="shared" si="22"/>
        <v>88</v>
      </c>
    </row>
    <row r="62" spans="2:37" ht="18" customHeight="1" x14ac:dyDescent="0.2">
      <c r="B62" s="8">
        <f>garage!B62</f>
        <v>62</v>
      </c>
      <c r="C62" s="8">
        <f>garage!C62</f>
        <v>2</v>
      </c>
      <c r="D62" s="8">
        <f>garage!D62</f>
        <v>29</v>
      </c>
      <c r="E62" s="8">
        <f>garage!E62</f>
        <v>11</v>
      </c>
      <c r="F62" s="8" t="str">
        <f>garage!F62</f>
        <v>P</v>
      </c>
      <c r="G62" s="8" t="str">
        <f>garage!G62</f>
        <v>O</v>
      </c>
      <c r="H62" s="8" t="str">
        <f>garage!H62</f>
        <v>O</v>
      </c>
      <c r="I62" s="8" t="str">
        <f>garage!I62</f>
        <v>N</v>
      </c>
      <c r="J62" s="8" t="str">
        <f>garage!J62</f>
        <v>N</v>
      </c>
      <c r="K62" s="8" t="str">
        <f>garage!K62</f>
        <v>C</v>
      </c>
      <c r="L62" s="9" t="str">
        <f>garage!L62</f>
        <v>Porsche</v>
      </c>
      <c r="M62" s="9" t="str">
        <f>garage!M62</f>
        <v>718 Cayman GT4 Clubsport</v>
      </c>
      <c r="O62" s="17" t="s">
        <v>432</v>
      </c>
      <c r="P62" s="13">
        <v>25</v>
      </c>
      <c r="Q62" s="13">
        <v>32</v>
      </c>
      <c r="R62" s="13">
        <v>36</v>
      </c>
      <c r="S62" s="13">
        <v>40</v>
      </c>
      <c r="T62" s="14"/>
      <c r="U62" s="49">
        <f t="shared" si="18"/>
        <v>133</v>
      </c>
      <c r="W62" s="26" t="s">
        <v>432</v>
      </c>
      <c r="X62" s="27">
        <v>25</v>
      </c>
      <c r="Y62" s="27">
        <v>32</v>
      </c>
      <c r="Z62" s="27">
        <v>36</v>
      </c>
      <c r="AA62" s="27">
        <v>40</v>
      </c>
      <c r="AB62" s="28"/>
      <c r="AC62" s="28">
        <f t="shared" si="19"/>
        <v>133</v>
      </c>
      <c r="AE62" s="32"/>
      <c r="AF62" s="33"/>
      <c r="AG62" s="33"/>
      <c r="AH62" s="33"/>
      <c r="AI62" s="33"/>
      <c r="AJ62" s="34"/>
      <c r="AK62" s="34"/>
    </row>
    <row r="63" spans="2:37" ht="18" customHeight="1" x14ac:dyDescent="0.2">
      <c r="B63" s="10">
        <f>garage!B63</f>
        <v>63</v>
      </c>
      <c r="C63" s="10">
        <f>garage!C63</f>
        <v>2</v>
      </c>
      <c r="D63" s="10">
        <f>garage!D63</f>
        <v>30</v>
      </c>
      <c r="E63" s="10">
        <f>garage!E63</f>
        <v>13</v>
      </c>
      <c r="F63" s="10" t="str">
        <f>garage!F63</f>
        <v>C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garage!J63</f>
        <v>N</v>
      </c>
      <c r="K63" s="10" t="str">
        <f>garage!K63</f>
        <v>C</v>
      </c>
      <c r="L63" s="11" t="str">
        <f>garage!L63</f>
        <v>Chevrolet</v>
      </c>
      <c r="M63" s="11" t="str">
        <f>garage!M63</f>
        <v>Corvette Stingray</v>
      </c>
      <c r="O63" s="18">
        <v>35</v>
      </c>
      <c r="P63" s="15">
        <v>15</v>
      </c>
      <c r="Q63" s="15">
        <v>21</v>
      </c>
      <c r="R63" s="15">
        <v>28</v>
      </c>
      <c r="S63" s="15">
        <v>35</v>
      </c>
      <c r="T63" s="16"/>
      <c r="U63" s="50">
        <f t="shared" si="18"/>
        <v>134</v>
      </c>
      <c r="W63" s="29">
        <v>35</v>
      </c>
      <c r="X63" s="30">
        <v>15</v>
      </c>
      <c r="Y63" s="30">
        <v>21</v>
      </c>
      <c r="Z63" s="30">
        <v>28</v>
      </c>
      <c r="AA63" s="30">
        <v>1</v>
      </c>
      <c r="AB63" s="31"/>
      <c r="AC63" s="31">
        <f t="shared" si="19"/>
        <v>100</v>
      </c>
      <c r="AE63" s="35"/>
      <c r="AF63" s="36"/>
      <c r="AG63" s="36"/>
      <c r="AH63" s="36"/>
      <c r="AI63" s="36">
        <f t="shared" si="25"/>
        <v>34</v>
      </c>
      <c r="AJ63" s="37"/>
      <c r="AK63" s="37">
        <f t="shared" si="22"/>
        <v>34</v>
      </c>
    </row>
    <row r="64" spans="2:37" ht="18" customHeight="1" x14ac:dyDescent="0.2">
      <c r="B64" s="8">
        <f>garage!B64</f>
        <v>64</v>
      </c>
      <c r="C64" s="8">
        <f>garage!C64</f>
        <v>2</v>
      </c>
      <c r="D64" s="8">
        <f>garage!D64</f>
        <v>31</v>
      </c>
      <c r="E64" s="8">
        <f>garage!E64</f>
        <v>24</v>
      </c>
      <c r="F64" s="8" t="str">
        <f>garage!F64</f>
        <v>--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garage!J64</f>
        <v>O</v>
      </c>
      <c r="K64" s="8" t="str">
        <f>garage!K64</f>
        <v>C</v>
      </c>
      <c r="L64" s="9" t="str">
        <f>garage!L64</f>
        <v>Brabham</v>
      </c>
      <c r="M64" s="9" t="str">
        <f>garage!M64</f>
        <v>BT62</v>
      </c>
      <c r="O64" s="17" t="s">
        <v>432</v>
      </c>
      <c r="P64" s="13">
        <v>25</v>
      </c>
      <c r="Q64" s="13">
        <v>32</v>
      </c>
      <c r="R64" s="13">
        <v>36</v>
      </c>
      <c r="S64" s="13">
        <v>41</v>
      </c>
      <c r="T64" s="14"/>
      <c r="U64" s="49">
        <f t="shared" si="18"/>
        <v>134</v>
      </c>
      <c r="W64" s="26"/>
      <c r="X64" s="27">
        <v>25</v>
      </c>
      <c r="Y64" s="27">
        <v>20</v>
      </c>
      <c r="Z64" s="27"/>
      <c r="AA64" s="27"/>
      <c r="AB64" s="28"/>
      <c r="AC64" s="28">
        <f t="shared" si="19"/>
        <v>45</v>
      </c>
      <c r="AE64" s="32" t="s">
        <v>432</v>
      </c>
      <c r="AF64" s="33"/>
      <c r="AG64" s="33">
        <f t="shared" si="20"/>
        <v>12</v>
      </c>
      <c r="AH64" s="33">
        <f t="shared" si="21"/>
        <v>36</v>
      </c>
      <c r="AI64" s="33">
        <f t="shared" si="25"/>
        <v>41</v>
      </c>
      <c r="AJ64" s="34"/>
      <c r="AK64" s="34">
        <f t="shared" si="22"/>
        <v>89</v>
      </c>
    </row>
    <row r="65" spans="2:37" ht="18" customHeight="1" x14ac:dyDescent="0.2">
      <c r="B65" s="10">
        <f>garage!B65</f>
        <v>65</v>
      </c>
      <c r="C65" s="10">
        <f>garage!C65</f>
        <v>2</v>
      </c>
      <c r="D65" s="10">
        <f>garage!D65</f>
        <v>32</v>
      </c>
      <c r="E65" s="10">
        <f>garage!E65</f>
        <v>15</v>
      </c>
      <c r="F65" s="10" t="str">
        <f>garage!F65</f>
        <v>F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garage!J65</f>
        <v>N</v>
      </c>
      <c r="K65" s="10" t="str">
        <f>garage!K65</f>
        <v>C</v>
      </c>
      <c r="L65" s="11" t="str">
        <f>garage!L65</f>
        <v>Ferrari</v>
      </c>
      <c r="M65" s="11" t="str">
        <f>garage!M65</f>
        <v>599XX EVO</v>
      </c>
      <c r="O65" s="18" t="s">
        <v>432</v>
      </c>
      <c r="P65" s="15">
        <v>25</v>
      </c>
      <c r="Q65" s="15">
        <v>32</v>
      </c>
      <c r="R65" s="15">
        <v>36</v>
      </c>
      <c r="S65" s="15">
        <v>40</v>
      </c>
      <c r="T65" s="16"/>
      <c r="U65" s="50">
        <f t="shared" si="18"/>
        <v>133</v>
      </c>
      <c r="W65" s="29" t="s">
        <v>432</v>
      </c>
      <c r="X65" s="30">
        <v>25</v>
      </c>
      <c r="Y65" s="30">
        <v>32</v>
      </c>
      <c r="Z65" s="30">
        <v>36</v>
      </c>
      <c r="AA65" s="30">
        <v>40</v>
      </c>
      <c r="AB65" s="31"/>
      <c r="AC65" s="31">
        <f t="shared" si="19"/>
        <v>133</v>
      </c>
      <c r="AE65" s="35" t="s">
        <v>432</v>
      </c>
      <c r="AF65" s="36"/>
      <c r="AG65" s="36"/>
      <c r="AH65" s="36"/>
      <c r="AI65" s="36"/>
      <c r="AJ65" s="37"/>
      <c r="AK65" s="37"/>
    </row>
    <row r="66" spans="2:37" ht="18" customHeight="1" x14ac:dyDescent="0.2">
      <c r="B66" s="8">
        <f>garage!B66</f>
        <v>66</v>
      </c>
      <c r="C66" s="8">
        <f>garage!C66</f>
        <v>2</v>
      </c>
      <c r="D66" s="8">
        <f>garage!D66</f>
        <v>33</v>
      </c>
      <c r="E66" s="8">
        <f>garage!E66</f>
        <v>28</v>
      </c>
      <c r="F66" s="8" t="str">
        <f>garage!F66</f>
        <v>--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garage!J66</f>
        <v>N</v>
      </c>
      <c r="K66" s="8" t="str">
        <f>garage!K66</f>
        <v>C</v>
      </c>
      <c r="L66" s="9" t="str">
        <f>garage!L66</f>
        <v>Ares</v>
      </c>
      <c r="M66" s="9" t="str">
        <f>garage!M66</f>
        <v>S1</v>
      </c>
      <c r="O66" s="17" t="s">
        <v>432</v>
      </c>
      <c r="P66" s="13">
        <v>25</v>
      </c>
      <c r="Q66" s="13">
        <v>32</v>
      </c>
      <c r="R66" s="13">
        <v>36</v>
      </c>
      <c r="S66" s="13">
        <v>41</v>
      </c>
      <c r="T66" s="14"/>
      <c r="U66" s="49">
        <f t="shared" si="18"/>
        <v>134</v>
      </c>
      <c r="W66" s="26"/>
      <c r="X66" s="27">
        <v>25</v>
      </c>
      <c r="Y66" s="27">
        <v>32</v>
      </c>
      <c r="Z66" s="27">
        <v>14</v>
      </c>
      <c r="AA66" s="27"/>
      <c r="AB66" s="28"/>
      <c r="AC66" s="28">
        <f t="shared" si="19"/>
        <v>71</v>
      </c>
      <c r="AE66" s="32" t="s">
        <v>432</v>
      </c>
      <c r="AF66" s="33"/>
      <c r="AG66" s="33"/>
      <c r="AH66" s="33">
        <f t="shared" si="21"/>
        <v>22</v>
      </c>
      <c r="AI66" s="33">
        <f t="shared" si="25"/>
        <v>41</v>
      </c>
      <c r="AJ66" s="34"/>
      <c r="AK66" s="34">
        <f t="shared" si="22"/>
        <v>63</v>
      </c>
    </row>
    <row r="67" spans="2:37" ht="18" customHeight="1" x14ac:dyDescent="0.2">
      <c r="B67" s="10">
        <f>garage!B67</f>
        <v>67</v>
      </c>
      <c r="C67" s="10">
        <f>garage!C67</f>
        <v>2</v>
      </c>
      <c r="D67" s="10">
        <f>garage!D67</f>
        <v>34</v>
      </c>
      <c r="E67" s="10">
        <f>garage!E67</f>
        <v>25</v>
      </c>
      <c r="F67" s="10" t="str">
        <f>garage!F67</f>
        <v>L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garage!J67</f>
        <v>N</v>
      </c>
      <c r="K67" s="10" t="str">
        <f>garage!K67</f>
        <v>C</v>
      </c>
      <c r="L67" s="11" t="str">
        <f>garage!L67</f>
        <v>Lamborghini</v>
      </c>
      <c r="M67" s="11" t="str">
        <f>garage!M67</f>
        <v>Diablo GT</v>
      </c>
      <c r="O67" s="18">
        <v>35</v>
      </c>
      <c r="P67" s="15">
        <v>15</v>
      </c>
      <c r="Q67" s="15">
        <v>21</v>
      </c>
      <c r="R67" s="15">
        <v>28</v>
      </c>
      <c r="S67" s="15">
        <v>35</v>
      </c>
      <c r="T67" s="16"/>
      <c r="U67" s="50">
        <f t="shared" si="18"/>
        <v>134</v>
      </c>
      <c r="W67" s="29">
        <v>34</v>
      </c>
      <c r="X67" s="30"/>
      <c r="Y67" s="30"/>
      <c r="Z67" s="30"/>
      <c r="AA67" s="30"/>
      <c r="AB67" s="31"/>
      <c r="AC67" s="31">
        <f t="shared" si="19"/>
        <v>34</v>
      </c>
      <c r="AE67" s="35">
        <f t="shared" si="23"/>
        <v>1</v>
      </c>
      <c r="AF67" s="36">
        <f t="shared" si="24"/>
        <v>15</v>
      </c>
      <c r="AG67" s="36">
        <f t="shared" si="20"/>
        <v>21</v>
      </c>
      <c r="AH67" s="36">
        <f t="shared" si="21"/>
        <v>28</v>
      </c>
      <c r="AI67" s="36">
        <f t="shared" si="25"/>
        <v>35</v>
      </c>
      <c r="AJ67" s="37"/>
      <c r="AK67" s="37">
        <f t="shared" si="22"/>
        <v>100</v>
      </c>
    </row>
    <row r="68" spans="2:37" ht="18" customHeight="1" x14ac:dyDescent="0.2">
      <c r="B68" s="8">
        <f>garage!B68</f>
        <v>68</v>
      </c>
      <c r="C68" s="8">
        <f>garage!C68</f>
        <v>2</v>
      </c>
      <c r="D68" s="8">
        <f>garage!D68</f>
        <v>35</v>
      </c>
      <c r="E68" s="8">
        <f>garage!E68</f>
        <v>7</v>
      </c>
      <c r="F68" s="8" t="str">
        <f>garage!F68</f>
        <v>--</v>
      </c>
      <c r="G68" s="8" t="str">
        <f>garage!G68</f>
        <v>O</v>
      </c>
      <c r="H68" s="8" t="str">
        <f>garage!H68</f>
        <v>O</v>
      </c>
      <c r="I68" s="8" t="str">
        <f>garage!I68</f>
        <v>O</v>
      </c>
      <c r="J68" s="8" t="str">
        <f>garage!J68</f>
        <v>N</v>
      </c>
      <c r="K68" s="8" t="str">
        <f>garage!K68</f>
        <v>C</v>
      </c>
      <c r="L68" s="9" t="str">
        <f>garage!L68</f>
        <v>Arrinera</v>
      </c>
      <c r="M68" s="9" t="str">
        <f>garage!M68</f>
        <v>Hussarya 33</v>
      </c>
      <c r="O68" s="17">
        <v>35</v>
      </c>
      <c r="P68" s="13">
        <v>15</v>
      </c>
      <c r="Q68" s="13">
        <v>21</v>
      </c>
      <c r="R68" s="13">
        <v>28</v>
      </c>
      <c r="S68" s="13">
        <v>35</v>
      </c>
      <c r="T68" s="14"/>
      <c r="U68" s="49">
        <f t="shared" si="18"/>
        <v>134</v>
      </c>
      <c r="W68" s="26">
        <v>35</v>
      </c>
      <c r="X68" s="27">
        <v>15</v>
      </c>
      <c r="Y68" s="27">
        <v>21</v>
      </c>
      <c r="Z68" s="27">
        <v>28</v>
      </c>
      <c r="AA68" s="27">
        <v>35</v>
      </c>
      <c r="AB68" s="28"/>
      <c r="AC68" s="28">
        <f t="shared" si="19"/>
        <v>134</v>
      </c>
      <c r="AE68" s="32"/>
      <c r="AF68" s="33"/>
      <c r="AG68" s="33"/>
      <c r="AH68" s="33"/>
      <c r="AI68" s="33"/>
      <c r="AJ68" s="34"/>
      <c r="AK68" s="34"/>
    </row>
    <row r="69" spans="2:37" ht="18" customHeight="1" x14ac:dyDescent="0.2">
      <c r="B69" s="10">
        <f>garage!B69</f>
        <v>69</v>
      </c>
      <c r="C69" s="10">
        <f>garage!C69</f>
        <v>2</v>
      </c>
      <c r="D69" s="10">
        <f>garage!D69</f>
        <v>36</v>
      </c>
      <c r="E69" s="10">
        <f>garage!E69</f>
        <v>26</v>
      </c>
      <c r="F69" s="10" t="str">
        <f>garage!F69</f>
        <v>B</v>
      </c>
      <c r="G69" s="10" t="str">
        <f>garage!G69</f>
        <v>O</v>
      </c>
      <c r="H69" s="10" t="str">
        <f>garage!H69</f>
        <v>O</v>
      </c>
      <c r="I69" s="10" t="str">
        <f>garage!I69</f>
        <v>N</v>
      </c>
      <c r="J69" s="10" t="str">
        <f>garage!J69</f>
        <v>N</v>
      </c>
      <c r="K69" s="10" t="str">
        <f>garage!K69</f>
        <v>C</v>
      </c>
      <c r="L69" s="11" t="str">
        <f>garage!L69</f>
        <v>Bugatti</v>
      </c>
      <c r="M69" s="11" t="str">
        <f>garage!M69</f>
        <v>EB110</v>
      </c>
      <c r="O69" s="18" t="s">
        <v>432</v>
      </c>
      <c r="P69" s="15">
        <v>25</v>
      </c>
      <c r="Q69" s="15">
        <v>32</v>
      </c>
      <c r="R69" s="15">
        <v>36</v>
      </c>
      <c r="S69" s="15">
        <v>41</v>
      </c>
      <c r="T69" s="16"/>
      <c r="U69" s="50">
        <f t="shared" si="18"/>
        <v>134</v>
      </c>
      <c r="W69" s="29" t="s">
        <v>432</v>
      </c>
      <c r="X69" s="30">
        <v>25</v>
      </c>
      <c r="Y69" s="30">
        <v>32</v>
      </c>
      <c r="Z69" s="30">
        <v>36</v>
      </c>
      <c r="AA69" s="30">
        <v>41</v>
      </c>
      <c r="AB69" s="31"/>
      <c r="AC69" s="31">
        <f t="shared" si="19"/>
        <v>134</v>
      </c>
      <c r="AE69" s="35"/>
      <c r="AF69" s="36"/>
      <c r="AG69" s="36"/>
      <c r="AH69" s="36"/>
      <c r="AI69" s="36"/>
      <c r="AJ69" s="37"/>
      <c r="AK69" s="37"/>
    </row>
    <row r="70" spans="2:37" ht="18" customHeight="1" x14ac:dyDescent="0.2">
      <c r="B70" s="8">
        <f>garage!B70</f>
        <v>70</v>
      </c>
      <c r="C70" s="8">
        <f>garage!C70</f>
        <v>2</v>
      </c>
      <c r="D70" s="8">
        <f>garage!D70</f>
        <v>37</v>
      </c>
      <c r="E70" s="8">
        <f>garage!E70</f>
        <v>12</v>
      </c>
      <c r="F70" s="8" t="str">
        <f>garage!F70</f>
        <v>L</v>
      </c>
      <c r="G70" s="8" t="str">
        <f>garage!G70</f>
        <v>O</v>
      </c>
      <c r="H70" s="8" t="str">
        <f>garage!H70</f>
        <v>N</v>
      </c>
      <c r="I70" s="8" t="str">
        <f>garage!I70</f>
        <v>N</v>
      </c>
      <c r="J70" s="8" t="str">
        <f>garage!J70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Gallardo LP560-4</v>
      </c>
      <c r="O70" s="17">
        <v>35</v>
      </c>
      <c r="P70" s="13">
        <v>15</v>
      </c>
      <c r="Q70" s="13">
        <v>21</v>
      </c>
      <c r="R70" s="13">
        <v>28</v>
      </c>
      <c r="S70" s="13">
        <v>35</v>
      </c>
      <c r="T70" s="14"/>
      <c r="U70" s="49">
        <f t="shared" si="18"/>
        <v>134</v>
      </c>
      <c r="W70" s="26">
        <v>35</v>
      </c>
      <c r="X70" s="27">
        <v>15</v>
      </c>
      <c r="Y70" s="27">
        <v>21</v>
      </c>
      <c r="Z70" s="27">
        <v>28</v>
      </c>
      <c r="AA70" s="27">
        <v>3</v>
      </c>
      <c r="AB70" s="28"/>
      <c r="AC70" s="28">
        <f t="shared" si="19"/>
        <v>102</v>
      </c>
      <c r="AE70" s="32"/>
      <c r="AF70" s="33"/>
      <c r="AG70" s="33"/>
      <c r="AH70" s="33"/>
      <c r="AI70" s="33">
        <f t="shared" si="25"/>
        <v>32</v>
      </c>
      <c r="AJ70" s="34"/>
      <c r="AK70" s="34">
        <f t="shared" si="22"/>
        <v>32</v>
      </c>
    </row>
    <row r="71" spans="2:37" ht="18" customHeight="1" x14ac:dyDescent="0.2">
      <c r="B71" s="10">
        <f>garage!B71</f>
        <v>71</v>
      </c>
      <c r="C71" s="10">
        <f>garage!C71</f>
        <v>2</v>
      </c>
      <c r="D71" s="10">
        <f>garage!D71</f>
        <v>38</v>
      </c>
      <c r="E71" s="10">
        <f>garage!E71</f>
        <v>23</v>
      </c>
      <c r="F71" s="10" t="str">
        <f>garage!F71</f>
        <v>M</v>
      </c>
      <c r="G71" s="10" t="str">
        <f>garage!G71</f>
        <v>O</v>
      </c>
      <c r="H71" s="10" t="str">
        <f>garage!H71</f>
        <v>N</v>
      </c>
      <c r="I71" s="10" t="str">
        <f>garage!I71</f>
        <v>N</v>
      </c>
      <c r="J71" s="10" t="str">
        <f>garage!J71</f>
        <v>N</v>
      </c>
      <c r="K71" s="10" t="str">
        <f>garage!K71</f>
        <v>C</v>
      </c>
      <c r="L71" s="11" t="str">
        <f>garage!L71</f>
        <v>McLaren</v>
      </c>
      <c r="M71" s="11" t="str">
        <f>garage!M71</f>
        <v>GT</v>
      </c>
      <c r="O71" s="18">
        <v>35</v>
      </c>
      <c r="P71" s="15">
        <v>15</v>
      </c>
      <c r="Q71" s="15">
        <v>21</v>
      </c>
      <c r="R71" s="15">
        <v>28</v>
      </c>
      <c r="S71" s="15">
        <v>35</v>
      </c>
      <c r="T71" s="16"/>
      <c r="U71" s="50">
        <f t="shared" si="18"/>
        <v>134</v>
      </c>
      <c r="W71" s="29">
        <v>35</v>
      </c>
      <c r="X71" s="30">
        <v>15</v>
      </c>
      <c r="Y71" s="30">
        <v>21</v>
      </c>
      <c r="Z71" s="30">
        <v>28</v>
      </c>
      <c r="AA71" s="30">
        <v>13</v>
      </c>
      <c r="AB71" s="31"/>
      <c r="AC71" s="31">
        <f t="shared" si="19"/>
        <v>112</v>
      </c>
      <c r="AE71" s="35"/>
      <c r="AF71" s="36"/>
      <c r="AG71" s="36"/>
      <c r="AH71" s="36"/>
      <c r="AI71" s="36">
        <f t="shared" si="25"/>
        <v>22</v>
      </c>
      <c r="AJ71" s="37"/>
      <c r="AK71" s="37">
        <f t="shared" si="22"/>
        <v>22</v>
      </c>
    </row>
    <row r="72" spans="2:37" ht="18" customHeight="1" x14ac:dyDescent="0.2">
      <c r="B72" s="8">
        <f>garage!B72</f>
        <v>72</v>
      </c>
      <c r="C72" s="8">
        <f>garage!C72</f>
        <v>2</v>
      </c>
      <c r="D72" s="8">
        <f>garage!D72</f>
        <v>39</v>
      </c>
      <c r="E72" s="8">
        <f>garage!E72</f>
        <v>29</v>
      </c>
      <c r="F72" s="8" t="str">
        <f>garage!F72</f>
        <v>--</v>
      </c>
      <c r="G72" s="8" t="str">
        <f>garage!G72</f>
        <v>O</v>
      </c>
      <c r="H72" s="8" t="str">
        <f>garage!H72</f>
        <v>N</v>
      </c>
      <c r="I72" s="8" t="str">
        <f>garage!I72</f>
        <v>N</v>
      </c>
      <c r="J72" s="8" t="str">
        <f>garage!J72</f>
        <v>N</v>
      </c>
      <c r="K72" s="8" t="str">
        <f>garage!K72</f>
        <v>C</v>
      </c>
      <c r="L72" s="9" t="str">
        <f>garage!L72</f>
        <v>Mercedes-Benz</v>
      </c>
      <c r="M72" s="9" t="str">
        <f>garage!M72</f>
        <v>AMG GT Black Series</v>
      </c>
      <c r="O72" s="17" t="s">
        <v>432</v>
      </c>
      <c r="P72" s="13">
        <v>25</v>
      </c>
      <c r="Q72" s="13">
        <v>32</v>
      </c>
      <c r="R72" s="13">
        <v>36</v>
      </c>
      <c r="S72" s="13">
        <v>41</v>
      </c>
      <c r="T72" s="14"/>
      <c r="U72" s="49">
        <f t="shared" si="18"/>
        <v>134</v>
      </c>
      <c r="W72" s="26" t="s">
        <v>432</v>
      </c>
      <c r="X72" s="27">
        <v>25</v>
      </c>
      <c r="Y72" s="27">
        <v>2</v>
      </c>
      <c r="Z72" s="27"/>
      <c r="AA72" s="27"/>
      <c r="AB72" s="28"/>
      <c r="AC72" s="28">
        <f t="shared" si="19"/>
        <v>27</v>
      </c>
      <c r="AE72" s="32" t="s">
        <v>432</v>
      </c>
      <c r="AF72" s="33"/>
      <c r="AG72" s="33">
        <f t="shared" si="20"/>
        <v>30</v>
      </c>
      <c r="AH72" s="33">
        <f t="shared" si="21"/>
        <v>36</v>
      </c>
      <c r="AI72" s="33">
        <f t="shared" si="25"/>
        <v>41</v>
      </c>
      <c r="AJ72" s="34"/>
      <c r="AK72" s="34">
        <f t="shared" si="22"/>
        <v>107</v>
      </c>
    </row>
    <row r="73" spans="2:37" ht="18" customHeight="1" x14ac:dyDescent="0.2">
      <c r="B73" s="10">
        <f>garage!B73</f>
        <v>73</v>
      </c>
      <c r="C73" s="10">
        <f>garage!C73</f>
        <v>3</v>
      </c>
      <c r="D73" s="10">
        <f>garage!D73</f>
        <v>1</v>
      </c>
      <c r="E73" s="10">
        <f>garage!E73</f>
        <v>0</v>
      </c>
      <c r="F73" s="10" t="str">
        <f>garage!F73</f>
        <v>P</v>
      </c>
      <c r="G73" s="10" t="str">
        <f>garage!G73</f>
        <v>O</v>
      </c>
      <c r="H73" s="10" t="str">
        <f>garage!H73</f>
        <v>O</v>
      </c>
      <c r="I73" s="10" t="str">
        <f>garage!I73</f>
        <v>O</v>
      </c>
      <c r="J73" s="10" t="str">
        <f>garage!J73</f>
        <v>N</v>
      </c>
      <c r="K73" s="10" t="str">
        <f>garage!K73</f>
        <v>B</v>
      </c>
      <c r="L73" s="11" t="str">
        <f>garage!L73</f>
        <v>Porsche</v>
      </c>
      <c r="M73" s="11" t="str">
        <f>garage!M73</f>
        <v>911 GTS Coupé</v>
      </c>
      <c r="O73" s="18">
        <v>30</v>
      </c>
      <c r="P73" s="15">
        <v>30</v>
      </c>
      <c r="Q73" s="15">
        <v>70</v>
      </c>
      <c r="R73" s="15"/>
      <c r="S73" s="15"/>
      <c r="T73" s="16"/>
      <c r="U73" s="50">
        <f t="shared" si="18"/>
        <v>130</v>
      </c>
      <c r="W73" s="29">
        <v>30</v>
      </c>
      <c r="X73" s="30">
        <v>30</v>
      </c>
      <c r="Y73" s="30">
        <v>70</v>
      </c>
      <c r="Z73" s="30"/>
      <c r="AA73" s="30"/>
      <c r="AB73" s="31"/>
      <c r="AC73" s="31">
        <f t="shared" si="19"/>
        <v>130</v>
      </c>
      <c r="AE73" s="35"/>
      <c r="AF73" s="36"/>
      <c r="AG73" s="36"/>
      <c r="AH73" s="36"/>
      <c r="AI73" s="36"/>
      <c r="AJ73" s="37"/>
      <c r="AK73" s="37"/>
    </row>
    <row r="74" spans="2:37" ht="18" customHeight="1" x14ac:dyDescent="0.2">
      <c r="B74" s="8">
        <f>garage!B74</f>
        <v>74</v>
      </c>
      <c r="C74" s="8">
        <f>garage!C74</f>
        <v>3</v>
      </c>
      <c r="D74" s="8">
        <f>garage!D74</f>
        <v>2</v>
      </c>
      <c r="E74" s="8">
        <f>garage!E74</f>
        <v>0</v>
      </c>
      <c r="F74" s="8" t="str">
        <f>garage!F74</f>
        <v>AM</v>
      </c>
      <c r="G74" s="8" t="str">
        <f>garage!G74</f>
        <v>O</v>
      </c>
      <c r="H74" s="8" t="str">
        <f>garage!H74</f>
        <v>O</v>
      </c>
      <c r="I74" s="8" t="str">
        <f>garage!I74</f>
        <v>O</v>
      </c>
      <c r="J74" s="8" t="str">
        <f>garage!J74</f>
        <v>N</v>
      </c>
      <c r="K74" s="8" t="str">
        <f>garage!K74</f>
        <v>B</v>
      </c>
      <c r="L74" s="9" t="str">
        <f>garage!L74</f>
        <v>Aston Martin</v>
      </c>
      <c r="M74" s="9" t="str">
        <f>garage!M74</f>
        <v>DB11</v>
      </c>
      <c r="O74" s="17">
        <v>30</v>
      </c>
      <c r="P74" s="13">
        <v>30</v>
      </c>
      <c r="Q74" s="13">
        <v>70</v>
      </c>
      <c r="R74" s="13"/>
      <c r="S74" s="13"/>
      <c r="T74" s="14"/>
      <c r="U74" s="49">
        <f t="shared" si="18"/>
        <v>130</v>
      </c>
      <c r="W74" s="26">
        <v>30</v>
      </c>
      <c r="X74" s="27">
        <v>30</v>
      </c>
      <c r="Y74" s="27">
        <v>70</v>
      </c>
      <c r="Z74" s="27"/>
      <c r="AA74" s="27"/>
      <c r="AB74" s="28"/>
      <c r="AC74" s="28">
        <f t="shared" si="19"/>
        <v>130</v>
      </c>
      <c r="AE74" s="32"/>
      <c r="AF74" s="33"/>
      <c r="AG74" s="33"/>
      <c r="AH74" s="33"/>
      <c r="AI74" s="33"/>
      <c r="AJ74" s="34"/>
      <c r="AK74" s="34"/>
    </row>
    <row r="75" spans="2:37" ht="18" customHeight="1" x14ac:dyDescent="0.2">
      <c r="B75" s="10">
        <f>garage!B75</f>
        <v>75</v>
      </c>
      <c r="C75" s="10">
        <f>garage!C75</f>
        <v>3</v>
      </c>
      <c r="D75" s="10">
        <f>garage!D75</f>
        <v>3</v>
      </c>
      <c r="E75" s="10">
        <f>garage!E75</f>
        <v>0</v>
      </c>
      <c r="F75" s="10" t="str">
        <f>garage!F75</f>
        <v>--</v>
      </c>
      <c r="G75" s="10" t="str">
        <f>garage!G75</f>
        <v>O</v>
      </c>
      <c r="H75" s="10" t="str">
        <f>garage!H75</f>
        <v>O</v>
      </c>
      <c r="I75" s="10" t="str">
        <f>garage!I75</f>
        <v>O</v>
      </c>
      <c r="J75" s="10" t="str">
        <f>garage!J75</f>
        <v>N</v>
      </c>
      <c r="K75" s="10" t="str">
        <f>garage!K75</f>
        <v>B</v>
      </c>
      <c r="L75" s="11" t="str">
        <f>garage!L75</f>
        <v>Jaguar</v>
      </c>
      <c r="M75" s="11" t="str">
        <f>garage!M75</f>
        <v>F-Type SVR</v>
      </c>
      <c r="O75" s="18">
        <v>30</v>
      </c>
      <c r="P75" s="15">
        <v>12</v>
      </c>
      <c r="Q75" s="15">
        <v>22</v>
      </c>
      <c r="R75" s="15">
        <v>36</v>
      </c>
      <c r="S75" s="15"/>
      <c r="T75" s="16"/>
      <c r="U75" s="50">
        <f t="shared" si="18"/>
        <v>100</v>
      </c>
      <c r="W75" s="29">
        <v>30</v>
      </c>
      <c r="X75" s="30">
        <v>12</v>
      </c>
      <c r="Y75" s="30">
        <v>22</v>
      </c>
      <c r="Z75" s="30">
        <v>36</v>
      </c>
      <c r="AA75" s="30"/>
      <c r="AB75" s="31"/>
      <c r="AC75" s="31">
        <f t="shared" si="19"/>
        <v>100</v>
      </c>
      <c r="AE75" s="35"/>
      <c r="AF75" s="36"/>
      <c r="AG75" s="36"/>
      <c r="AH75" s="36"/>
      <c r="AI75" s="36"/>
      <c r="AJ75" s="37"/>
      <c r="AK75" s="37"/>
    </row>
    <row r="76" spans="2:37" ht="18" customHeight="1" x14ac:dyDescent="0.2">
      <c r="B76" s="8">
        <f>garage!B76</f>
        <v>76</v>
      </c>
      <c r="C76" s="8">
        <f>garage!C76</f>
        <v>3</v>
      </c>
      <c r="D76" s="8">
        <f>garage!D76</f>
        <v>4</v>
      </c>
      <c r="E76" s="8">
        <f>garage!E76</f>
        <v>29</v>
      </c>
      <c r="F76" s="8" t="str">
        <f>garage!F76</f>
        <v>F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garage!J76</f>
        <v>N</v>
      </c>
      <c r="K76" s="8" t="str">
        <f>garage!K76</f>
        <v>B</v>
      </c>
      <c r="L76" s="9" t="str">
        <f>garage!L76</f>
        <v>Ferrari</v>
      </c>
      <c r="M76" s="9" t="str">
        <f>garage!M76</f>
        <v>F50</v>
      </c>
      <c r="O76" s="17">
        <v>55</v>
      </c>
      <c r="P76" s="13">
        <v>35</v>
      </c>
      <c r="Q76" s="13">
        <v>44</v>
      </c>
      <c r="R76" s="13">
        <v>54</v>
      </c>
      <c r="S76" s="13"/>
      <c r="T76" s="14"/>
      <c r="U76" s="49">
        <f t="shared" si="18"/>
        <v>188</v>
      </c>
      <c r="W76" s="26">
        <v>55</v>
      </c>
      <c r="X76" s="27">
        <v>35</v>
      </c>
      <c r="Y76" s="27">
        <v>1</v>
      </c>
      <c r="Z76" s="27"/>
      <c r="AA76" s="27"/>
      <c r="AB76" s="28"/>
      <c r="AC76" s="28">
        <f t="shared" si="19"/>
        <v>91</v>
      </c>
      <c r="AE76" s="32"/>
      <c r="AF76" s="33"/>
      <c r="AG76" s="33">
        <f t="shared" si="20"/>
        <v>43</v>
      </c>
      <c r="AH76" s="33">
        <f t="shared" si="21"/>
        <v>54</v>
      </c>
      <c r="AI76" s="33"/>
      <c r="AJ76" s="34"/>
      <c r="AK76" s="34">
        <f t="shared" si="22"/>
        <v>97</v>
      </c>
    </row>
    <row r="77" spans="2:37" ht="18" customHeight="1" x14ac:dyDescent="0.2">
      <c r="B77" s="10">
        <f>garage!B77</f>
        <v>77</v>
      </c>
      <c r="C77" s="10">
        <f>garage!C77</f>
        <v>3</v>
      </c>
      <c r="D77" s="10">
        <f>garage!D77</f>
        <v>5</v>
      </c>
      <c r="E77" s="10">
        <f>garage!E77</f>
        <v>0</v>
      </c>
      <c r="F77" s="10" t="str">
        <f>garage!F77</f>
        <v>--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garage!J77</f>
        <v>N</v>
      </c>
      <c r="K77" s="10" t="str">
        <f>garage!K77</f>
        <v>B</v>
      </c>
      <c r="L77" s="11" t="str">
        <f>garage!L77</f>
        <v>Exotic Rides</v>
      </c>
      <c r="M77" s="11" t="str">
        <f>garage!M77</f>
        <v>W70</v>
      </c>
      <c r="O77" s="18">
        <v>40</v>
      </c>
      <c r="P77" s="15">
        <v>30</v>
      </c>
      <c r="Q77" s="15">
        <v>70</v>
      </c>
      <c r="R77" s="15"/>
      <c r="S77" s="15"/>
      <c r="T77" s="16"/>
      <c r="U77" s="50">
        <f t="shared" si="18"/>
        <v>140</v>
      </c>
      <c r="W77" s="29">
        <v>40</v>
      </c>
      <c r="X77" s="30">
        <v>30</v>
      </c>
      <c r="Y77" s="30">
        <v>70</v>
      </c>
      <c r="Z77" s="30"/>
      <c r="AA77" s="30"/>
      <c r="AB77" s="31"/>
      <c r="AC77" s="31">
        <f t="shared" si="19"/>
        <v>140</v>
      </c>
      <c r="AE77" s="35"/>
      <c r="AF77" s="36"/>
      <c r="AG77" s="36"/>
      <c r="AH77" s="36"/>
      <c r="AI77" s="36"/>
      <c r="AJ77" s="37"/>
      <c r="AK77" s="37"/>
    </row>
    <row r="78" spans="2:37" ht="18" customHeight="1" x14ac:dyDescent="0.2">
      <c r="B78" s="8">
        <f>garage!B78</f>
        <v>78</v>
      </c>
      <c r="C78" s="8">
        <f>garage!C78</f>
        <v>3</v>
      </c>
      <c r="D78" s="8">
        <f>garage!D78</f>
        <v>6</v>
      </c>
      <c r="E78" s="8">
        <f>garage!E78</f>
        <v>11</v>
      </c>
      <c r="F78" s="8" t="str">
        <f>garage!F78</f>
        <v>P</v>
      </c>
      <c r="G78" s="8" t="str">
        <f>garage!G78</f>
        <v>O</v>
      </c>
      <c r="H78" s="8" t="str">
        <f>garage!H78</f>
        <v>O</v>
      </c>
      <c r="I78" s="8" t="str">
        <f>garage!I78</f>
        <v>N</v>
      </c>
      <c r="J78" s="8" t="str">
        <f>garage!J78</f>
        <v>N</v>
      </c>
      <c r="K78" s="8" t="str">
        <f>garage!K78</f>
        <v>B</v>
      </c>
      <c r="L78" s="9" t="str">
        <f>garage!L78</f>
        <v>Porsche</v>
      </c>
      <c r="M78" s="9" t="str">
        <f>garage!M78</f>
        <v>911 GT1 Evolution</v>
      </c>
      <c r="O78" s="17">
        <v>55</v>
      </c>
      <c r="P78" s="13">
        <v>35</v>
      </c>
      <c r="Q78" s="13">
        <v>44</v>
      </c>
      <c r="R78" s="13">
        <v>54</v>
      </c>
      <c r="S78" s="13"/>
      <c r="T78" s="14"/>
      <c r="U78" s="49">
        <f t="shared" si="18"/>
        <v>188</v>
      </c>
      <c r="W78" s="26">
        <v>55</v>
      </c>
      <c r="X78" s="27">
        <v>35</v>
      </c>
      <c r="Y78" s="27">
        <v>44</v>
      </c>
      <c r="Z78" s="27">
        <v>54</v>
      </c>
      <c r="AA78" s="27"/>
      <c r="AB78" s="28"/>
      <c r="AC78" s="28">
        <f t="shared" si="19"/>
        <v>188</v>
      </c>
      <c r="AE78" s="32"/>
      <c r="AF78" s="33"/>
      <c r="AG78" s="33"/>
      <c r="AH78" s="33"/>
      <c r="AI78" s="33"/>
      <c r="AJ78" s="34"/>
      <c r="AK78" s="34"/>
    </row>
    <row r="79" spans="2:37" ht="18" customHeight="1" x14ac:dyDescent="0.2">
      <c r="B79" s="10">
        <f>garage!B79</f>
        <v>79</v>
      </c>
      <c r="C79" s="10">
        <f>garage!C79</f>
        <v>3</v>
      </c>
      <c r="D79" s="10">
        <f>garage!D79</f>
        <v>7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garage!J79</f>
        <v>N</v>
      </c>
      <c r="K79" s="10" t="str">
        <f>garage!K79</f>
        <v>B</v>
      </c>
      <c r="L79" s="11" t="str">
        <f>garage!L79</f>
        <v>Ford</v>
      </c>
      <c r="M79" s="11" t="str">
        <f>garage!M79</f>
        <v>GT</v>
      </c>
      <c r="O79" s="18">
        <v>35</v>
      </c>
      <c r="P79" s="15">
        <v>12</v>
      </c>
      <c r="Q79" s="15">
        <v>24</v>
      </c>
      <c r="R79" s="15">
        <v>36</v>
      </c>
      <c r="S79" s="15"/>
      <c r="T79" s="16"/>
      <c r="U79" s="50">
        <f t="shared" si="18"/>
        <v>107</v>
      </c>
      <c r="W79" s="29">
        <v>35</v>
      </c>
      <c r="X79" s="30">
        <v>12</v>
      </c>
      <c r="Y79" s="30">
        <v>24</v>
      </c>
      <c r="Z79" s="30">
        <v>36</v>
      </c>
      <c r="AA79" s="30"/>
      <c r="AB79" s="31"/>
      <c r="AC79" s="31">
        <f t="shared" si="19"/>
        <v>107</v>
      </c>
      <c r="AE79" s="35"/>
      <c r="AF79" s="36"/>
      <c r="AG79" s="36"/>
      <c r="AH79" s="36"/>
      <c r="AI79" s="36"/>
      <c r="AJ79" s="37"/>
      <c r="AK79" s="37"/>
    </row>
    <row r="80" spans="2:37" ht="18" customHeight="1" x14ac:dyDescent="0.2">
      <c r="B80" s="8">
        <f>garage!B80</f>
        <v>80</v>
      </c>
      <c r="C80" s="8">
        <f>garage!C80</f>
        <v>3</v>
      </c>
      <c r="D80" s="8">
        <f>garage!D80</f>
        <v>8</v>
      </c>
      <c r="E80" s="8">
        <f>garage!E80</f>
        <v>0</v>
      </c>
      <c r="F80" s="8" t="str">
        <f>garage!F80</f>
        <v>L</v>
      </c>
      <c r="G80" s="8" t="str">
        <f>garage!G80</f>
        <v>O</v>
      </c>
      <c r="H80" s="8" t="str">
        <f>garage!H80</f>
        <v>O</v>
      </c>
      <c r="I80" s="8" t="str">
        <f>garage!I80</f>
        <v>N</v>
      </c>
      <c r="J80" s="8" t="str">
        <f>garage!J80</f>
        <v>N</v>
      </c>
      <c r="K80" s="8" t="str">
        <f>garage!K80</f>
        <v>B</v>
      </c>
      <c r="L80" s="9" t="str">
        <f>garage!L80</f>
        <v>Lamborghini</v>
      </c>
      <c r="M80" s="9" t="str">
        <f>garage!M80</f>
        <v>Asterion</v>
      </c>
      <c r="O80" s="17">
        <v>40</v>
      </c>
      <c r="P80" s="13">
        <v>12</v>
      </c>
      <c r="Q80" s="13">
        <v>24</v>
      </c>
      <c r="R80" s="13">
        <v>36</v>
      </c>
      <c r="S80" s="13"/>
      <c r="T80" s="14"/>
      <c r="U80" s="49">
        <f t="shared" si="18"/>
        <v>112</v>
      </c>
      <c r="W80" s="26">
        <v>40</v>
      </c>
      <c r="X80" s="27">
        <v>12</v>
      </c>
      <c r="Y80" s="27">
        <v>24</v>
      </c>
      <c r="Z80" s="27">
        <v>36</v>
      </c>
      <c r="AA80" s="27"/>
      <c r="AB80" s="28"/>
      <c r="AC80" s="28">
        <f t="shared" si="19"/>
        <v>112</v>
      </c>
      <c r="AE80" s="32"/>
      <c r="AF80" s="33"/>
      <c r="AG80" s="33"/>
      <c r="AH80" s="33"/>
      <c r="AI80" s="33"/>
      <c r="AJ80" s="34"/>
      <c r="AK80" s="34"/>
    </row>
    <row r="81" spans="2:37" ht="18" customHeight="1" x14ac:dyDescent="0.2">
      <c r="B81" s="10">
        <f>garage!B81</f>
        <v>81</v>
      </c>
      <c r="C81" s="10">
        <f>garage!C81</f>
        <v>3</v>
      </c>
      <c r="D81" s="10">
        <f>garage!D81</f>
        <v>9</v>
      </c>
      <c r="E81" s="10">
        <f>garage!E81</f>
        <v>18</v>
      </c>
      <c r="F81" s="10" t="str">
        <f>garage!F81</f>
        <v>F</v>
      </c>
      <c r="G81" s="10" t="str">
        <f>garage!G81</f>
        <v>O</v>
      </c>
      <c r="H81" s="10" t="str">
        <f>garage!H81</f>
        <v>O</v>
      </c>
      <c r="I81" s="10" t="str">
        <f>garage!I81</f>
        <v>N</v>
      </c>
      <c r="J81" s="10" t="str">
        <f>garage!J81</f>
        <v>N</v>
      </c>
      <c r="K81" s="10" t="str">
        <f>garage!K81</f>
        <v>B</v>
      </c>
      <c r="L81" s="11" t="str">
        <f>garage!L81</f>
        <v>Ferrari</v>
      </c>
      <c r="M81" s="11" t="str">
        <f>garage!M81</f>
        <v>Roma</v>
      </c>
      <c r="O81" s="18">
        <v>55</v>
      </c>
      <c r="P81" s="15">
        <v>35</v>
      </c>
      <c r="Q81" s="15">
        <v>44</v>
      </c>
      <c r="R81" s="15">
        <v>54</v>
      </c>
      <c r="S81" s="15"/>
      <c r="T81" s="16"/>
      <c r="U81" s="50">
        <f t="shared" si="18"/>
        <v>188</v>
      </c>
      <c r="W81" s="29">
        <v>55</v>
      </c>
      <c r="X81" s="30">
        <v>35</v>
      </c>
      <c r="Y81" s="30">
        <v>44</v>
      </c>
      <c r="Z81" s="30">
        <v>54</v>
      </c>
      <c r="AA81" s="30"/>
      <c r="AB81" s="31"/>
      <c r="AC81" s="31">
        <f t="shared" si="19"/>
        <v>188</v>
      </c>
      <c r="AE81" s="35"/>
      <c r="AF81" s="36"/>
      <c r="AG81" s="36"/>
      <c r="AH81" s="36"/>
      <c r="AI81" s="36"/>
      <c r="AJ81" s="37"/>
      <c r="AK81" s="37"/>
    </row>
    <row r="82" spans="2:37" ht="18" customHeight="1" x14ac:dyDescent="0.2">
      <c r="B82" s="8">
        <f>garage!B82</f>
        <v>82</v>
      </c>
      <c r="C82" s="8">
        <f>garage!C82</f>
        <v>3</v>
      </c>
      <c r="D82" s="8">
        <f>garage!D82</f>
        <v>10</v>
      </c>
      <c r="E82" s="8">
        <f>garage!E82</f>
        <v>22</v>
      </c>
      <c r="F82" s="8" t="str">
        <f>garage!F82</f>
        <v>--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garage!J82</f>
        <v>N</v>
      </c>
      <c r="K82" s="8" t="str">
        <f>garage!K82</f>
        <v>B</v>
      </c>
      <c r="L82" s="9" t="str">
        <f>garage!L82</f>
        <v>Arash</v>
      </c>
      <c r="M82" s="9" t="str">
        <f>garage!M82</f>
        <v>AF10</v>
      </c>
      <c r="O82" s="17">
        <v>55</v>
      </c>
      <c r="P82" s="13">
        <v>35</v>
      </c>
      <c r="Q82" s="13">
        <v>44</v>
      </c>
      <c r="R82" s="13">
        <v>54</v>
      </c>
      <c r="S82" s="13"/>
      <c r="T82" s="14"/>
      <c r="U82" s="49">
        <f t="shared" si="18"/>
        <v>188</v>
      </c>
      <c r="W82" s="26">
        <v>55</v>
      </c>
      <c r="X82" s="27">
        <v>35</v>
      </c>
      <c r="Y82" s="27">
        <v>44</v>
      </c>
      <c r="Z82" s="27">
        <v>54</v>
      </c>
      <c r="AA82" s="27"/>
      <c r="AB82" s="28"/>
      <c r="AC82" s="28">
        <f t="shared" si="19"/>
        <v>188</v>
      </c>
      <c r="AE82" s="32"/>
      <c r="AF82" s="33"/>
      <c r="AG82" s="33"/>
      <c r="AH82" s="33"/>
      <c r="AI82" s="33"/>
      <c r="AJ82" s="34"/>
      <c r="AK82" s="34"/>
    </row>
    <row r="83" spans="2:37" ht="18" customHeight="1" x14ac:dyDescent="0.2">
      <c r="B83" s="10">
        <f>garage!B83</f>
        <v>83</v>
      </c>
      <c r="C83" s="10">
        <f>garage!C83</f>
        <v>3</v>
      </c>
      <c r="D83" s="10">
        <f>garage!D83</f>
        <v>11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garage!J83</f>
        <v>N</v>
      </c>
      <c r="K83" s="10" t="str">
        <f>garage!K83</f>
        <v>B</v>
      </c>
      <c r="L83" s="11" t="str">
        <f>garage!L83</f>
        <v>Cadillac</v>
      </c>
      <c r="M83" s="11" t="str">
        <f>garage!M83</f>
        <v>Cien Concept</v>
      </c>
      <c r="O83" s="18">
        <v>40</v>
      </c>
      <c r="P83" s="15">
        <v>12</v>
      </c>
      <c r="Q83" s="15">
        <v>22</v>
      </c>
      <c r="R83" s="15">
        <v>36</v>
      </c>
      <c r="S83" s="15"/>
      <c r="T83" s="16"/>
      <c r="U83" s="50">
        <f t="shared" si="18"/>
        <v>110</v>
      </c>
      <c r="W83" s="29">
        <v>40</v>
      </c>
      <c r="X83" s="30">
        <v>12</v>
      </c>
      <c r="Y83" s="30">
        <v>22</v>
      </c>
      <c r="Z83" s="30">
        <v>36</v>
      </c>
      <c r="AA83" s="30"/>
      <c r="AB83" s="31"/>
      <c r="AC83" s="31">
        <f t="shared" si="19"/>
        <v>110</v>
      </c>
      <c r="AE83" s="35"/>
      <c r="AF83" s="36"/>
      <c r="AG83" s="36"/>
      <c r="AH83" s="36"/>
      <c r="AI83" s="36"/>
      <c r="AJ83" s="37"/>
      <c r="AK83" s="37"/>
    </row>
    <row r="84" spans="2:37" ht="18" customHeight="1" x14ac:dyDescent="0.2">
      <c r="B84" s="8">
        <f>garage!B84</f>
        <v>84</v>
      </c>
      <c r="C84" s="8">
        <f>garage!C84</f>
        <v>3</v>
      </c>
      <c r="D84" s="8">
        <f>garage!D84</f>
        <v>12</v>
      </c>
      <c r="E84" s="8">
        <f>garage!E84</f>
        <v>13</v>
      </c>
      <c r="F84" s="8" t="str">
        <f>garage!F84</f>
        <v>--</v>
      </c>
      <c r="G84" s="8" t="str">
        <f>garage!G84</f>
        <v>O</v>
      </c>
      <c r="H84" s="8" t="str">
        <f>garage!H84</f>
        <v>N</v>
      </c>
      <c r="I84" s="8" t="str">
        <f>garage!I84</f>
        <v>N</v>
      </c>
      <c r="J84" s="8" t="str">
        <f>garage!J84</f>
        <v>N</v>
      </c>
      <c r="K84" s="8" t="str">
        <f>garage!K84</f>
        <v>B</v>
      </c>
      <c r="L84" s="9" t="str">
        <f>garage!L84</f>
        <v>Ford</v>
      </c>
      <c r="M84" s="9" t="str">
        <f>garage!M84</f>
        <v>GT MK II</v>
      </c>
      <c r="O84" s="17" t="s">
        <v>432</v>
      </c>
      <c r="P84" s="13">
        <v>35</v>
      </c>
      <c r="Q84" s="13">
        <v>55</v>
      </c>
      <c r="R84" s="13">
        <v>85</v>
      </c>
      <c r="S84" s="13"/>
      <c r="T84" s="14"/>
      <c r="U84" s="49">
        <f t="shared" si="18"/>
        <v>175</v>
      </c>
      <c r="W84" s="26" t="s">
        <v>432</v>
      </c>
      <c r="X84" s="27">
        <v>35</v>
      </c>
      <c r="Y84" s="27">
        <v>55</v>
      </c>
      <c r="Z84" s="27">
        <v>32</v>
      </c>
      <c r="AA84" s="27"/>
      <c r="AB84" s="28"/>
      <c r="AC84" s="28">
        <f t="shared" si="19"/>
        <v>122</v>
      </c>
      <c r="AE84" s="32" t="s">
        <v>432</v>
      </c>
      <c r="AF84" s="33"/>
      <c r="AG84" s="33"/>
      <c r="AH84" s="33">
        <f t="shared" si="21"/>
        <v>53</v>
      </c>
      <c r="AI84" s="33"/>
      <c r="AJ84" s="34"/>
      <c r="AK84" s="34">
        <f t="shared" si="22"/>
        <v>53</v>
      </c>
    </row>
    <row r="85" spans="2:37" ht="18" customHeight="1" x14ac:dyDescent="0.2">
      <c r="B85" s="10">
        <f>garage!B85</f>
        <v>85</v>
      </c>
      <c r="C85" s="10">
        <f>garage!C85</f>
        <v>3</v>
      </c>
      <c r="D85" s="10">
        <f>garage!D85</f>
        <v>13</v>
      </c>
      <c r="E85" s="10">
        <f>garage!E85</f>
        <v>0</v>
      </c>
      <c r="F85" s="10" t="str">
        <f>garage!F85</f>
        <v>--</v>
      </c>
      <c r="G85" s="10" t="str">
        <f>garage!G85</f>
        <v>O</v>
      </c>
      <c r="H85" s="10" t="str">
        <f>garage!H85</f>
        <v>O</v>
      </c>
      <c r="I85" s="10" t="str">
        <f>garage!I85</f>
        <v>O</v>
      </c>
      <c r="J85" s="10" t="str">
        <f>garage!J85</f>
        <v>N</v>
      </c>
      <c r="K85" s="10" t="str">
        <f>garage!K85</f>
        <v>B</v>
      </c>
      <c r="L85" s="11" t="str">
        <f>garage!L85</f>
        <v>Italdesign</v>
      </c>
      <c r="M85" s="11" t="str">
        <f>garage!M85</f>
        <v>Zerouno</v>
      </c>
      <c r="O85" s="18">
        <v>40</v>
      </c>
      <c r="P85" s="15">
        <v>35</v>
      </c>
      <c r="Q85" s="15">
        <v>44</v>
      </c>
      <c r="R85" s="15">
        <v>54</v>
      </c>
      <c r="S85" s="15"/>
      <c r="T85" s="16"/>
      <c r="U85" s="50">
        <f t="shared" si="18"/>
        <v>173</v>
      </c>
      <c r="W85" s="29">
        <v>40</v>
      </c>
      <c r="X85" s="30">
        <v>35</v>
      </c>
      <c r="Y85" s="30">
        <v>44</v>
      </c>
      <c r="Z85" s="30">
        <v>54</v>
      </c>
      <c r="AA85" s="30"/>
      <c r="AB85" s="31"/>
      <c r="AC85" s="31">
        <f t="shared" si="19"/>
        <v>173</v>
      </c>
      <c r="AE85" s="35"/>
      <c r="AF85" s="36"/>
      <c r="AG85" s="36"/>
      <c r="AH85" s="36"/>
      <c r="AI85" s="36"/>
      <c r="AJ85" s="37"/>
      <c r="AK85" s="37"/>
    </row>
    <row r="86" spans="2:37" ht="18" customHeight="1" x14ac:dyDescent="0.2">
      <c r="B86" s="8">
        <f>garage!B86</f>
        <v>86</v>
      </c>
      <c r="C86" s="8">
        <f>garage!C86</f>
        <v>3</v>
      </c>
      <c r="D86" s="8">
        <f>garage!D86</f>
        <v>14</v>
      </c>
      <c r="E86" s="8">
        <f>garage!E86</f>
        <v>24</v>
      </c>
      <c r="F86" s="8" t="str">
        <f>garage!F86</f>
        <v>--</v>
      </c>
      <c r="G86" s="8" t="str">
        <f>garage!G86</f>
        <v>N</v>
      </c>
      <c r="H86" s="8" t="str">
        <f>garage!H86</f>
        <v>N</v>
      </c>
      <c r="I86" s="8" t="str">
        <f>garage!I86</f>
        <v>N</v>
      </c>
      <c r="J86" s="8" t="str">
        <f>garage!J86</f>
        <v>O</v>
      </c>
      <c r="K86" s="8" t="str">
        <f>garage!K86</f>
        <v>B</v>
      </c>
      <c r="L86" s="9" t="str">
        <f>garage!L86</f>
        <v>Arash</v>
      </c>
      <c r="M86" s="9" t="str">
        <f>garage!M86</f>
        <v>AF8 Falcon Edition</v>
      </c>
      <c r="O86" s="17" t="s">
        <v>432</v>
      </c>
      <c r="P86" s="13">
        <v>35</v>
      </c>
      <c r="Q86" s="13">
        <v>55</v>
      </c>
      <c r="R86" s="13">
        <v>85</v>
      </c>
      <c r="S86" s="13"/>
      <c r="T86" s="14"/>
      <c r="U86" s="49">
        <f t="shared" si="18"/>
        <v>175</v>
      </c>
      <c r="W86" s="26"/>
      <c r="X86" s="27">
        <v>35</v>
      </c>
      <c r="Y86" s="27">
        <v>55</v>
      </c>
      <c r="Z86" s="27"/>
      <c r="AA86" s="27"/>
      <c r="AB86" s="28"/>
      <c r="AC86" s="28">
        <f t="shared" si="19"/>
        <v>90</v>
      </c>
      <c r="AE86" s="32" t="s">
        <v>432</v>
      </c>
      <c r="AF86" s="33"/>
      <c r="AG86" s="33"/>
      <c r="AH86" s="33">
        <f t="shared" si="21"/>
        <v>85</v>
      </c>
      <c r="AI86" s="33"/>
      <c r="AJ86" s="34"/>
      <c r="AK86" s="34">
        <f t="shared" si="22"/>
        <v>85</v>
      </c>
    </row>
    <row r="87" spans="2:37" ht="18" customHeight="1" x14ac:dyDescent="0.2">
      <c r="B87" s="10">
        <f>garage!B87</f>
        <v>87</v>
      </c>
      <c r="C87" s="10">
        <f>garage!C87</f>
        <v>3</v>
      </c>
      <c r="D87" s="10">
        <f>garage!D87</f>
        <v>15</v>
      </c>
      <c r="E87" s="10">
        <f>garage!E87</f>
        <v>0</v>
      </c>
      <c r="F87" s="10" t="str">
        <f>garage!F87</f>
        <v>F</v>
      </c>
      <c r="G87" s="10" t="str">
        <f>garage!G87</f>
        <v>O</v>
      </c>
      <c r="H87" s="10" t="str">
        <f>garage!H87</f>
        <v>O</v>
      </c>
      <c r="I87" s="10" t="str">
        <f>garage!I87</f>
        <v>O</v>
      </c>
      <c r="J87" s="10" t="str">
        <f>garage!J87</f>
        <v>N</v>
      </c>
      <c r="K87" s="10" t="str">
        <f>garage!K87</f>
        <v>B</v>
      </c>
      <c r="L87" s="11" t="str">
        <f>garage!L87</f>
        <v>Ferrari</v>
      </c>
      <c r="M87" s="11" t="str">
        <f>garage!M87</f>
        <v>488 GTB</v>
      </c>
      <c r="O87" s="18">
        <v>40</v>
      </c>
      <c r="P87" s="15">
        <v>12</v>
      </c>
      <c r="Q87" s="15">
        <v>22</v>
      </c>
      <c r="R87" s="15">
        <v>36</v>
      </c>
      <c r="S87" s="15"/>
      <c r="T87" s="16"/>
      <c r="U87" s="50">
        <f t="shared" si="18"/>
        <v>110</v>
      </c>
      <c r="W87" s="29">
        <v>40</v>
      </c>
      <c r="X87" s="30">
        <v>12</v>
      </c>
      <c r="Y87" s="30">
        <v>22</v>
      </c>
      <c r="Z87" s="30">
        <v>36</v>
      </c>
      <c r="AA87" s="30"/>
      <c r="AB87" s="31"/>
      <c r="AC87" s="31">
        <f t="shared" si="19"/>
        <v>110</v>
      </c>
      <c r="AE87" s="35"/>
      <c r="AF87" s="36"/>
      <c r="AG87" s="36"/>
      <c r="AH87" s="36"/>
      <c r="AI87" s="36"/>
      <c r="AJ87" s="37"/>
      <c r="AK87" s="37"/>
    </row>
    <row r="88" spans="2:37" ht="18" customHeight="1" x14ac:dyDescent="0.2">
      <c r="B88" s="8">
        <f>garage!B88</f>
        <v>88</v>
      </c>
      <c r="C88" s="8">
        <f>garage!C88</f>
        <v>3</v>
      </c>
      <c r="D88" s="8">
        <f>garage!D88</f>
        <v>16</v>
      </c>
      <c r="E88" s="8">
        <f>garage!E88</f>
        <v>30</v>
      </c>
      <c r="F88" s="8" t="str">
        <f>garage!F88</f>
        <v>--</v>
      </c>
      <c r="G88" s="8" t="str">
        <f>garage!G88</f>
        <v>N</v>
      </c>
      <c r="H88" s="8" t="str">
        <f>garage!H88</f>
        <v>O</v>
      </c>
      <c r="I88" s="8" t="str">
        <f>garage!I88</f>
        <v>N</v>
      </c>
      <c r="J88" s="8" t="str">
        <f>garage!J88</f>
        <v>N</v>
      </c>
      <c r="K88" s="8" t="str">
        <f>garage!K88</f>
        <v>B</v>
      </c>
      <c r="L88" s="9" t="str">
        <f>garage!L88</f>
        <v>Kepler</v>
      </c>
      <c r="M88" s="9" t="str">
        <f>garage!M88</f>
        <v>Motion</v>
      </c>
      <c r="O88" s="17">
        <v>55</v>
      </c>
      <c r="P88" s="13"/>
      <c r="Q88" s="13"/>
      <c r="R88" s="13"/>
      <c r="S88" s="13"/>
      <c r="T88" s="14"/>
      <c r="U88" s="49"/>
      <c r="W88" s="26">
        <v>4</v>
      </c>
      <c r="X88" s="27"/>
      <c r="Y88" s="27"/>
      <c r="Z88" s="27"/>
      <c r="AA88" s="27"/>
      <c r="AB88" s="28"/>
      <c r="AC88" s="28"/>
      <c r="AE88" s="32">
        <f t="shared" ref="AE88" si="31">O88-W88</f>
        <v>51</v>
      </c>
      <c r="AF88" s="33">
        <f t="shared" ref="AF88" si="32">P88-X88</f>
        <v>0</v>
      </c>
      <c r="AG88" s="33">
        <f t="shared" ref="AG88" si="33">Q88-Y88</f>
        <v>0</v>
      </c>
      <c r="AH88" s="33">
        <f t="shared" ref="AH88" si="34">R88-Z88</f>
        <v>0</v>
      </c>
      <c r="AI88" s="33">
        <f t="shared" ref="AI88" si="35">S88-AA88</f>
        <v>0</v>
      </c>
      <c r="AJ88" s="34">
        <f t="shared" ref="AJ88" si="36">T88-AB88</f>
        <v>0</v>
      </c>
      <c r="AK88" s="34">
        <f t="shared" ref="AK88" si="37">SUM(AE88:AJ88)</f>
        <v>51</v>
      </c>
    </row>
    <row r="89" spans="2:37" ht="18" customHeight="1" x14ac:dyDescent="0.2">
      <c r="B89" s="10">
        <f>garage!B89</f>
        <v>89</v>
      </c>
      <c r="C89" s="10">
        <f>garage!C89</f>
        <v>3</v>
      </c>
      <c r="D89" s="10">
        <f>garage!D89</f>
        <v>17</v>
      </c>
      <c r="E89" s="10">
        <f>garage!E89</f>
        <v>21</v>
      </c>
      <c r="F89" s="10" t="str">
        <f>garage!F89</f>
        <v>--</v>
      </c>
      <c r="G89" s="10" t="str">
        <f>garage!G89</f>
        <v>O</v>
      </c>
      <c r="H89" s="10" t="str">
        <f>garage!H89</f>
        <v>N</v>
      </c>
      <c r="I89" s="10" t="str">
        <f>garage!I89</f>
        <v>N</v>
      </c>
      <c r="J89" s="10" t="str">
        <f>garage!J89</f>
        <v>O</v>
      </c>
      <c r="K89" s="10" t="str">
        <f>garage!K89</f>
        <v>B</v>
      </c>
      <c r="L89" s="11" t="str">
        <f>garage!L89</f>
        <v>Drako</v>
      </c>
      <c r="M89" s="11" t="str">
        <f>garage!M89</f>
        <v>GTE</v>
      </c>
      <c r="O89" s="18">
        <v>55</v>
      </c>
      <c r="P89" s="15">
        <v>35</v>
      </c>
      <c r="Q89" s="15">
        <v>44</v>
      </c>
      <c r="R89" s="15">
        <v>54</v>
      </c>
      <c r="S89" s="15"/>
      <c r="T89" s="16"/>
      <c r="U89" s="50">
        <f t="shared" si="18"/>
        <v>188</v>
      </c>
      <c r="W89" s="29">
        <v>55</v>
      </c>
      <c r="X89" s="30">
        <v>35</v>
      </c>
      <c r="Y89" s="30">
        <v>44</v>
      </c>
      <c r="Z89" s="30"/>
      <c r="AA89" s="30"/>
      <c r="AB89" s="31"/>
      <c r="AC89" s="31">
        <f t="shared" si="19"/>
        <v>134</v>
      </c>
      <c r="AE89" s="35"/>
      <c r="AF89" s="36"/>
      <c r="AG89" s="36"/>
      <c r="AH89" s="36">
        <f t="shared" si="21"/>
        <v>54</v>
      </c>
      <c r="AI89" s="36"/>
      <c r="AJ89" s="37"/>
      <c r="AK89" s="37">
        <f t="shared" si="22"/>
        <v>54</v>
      </c>
    </row>
    <row r="90" spans="2:37" ht="18" customHeight="1" x14ac:dyDescent="0.2">
      <c r="B90" s="8">
        <f>garage!B90</f>
        <v>90</v>
      </c>
      <c r="C90" s="8">
        <f>garage!C90</f>
        <v>3</v>
      </c>
      <c r="D90" s="8">
        <f>garage!D90</f>
        <v>18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garage!J90</f>
        <v>N</v>
      </c>
      <c r="K90" s="8" t="str">
        <f>garage!K90</f>
        <v>B</v>
      </c>
      <c r="L90" s="9" t="str">
        <f>garage!L90</f>
        <v>Glickhaus</v>
      </c>
      <c r="M90" s="9" t="str">
        <f>garage!M90</f>
        <v>003S</v>
      </c>
      <c r="O90" s="17">
        <v>40</v>
      </c>
      <c r="P90" s="13">
        <v>12</v>
      </c>
      <c r="Q90" s="13">
        <v>22</v>
      </c>
      <c r="R90" s="13">
        <v>36</v>
      </c>
      <c r="S90" s="13"/>
      <c r="T90" s="14"/>
      <c r="U90" s="49">
        <f t="shared" si="18"/>
        <v>110</v>
      </c>
      <c r="W90" s="26">
        <v>40</v>
      </c>
      <c r="X90" s="27">
        <v>12</v>
      </c>
      <c r="Y90" s="27">
        <v>22</v>
      </c>
      <c r="Z90" s="27">
        <v>36</v>
      </c>
      <c r="AA90" s="27"/>
      <c r="AB90" s="28"/>
      <c r="AC90" s="28">
        <f t="shared" si="19"/>
        <v>110</v>
      </c>
      <c r="AE90" s="32"/>
      <c r="AF90" s="33"/>
      <c r="AG90" s="33"/>
      <c r="AH90" s="33"/>
      <c r="AI90" s="33"/>
      <c r="AJ90" s="34"/>
      <c r="AK90" s="34"/>
    </row>
    <row r="91" spans="2:37" ht="18" customHeight="1" x14ac:dyDescent="0.2">
      <c r="B91" s="10">
        <f>garage!B91</f>
        <v>91</v>
      </c>
      <c r="C91" s="10">
        <f>garage!C91</f>
        <v>3</v>
      </c>
      <c r="D91" s="10">
        <f>garage!D91</f>
        <v>19</v>
      </c>
      <c r="E91" s="10">
        <f>garage!E91</f>
        <v>20</v>
      </c>
      <c r="F91" s="10" t="str">
        <f>garage!F91</f>
        <v>M</v>
      </c>
      <c r="G91" s="10" t="str">
        <f>garage!G91</f>
        <v>O</v>
      </c>
      <c r="H91" s="10" t="str">
        <f>garage!H91</f>
        <v>N</v>
      </c>
      <c r="I91" s="10" t="str">
        <f>garage!I91</f>
        <v>N</v>
      </c>
      <c r="J91" s="10" t="str">
        <f>garage!J91</f>
        <v>N</v>
      </c>
      <c r="K91" s="10" t="str">
        <f>garage!K91</f>
        <v>B</v>
      </c>
      <c r="L91" s="11" t="str">
        <f>garage!L91</f>
        <v>McLaren</v>
      </c>
      <c r="M91" s="11" t="str">
        <f>garage!M91</f>
        <v>Elva</v>
      </c>
      <c r="O91" s="18">
        <v>45</v>
      </c>
      <c r="P91" s="15">
        <v>17</v>
      </c>
      <c r="Q91" s="15">
        <v>23</v>
      </c>
      <c r="R91" s="15">
        <v>32</v>
      </c>
      <c r="S91" s="15">
        <v>45</v>
      </c>
      <c r="T91" s="16"/>
      <c r="U91" s="50">
        <f t="shared" si="18"/>
        <v>162</v>
      </c>
      <c r="W91" s="29">
        <v>45</v>
      </c>
      <c r="X91" s="30">
        <v>1</v>
      </c>
      <c r="Y91" s="30"/>
      <c r="Z91" s="30"/>
      <c r="AA91" s="30"/>
      <c r="AB91" s="31"/>
      <c r="AC91" s="31">
        <f t="shared" si="19"/>
        <v>46</v>
      </c>
      <c r="AE91" s="35"/>
      <c r="AF91" s="36">
        <f t="shared" si="24"/>
        <v>16</v>
      </c>
      <c r="AG91" s="36">
        <f t="shared" si="20"/>
        <v>23</v>
      </c>
      <c r="AH91" s="36">
        <f t="shared" si="21"/>
        <v>32</v>
      </c>
      <c r="AI91" s="36">
        <f t="shared" si="25"/>
        <v>45</v>
      </c>
      <c r="AJ91" s="37"/>
      <c r="AK91" s="37">
        <f t="shared" si="22"/>
        <v>116</v>
      </c>
    </row>
    <row r="92" spans="2:37" ht="18" customHeight="1" x14ac:dyDescent="0.2">
      <c r="B92" s="8">
        <f>garage!B92</f>
        <v>92</v>
      </c>
      <c r="C92" s="8">
        <f>garage!C92</f>
        <v>3</v>
      </c>
      <c r="D92" s="8">
        <f>garage!D92</f>
        <v>20</v>
      </c>
      <c r="E92" s="8">
        <f>garage!E92</f>
        <v>27</v>
      </c>
      <c r="F92" s="8" t="str">
        <f>garage!F92</f>
        <v>--</v>
      </c>
      <c r="G92" s="8" t="str">
        <f>garage!G92</f>
        <v>O</v>
      </c>
      <c r="H92" s="8" t="str">
        <f>garage!H92</f>
        <v>N</v>
      </c>
      <c r="I92" s="8" t="str">
        <f>garage!I92</f>
        <v>N</v>
      </c>
      <c r="J92" s="8" t="str">
        <f>garage!J92</f>
        <v>N</v>
      </c>
      <c r="K92" s="8" t="str">
        <f>garage!K92</f>
        <v>B</v>
      </c>
      <c r="L92" s="9" t="str">
        <f>garage!L92</f>
        <v>Nissan</v>
      </c>
      <c r="M92" s="9" t="str">
        <f>garage!M92</f>
        <v>R390 GT1</v>
      </c>
      <c r="O92" s="17" t="s">
        <v>432</v>
      </c>
      <c r="P92" s="13">
        <v>26</v>
      </c>
      <c r="Q92" s="13">
        <v>34</v>
      </c>
      <c r="R92" s="13"/>
      <c r="S92" s="13"/>
      <c r="T92" s="14"/>
      <c r="U92" s="49">
        <f t="shared" si="18"/>
        <v>60</v>
      </c>
      <c r="W92" s="26" t="s">
        <v>432</v>
      </c>
      <c r="X92" s="27">
        <v>26</v>
      </c>
      <c r="Y92" s="27">
        <v>18</v>
      </c>
      <c r="Z92" s="27"/>
      <c r="AA92" s="27"/>
      <c r="AB92" s="28"/>
      <c r="AC92" s="28">
        <f t="shared" si="19"/>
        <v>44</v>
      </c>
      <c r="AE92" s="32" t="s">
        <v>432</v>
      </c>
      <c r="AF92" s="33"/>
      <c r="AG92" s="33">
        <f t="shared" si="20"/>
        <v>16</v>
      </c>
      <c r="AH92" s="33">
        <f t="shared" si="21"/>
        <v>0</v>
      </c>
      <c r="AI92" s="33">
        <f t="shared" si="25"/>
        <v>0</v>
      </c>
      <c r="AJ92" s="34"/>
      <c r="AK92" s="34">
        <f t="shared" si="22"/>
        <v>16</v>
      </c>
    </row>
    <row r="93" spans="2:37" ht="18" customHeight="1" x14ac:dyDescent="0.2">
      <c r="B93" s="10">
        <f>garage!B93</f>
        <v>93</v>
      </c>
      <c r="C93" s="10">
        <f>garage!C93</f>
        <v>3</v>
      </c>
      <c r="D93" s="10">
        <f>garage!D93</f>
        <v>21</v>
      </c>
      <c r="E93" s="10">
        <f>garage!E93</f>
        <v>0</v>
      </c>
      <c r="F93" s="10" t="str">
        <f>garage!F93</f>
        <v>F</v>
      </c>
      <c r="G93" s="10" t="str">
        <f>garage!G93</f>
        <v>O</v>
      </c>
      <c r="H93" s="10" t="str">
        <f>garage!H93</f>
        <v>O</v>
      </c>
      <c r="I93" s="10" t="str">
        <f>garage!I93</f>
        <v>O</v>
      </c>
      <c r="J93" s="10" t="str">
        <f>garage!J93</f>
        <v>N</v>
      </c>
      <c r="K93" s="10" t="str">
        <f>garage!K93</f>
        <v>B</v>
      </c>
      <c r="L93" s="11" t="str">
        <f>garage!L93</f>
        <v>Ferrari</v>
      </c>
      <c r="M93" s="11" t="str">
        <f>garage!M93</f>
        <v>F12TDF</v>
      </c>
      <c r="O93" s="18">
        <v>30</v>
      </c>
      <c r="P93" s="15">
        <v>9</v>
      </c>
      <c r="Q93" s="15">
        <v>13</v>
      </c>
      <c r="R93" s="15">
        <v>21</v>
      </c>
      <c r="S93" s="15">
        <v>32</v>
      </c>
      <c r="T93" s="16"/>
      <c r="U93" s="50">
        <f t="shared" si="18"/>
        <v>105</v>
      </c>
      <c r="W93" s="29">
        <v>30</v>
      </c>
      <c r="X93" s="30">
        <v>9</v>
      </c>
      <c r="Y93" s="30">
        <v>13</v>
      </c>
      <c r="Z93" s="30">
        <v>21</v>
      </c>
      <c r="AA93" s="30">
        <v>32</v>
      </c>
      <c r="AB93" s="31"/>
      <c r="AC93" s="31">
        <f t="shared" si="19"/>
        <v>105</v>
      </c>
      <c r="AE93" s="35"/>
      <c r="AF93" s="36"/>
      <c r="AG93" s="36"/>
      <c r="AH93" s="36"/>
      <c r="AI93" s="36"/>
      <c r="AJ93" s="37"/>
      <c r="AK93" s="37"/>
    </row>
    <row r="94" spans="2:37" ht="18" customHeight="1" x14ac:dyDescent="0.2">
      <c r="B94" s="8">
        <f>garage!B94</f>
        <v>94</v>
      </c>
      <c r="C94" s="8">
        <f>garage!C94</f>
        <v>3</v>
      </c>
      <c r="D94" s="8">
        <f>garage!D94</f>
        <v>22</v>
      </c>
      <c r="E94" s="8">
        <f>garage!E94</f>
        <v>18</v>
      </c>
      <c r="F94" s="8" t="str">
        <f>garage!F94</f>
        <v>L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garage!J94</f>
        <v>N</v>
      </c>
      <c r="K94" s="8" t="str">
        <f>garage!K94</f>
        <v>B</v>
      </c>
      <c r="L94" s="9" t="str">
        <f>garage!L94</f>
        <v>Lamborghini</v>
      </c>
      <c r="M94" s="9" t="str">
        <f>garage!M94</f>
        <v>Murcielago LP 640 Roadster</v>
      </c>
      <c r="O94" s="17">
        <v>45</v>
      </c>
      <c r="P94" s="13">
        <v>17</v>
      </c>
      <c r="Q94" s="13">
        <v>23</v>
      </c>
      <c r="R94" s="13">
        <v>32</v>
      </c>
      <c r="S94" s="13">
        <v>45</v>
      </c>
      <c r="T94" s="14"/>
      <c r="U94" s="49">
        <f t="shared" si="18"/>
        <v>162</v>
      </c>
      <c r="W94" s="26">
        <v>45</v>
      </c>
      <c r="X94" s="27">
        <v>17</v>
      </c>
      <c r="Y94" s="27">
        <v>23</v>
      </c>
      <c r="Z94" s="27">
        <v>14</v>
      </c>
      <c r="AA94" s="27">
        <v>0</v>
      </c>
      <c r="AB94" s="28"/>
      <c r="AC94" s="28">
        <f t="shared" si="19"/>
        <v>99</v>
      </c>
      <c r="AE94" s="32"/>
      <c r="AF94" s="33"/>
      <c r="AG94" s="33"/>
      <c r="AH94" s="33">
        <f t="shared" si="21"/>
        <v>18</v>
      </c>
      <c r="AI94" s="33">
        <f t="shared" si="25"/>
        <v>45</v>
      </c>
      <c r="AJ94" s="34"/>
      <c r="AK94" s="34">
        <f t="shared" si="22"/>
        <v>63</v>
      </c>
    </row>
    <row r="95" spans="2:37" ht="18" customHeight="1" x14ac:dyDescent="0.2">
      <c r="B95" s="10">
        <f>garage!B95</f>
        <v>95</v>
      </c>
      <c r="C95" s="10">
        <f>garage!C95</f>
        <v>3</v>
      </c>
      <c r="D95" s="10">
        <f>garage!D95</f>
        <v>23</v>
      </c>
      <c r="E95" s="10">
        <f>garage!E95</f>
        <v>26</v>
      </c>
      <c r="F95" s="10" t="str">
        <f>garage!F95</f>
        <v>M</v>
      </c>
      <c r="G95" s="10" t="str">
        <f>garage!G95</f>
        <v>O</v>
      </c>
      <c r="H95" s="10" t="str">
        <f>garage!H95</f>
        <v>N</v>
      </c>
      <c r="I95" s="10" t="str">
        <f>garage!I95</f>
        <v>N</v>
      </c>
      <c r="J95" s="10" t="str">
        <f>garage!J95</f>
        <v>N</v>
      </c>
      <c r="K95" s="10" t="str">
        <f>garage!K95</f>
        <v>B</v>
      </c>
      <c r="L95" s="11" t="str">
        <f>garage!L95</f>
        <v>McLaren</v>
      </c>
      <c r="M95" s="11" t="str">
        <f>garage!M95</f>
        <v>765LT</v>
      </c>
      <c r="O95" s="18">
        <v>45</v>
      </c>
      <c r="P95" s="15">
        <v>17</v>
      </c>
      <c r="Q95" s="15">
        <v>23</v>
      </c>
      <c r="R95" s="15">
        <v>32</v>
      </c>
      <c r="S95" s="15">
        <v>45</v>
      </c>
      <c r="T95" s="16"/>
      <c r="U95" s="50">
        <f t="shared" si="18"/>
        <v>162</v>
      </c>
      <c r="W95" s="29">
        <v>45</v>
      </c>
      <c r="X95" s="30">
        <v>0</v>
      </c>
      <c r="Y95" s="30"/>
      <c r="Z95" s="30"/>
      <c r="AA95" s="30"/>
      <c r="AB95" s="31"/>
      <c r="AC95" s="31">
        <f t="shared" si="19"/>
        <v>45</v>
      </c>
      <c r="AE95" s="35"/>
      <c r="AF95" s="36">
        <f t="shared" si="24"/>
        <v>17</v>
      </c>
      <c r="AG95" s="36">
        <f t="shared" si="20"/>
        <v>23</v>
      </c>
      <c r="AH95" s="36">
        <f t="shared" si="21"/>
        <v>32</v>
      </c>
      <c r="AI95" s="36">
        <f t="shared" si="25"/>
        <v>45</v>
      </c>
      <c r="AJ95" s="37"/>
      <c r="AK95" s="37">
        <f t="shared" si="22"/>
        <v>117</v>
      </c>
    </row>
    <row r="96" spans="2:37" ht="18" customHeight="1" x14ac:dyDescent="0.2">
      <c r="B96" s="8">
        <f>garage!B96</f>
        <v>96</v>
      </c>
      <c r="C96" s="8">
        <f>garage!C96</f>
        <v>3</v>
      </c>
      <c r="D96" s="8">
        <f>garage!D96</f>
        <v>24</v>
      </c>
      <c r="E96" s="8">
        <f>garage!E96</f>
        <v>0</v>
      </c>
      <c r="F96" s="8" t="str">
        <f>garage!F96</f>
        <v>C</v>
      </c>
      <c r="G96" s="8" t="str">
        <f>garage!G96</f>
        <v>O</v>
      </c>
      <c r="H96" s="8" t="str">
        <f>garage!H96</f>
        <v>O</v>
      </c>
      <c r="I96" s="8" t="str">
        <f>garage!I96</f>
        <v>O</v>
      </c>
      <c r="J96" s="8" t="str">
        <f>garage!J96</f>
        <v>N</v>
      </c>
      <c r="K96" s="8" t="str">
        <f>garage!K96</f>
        <v>B</v>
      </c>
      <c r="L96" s="9" t="str">
        <f>garage!L96</f>
        <v>Chevrolet</v>
      </c>
      <c r="M96" s="9" t="str">
        <f>garage!M96</f>
        <v>Corvette Grand Sport</v>
      </c>
      <c r="O96" s="17">
        <v>30</v>
      </c>
      <c r="P96" s="13">
        <v>9</v>
      </c>
      <c r="Q96" s="13">
        <v>13</v>
      </c>
      <c r="R96" s="13">
        <v>21</v>
      </c>
      <c r="S96" s="13">
        <v>32</v>
      </c>
      <c r="T96" s="14"/>
      <c r="U96" s="49">
        <f t="shared" si="18"/>
        <v>105</v>
      </c>
      <c r="W96" s="26">
        <v>30</v>
      </c>
      <c r="X96" s="27">
        <v>9</v>
      </c>
      <c r="Y96" s="27">
        <v>13</v>
      </c>
      <c r="Z96" s="27">
        <v>21</v>
      </c>
      <c r="AA96" s="27">
        <v>32</v>
      </c>
      <c r="AB96" s="28"/>
      <c r="AC96" s="28">
        <f t="shared" si="19"/>
        <v>105</v>
      </c>
      <c r="AE96" s="32"/>
      <c r="AF96" s="33"/>
      <c r="AG96" s="33"/>
      <c r="AH96" s="33"/>
      <c r="AI96" s="33"/>
      <c r="AJ96" s="34"/>
      <c r="AK96" s="34"/>
    </row>
    <row r="97" spans="2:37" ht="18" customHeight="1" x14ac:dyDescent="0.2">
      <c r="B97" s="10">
        <f>garage!B97</f>
        <v>97</v>
      </c>
      <c r="C97" s="10">
        <f>garage!C97</f>
        <v>3</v>
      </c>
      <c r="D97" s="10">
        <f>garage!D97</f>
        <v>25</v>
      </c>
      <c r="E97" s="10">
        <f>garage!E97</f>
        <v>7</v>
      </c>
      <c r="F97" s="10" t="str">
        <f>garage!F97</f>
        <v>AM</v>
      </c>
      <c r="G97" s="10" t="str">
        <f>garage!G97</f>
        <v>O</v>
      </c>
      <c r="H97" s="10" t="str">
        <f>garage!H97</f>
        <v>O</v>
      </c>
      <c r="I97" s="10" t="str">
        <f>garage!I97</f>
        <v>O</v>
      </c>
      <c r="J97" s="10" t="str">
        <f>garage!J97</f>
        <v>N</v>
      </c>
      <c r="K97" s="10" t="str">
        <f>garage!K97</f>
        <v>B</v>
      </c>
      <c r="L97" s="11" t="str">
        <f>garage!L97</f>
        <v>Aston Martin</v>
      </c>
      <c r="M97" s="11" t="str">
        <f>garage!M97</f>
        <v>Vantage GT12</v>
      </c>
      <c r="O97" s="18">
        <v>45</v>
      </c>
      <c r="P97" s="15">
        <v>17</v>
      </c>
      <c r="Q97" s="15">
        <v>23</v>
      </c>
      <c r="R97" s="15">
        <v>32</v>
      </c>
      <c r="S97" s="15">
        <v>45</v>
      </c>
      <c r="T97" s="16"/>
      <c r="U97" s="50">
        <f t="shared" si="18"/>
        <v>162</v>
      </c>
      <c r="W97" s="29">
        <v>45</v>
      </c>
      <c r="X97" s="30">
        <v>17</v>
      </c>
      <c r="Y97" s="30">
        <v>23</v>
      </c>
      <c r="Z97" s="30">
        <v>32</v>
      </c>
      <c r="AA97" s="30">
        <v>45</v>
      </c>
      <c r="AB97" s="31"/>
      <c r="AC97" s="31">
        <f t="shared" si="19"/>
        <v>162</v>
      </c>
      <c r="AE97" s="35"/>
      <c r="AF97" s="36"/>
      <c r="AG97" s="36"/>
      <c r="AH97" s="36"/>
      <c r="AI97" s="36"/>
      <c r="AJ97" s="37"/>
      <c r="AK97" s="37"/>
    </row>
    <row r="98" spans="2:37" ht="18" customHeight="1" x14ac:dyDescent="0.2">
      <c r="B98" s="8">
        <f>garage!B98</f>
        <v>98</v>
      </c>
      <c r="C98" s="8">
        <f>garage!C98</f>
        <v>3</v>
      </c>
      <c r="D98" s="8">
        <f>garage!D98</f>
        <v>26</v>
      </c>
      <c r="E98" s="8">
        <f>garage!E98</f>
        <v>14</v>
      </c>
      <c r="F98" s="8" t="str">
        <f>garage!F98</f>
        <v>--</v>
      </c>
      <c r="G98" s="8" t="str">
        <f>garage!G98</f>
        <v>O</v>
      </c>
      <c r="H98" s="8" t="str">
        <f>garage!H98</f>
        <v>O</v>
      </c>
      <c r="I98" s="8" t="str">
        <f>garage!I98</f>
        <v>N</v>
      </c>
      <c r="J98" s="8" t="str">
        <f>garage!J98</f>
        <v>N</v>
      </c>
      <c r="K98" s="8" t="str">
        <f>garage!K98</f>
        <v>B</v>
      </c>
      <c r="L98" s="9" t="str">
        <f>garage!L98</f>
        <v>Apex</v>
      </c>
      <c r="M98" s="9" t="str">
        <f>garage!M98</f>
        <v>AP-0</v>
      </c>
      <c r="O98" s="17">
        <v>45</v>
      </c>
      <c r="P98" s="13">
        <v>17</v>
      </c>
      <c r="Q98" s="13">
        <v>23</v>
      </c>
      <c r="R98" s="13">
        <v>32</v>
      </c>
      <c r="S98" s="13">
        <v>45</v>
      </c>
      <c r="T98" s="14"/>
      <c r="U98" s="49">
        <f t="shared" si="18"/>
        <v>162</v>
      </c>
      <c r="W98" s="26">
        <v>45</v>
      </c>
      <c r="X98" s="27">
        <v>17</v>
      </c>
      <c r="Y98" s="27">
        <v>23</v>
      </c>
      <c r="Z98" s="27">
        <v>32</v>
      </c>
      <c r="AA98" s="27">
        <v>45</v>
      </c>
      <c r="AB98" s="28"/>
      <c r="AC98" s="28">
        <f t="shared" si="19"/>
        <v>162</v>
      </c>
      <c r="AE98" s="32"/>
      <c r="AF98" s="33"/>
      <c r="AG98" s="33"/>
      <c r="AH98" s="33"/>
      <c r="AI98" s="33"/>
      <c r="AJ98" s="34"/>
      <c r="AK98" s="34"/>
    </row>
    <row r="99" spans="2:37" ht="18" customHeight="1" x14ac:dyDescent="0.2">
      <c r="B99" s="10">
        <f>garage!B99</f>
        <v>99</v>
      </c>
      <c r="C99" s="10">
        <f>garage!C99</f>
        <v>3</v>
      </c>
      <c r="D99" s="10">
        <f>garage!D99</f>
        <v>27</v>
      </c>
      <c r="E99" s="10">
        <f>garage!E99</f>
        <v>16</v>
      </c>
      <c r="F99" s="10" t="str">
        <f>garage!F99</f>
        <v>--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garage!J99</f>
        <v>N</v>
      </c>
      <c r="K99" s="10" t="str">
        <f>garage!K99</f>
        <v>B</v>
      </c>
      <c r="L99" s="11" t="str">
        <f>garage!L99</f>
        <v>Apollo</v>
      </c>
      <c r="M99" s="11" t="str">
        <f>garage!M99</f>
        <v>IE</v>
      </c>
      <c r="O99" s="18">
        <v>45</v>
      </c>
      <c r="P99" s="15">
        <v>17</v>
      </c>
      <c r="Q99" s="15">
        <v>23</v>
      </c>
      <c r="R99" s="15">
        <v>32</v>
      </c>
      <c r="S99" s="15">
        <v>45</v>
      </c>
      <c r="T99" s="16"/>
      <c r="U99" s="50">
        <f t="shared" si="18"/>
        <v>162</v>
      </c>
      <c r="W99" s="29">
        <v>45</v>
      </c>
      <c r="X99" s="30">
        <v>17</v>
      </c>
      <c r="Y99" s="30">
        <v>23</v>
      </c>
      <c r="Z99" s="30">
        <v>7</v>
      </c>
      <c r="AA99" s="30"/>
      <c r="AB99" s="31"/>
      <c r="AC99" s="31">
        <f t="shared" si="19"/>
        <v>92</v>
      </c>
      <c r="AE99" s="35"/>
      <c r="AF99" s="36"/>
      <c r="AG99" s="36"/>
      <c r="AH99" s="36">
        <f t="shared" si="21"/>
        <v>25</v>
      </c>
      <c r="AI99" s="36">
        <f t="shared" si="25"/>
        <v>45</v>
      </c>
      <c r="AJ99" s="37"/>
      <c r="AK99" s="37">
        <f t="shared" si="22"/>
        <v>70</v>
      </c>
    </row>
    <row r="100" spans="2:37" ht="18" customHeight="1" x14ac:dyDescent="0.2">
      <c r="B100" s="8">
        <f>garage!B100</f>
        <v>100</v>
      </c>
      <c r="C100" s="8">
        <f>garage!C100</f>
        <v>3</v>
      </c>
      <c r="D100" s="8">
        <f>garage!D100</f>
        <v>28</v>
      </c>
      <c r="E100" s="8">
        <f>garage!E100</f>
        <v>0</v>
      </c>
      <c r="F100" s="8" t="str">
        <f>garage!F100</f>
        <v>--</v>
      </c>
      <c r="G100" s="8" t="str">
        <f>garage!G100</f>
        <v>O</v>
      </c>
      <c r="H100" s="8" t="str">
        <f>garage!H100</f>
        <v>O</v>
      </c>
      <c r="I100" s="8" t="str">
        <f>garage!I100</f>
        <v>O</v>
      </c>
      <c r="J100" s="8" t="str">
        <f>garage!J100</f>
        <v>N</v>
      </c>
      <c r="K100" s="8" t="str">
        <f>garage!K100</f>
        <v>B</v>
      </c>
      <c r="L100" s="9" t="str">
        <f>garage!L100</f>
        <v>Sin</v>
      </c>
      <c r="M100" s="9" t="str">
        <f>garage!M100</f>
        <v>R1 550</v>
      </c>
      <c r="O100" s="17">
        <v>30</v>
      </c>
      <c r="P100" s="13">
        <v>9</v>
      </c>
      <c r="Q100" s="13">
        <v>13</v>
      </c>
      <c r="R100" s="13">
        <v>21</v>
      </c>
      <c r="S100" s="13">
        <v>32</v>
      </c>
      <c r="T100" s="14"/>
      <c r="U100" s="49">
        <f t="shared" si="18"/>
        <v>105</v>
      </c>
      <c r="W100" s="26">
        <v>30</v>
      </c>
      <c r="X100" s="27">
        <v>9</v>
      </c>
      <c r="Y100" s="27">
        <v>13</v>
      </c>
      <c r="Z100" s="27">
        <v>21</v>
      </c>
      <c r="AA100" s="27">
        <v>32</v>
      </c>
      <c r="AB100" s="28"/>
      <c r="AC100" s="28">
        <f t="shared" si="19"/>
        <v>105</v>
      </c>
      <c r="AE100" s="32"/>
      <c r="AF100" s="33"/>
      <c r="AG100" s="33"/>
      <c r="AH100" s="33"/>
      <c r="AI100" s="33"/>
      <c r="AJ100" s="34"/>
      <c r="AK100" s="34"/>
    </row>
    <row r="101" spans="2:37" ht="18" customHeight="1" x14ac:dyDescent="0.2">
      <c r="B101" s="10">
        <f>garage!B101</f>
        <v>101</v>
      </c>
      <c r="C101" s="10">
        <f>garage!C101</f>
        <v>3</v>
      </c>
      <c r="D101" s="10">
        <f>garage!D101</f>
        <v>29</v>
      </c>
      <c r="E101" s="10">
        <f>garage!E101</f>
        <v>25</v>
      </c>
      <c r="F101" s="10" t="str">
        <f>garage!F101</f>
        <v>L</v>
      </c>
      <c r="G101" s="10" t="str">
        <f>garage!G101</f>
        <v>O</v>
      </c>
      <c r="H101" s="10" t="str">
        <f>garage!H101</f>
        <v>N</v>
      </c>
      <c r="I101" s="10" t="str">
        <f>garage!I101</f>
        <v>N</v>
      </c>
      <c r="J101" s="10" t="str">
        <f>garage!J101</f>
        <v>N</v>
      </c>
      <c r="K101" s="10" t="str">
        <f>garage!K101</f>
        <v>B</v>
      </c>
      <c r="L101" s="11" t="str">
        <f>garage!L101</f>
        <v>Lamborghini</v>
      </c>
      <c r="M101" s="11" t="str">
        <f>garage!M101</f>
        <v>Reventón Roadster</v>
      </c>
      <c r="O101" s="18" t="s">
        <v>432</v>
      </c>
      <c r="P101" s="15">
        <v>26</v>
      </c>
      <c r="Q101" s="15">
        <v>34</v>
      </c>
      <c r="R101" s="15">
        <v>40</v>
      </c>
      <c r="S101" s="15">
        <v>62</v>
      </c>
      <c r="T101" s="16"/>
      <c r="U101" s="50">
        <f t="shared" ref="U101:U166" si="38">SUM(O101:T101)</f>
        <v>162</v>
      </c>
      <c r="W101" s="29" t="s">
        <v>432</v>
      </c>
      <c r="X101" s="30">
        <v>26</v>
      </c>
      <c r="Y101" s="30">
        <v>13</v>
      </c>
      <c r="Z101" s="30"/>
      <c r="AA101" s="30"/>
      <c r="AB101" s="31"/>
      <c r="AC101" s="31">
        <f t="shared" ref="AC101:AC166" si="39">SUM(W101:AB101)</f>
        <v>39</v>
      </c>
      <c r="AE101" s="35" t="s">
        <v>432</v>
      </c>
      <c r="AF101" s="36"/>
      <c r="AG101" s="36">
        <f t="shared" ref="AG101:AG162" si="40">Q101-Y101</f>
        <v>21</v>
      </c>
      <c r="AH101" s="36">
        <f t="shared" ref="AH101:AH162" si="41">R101-Z101</f>
        <v>40</v>
      </c>
      <c r="AI101" s="36">
        <f t="shared" ref="AI101:AI162" si="42">S101-AA101</f>
        <v>62</v>
      </c>
      <c r="AJ101" s="37"/>
      <c r="AK101" s="37">
        <f t="shared" ref="AK101:AK162" si="43">SUM(AE101:AJ101)</f>
        <v>123</v>
      </c>
    </row>
    <row r="102" spans="2:37" ht="18" customHeight="1" x14ac:dyDescent="0.2">
      <c r="B102" s="8">
        <f>garage!B102</f>
        <v>102</v>
      </c>
      <c r="C102" s="8">
        <f>garage!C102</f>
        <v>3</v>
      </c>
      <c r="D102" s="8">
        <f>garage!D102</f>
        <v>30</v>
      </c>
      <c r="E102" s="8">
        <f>garage!E102</f>
        <v>15</v>
      </c>
      <c r="F102" s="8" t="str">
        <f>garage!F102</f>
        <v>F</v>
      </c>
      <c r="G102" s="8" t="str">
        <f>garage!G102</f>
        <v>O</v>
      </c>
      <c r="H102" s="8" t="str">
        <f>garage!H102</f>
        <v>O</v>
      </c>
      <c r="I102" s="8" t="str">
        <f>garage!I102</f>
        <v>N</v>
      </c>
      <c r="J102" s="8" t="str">
        <f>garage!J102</f>
        <v>N</v>
      </c>
      <c r="K102" s="8" t="str">
        <f>garage!K102</f>
        <v>B</v>
      </c>
      <c r="L102" s="9" t="str">
        <f>garage!L102</f>
        <v>Ferrari</v>
      </c>
      <c r="M102" s="9" t="str">
        <f>garage!M102</f>
        <v>Enzo Ferrari</v>
      </c>
      <c r="O102" s="17">
        <v>45</v>
      </c>
      <c r="P102" s="13">
        <v>17</v>
      </c>
      <c r="Q102" s="13">
        <v>23</v>
      </c>
      <c r="R102" s="13">
        <v>32</v>
      </c>
      <c r="S102" s="13">
        <v>45</v>
      </c>
      <c r="T102" s="14"/>
      <c r="U102" s="49">
        <f t="shared" si="38"/>
        <v>162</v>
      </c>
      <c r="W102" s="26">
        <v>45</v>
      </c>
      <c r="X102" s="27">
        <v>17</v>
      </c>
      <c r="Y102" s="27">
        <v>23</v>
      </c>
      <c r="Z102" s="27">
        <v>32</v>
      </c>
      <c r="AA102" s="27">
        <v>45</v>
      </c>
      <c r="AB102" s="28"/>
      <c r="AC102" s="28">
        <f t="shared" si="39"/>
        <v>162</v>
      </c>
      <c r="AE102" s="32"/>
      <c r="AF102" s="33"/>
      <c r="AG102" s="33"/>
      <c r="AH102" s="33"/>
      <c r="AI102" s="33"/>
      <c r="AJ102" s="34"/>
      <c r="AK102" s="34"/>
    </row>
    <row r="103" spans="2:37" ht="18" customHeight="1" x14ac:dyDescent="0.2">
      <c r="B103" s="10">
        <f>garage!B103</f>
        <v>103</v>
      </c>
      <c r="C103" s="10">
        <f>garage!C103</f>
        <v>3</v>
      </c>
      <c r="D103" s="10">
        <f>garage!D103</f>
        <v>31</v>
      </c>
      <c r="E103" s="10">
        <f>garage!E103</f>
        <v>23</v>
      </c>
      <c r="F103" s="10" t="str">
        <f>garage!F103</f>
        <v>AM</v>
      </c>
      <c r="G103" s="10" t="str">
        <f>garage!G103</f>
        <v>O</v>
      </c>
      <c r="H103" s="10" t="str">
        <f>garage!H103</f>
        <v>N</v>
      </c>
      <c r="I103" s="10" t="str">
        <f>garage!I103</f>
        <v>N</v>
      </c>
      <c r="J103" s="10" t="str">
        <f>garage!J103</f>
        <v>N</v>
      </c>
      <c r="K103" s="10" t="str">
        <f>garage!K103</f>
        <v>B</v>
      </c>
      <c r="L103" s="11" t="str">
        <f>garage!L103</f>
        <v>Aston Martin</v>
      </c>
      <c r="M103" s="11" t="str">
        <f>garage!M103</f>
        <v>One77</v>
      </c>
      <c r="O103" s="18">
        <v>45</v>
      </c>
      <c r="P103" s="15">
        <v>17</v>
      </c>
      <c r="Q103" s="15">
        <v>23</v>
      </c>
      <c r="R103" s="15">
        <v>32</v>
      </c>
      <c r="S103" s="15">
        <v>45</v>
      </c>
      <c r="T103" s="16"/>
      <c r="U103" s="50">
        <f t="shared" si="38"/>
        <v>162</v>
      </c>
      <c r="W103" s="29">
        <v>45</v>
      </c>
      <c r="X103" s="30">
        <v>17</v>
      </c>
      <c r="Y103" s="30">
        <v>23</v>
      </c>
      <c r="Z103" s="30">
        <v>2</v>
      </c>
      <c r="AA103" s="30"/>
      <c r="AB103" s="31"/>
      <c r="AC103" s="31">
        <f t="shared" si="39"/>
        <v>87</v>
      </c>
      <c r="AE103" s="35"/>
      <c r="AF103" s="36"/>
      <c r="AG103" s="36"/>
      <c r="AH103" s="36">
        <f t="shared" si="41"/>
        <v>30</v>
      </c>
      <c r="AI103" s="36">
        <f t="shared" si="42"/>
        <v>45</v>
      </c>
      <c r="AJ103" s="37"/>
      <c r="AK103" s="37">
        <f t="shared" si="43"/>
        <v>75</v>
      </c>
    </row>
    <row r="104" spans="2:37" ht="18" customHeight="1" x14ac:dyDescent="0.2">
      <c r="B104" s="8">
        <f>garage!B104</f>
        <v>104</v>
      </c>
      <c r="C104" s="8">
        <f>garage!C104</f>
        <v>3</v>
      </c>
      <c r="D104" s="8">
        <f>garage!D104</f>
        <v>32</v>
      </c>
      <c r="E104" s="8">
        <f>garage!E104</f>
        <v>0</v>
      </c>
      <c r="F104" s="8" t="str">
        <f>garage!F104</f>
        <v>--</v>
      </c>
      <c r="G104" s="8" t="str">
        <f>garage!G104</f>
        <v>O</v>
      </c>
      <c r="H104" s="8" t="str">
        <f>garage!H104</f>
        <v>O</v>
      </c>
      <c r="I104" s="8" t="str">
        <f>garage!I104</f>
        <v>O</v>
      </c>
      <c r="J104" s="8" t="str">
        <f>garage!J104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N</v>
      </c>
      <c r="O104" s="17">
        <v>30</v>
      </c>
      <c r="P104" s="13">
        <v>9</v>
      </c>
      <c r="Q104" s="13">
        <v>13</v>
      </c>
      <c r="R104" s="13">
        <v>21</v>
      </c>
      <c r="S104" s="13">
        <v>32</v>
      </c>
      <c r="T104" s="14"/>
      <c r="U104" s="49">
        <f t="shared" si="38"/>
        <v>105</v>
      </c>
      <c r="W104" s="26">
        <v>30</v>
      </c>
      <c r="X104" s="27">
        <v>9</v>
      </c>
      <c r="Y104" s="27">
        <v>13</v>
      </c>
      <c r="Z104" s="27">
        <v>21</v>
      </c>
      <c r="AA104" s="27">
        <v>32</v>
      </c>
      <c r="AB104" s="28"/>
      <c r="AC104" s="28">
        <f t="shared" si="39"/>
        <v>105</v>
      </c>
      <c r="AE104" s="32"/>
      <c r="AF104" s="33"/>
      <c r="AG104" s="33"/>
      <c r="AH104" s="33"/>
      <c r="AI104" s="33"/>
      <c r="AJ104" s="34"/>
      <c r="AK104" s="34"/>
    </row>
    <row r="105" spans="2:37" ht="18" customHeight="1" x14ac:dyDescent="0.2">
      <c r="B105" s="10">
        <f>garage!B105</f>
        <v>105</v>
      </c>
      <c r="C105" s="10">
        <f>garage!C105</f>
        <v>3</v>
      </c>
      <c r="D105" s="10">
        <f>garage!D105</f>
        <v>33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N</v>
      </c>
      <c r="J105" s="10" t="str">
        <f>garage!J105</f>
        <v>N</v>
      </c>
      <c r="K105" s="10" t="str">
        <f>garage!K105</f>
        <v>B</v>
      </c>
      <c r="L105" s="11" t="str">
        <f>garage!L105</f>
        <v>Mercedes-Benz</v>
      </c>
      <c r="M105" s="11" t="str">
        <f>garage!M105</f>
        <v>SLR McLaren</v>
      </c>
      <c r="O105" s="18">
        <v>45</v>
      </c>
      <c r="P105" s="15">
        <v>17</v>
      </c>
      <c r="Q105" s="15">
        <v>23</v>
      </c>
      <c r="R105" s="15">
        <v>32</v>
      </c>
      <c r="S105" s="15">
        <v>45</v>
      </c>
      <c r="T105" s="16"/>
      <c r="U105" s="50">
        <f t="shared" si="38"/>
        <v>162</v>
      </c>
      <c r="W105" s="29">
        <v>45</v>
      </c>
      <c r="X105" s="30">
        <v>17</v>
      </c>
      <c r="Y105" s="30">
        <v>23</v>
      </c>
      <c r="Z105" s="30">
        <v>32</v>
      </c>
      <c r="AA105" s="30">
        <v>45</v>
      </c>
      <c r="AB105" s="31"/>
      <c r="AC105" s="31">
        <f t="shared" si="39"/>
        <v>162</v>
      </c>
      <c r="AE105" s="35"/>
      <c r="AF105" s="36"/>
      <c r="AG105" s="36"/>
      <c r="AH105" s="36"/>
      <c r="AI105" s="36"/>
      <c r="AJ105" s="37"/>
      <c r="AK105" s="37"/>
    </row>
    <row r="106" spans="2:37" ht="18" customHeight="1" x14ac:dyDescent="0.2">
      <c r="B106" s="8">
        <f>garage!B106</f>
        <v>106</v>
      </c>
      <c r="C106" s="8">
        <f>garage!C106</f>
        <v>3</v>
      </c>
      <c r="D106" s="8">
        <f>garage!D106</f>
        <v>34</v>
      </c>
      <c r="E106" s="8">
        <f>garage!E106</f>
        <v>8</v>
      </c>
      <c r="F106" s="8" t="str">
        <f>garage!F106</f>
        <v>AM</v>
      </c>
      <c r="G106" s="8" t="str">
        <f>garage!G106</f>
        <v>O</v>
      </c>
      <c r="H106" s="8" t="str">
        <f>garage!H106</f>
        <v>O</v>
      </c>
      <c r="I106" s="8" t="str">
        <f>garage!I106</f>
        <v>O</v>
      </c>
      <c r="J106" s="8" t="str">
        <f>garage!J106</f>
        <v>N</v>
      </c>
      <c r="K106" s="8" t="str">
        <f>garage!K106</f>
        <v>B</v>
      </c>
      <c r="L106" s="9" t="str">
        <f>garage!L106</f>
        <v>Aston Martin</v>
      </c>
      <c r="M106" s="9" t="str">
        <f>garage!M106</f>
        <v>DBS Superleggera</v>
      </c>
      <c r="O106" s="17">
        <v>45</v>
      </c>
      <c r="P106" s="13">
        <v>17</v>
      </c>
      <c r="Q106" s="13">
        <v>23</v>
      </c>
      <c r="R106" s="13">
        <v>32</v>
      </c>
      <c r="S106" s="13">
        <v>45</v>
      </c>
      <c r="T106" s="14"/>
      <c r="U106" s="49">
        <f t="shared" si="38"/>
        <v>162</v>
      </c>
      <c r="W106" s="26">
        <v>45</v>
      </c>
      <c r="X106" s="27">
        <v>17</v>
      </c>
      <c r="Y106" s="27">
        <v>23</v>
      </c>
      <c r="Z106" s="27">
        <v>32</v>
      </c>
      <c r="AA106" s="27">
        <v>45</v>
      </c>
      <c r="AB106" s="28"/>
      <c r="AC106" s="28">
        <f t="shared" si="39"/>
        <v>162</v>
      </c>
      <c r="AE106" s="32"/>
      <c r="AF106" s="33"/>
      <c r="AG106" s="33"/>
      <c r="AH106" s="33"/>
      <c r="AI106" s="33"/>
      <c r="AJ106" s="34"/>
      <c r="AK106" s="34"/>
    </row>
    <row r="107" spans="2:37" ht="18" customHeight="1" x14ac:dyDescent="0.2">
      <c r="B107" s="10">
        <f>garage!B107</f>
        <v>107</v>
      </c>
      <c r="C107" s="10">
        <f>garage!C107</f>
        <v>3</v>
      </c>
      <c r="D107" s="10">
        <f>garage!D107</f>
        <v>35</v>
      </c>
      <c r="E107" s="10">
        <f>garage!E107</f>
        <v>18</v>
      </c>
      <c r="F107" s="10" t="str">
        <f>garage!F107</f>
        <v>L</v>
      </c>
      <c r="G107" s="10" t="str">
        <f>garage!G107</f>
        <v>O</v>
      </c>
      <c r="H107" s="10" t="str">
        <f>garage!H107</f>
        <v>N</v>
      </c>
      <c r="I107" s="10" t="str">
        <f>garage!I107</f>
        <v>N</v>
      </c>
      <c r="J107" s="10" t="str">
        <f>garage!J107</f>
        <v>N</v>
      </c>
      <c r="K107" s="10" t="str">
        <f>garage!K107</f>
        <v>B</v>
      </c>
      <c r="L107" s="11" t="str">
        <f>garage!L107</f>
        <v>Lamborghini</v>
      </c>
      <c r="M107" s="11" t="str">
        <f>garage!M107</f>
        <v>Essenza SCV12</v>
      </c>
      <c r="O107" s="18" t="s">
        <v>432</v>
      </c>
      <c r="P107" s="15">
        <v>26</v>
      </c>
      <c r="Q107" s="15">
        <v>34</v>
      </c>
      <c r="R107" s="15">
        <v>40</v>
      </c>
      <c r="S107" s="15">
        <v>62</v>
      </c>
      <c r="T107" s="16"/>
      <c r="U107" s="50">
        <f t="shared" si="38"/>
        <v>162</v>
      </c>
      <c r="W107" s="29" t="s">
        <v>432</v>
      </c>
      <c r="X107" s="30">
        <v>26</v>
      </c>
      <c r="Y107" s="30">
        <v>23</v>
      </c>
      <c r="Z107" s="30"/>
      <c r="AA107" s="30"/>
      <c r="AB107" s="31"/>
      <c r="AC107" s="31">
        <f t="shared" si="39"/>
        <v>49</v>
      </c>
      <c r="AE107" s="35" t="s">
        <v>432</v>
      </c>
      <c r="AF107" s="36"/>
      <c r="AG107" s="36">
        <f t="shared" si="40"/>
        <v>11</v>
      </c>
      <c r="AH107" s="36">
        <f t="shared" si="41"/>
        <v>40</v>
      </c>
      <c r="AI107" s="36">
        <f t="shared" si="42"/>
        <v>62</v>
      </c>
      <c r="AJ107" s="37"/>
      <c r="AK107" s="37">
        <f t="shared" si="43"/>
        <v>113</v>
      </c>
    </row>
    <row r="108" spans="2:37" ht="18" customHeight="1" x14ac:dyDescent="0.2">
      <c r="B108" s="8">
        <f>garage!B108</f>
        <v>108</v>
      </c>
      <c r="C108" s="8">
        <f>garage!C108</f>
        <v>3</v>
      </c>
      <c r="D108" s="8">
        <f>garage!D108</f>
        <v>36</v>
      </c>
      <c r="E108" s="8">
        <f>garage!E108</f>
        <v>29</v>
      </c>
      <c r="F108" s="8" t="str">
        <f>garage!F108</f>
        <v>M</v>
      </c>
      <c r="G108" s="8" t="str">
        <f>garage!G108</f>
        <v>N</v>
      </c>
      <c r="H108" s="8" t="str">
        <f>garage!H108</f>
        <v>N</v>
      </c>
      <c r="I108" s="8" t="str">
        <f>garage!I108</f>
        <v>N</v>
      </c>
      <c r="J108" s="8" t="str">
        <f>garage!J108</f>
        <v>N</v>
      </c>
      <c r="K108" s="8" t="str">
        <f>garage!K108</f>
        <v>B</v>
      </c>
      <c r="L108" s="9" t="str">
        <f>garage!L108</f>
        <v>McLaren</v>
      </c>
      <c r="M108" s="9" t="str">
        <f>garage!M108</f>
        <v>600LT Spider</v>
      </c>
      <c r="O108" s="17">
        <v>45</v>
      </c>
      <c r="P108" s="13">
        <v>17</v>
      </c>
      <c r="Q108" s="13">
        <v>23</v>
      </c>
      <c r="R108" s="13">
        <v>32</v>
      </c>
      <c r="S108" s="13">
        <v>45</v>
      </c>
      <c r="T108" s="14"/>
      <c r="U108" s="49">
        <f t="shared" si="38"/>
        <v>162</v>
      </c>
      <c r="W108" s="26">
        <v>11</v>
      </c>
      <c r="X108" s="27">
        <v>0</v>
      </c>
      <c r="Y108" s="27">
        <v>0</v>
      </c>
      <c r="Z108" s="27">
        <v>0</v>
      </c>
      <c r="AA108" s="27">
        <v>0</v>
      </c>
      <c r="AB108" s="28"/>
      <c r="AC108" s="28">
        <f t="shared" si="39"/>
        <v>11</v>
      </c>
      <c r="AE108" s="32">
        <f t="shared" ref="AE108:AE162" si="44">O108-W108</f>
        <v>34</v>
      </c>
      <c r="AF108" s="33">
        <f t="shared" ref="AF108:AF162" si="45">P108-X108</f>
        <v>17</v>
      </c>
      <c r="AG108" s="33">
        <f t="shared" si="40"/>
        <v>23</v>
      </c>
      <c r="AH108" s="33">
        <f t="shared" si="41"/>
        <v>32</v>
      </c>
      <c r="AI108" s="33">
        <f t="shared" si="42"/>
        <v>45</v>
      </c>
      <c r="AJ108" s="34"/>
      <c r="AK108" s="34">
        <f t="shared" si="43"/>
        <v>151</v>
      </c>
    </row>
    <row r="109" spans="2:37" ht="18" customHeight="1" x14ac:dyDescent="0.2">
      <c r="B109" s="10">
        <f>garage!B109</f>
        <v>109</v>
      </c>
      <c r="C109" s="10">
        <f>garage!C109</f>
        <v>3</v>
      </c>
      <c r="D109" s="10">
        <f>garage!D109</f>
        <v>37</v>
      </c>
      <c r="E109" s="10">
        <f>garage!E109</f>
        <v>24</v>
      </c>
      <c r="F109" s="10" t="str">
        <f>garage!F109</f>
        <v>--</v>
      </c>
      <c r="G109" s="10" t="str">
        <f>garage!G109</f>
        <v>O</v>
      </c>
      <c r="H109" s="10" t="str">
        <f>garage!H109</f>
        <v>N</v>
      </c>
      <c r="I109" s="10" t="str">
        <f>garage!I109</f>
        <v>N</v>
      </c>
      <c r="J109" s="10" t="str">
        <f>garage!J109</f>
        <v>N</v>
      </c>
      <c r="K109" s="10" t="str">
        <f>garage!K109</f>
        <v>B</v>
      </c>
      <c r="L109" s="11" t="str">
        <f>garage!L109</f>
        <v>Puritalia</v>
      </c>
      <c r="M109" s="11" t="str">
        <f>garage!M109</f>
        <v>Berlinetta</v>
      </c>
      <c r="O109" s="18">
        <v>45</v>
      </c>
      <c r="P109" s="15">
        <v>17</v>
      </c>
      <c r="Q109" s="15">
        <v>23</v>
      </c>
      <c r="R109" s="15">
        <v>32</v>
      </c>
      <c r="S109" s="15">
        <v>45</v>
      </c>
      <c r="T109" s="16"/>
      <c r="U109" s="50">
        <f t="shared" si="38"/>
        <v>162</v>
      </c>
      <c r="W109" s="29">
        <v>45</v>
      </c>
      <c r="X109" s="30">
        <v>17</v>
      </c>
      <c r="Y109" s="30">
        <v>16</v>
      </c>
      <c r="Z109" s="30"/>
      <c r="AA109" s="30"/>
      <c r="AB109" s="31"/>
      <c r="AC109" s="31">
        <f t="shared" si="39"/>
        <v>78</v>
      </c>
      <c r="AE109" s="35"/>
      <c r="AF109" s="36"/>
      <c r="AG109" s="36">
        <f t="shared" si="40"/>
        <v>7</v>
      </c>
      <c r="AH109" s="36">
        <f t="shared" si="41"/>
        <v>32</v>
      </c>
      <c r="AI109" s="36">
        <f t="shared" si="42"/>
        <v>45</v>
      </c>
      <c r="AJ109" s="37"/>
      <c r="AK109" s="37">
        <f t="shared" si="43"/>
        <v>84</v>
      </c>
    </row>
    <row r="110" spans="2:37" ht="18" customHeight="1" x14ac:dyDescent="0.2">
      <c r="B110" s="8">
        <f>garage!B110</f>
        <v>110</v>
      </c>
      <c r="C110" s="8">
        <f>garage!C110</f>
        <v>3</v>
      </c>
      <c r="D110" s="8">
        <f>garage!D110</f>
        <v>38</v>
      </c>
      <c r="E110" s="8">
        <f>garage!E110</f>
        <v>0</v>
      </c>
      <c r="F110" s="8" t="str">
        <f>garage!F110</f>
        <v>L</v>
      </c>
      <c r="G110" s="8" t="str">
        <f>garage!G110</f>
        <v>O</v>
      </c>
      <c r="H110" s="8" t="str">
        <f>garage!H110</f>
        <v>O</v>
      </c>
      <c r="I110" s="8" t="str">
        <f>garage!I110</f>
        <v>O</v>
      </c>
      <c r="J110" s="8" t="str">
        <f>garage!J110</f>
        <v>N</v>
      </c>
      <c r="K110" s="8" t="str">
        <f>garage!K110</f>
        <v>B</v>
      </c>
      <c r="L110" s="9" t="str">
        <f>garage!L110</f>
        <v>Lamborghini</v>
      </c>
      <c r="M110" s="9" t="str">
        <f>garage!M110</f>
        <v>Huracán Evo Spyder</v>
      </c>
      <c r="O110" s="17">
        <v>45</v>
      </c>
      <c r="P110" s="13">
        <v>17</v>
      </c>
      <c r="Q110" s="13">
        <v>23</v>
      </c>
      <c r="R110" s="13">
        <v>32</v>
      </c>
      <c r="S110" s="13">
        <v>45</v>
      </c>
      <c r="T110" s="14"/>
      <c r="U110" s="49">
        <f t="shared" si="38"/>
        <v>162</v>
      </c>
      <c r="W110" s="26">
        <v>45</v>
      </c>
      <c r="X110" s="27">
        <v>17</v>
      </c>
      <c r="Y110" s="27">
        <v>23</v>
      </c>
      <c r="Z110" s="27">
        <v>32</v>
      </c>
      <c r="AA110" s="27">
        <v>45</v>
      </c>
      <c r="AB110" s="28"/>
      <c r="AC110" s="28">
        <f t="shared" si="39"/>
        <v>162</v>
      </c>
      <c r="AE110" s="32"/>
      <c r="AF110" s="33"/>
      <c r="AG110" s="33"/>
      <c r="AH110" s="33"/>
      <c r="AI110" s="33"/>
      <c r="AJ110" s="34"/>
      <c r="AK110" s="34"/>
    </row>
    <row r="111" spans="2:37" ht="18" customHeight="1" x14ac:dyDescent="0.2">
      <c r="B111" s="10">
        <f>garage!B111</f>
        <v>111</v>
      </c>
      <c r="C111" s="10">
        <f>garage!C111</f>
        <v>3</v>
      </c>
      <c r="D111" s="10">
        <f>garage!D111</f>
        <v>39</v>
      </c>
      <c r="E111" s="10">
        <f>garage!E111</f>
        <v>11</v>
      </c>
      <c r="F111" s="10" t="str">
        <f>garage!F111</f>
        <v>P</v>
      </c>
      <c r="G111" s="10" t="str">
        <f>garage!G111</f>
        <v>O</v>
      </c>
      <c r="H111" s="10" t="str">
        <f>garage!H111</f>
        <v>N</v>
      </c>
      <c r="I111" s="10" t="str">
        <f>garage!I111</f>
        <v>N</v>
      </c>
      <c r="J111" s="10" t="str">
        <f>garage!J111</f>
        <v>N</v>
      </c>
      <c r="K111" s="10" t="str">
        <f>garage!K111</f>
        <v>B</v>
      </c>
      <c r="L111" s="11" t="str">
        <f>garage!L111</f>
        <v>Porsche</v>
      </c>
      <c r="M111" s="11" t="str">
        <f>garage!M111</f>
        <v>Carrera GT</v>
      </c>
      <c r="O111" s="18">
        <v>45</v>
      </c>
      <c r="P111" s="15">
        <v>17</v>
      </c>
      <c r="Q111" s="15">
        <v>23</v>
      </c>
      <c r="R111" s="15">
        <v>32</v>
      </c>
      <c r="S111" s="15">
        <v>45</v>
      </c>
      <c r="T111" s="16"/>
      <c r="U111" s="50">
        <f t="shared" si="38"/>
        <v>162</v>
      </c>
      <c r="W111" s="29">
        <v>45</v>
      </c>
      <c r="X111" s="30">
        <v>17</v>
      </c>
      <c r="Y111" s="30">
        <v>23</v>
      </c>
      <c r="Z111" s="30">
        <v>32</v>
      </c>
      <c r="AA111" s="30">
        <v>18</v>
      </c>
      <c r="AB111" s="31"/>
      <c r="AC111" s="31">
        <f t="shared" si="39"/>
        <v>135</v>
      </c>
      <c r="AE111" s="35"/>
      <c r="AF111" s="36"/>
      <c r="AG111" s="36"/>
      <c r="AH111" s="36"/>
      <c r="AI111" s="36">
        <f t="shared" si="42"/>
        <v>27</v>
      </c>
      <c r="AJ111" s="37"/>
      <c r="AK111" s="37">
        <f t="shared" si="43"/>
        <v>27</v>
      </c>
    </row>
    <row r="112" spans="2:37" ht="18" customHeight="1" x14ac:dyDescent="0.2">
      <c r="B112" s="8">
        <f>garage!B112</f>
        <v>112</v>
      </c>
      <c r="C112" s="8">
        <f>garage!C112</f>
        <v>3</v>
      </c>
      <c r="D112" s="8">
        <f>garage!D112</f>
        <v>40</v>
      </c>
      <c r="E112" s="8">
        <f>garage!E112</f>
        <v>22</v>
      </c>
      <c r="F112" s="8" t="str">
        <f>garage!F112</f>
        <v>--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garage!J112</f>
        <v>N</v>
      </c>
      <c r="K112" s="8" t="str">
        <f>garage!K112</f>
        <v>B</v>
      </c>
      <c r="L112" s="9" t="str">
        <f>garage!L112</f>
        <v>Nissan</v>
      </c>
      <c r="M112" s="9" t="str">
        <f>garage!M112</f>
        <v>GTR-50 Italdesign</v>
      </c>
      <c r="O112" s="17">
        <v>45</v>
      </c>
      <c r="P112" s="13">
        <v>17</v>
      </c>
      <c r="Q112" s="13">
        <v>23</v>
      </c>
      <c r="R112" s="13">
        <v>32</v>
      </c>
      <c r="S112" s="13">
        <v>45</v>
      </c>
      <c r="T112" s="14"/>
      <c r="U112" s="49">
        <f t="shared" si="38"/>
        <v>162</v>
      </c>
      <c r="W112" s="26">
        <v>45</v>
      </c>
      <c r="X112" s="27"/>
      <c r="Y112" s="27"/>
      <c r="Z112" s="27"/>
      <c r="AA112" s="27"/>
      <c r="AB112" s="28"/>
      <c r="AC112" s="28">
        <f t="shared" si="39"/>
        <v>45</v>
      </c>
      <c r="AE112" s="32"/>
      <c r="AF112" s="33">
        <f t="shared" si="45"/>
        <v>17</v>
      </c>
      <c r="AG112" s="33">
        <f t="shared" si="40"/>
        <v>23</v>
      </c>
      <c r="AH112" s="33">
        <f t="shared" si="41"/>
        <v>32</v>
      </c>
      <c r="AI112" s="33">
        <f t="shared" si="42"/>
        <v>45</v>
      </c>
      <c r="AJ112" s="34"/>
      <c r="AK112" s="34">
        <f t="shared" si="43"/>
        <v>117</v>
      </c>
    </row>
    <row r="113" spans="2:37" ht="18" customHeight="1" x14ac:dyDescent="0.2">
      <c r="B113" s="10">
        <f>garage!B113</f>
        <v>113</v>
      </c>
      <c r="C113" s="10">
        <f>garage!C113</f>
        <v>3</v>
      </c>
      <c r="D113" s="10">
        <f>garage!D113</f>
        <v>41</v>
      </c>
      <c r="E113" s="10">
        <f>garage!E113</f>
        <v>19</v>
      </c>
      <c r="F113" s="10" t="str">
        <f>garage!F113</f>
        <v>--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garage!J113</f>
        <v>O</v>
      </c>
      <c r="K113" s="10" t="str">
        <f>garage!K113</f>
        <v>B</v>
      </c>
      <c r="L113" s="11" t="str">
        <f>garage!L113</f>
        <v>Zenvo</v>
      </c>
      <c r="M113" s="11" t="str">
        <f>garage!M113</f>
        <v>TSR-S</v>
      </c>
      <c r="O113" s="18" t="s">
        <v>432</v>
      </c>
      <c r="P113" s="15">
        <v>26</v>
      </c>
      <c r="Q113" s="15">
        <v>34</v>
      </c>
      <c r="R113" s="15">
        <v>40</v>
      </c>
      <c r="S113" s="15">
        <v>62</v>
      </c>
      <c r="T113" s="16"/>
      <c r="U113" s="50">
        <f t="shared" si="38"/>
        <v>162</v>
      </c>
      <c r="W113" s="29"/>
      <c r="X113" s="30">
        <v>26</v>
      </c>
      <c r="Y113" s="30">
        <v>9</v>
      </c>
      <c r="Z113" s="30">
        <v>0</v>
      </c>
      <c r="AA113" s="30">
        <v>0</v>
      </c>
      <c r="AB113" s="31"/>
      <c r="AC113" s="31">
        <f t="shared" si="39"/>
        <v>35</v>
      </c>
      <c r="AE113" s="35" t="s">
        <v>432</v>
      </c>
      <c r="AF113" s="36"/>
      <c r="AG113" s="36">
        <f t="shared" si="40"/>
        <v>25</v>
      </c>
      <c r="AH113" s="36">
        <f t="shared" si="41"/>
        <v>40</v>
      </c>
      <c r="AI113" s="36">
        <f t="shared" si="42"/>
        <v>62</v>
      </c>
      <c r="AJ113" s="37"/>
      <c r="AK113" s="37">
        <f t="shared" si="43"/>
        <v>127</v>
      </c>
    </row>
    <row r="114" spans="2:37" ht="18" customHeight="1" x14ac:dyDescent="0.2">
      <c r="B114" s="8">
        <f>garage!B114</f>
        <v>114</v>
      </c>
      <c r="C114" s="8">
        <f>garage!C114</f>
        <v>3</v>
      </c>
      <c r="D114" s="8">
        <f>garage!D114</f>
        <v>42</v>
      </c>
      <c r="E114" s="8">
        <f>garage!E114</f>
        <v>25</v>
      </c>
      <c r="F114" s="8" t="str">
        <f>garage!F114</f>
        <v>L</v>
      </c>
      <c r="G114" s="8" t="str">
        <f>garage!G114</f>
        <v>N</v>
      </c>
      <c r="H114" s="8" t="str">
        <f>garage!H114</f>
        <v>N</v>
      </c>
      <c r="I114" s="8" t="str">
        <f>garage!I114</f>
        <v>N</v>
      </c>
      <c r="J114" s="8" t="str">
        <f>garage!J114</f>
        <v>N</v>
      </c>
      <c r="K114" s="8" t="str">
        <f>garage!K114</f>
        <v>B</v>
      </c>
      <c r="L114" s="9" t="str">
        <f>garage!L114</f>
        <v>Lamborghini</v>
      </c>
      <c r="M114" s="9" t="str">
        <f>garage!M114</f>
        <v>Sesto Elemento</v>
      </c>
      <c r="O114" s="17">
        <v>55</v>
      </c>
      <c r="P114" s="13">
        <v>18</v>
      </c>
      <c r="Q114" s="13">
        <v>24</v>
      </c>
      <c r="R114" s="13">
        <v>32</v>
      </c>
      <c r="S114" s="13">
        <v>47</v>
      </c>
      <c r="T114" s="14">
        <v>50</v>
      </c>
      <c r="U114" s="49">
        <f t="shared" si="38"/>
        <v>226</v>
      </c>
      <c r="W114" s="26">
        <v>24</v>
      </c>
      <c r="X114" s="27">
        <v>0</v>
      </c>
      <c r="Y114" s="27">
        <v>0</v>
      </c>
      <c r="Z114" s="27">
        <v>0</v>
      </c>
      <c r="AA114" s="27">
        <v>0</v>
      </c>
      <c r="AB114" s="28">
        <v>0</v>
      </c>
      <c r="AC114" s="28">
        <f t="shared" si="39"/>
        <v>24</v>
      </c>
      <c r="AE114" s="32">
        <f t="shared" si="44"/>
        <v>31</v>
      </c>
      <c r="AF114" s="33">
        <f t="shared" si="45"/>
        <v>18</v>
      </c>
      <c r="AG114" s="33">
        <f t="shared" si="40"/>
        <v>24</v>
      </c>
      <c r="AH114" s="33">
        <f t="shared" si="41"/>
        <v>32</v>
      </c>
      <c r="AI114" s="33">
        <f t="shared" si="42"/>
        <v>47</v>
      </c>
      <c r="AJ114" s="34">
        <f t="shared" ref="AJ114:AJ162" si="46">T114-AB114</f>
        <v>50</v>
      </c>
      <c r="AK114" s="34">
        <f t="shared" si="43"/>
        <v>202</v>
      </c>
    </row>
    <row r="115" spans="2:37" ht="18" customHeight="1" x14ac:dyDescent="0.2">
      <c r="B115" s="10">
        <f>garage!B115</f>
        <v>115</v>
      </c>
      <c r="C115" s="10">
        <f>garage!C115</f>
        <v>3</v>
      </c>
      <c r="D115" s="10">
        <f>garage!D115</f>
        <v>43</v>
      </c>
      <c r="E115" s="10">
        <f>garage!E115</f>
        <v>7</v>
      </c>
      <c r="F115" s="10" t="str">
        <f>garage!F115</f>
        <v>P</v>
      </c>
      <c r="G115" s="10" t="str">
        <f>garage!G115</f>
        <v>O</v>
      </c>
      <c r="H115" s="10" t="str">
        <f>garage!H115</f>
        <v>N</v>
      </c>
      <c r="I115" s="10" t="str">
        <f>garage!I115</f>
        <v>N</v>
      </c>
      <c r="J115" s="10" t="str">
        <f>garage!J115</f>
        <v>N</v>
      </c>
      <c r="K115" s="10" t="str">
        <f>garage!K115</f>
        <v>B</v>
      </c>
      <c r="L115" s="11" t="str">
        <f>garage!L115</f>
        <v>Porsche</v>
      </c>
      <c r="M115" s="11" t="str">
        <f>garage!M115</f>
        <v>911 GT3 RS</v>
      </c>
      <c r="O115" s="18">
        <v>55</v>
      </c>
      <c r="P115" s="15">
        <v>18</v>
      </c>
      <c r="Q115" s="15">
        <v>24</v>
      </c>
      <c r="R115" s="15">
        <v>32</v>
      </c>
      <c r="S115" s="15">
        <v>47</v>
      </c>
      <c r="T115" s="16">
        <v>50</v>
      </c>
      <c r="U115" s="50">
        <f t="shared" si="38"/>
        <v>226</v>
      </c>
      <c r="W115" s="29">
        <v>55</v>
      </c>
      <c r="X115" s="30">
        <v>18</v>
      </c>
      <c r="Y115" s="30">
        <v>24</v>
      </c>
      <c r="Z115" s="30">
        <v>32</v>
      </c>
      <c r="AA115" s="30">
        <v>47</v>
      </c>
      <c r="AB115" s="31">
        <v>30</v>
      </c>
      <c r="AC115" s="31">
        <f t="shared" si="39"/>
        <v>206</v>
      </c>
      <c r="AE115" s="35"/>
      <c r="AF115" s="36"/>
      <c r="AG115" s="36"/>
      <c r="AH115" s="36"/>
      <c r="AI115" s="36"/>
      <c r="AJ115" s="37">
        <f t="shared" si="46"/>
        <v>20</v>
      </c>
      <c r="AK115" s="37">
        <f t="shared" si="43"/>
        <v>20</v>
      </c>
    </row>
    <row r="116" spans="2:37" ht="18" customHeight="1" x14ac:dyDescent="0.2">
      <c r="B116" s="8">
        <f>garage!B116</f>
        <v>116</v>
      </c>
      <c r="C116" s="8">
        <f>garage!C116</f>
        <v>3</v>
      </c>
      <c r="D116" s="8">
        <f>garage!D116</f>
        <v>44</v>
      </c>
      <c r="E116" s="8">
        <f>garage!E116</f>
        <v>15</v>
      </c>
      <c r="F116" s="8" t="str">
        <f>garage!F116</f>
        <v>F</v>
      </c>
      <c r="G116" s="8" t="str">
        <f>garage!G116</f>
        <v>N</v>
      </c>
      <c r="H116" s="8" t="str">
        <f>garage!H116</f>
        <v>N</v>
      </c>
      <c r="I116" s="8" t="str">
        <f>garage!I116</f>
        <v>N</v>
      </c>
      <c r="J116" s="8" t="str">
        <f>garage!J116</f>
        <v>O</v>
      </c>
      <c r="K116" s="8" t="str">
        <f>garage!K116</f>
        <v>B</v>
      </c>
      <c r="L116" s="9" t="str">
        <f>garage!L116</f>
        <v>Ferrari</v>
      </c>
      <c r="M116" s="9" t="str">
        <f>garage!M116</f>
        <v>488 GTB Challenge EVO</v>
      </c>
      <c r="O116" s="17" t="s">
        <v>432</v>
      </c>
      <c r="P116" s="13">
        <v>26</v>
      </c>
      <c r="Q116" s="13">
        <v>34</v>
      </c>
      <c r="R116" s="13">
        <v>45</v>
      </c>
      <c r="S116" s="13">
        <v>61</v>
      </c>
      <c r="T116" s="14">
        <v>78</v>
      </c>
      <c r="U116" s="49">
        <f t="shared" si="38"/>
        <v>244</v>
      </c>
      <c r="W116" s="26"/>
      <c r="X116" s="27">
        <v>26</v>
      </c>
      <c r="Y116" s="27">
        <v>34</v>
      </c>
      <c r="Z116" s="27">
        <v>1</v>
      </c>
      <c r="AA116" s="27">
        <v>0</v>
      </c>
      <c r="AB116" s="28">
        <v>0</v>
      </c>
      <c r="AC116" s="28">
        <f t="shared" si="39"/>
        <v>61</v>
      </c>
      <c r="AE116" s="32" t="s">
        <v>432</v>
      </c>
      <c r="AF116" s="33"/>
      <c r="AG116" s="33"/>
      <c r="AH116" s="33">
        <f t="shared" si="41"/>
        <v>44</v>
      </c>
      <c r="AI116" s="33">
        <f t="shared" si="42"/>
        <v>61</v>
      </c>
      <c r="AJ116" s="34">
        <f t="shared" si="46"/>
        <v>78</v>
      </c>
      <c r="AK116" s="34">
        <f t="shared" si="43"/>
        <v>183</v>
      </c>
    </row>
    <row r="117" spans="2:37" ht="18" customHeight="1" x14ac:dyDescent="0.2">
      <c r="B117" s="10">
        <f>garage!B117</f>
        <v>117</v>
      </c>
      <c r="C117" s="10">
        <f>garage!C117</f>
        <v>3</v>
      </c>
      <c r="D117" s="10">
        <f>garage!D117</f>
        <v>45</v>
      </c>
      <c r="E117" s="10">
        <f>garage!E117</f>
        <v>10</v>
      </c>
      <c r="F117" s="10" t="str">
        <f>garage!F117</f>
        <v>--</v>
      </c>
      <c r="G117" s="10" t="str">
        <f>garage!G117</f>
        <v>O</v>
      </c>
      <c r="H117" s="10" t="str">
        <f>garage!H117</f>
        <v>N</v>
      </c>
      <c r="I117" s="10" t="str">
        <f>garage!I117</f>
        <v>N</v>
      </c>
      <c r="J117" s="10" t="str">
        <f>garage!J117</f>
        <v>N</v>
      </c>
      <c r="K117" s="10" t="str">
        <f>garage!K117</f>
        <v>B</v>
      </c>
      <c r="L117" s="11" t="str">
        <f>garage!L117</f>
        <v>Lotus</v>
      </c>
      <c r="M117" s="11" t="str">
        <f>garage!M117</f>
        <v>Evija</v>
      </c>
      <c r="O117" s="18">
        <v>55</v>
      </c>
      <c r="P117" s="15">
        <v>18</v>
      </c>
      <c r="Q117" s="15">
        <v>24</v>
      </c>
      <c r="R117" s="15">
        <v>32</v>
      </c>
      <c r="S117" s="15">
        <v>50</v>
      </c>
      <c r="T117" s="16">
        <v>61</v>
      </c>
      <c r="U117" s="50">
        <f t="shared" si="38"/>
        <v>240</v>
      </c>
      <c r="W117" s="29">
        <v>55</v>
      </c>
      <c r="X117" s="30">
        <v>18</v>
      </c>
      <c r="Y117" s="30">
        <v>4</v>
      </c>
      <c r="Z117" s="30"/>
      <c r="AA117" s="30"/>
      <c r="AB117" s="31"/>
      <c r="AC117" s="31">
        <f t="shared" si="39"/>
        <v>77</v>
      </c>
      <c r="AE117" s="35"/>
      <c r="AF117" s="36"/>
      <c r="AG117" s="36">
        <f t="shared" si="40"/>
        <v>20</v>
      </c>
      <c r="AH117" s="36">
        <f t="shared" si="41"/>
        <v>32</v>
      </c>
      <c r="AI117" s="36">
        <f t="shared" si="42"/>
        <v>50</v>
      </c>
      <c r="AJ117" s="37">
        <f t="shared" si="46"/>
        <v>61</v>
      </c>
      <c r="AK117" s="37">
        <f t="shared" si="43"/>
        <v>163</v>
      </c>
    </row>
    <row r="118" spans="2:37" ht="18" customHeight="1" x14ac:dyDescent="0.2">
      <c r="B118" s="8">
        <f>garage!B118</f>
        <v>118</v>
      </c>
      <c r="C118" s="8">
        <f>garage!C118</f>
        <v>3</v>
      </c>
      <c r="D118" s="8">
        <f>garage!D118</f>
        <v>46</v>
      </c>
      <c r="E118" s="8">
        <f>garage!E118</f>
        <v>0</v>
      </c>
      <c r="F118" s="8" t="str">
        <f>garage!F118</f>
        <v>M</v>
      </c>
      <c r="G118" s="8" t="str">
        <f>garage!G118</f>
        <v>O</v>
      </c>
      <c r="H118" s="8" t="str">
        <f>garage!H118</f>
        <v>O</v>
      </c>
      <c r="I118" s="8" t="str">
        <f>garage!I118</f>
        <v>N</v>
      </c>
      <c r="J118" s="8" t="str">
        <f>garage!J118</f>
        <v>N</v>
      </c>
      <c r="K118" s="8" t="str">
        <f>garage!K118</f>
        <v>B</v>
      </c>
      <c r="L118" s="9" t="str">
        <f>garage!L118</f>
        <v>McLaren</v>
      </c>
      <c r="M118" s="9" t="str">
        <f>garage!M118</f>
        <v>F1 LM</v>
      </c>
      <c r="O118" s="17" t="s">
        <v>432</v>
      </c>
      <c r="P118" s="13">
        <v>26</v>
      </c>
      <c r="Q118" s="13">
        <v>34</v>
      </c>
      <c r="R118" s="13">
        <v>45</v>
      </c>
      <c r="S118" s="13">
        <v>61</v>
      </c>
      <c r="T118" s="14">
        <v>78</v>
      </c>
      <c r="U118" s="49">
        <f t="shared" si="38"/>
        <v>244</v>
      </c>
      <c r="W118" s="26" t="s">
        <v>432</v>
      </c>
      <c r="X118" s="27">
        <v>26</v>
      </c>
      <c r="Y118" s="27">
        <v>34</v>
      </c>
      <c r="Z118" s="27">
        <v>45</v>
      </c>
      <c r="AA118" s="27">
        <v>61</v>
      </c>
      <c r="AB118" s="28">
        <v>78</v>
      </c>
      <c r="AC118" s="28">
        <f t="shared" si="39"/>
        <v>244</v>
      </c>
      <c r="AE118" s="32"/>
      <c r="AF118" s="33"/>
      <c r="AG118" s="33"/>
      <c r="AH118" s="33"/>
      <c r="AI118" s="33"/>
      <c r="AJ118" s="34"/>
      <c r="AK118" s="34"/>
    </row>
    <row r="119" spans="2:37" ht="18" customHeight="1" x14ac:dyDescent="0.2">
      <c r="B119" s="10">
        <f>garage!B119</f>
        <v>119</v>
      </c>
      <c r="C119" s="10">
        <f>garage!C119</f>
        <v>3</v>
      </c>
      <c r="D119" s="10">
        <f>garage!D119</f>
        <v>47</v>
      </c>
      <c r="E119" s="10">
        <f>garage!E119</f>
        <v>19</v>
      </c>
      <c r="F119" s="10" t="str">
        <f>garage!F119</f>
        <v>--</v>
      </c>
      <c r="G119" s="10" t="str">
        <f>garage!G119</f>
        <v>O</v>
      </c>
      <c r="H119" s="10" t="str">
        <f>garage!H119</f>
        <v>O</v>
      </c>
      <c r="I119" s="10" t="str">
        <f>garage!I119</f>
        <v>O</v>
      </c>
      <c r="J119" s="10" t="str">
        <f>garage!J119</f>
        <v>N</v>
      </c>
      <c r="K119" s="10" t="str">
        <f>garage!K119</f>
        <v>B</v>
      </c>
      <c r="L119" s="11" t="str">
        <f>garage!L119</f>
        <v>Volkswagen</v>
      </c>
      <c r="M119" s="11" t="str">
        <f>garage!M119</f>
        <v>W12 Coupe</v>
      </c>
      <c r="O119" s="18" t="s">
        <v>432</v>
      </c>
      <c r="P119" s="15">
        <v>26</v>
      </c>
      <c r="Q119" s="15">
        <v>34</v>
      </c>
      <c r="R119" s="15">
        <v>46</v>
      </c>
      <c r="S119" s="15">
        <v>61</v>
      </c>
      <c r="T119" s="16">
        <v>78</v>
      </c>
      <c r="U119" s="50">
        <f t="shared" si="38"/>
        <v>245</v>
      </c>
      <c r="W119" s="29" t="s">
        <v>432</v>
      </c>
      <c r="X119" s="30">
        <v>26</v>
      </c>
      <c r="Y119" s="30">
        <v>34</v>
      </c>
      <c r="Z119" s="30">
        <v>46</v>
      </c>
      <c r="AA119" s="30">
        <v>61</v>
      </c>
      <c r="AB119" s="31">
        <v>78</v>
      </c>
      <c r="AC119" s="31">
        <f t="shared" si="39"/>
        <v>245</v>
      </c>
      <c r="AE119" s="35"/>
      <c r="AF119" s="36"/>
      <c r="AG119" s="36"/>
      <c r="AH119" s="36"/>
      <c r="AI119" s="36"/>
      <c r="AJ119" s="37"/>
      <c r="AK119" s="37"/>
    </row>
    <row r="120" spans="2:37" ht="18" customHeight="1" x14ac:dyDescent="0.2">
      <c r="B120" s="8">
        <f>garage!B120</f>
        <v>120</v>
      </c>
      <c r="C120" s="8">
        <f>garage!C120</f>
        <v>3</v>
      </c>
      <c r="D120" s="8">
        <f>garage!D120</f>
        <v>48</v>
      </c>
      <c r="E120" s="8">
        <f>garage!E120</f>
        <v>26</v>
      </c>
      <c r="F120" s="8" t="str">
        <f>garage!F120</f>
        <v>--</v>
      </c>
      <c r="G120" s="8" t="str">
        <f>garage!G120</f>
        <v>N</v>
      </c>
      <c r="H120" s="8" t="str">
        <f>garage!H120</f>
        <v>N</v>
      </c>
      <c r="I120" s="8" t="str">
        <f>garage!I120</f>
        <v>N</v>
      </c>
      <c r="J120" s="8" t="str">
        <f>garage!J120</f>
        <v>N</v>
      </c>
      <c r="K120" s="8" t="str">
        <f>garage!K120</f>
        <v>B</v>
      </c>
      <c r="L120" s="9" t="str">
        <f>garage!L120</f>
        <v>Pagani</v>
      </c>
      <c r="M120" s="9" t="str">
        <f>garage!M120</f>
        <v>Huayra R</v>
      </c>
      <c r="O120" s="17">
        <v>55</v>
      </c>
      <c r="P120" s="13">
        <v>18</v>
      </c>
      <c r="Q120" s="13">
        <v>24</v>
      </c>
      <c r="R120" s="13">
        <v>32</v>
      </c>
      <c r="S120" s="13">
        <v>50</v>
      </c>
      <c r="T120" s="14">
        <v>61</v>
      </c>
      <c r="U120" s="49">
        <f t="shared" si="38"/>
        <v>240</v>
      </c>
      <c r="W120" s="26">
        <v>1</v>
      </c>
      <c r="X120" s="27">
        <v>0</v>
      </c>
      <c r="Y120" s="27">
        <v>0</v>
      </c>
      <c r="Z120" s="27">
        <v>0</v>
      </c>
      <c r="AA120" s="27">
        <v>0</v>
      </c>
      <c r="AB120" s="28">
        <v>0</v>
      </c>
      <c r="AC120" s="28">
        <f t="shared" si="39"/>
        <v>1</v>
      </c>
      <c r="AE120" s="32">
        <f t="shared" si="44"/>
        <v>54</v>
      </c>
      <c r="AF120" s="33">
        <f t="shared" si="45"/>
        <v>18</v>
      </c>
      <c r="AG120" s="33">
        <f t="shared" si="40"/>
        <v>24</v>
      </c>
      <c r="AH120" s="33">
        <f t="shared" si="41"/>
        <v>32</v>
      </c>
      <c r="AI120" s="33">
        <f t="shared" si="42"/>
        <v>50</v>
      </c>
      <c r="AJ120" s="34">
        <f t="shared" si="46"/>
        <v>61</v>
      </c>
      <c r="AK120" s="34">
        <f t="shared" si="43"/>
        <v>239</v>
      </c>
    </row>
    <row r="121" spans="2:37" ht="18" customHeight="1" x14ac:dyDescent="0.2">
      <c r="B121" s="10">
        <f>garage!B121</f>
        <v>121</v>
      </c>
      <c r="C121" s="10">
        <f>garage!C121</f>
        <v>3</v>
      </c>
      <c r="D121" s="10">
        <f>garage!D121</f>
        <v>49</v>
      </c>
      <c r="E121" s="10">
        <f>garage!E121</f>
        <v>30</v>
      </c>
      <c r="F121" s="10" t="str">
        <f>garage!F121</f>
        <v>L</v>
      </c>
      <c r="G121" s="10" t="str">
        <f>garage!G121</f>
        <v>O</v>
      </c>
      <c r="H121" s="10" t="str">
        <f>garage!H121</f>
        <v>N</v>
      </c>
      <c r="I121" s="10" t="str">
        <f>garage!I121</f>
        <v>N</v>
      </c>
      <c r="J121" s="10" t="str">
        <f>garage!J121</f>
        <v>N</v>
      </c>
      <c r="K121" s="10" t="str">
        <f>garage!K121</f>
        <v>B</v>
      </c>
      <c r="L121" s="11" t="str">
        <f>garage!L121</f>
        <v>Lamborghini</v>
      </c>
      <c r="M121" s="11" t="str">
        <f>garage!M121</f>
        <v>Revuelto</v>
      </c>
      <c r="O121" s="18" t="s">
        <v>432</v>
      </c>
      <c r="P121" s="15">
        <v>26</v>
      </c>
      <c r="Q121" s="15">
        <v>34</v>
      </c>
      <c r="R121" s="15">
        <v>45</v>
      </c>
      <c r="S121" s="15">
        <v>61</v>
      </c>
      <c r="T121" s="16">
        <v>78</v>
      </c>
      <c r="U121" s="50">
        <f t="shared" si="38"/>
        <v>244</v>
      </c>
      <c r="W121" s="29" t="s">
        <v>432</v>
      </c>
      <c r="X121" s="30">
        <v>14</v>
      </c>
      <c r="Y121" s="30"/>
      <c r="Z121" s="30"/>
      <c r="AA121" s="30"/>
      <c r="AB121" s="31"/>
      <c r="AC121" s="31">
        <f t="shared" si="39"/>
        <v>14</v>
      </c>
      <c r="AE121" s="35"/>
      <c r="AF121" s="36">
        <f t="shared" ref="AF121" si="47">P121-X121</f>
        <v>12</v>
      </c>
      <c r="AG121" s="36">
        <f t="shared" ref="AG121" si="48">Q121-Y121</f>
        <v>34</v>
      </c>
      <c r="AH121" s="36">
        <f t="shared" ref="AH121" si="49">R121-Z121</f>
        <v>45</v>
      </c>
      <c r="AI121" s="36">
        <f t="shared" ref="AI121" si="50">S121-AA121</f>
        <v>61</v>
      </c>
      <c r="AJ121" s="37">
        <f t="shared" ref="AJ121" si="51">T121-AB121</f>
        <v>78</v>
      </c>
      <c r="AK121" s="37">
        <f t="shared" ref="AK121" si="52">SUM(AE121:AJ121)</f>
        <v>230</v>
      </c>
    </row>
    <row r="122" spans="2:37" ht="18" customHeight="1" x14ac:dyDescent="0.2">
      <c r="B122" s="8">
        <f>garage!B122</f>
        <v>122</v>
      </c>
      <c r="C122" s="8">
        <f>garage!C122</f>
        <v>4</v>
      </c>
      <c r="D122" s="8">
        <f>garage!D122</f>
        <v>1</v>
      </c>
      <c r="E122" s="8">
        <f>garage!E122</f>
        <v>0</v>
      </c>
      <c r="F122" s="8" t="str">
        <f>garage!F122</f>
        <v>AM</v>
      </c>
      <c r="G122" s="8" t="str">
        <f>garage!G122</f>
        <v>O</v>
      </c>
      <c r="H122" s="8" t="str">
        <f>garage!H122</f>
        <v>O</v>
      </c>
      <c r="I122" s="8" t="str">
        <f>garage!I122</f>
        <v>O</v>
      </c>
      <c r="J122" s="8" t="str">
        <f>garage!J122</f>
        <v>N</v>
      </c>
      <c r="K122" s="8" t="str">
        <f>garage!K122</f>
        <v>A</v>
      </c>
      <c r="L122" s="9" t="str">
        <f>garage!L122</f>
        <v>Aston Martin</v>
      </c>
      <c r="M122" s="9" t="str">
        <f>garage!M122</f>
        <v>Vulcan</v>
      </c>
      <c r="O122" s="17">
        <v>45</v>
      </c>
      <c r="P122" s="13">
        <v>21</v>
      </c>
      <c r="Q122" s="13">
        <v>28</v>
      </c>
      <c r="R122" s="13">
        <v>42</v>
      </c>
      <c r="S122" s="13"/>
      <c r="T122" s="14"/>
      <c r="U122" s="49">
        <f t="shared" si="38"/>
        <v>136</v>
      </c>
      <c r="W122" s="26">
        <v>45</v>
      </c>
      <c r="X122" s="27">
        <v>21</v>
      </c>
      <c r="Y122" s="27">
        <v>28</v>
      </c>
      <c r="Z122" s="27">
        <v>42</v>
      </c>
      <c r="AA122" s="27"/>
      <c r="AB122" s="28"/>
      <c r="AC122" s="28">
        <f t="shared" si="39"/>
        <v>136</v>
      </c>
      <c r="AE122" s="32"/>
      <c r="AF122" s="33"/>
      <c r="AG122" s="33"/>
      <c r="AH122" s="33"/>
      <c r="AI122" s="33"/>
      <c r="AJ122" s="34"/>
      <c r="AK122" s="34"/>
    </row>
    <row r="123" spans="2:37" ht="18" customHeight="1" x14ac:dyDescent="0.2">
      <c r="B123" s="10">
        <f>garage!B123</f>
        <v>123</v>
      </c>
      <c r="C123" s="10">
        <f>garage!C123</f>
        <v>4</v>
      </c>
      <c r="D123" s="10">
        <f>garage!D123</f>
        <v>2</v>
      </c>
      <c r="E123" s="10">
        <f>garage!E123</f>
        <v>0</v>
      </c>
      <c r="F123" s="10" t="str">
        <f>garage!F123</f>
        <v>--</v>
      </c>
      <c r="G123" s="10" t="str">
        <f>garage!G123</f>
        <v>O</v>
      </c>
      <c r="H123" s="10" t="str">
        <f>garage!H123</f>
        <v>O</v>
      </c>
      <c r="I123" s="10" t="str">
        <f>garage!I123</f>
        <v>O</v>
      </c>
      <c r="J123" s="10" t="str">
        <f>garage!J123</f>
        <v>N</v>
      </c>
      <c r="K123" s="10" t="str">
        <f>garage!K123</f>
        <v>A</v>
      </c>
      <c r="L123" s="11" t="str">
        <f>garage!L123</f>
        <v>Nissan</v>
      </c>
      <c r="M123" s="11" t="str">
        <f>garage!M123</f>
        <v>GT-R Nismo</v>
      </c>
      <c r="O123" s="18">
        <v>45</v>
      </c>
      <c r="P123" s="15">
        <v>21</v>
      </c>
      <c r="Q123" s="15">
        <v>28</v>
      </c>
      <c r="R123" s="15">
        <v>42</v>
      </c>
      <c r="S123" s="15"/>
      <c r="T123" s="16"/>
      <c r="U123" s="50">
        <f t="shared" si="38"/>
        <v>136</v>
      </c>
      <c r="W123" s="29">
        <v>45</v>
      </c>
      <c r="X123" s="30">
        <v>21</v>
      </c>
      <c r="Y123" s="30">
        <v>28</v>
      </c>
      <c r="Z123" s="30">
        <v>42</v>
      </c>
      <c r="AA123" s="30"/>
      <c r="AB123" s="31"/>
      <c r="AC123" s="31">
        <f t="shared" si="39"/>
        <v>136</v>
      </c>
      <c r="AE123" s="35"/>
      <c r="AF123" s="36"/>
      <c r="AG123" s="36"/>
      <c r="AH123" s="36"/>
      <c r="AI123" s="36"/>
      <c r="AJ123" s="37"/>
      <c r="AK123" s="37"/>
    </row>
    <row r="124" spans="2:37" ht="18" customHeight="1" x14ac:dyDescent="0.2">
      <c r="B124" s="8">
        <f>garage!B124</f>
        <v>124</v>
      </c>
      <c r="C124" s="8">
        <f>garage!C124</f>
        <v>4</v>
      </c>
      <c r="D124" s="8">
        <f>garage!D124</f>
        <v>3</v>
      </c>
      <c r="E124" s="8">
        <f>garage!E124</f>
        <v>17</v>
      </c>
      <c r="F124" s="8" t="str">
        <f>garage!F124</f>
        <v>--</v>
      </c>
      <c r="G124" s="8" t="str">
        <f>garage!G124</f>
        <v>O</v>
      </c>
      <c r="H124" s="8" t="str">
        <f>garage!H124</f>
        <v>N</v>
      </c>
      <c r="I124" s="8" t="str">
        <f>garage!I124</f>
        <v>N</v>
      </c>
      <c r="J124" s="8" t="str">
        <f>garage!J124</f>
        <v>N</v>
      </c>
      <c r="K124" s="8" t="str">
        <f>garage!K124</f>
        <v>A</v>
      </c>
      <c r="L124" s="9" t="str">
        <f>garage!L124</f>
        <v>Nio</v>
      </c>
      <c r="M124" s="9" t="str">
        <f>garage!M124</f>
        <v>EP9</v>
      </c>
      <c r="O124" s="17">
        <v>60</v>
      </c>
      <c r="P124" s="13">
        <v>40</v>
      </c>
      <c r="Q124" s="13">
        <v>51</v>
      </c>
      <c r="R124" s="13">
        <v>63</v>
      </c>
      <c r="S124" s="13"/>
      <c r="T124" s="14"/>
      <c r="U124" s="49">
        <f t="shared" si="38"/>
        <v>214</v>
      </c>
      <c r="W124" s="26">
        <v>60</v>
      </c>
      <c r="X124" s="27">
        <v>40</v>
      </c>
      <c r="Y124" s="27">
        <v>51</v>
      </c>
      <c r="Z124" s="27">
        <v>12</v>
      </c>
      <c r="AA124" s="27"/>
      <c r="AB124" s="28"/>
      <c r="AC124" s="28">
        <f t="shared" si="39"/>
        <v>163</v>
      </c>
      <c r="AE124" s="32"/>
      <c r="AF124" s="33"/>
      <c r="AG124" s="33"/>
      <c r="AH124" s="33">
        <f t="shared" si="41"/>
        <v>51</v>
      </c>
      <c r="AI124" s="33"/>
      <c r="AJ124" s="34"/>
      <c r="AK124" s="34">
        <f t="shared" si="43"/>
        <v>51</v>
      </c>
    </row>
    <row r="125" spans="2:37" ht="18" customHeight="1" x14ac:dyDescent="0.2">
      <c r="B125" s="10">
        <f>garage!B125</f>
        <v>125</v>
      </c>
      <c r="C125" s="10">
        <f>garage!C125</f>
        <v>4</v>
      </c>
      <c r="D125" s="10">
        <f>garage!D125</f>
        <v>4</v>
      </c>
      <c r="E125" s="10">
        <f>garage!E125</f>
        <v>0</v>
      </c>
      <c r="F125" s="10" t="str">
        <f>garage!F125</f>
        <v>F</v>
      </c>
      <c r="G125" s="10" t="str">
        <f>garage!G125</f>
        <v>O</v>
      </c>
      <c r="H125" s="10" t="str">
        <f>garage!H125</f>
        <v>O</v>
      </c>
      <c r="I125" s="10" t="str">
        <f>garage!I125</f>
        <v>O</v>
      </c>
      <c r="J125" s="10" t="str">
        <f>garage!J125</f>
        <v>N</v>
      </c>
      <c r="K125" s="10" t="str">
        <f>garage!K125</f>
        <v>A</v>
      </c>
      <c r="L125" s="11" t="str">
        <f>garage!L125</f>
        <v>Ferrari</v>
      </c>
      <c r="M125" s="11" t="str">
        <f>garage!M125</f>
        <v>J50</v>
      </c>
      <c r="O125" s="18">
        <v>45</v>
      </c>
      <c r="P125" s="15">
        <v>21</v>
      </c>
      <c r="Q125" s="15">
        <v>28</v>
      </c>
      <c r="R125" s="15">
        <v>42</v>
      </c>
      <c r="S125" s="15"/>
      <c r="T125" s="16"/>
      <c r="U125" s="50">
        <f t="shared" si="38"/>
        <v>136</v>
      </c>
      <c r="W125" s="29">
        <v>45</v>
      </c>
      <c r="X125" s="30">
        <v>21</v>
      </c>
      <c r="Y125" s="30">
        <v>28</v>
      </c>
      <c r="Z125" s="30">
        <v>42</v>
      </c>
      <c r="AA125" s="30"/>
      <c r="AB125" s="31"/>
      <c r="AC125" s="31">
        <f t="shared" si="39"/>
        <v>136</v>
      </c>
      <c r="AE125" s="35"/>
      <c r="AF125" s="36"/>
      <c r="AG125" s="36"/>
      <c r="AH125" s="36"/>
      <c r="AI125" s="36"/>
      <c r="AJ125" s="37"/>
      <c r="AK125" s="37"/>
    </row>
    <row r="126" spans="2:37" ht="18" customHeight="1" x14ac:dyDescent="0.2">
      <c r="B126" s="8">
        <f>garage!B126</f>
        <v>126</v>
      </c>
      <c r="C126" s="8">
        <f>garage!C126</f>
        <v>4</v>
      </c>
      <c r="D126" s="8">
        <f>garage!D126</f>
        <v>5</v>
      </c>
      <c r="E126" s="8">
        <f>garage!E126</f>
        <v>0</v>
      </c>
      <c r="F126" s="8" t="str">
        <f>garage!F126</f>
        <v>--</v>
      </c>
      <c r="G126" s="8" t="str">
        <f>garage!G126</f>
        <v>O</v>
      </c>
      <c r="H126" s="8" t="str">
        <f>garage!H126</f>
        <v>O</v>
      </c>
      <c r="I126" s="8" t="str">
        <f>garage!I126</f>
        <v>O</v>
      </c>
      <c r="J126" s="8" t="str">
        <f>garage!J126</f>
        <v>N</v>
      </c>
      <c r="K126" s="8" t="str">
        <f>garage!K126</f>
        <v>A</v>
      </c>
      <c r="L126" s="9" t="str">
        <f>garage!L126</f>
        <v>Dodge</v>
      </c>
      <c r="M126" s="9" t="str">
        <f>garage!M126</f>
        <v>Viper GTS</v>
      </c>
      <c r="O126" s="17">
        <v>45</v>
      </c>
      <c r="P126" s="13">
        <v>21</v>
      </c>
      <c r="Q126" s="13">
        <v>28</v>
      </c>
      <c r="R126" s="13">
        <v>42</v>
      </c>
      <c r="S126" s="13"/>
      <c r="T126" s="14"/>
      <c r="U126" s="49">
        <f t="shared" si="38"/>
        <v>136</v>
      </c>
      <c r="W126" s="26">
        <v>45</v>
      </c>
      <c r="X126" s="27">
        <v>21</v>
      </c>
      <c r="Y126" s="27">
        <v>28</v>
      </c>
      <c r="Z126" s="27">
        <v>42</v>
      </c>
      <c r="AA126" s="27"/>
      <c r="AB126" s="28"/>
      <c r="AC126" s="28">
        <f t="shared" si="39"/>
        <v>136</v>
      </c>
      <c r="AE126" s="32"/>
      <c r="AF126" s="33"/>
      <c r="AG126" s="33"/>
      <c r="AH126" s="33"/>
      <c r="AI126" s="33"/>
      <c r="AJ126" s="34"/>
      <c r="AK126" s="34"/>
    </row>
    <row r="127" spans="2:37" ht="18" customHeight="1" x14ac:dyDescent="0.2">
      <c r="B127" s="10">
        <f>garage!B127</f>
        <v>127</v>
      </c>
      <c r="C127" s="10">
        <f>garage!C127</f>
        <v>4</v>
      </c>
      <c r="D127" s="10">
        <f>garage!D127</f>
        <v>6</v>
      </c>
      <c r="E127" s="10">
        <f>garage!E127</f>
        <v>26</v>
      </c>
      <c r="F127" s="10" t="str">
        <f>garage!F127</f>
        <v>--</v>
      </c>
      <c r="G127" s="10" t="str">
        <f>garage!G127</f>
        <v>N</v>
      </c>
      <c r="H127" s="10" t="str">
        <f>garage!H127</f>
        <v>N</v>
      </c>
      <c r="I127" s="10" t="str">
        <f>garage!I127</f>
        <v>N</v>
      </c>
      <c r="J127" s="10" t="str">
        <f>garage!J127</f>
        <v>N</v>
      </c>
      <c r="K127" s="10" t="str">
        <f>garage!K127</f>
        <v>A</v>
      </c>
      <c r="L127" s="11" t="str">
        <f>garage!L127</f>
        <v>Bentley</v>
      </c>
      <c r="M127" s="11" t="str">
        <f>garage!M127</f>
        <v>Continental GT Speed</v>
      </c>
      <c r="O127" s="18">
        <v>60</v>
      </c>
      <c r="P127" s="15">
        <v>40</v>
      </c>
      <c r="Q127" s="15">
        <v>51</v>
      </c>
      <c r="R127" s="15">
        <v>63</v>
      </c>
      <c r="S127" s="15"/>
      <c r="T127" s="16"/>
      <c r="U127" s="50">
        <f t="shared" si="38"/>
        <v>214</v>
      </c>
      <c r="W127" s="29">
        <v>8</v>
      </c>
      <c r="X127" s="30">
        <v>0</v>
      </c>
      <c r="Y127" s="30">
        <v>0</v>
      </c>
      <c r="Z127" s="30">
        <v>0</v>
      </c>
      <c r="AA127" s="30"/>
      <c r="AB127" s="31"/>
      <c r="AC127" s="31">
        <f t="shared" si="39"/>
        <v>8</v>
      </c>
      <c r="AE127" s="35">
        <f t="shared" si="44"/>
        <v>52</v>
      </c>
      <c r="AF127" s="36">
        <f t="shared" si="45"/>
        <v>40</v>
      </c>
      <c r="AG127" s="36">
        <f t="shared" si="40"/>
        <v>51</v>
      </c>
      <c r="AH127" s="36">
        <f t="shared" si="41"/>
        <v>63</v>
      </c>
      <c r="AI127" s="36"/>
      <c r="AJ127" s="37"/>
      <c r="AK127" s="37">
        <f t="shared" si="43"/>
        <v>206</v>
      </c>
    </row>
    <row r="128" spans="2:37" ht="18" customHeight="1" x14ac:dyDescent="0.2">
      <c r="B128" s="8">
        <f>garage!B128</f>
        <v>128</v>
      </c>
      <c r="C128" s="8">
        <f>garage!C128</f>
        <v>4</v>
      </c>
      <c r="D128" s="8">
        <f>garage!D128</f>
        <v>7</v>
      </c>
      <c r="E128" s="8">
        <f>garage!E128</f>
        <v>0</v>
      </c>
      <c r="F128" s="8" t="str">
        <f>garage!F128</f>
        <v>F</v>
      </c>
      <c r="G128" s="8" t="str">
        <f>garage!G128</f>
        <v>O</v>
      </c>
      <c r="H128" s="8" t="str">
        <f>garage!H128</f>
        <v>O</v>
      </c>
      <c r="I128" s="8" t="str">
        <f>garage!I128</f>
        <v>O</v>
      </c>
      <c r="J128" s="8" t="str">
        <f>garage!J128</f>
        <v>N</v>
      </c>
      <c r="K128" s="8" t="str">
        <f>garage!K128</f>
        <v>A</v>
      </c>
      <c r="L128" s="9" t="str">
        <f>garage!L128</f>
        <v>Ferrari</v>
      </c>
      <c r="M128" s="9" t="str">
        <f>garage!M128</f>
        <v>LaFerrari</v>
      </c>
      <c r="O128" s="17">
        <v>35</v>
      </c>
      <c r="P128" s="13">
        <v>12</v>
      </c>
      <c r="Q128" s="13">
        <v>15</v>
      </c>
      <c r="R128" s="13">
        <v>24</v>
      </c>
      <c r="S128" s="13">
        <v>36</v>
      </c>
      <c r="T128" s="14"/>
      <c r="U128" s="49">
        <f t="shared" si="38"/>
        <v>122</v>
      </c>
      <c r="W128" s="26">
        <v>35</v>
      </c>
      <c r="X128" s="27">
        <v>12</v>
      </c>
      <c r="Y128" s="27">
        <v>15</v>
      </c>
      <c r="Z128" s="27">
        <v>24</v>
      </c>
      <c r="AA128" s="27">
        <v>36</v>
      </c>
      <c r="AB128" s="28"/>
      <c r="AC128" s="28">
        <f t="shared" si="39"/>
        <v>122</v>
      </c>
      <c r="AE128" s="32"/>
      <c r="AF128" s="33"/>
      <c r="AG128" s="33"/>
      <c r="AH128" s="33"/>
      <c r="AI128" s="33"/>
      <c r="AJ128" s="34"/>
      <c r="AK128" s="34"/>
    </row>
    <row r="129" spans="2:37" ht="18" customHeight="1" x14ac:dyDescent="0.2">
      <c r="B129" s="10">
        <f>garage!B129</f>
        <v>129</v>
      </c>
      <c r="C129" s="10">
        <f>garage!C129</f>
        <v>4</v>
      </c>
      <c r="D129" s="10">
        <f>garage!D129</f>
        <v>8</v>
      </c>
      <c r="E129" s="10">
        <f>garage!E129</f>
        <v>0</v>
      </c>
      <c r="F129" s="10" t="str">
        <f>garage!F129</f>
        <v>M</v>
      </c>
      <c r="G129" s="10" t="str">
        <f>garage!G129</f>
        <v>O</v>
      </c>
      <c r="H129" s="10" t="str">
        <f>garage!H129</f>
        <v>O</v>
      </c>
      <c r="I129" s="10" t="str">
        <f>garage!I129</f>
        <v>O</v>
      </c>
      <c r="J129" s="10" t="str">
        <f>garage!J129</f>
        <v>N</v>
      </c>
      <c r="K129" s="10" t="str">
        <f>garage!K129</f>
        <v>A</v>
      </c>
      <c r="L129" s="11" t="str">
        <f>garage!L129</f>
        <v>McLaren</v>
      </c>
      <c r="M129" s="11" t="str">
        <f>garage!M129</f>
        <v>P1</v>
      </c>
      <c r="O129" s="18">
        <v>35</v>
      </c>
      <c r="P129" s="15">
        <v>12</v>
      </c>
      <c r="Q129" s="15">
        <v>15</v>
      </c>
      <c r="R129" s="15">
        <v>24</v>
      </c>
      <c r="S129" s="15">
        <v>36</v>
      </c>
      <c r="T129" s="16"/>
      <c r="U129" s="50">
        <f t="shared" si="38"/>
        <v>122</v>
      </c>
      <c r="W129" s="29">
        <v>35</v>
      </c>
      <c r="X129" s="30">
        <v>12</v>
      </c>
      <c r="Y129" s="30">
        <v>15</v>
      </c>
      <c r="Z129" s="30">
        <v>24</v>
      </c>
      <c r="AA129" s="30">
        <v>36</v>
      </c>
      <c r="AB129" s="31"/>
      <c r="AC129" s="31">
        <f t="shared" si="39"/>
        <v>122</v>
      </c>
      <c r="AE129" s="35"/>
      <c r="AF129" s="36"/>
      <c r="AG129" s="36"/>
      <c r="AH129" s="36"/>
      <c r="AI129" s="36"/>
      <c r="AJ129" s="37"/>
      <c r="AK129" s="37"/>
    </row>
    <row r="130" spans="2:37" ht="18" customHeight="1" x14ac:dyDescent="0.2">
      <c r="B130" s="8">
        <f>garage!B130</f>
        <v>130</v>
      </c>
      <c r="C130" s="8">
        <f>garage!C130</f>
        <v>4</v>
      </c>
      <c r="D130" s="8">
        <f>garage!D130</f>
        <v>9</v>
      </c>
      <c r="E130" s="8">
        <f>garage!E130</f>
        <v>20</v>
      </c>
      <c r="F130" s="8" t="str">
        <f>garage!F130</f>
        <v>--</v>
      </c>
      <c r="G130" s="8" t="str">
        <f>garage!G130</f>
        <v>N</v>
      </c>
      <c r="H130" s="8" t="str">
        <f>garage!H130</f>
        <v>N</v>
      </c>
      <c r="I130" s="8" t="str">
        <f>garage!I130</f>
        <v>N</v>
      </c>
      <c r="J130" s="8" t="str">
        <f>garage!J130</f>
        <v>O</v>
      </c>
      <c r="K130" s="8" t="str">
        <f>garage!K130</f>
        <v>A</v>
      </c>
      <c r="L130" s="9" t="str">
        <f>garage!L130</f>
        <v>Pagani</v>
      </c>
      <c r="M130" s="9" t="str">
        <f>garage!M130</f>
        <v>Zonda HP Barchetta</v>
      </c>
      <c r="O130" s="17" t="s">
        <v>432</v>
      </c>
      <c r="P130" s="13">
        <v>28</v>
      </c>
      <c r="Q130" s="13">
        <v>32</v>
      </c>
      <c r="R130" s="13">
        <v>44</v>
      </c>
      <c r="S130" s="13">
        <v>83</v>
      </c>
      <c r="T130" s="14"/>
      <c r="U130" s="49">
        <f t="shared" si="38"/>
        <v>187</v>
      </c>
      <c r="W130" s="26"/>
      <c r="X130" s="27">
        <v>28</v>
      </c>
      <c r="Y130" s="27">
        <v>32</v>
      </c>
      <c r="Z130" s="27">
        <v>19</v>
      </c>
      <c r="AA130" s="27">
        <v>0</v>
      </c>
      <c r="AB130" s="28"/>
      <c r="AC130" s="28">
        <f t="shared" si="39"/>
        <v>79</v>
      </c>
      <c r="AE130" s="32" t="s">
        <v>432</v>
      </c>
      <c r="AF130" s="33"/>
      <c r="AG130" s="33"/>
      <c r="AH130" s="33">
        <f t="shared" si="41"/>
        <v>25</v>
      </c>
      <c r="AI130" s="33">
        <f t="shared" si="42"/>
        <v>83</v>
      </c>
      <c r="AJ130" s="34"/>
      <c r="AK130" s="34">
        <f t="shared" si="43"/>
        <v>108</v>
      </c>
    </row>
    <row r="131" spans="2:37" ht="18" customHeight="1" x14ac:dyDescent="0.2">
      <c r="B131" s="10">
        <f>garage!B131</f>
        <v>131</v>
      </c>
      <c r="C131" s="10">
        <f>garage!C131</f>
        <v>4</v>
      </c>
      <c r="D131" s="10">
        <f>garage!D131</f>
        <v>10</v>
      </c>
      <c r="E131" s="10">
        <f>garage!E131</f>
        <v>0</v>
      </c>
      <c r="F131" s="10" t="str">
        <f>garage!F131</f>
        <v>L</v>
      </c>
      <c r="G131" s="10" t="str">
        <f>garage!G131</f>
        <v>O</v>
      </c>
      <c r="H131" s="10" t="str">
        <f>garage!H131</f>
        <v>O</v>
      </c>
      <c r="I131" s="10" t="str">
        <f>garage!I131</f>
        <v>O</v>
      </c>
      <c r="J131" s="10" t="str">
        <f>garage!J131</f>
        <v>N</v>
      </c>
      <c r="K131" s="10" t="str">
        <f>garage!K131</f>
        <v>A</v>
      </c>
      <c r="L131" s="11" t="str">
        <f>garage!L131</f>
        <v>Lamborghini</v>
      </c>
      <c r="M131" s="11" t="str">
        <f>garage!M131</f>
        <v>Aventador SV Coupé</v>
      </c>
      <c r="O131" s="18">
        <v>35</v>
      </c>
      <c r="P131" s="15">
        <v>12</v>
      </c>
      <c r="Q131" s="15">
        <v>15</v>
      </c>
      <c r="R131" s="15">
        <v>24</v>
      </c>
      <c r="S131" s="15">
        <v>36</v>
      </c>
      <c r="T131" s="16"/>
      <c r="U131" s="50">
        <f t="shared" si="38"/>
        <v>122</v>
      </c>
      <c r="W131" s="29">
        <v>35</v>
      </c>
      <c r="X131" s="30">
        <v>12</v>
      </c>
      <c r="Y131" s="30">
        <v>15</v>
      </c>
      <c r="Z131" s="30">
        <v>24</v>
      </c>
      <c r="AA131" s="30">
        <v>36</v>
      </c>
      <c r="AB131" s="31"/>
      <c r="AC131" s="31">
        <f t="shared" si="39"/>
        <v>122</v>
      </c>
      <c r="AE131" s="35"/>
      <c r="AF131" s="36"/>
      <c r="AG131" s="36"/>
      <c r="AH131" s="36"/>
      <c r="AI131" s="36"/>
      <c r="AJ131" s="37"/>
      <c r="AK131" s="37"/>
    </row>
    <row r="132" spans="2:37" ht="18" customHeight="1" x14ac:dyDescent="0.2">
      <c r="B132" s="8">
        <f>garage!B132</f>
        <v>132</v>
      </c>
      <c r="C132" s="8">
        <f>garage!C132</f>
        <v>4</v>
      </c>
      <c r="D132" s="8">
        <f>garage!D132</f>
        <v>11</v>
      </c>
      <c r="E132" s="8">
        <f>garage!E132</f>
        <v>6</v>
      </c>
      <c r="F132" s="8" t="str">
        <f>garage!F132</f>
        <v>F</v>
      </c>
      <c r="G132" s="8" t="str">
        <f>garage!G132</f>
        <v>O</v>
      </c>
      <c r="H132" s="8" t="str">
        <f>garage!H132</f>
        <v>O</v>
      </c>
      <c r="I132" s="8" t="str">
        <f>garage!I132</f>
        <v>O</v>
      </c>
      <c r="J132" s="8" t="str">
        <f>garage!J132</f>
        <v>N</v>
      </c>
      <c r="K132" s="8" t="str">
        <f>garage!K132</f>
        <v>A</v>
      </c>
      <c r="L132" s="9" t="str">
        <f>garage!L132</f>
        <v>Ferrari</v>
      </c>
      <c r="M132" s="9" t="str">
        <f>garage!M132</f>
        <v>812 Superfast</v>
      </c>
      <c r="O132" s="17">
        <v>50</v>
      </c>
      <c r="P132" s="13">
        <v>23</v>
      </c>
      <c r="Q132" s="13">
        <v>27</v>
      </c>
      <c r="R132" s="13">
        <v>36</v>
      </c>
      <c r="S132" s="13">
        <v>51</v>
      </c>
      <c r="T132" s="14"/>
      <c r="U132" s="49">
        <f t="shared" si="38"/>
        <v>187</v>
      </c>
      <c r="W132" s="26">
        <v>50</v>
      </c>
      <c r="X132" s="27">
        <v>23</v>
      </c>
      <c r="Y132" s="27">
        <v>27</v>
      </c>
      <c r="Z132" s="27">
        <v>36</v>
      </c>
      <c r="AA132" s="27">
        <v>51</v>
      </c>
      <c r="AB132" s="28"/>
      <c r="AC132" s="28">
        <f t="shared" si="39"/>
        <v>187</v>
      </c>
      <c r="AE132" s="32"/>
      <c r="AF132" s="33"/>
      <c r="AG132" s="33"/>
      <c r="AH132" s="33"/>
      <c r="AI132" s="33"/>
      <c r="AJ132" s="34"/>
      <c r="AK132" s="34"/>
    </row>
    <row r="133" spans="2:37" ht="18" customHeight="1" x14ac:dyDescent="0.2">
      <c r="B133" s="10">
        <f>garage!B133</f>
        <v>133</v>
      </c>
      <c r="C133" s="10">
        <f>garage!C133</f>
        <v>4</v>
      </c>
      <c r="D133" s="10">
        <f>garage!D133</f>
        <v>12</v>
      </c>
      <c r="E133" s="10">
        <f>garage!E133</f>
        <v>0</v>
      </c>
      <c r="F133" s="10" t="str">
        <f>garage!F133</f>
        <v>C</v>
      </c>
      <c r="G133" s="10" t="str">
        <f>garage!G133</f>
        <v>O</v>
      </c>
      <c r="H133" s="10" t="str">
        <f>garage!H133</f>
        <v>O</v>
      </c>
      <c r="I133" s="10" t="str">
        <f>garage!I133</f>
        <v>N</v>
      </c>
      <c r="J133" s="10" t="str">
        <f>garage!J133</f>
        <v>N</v>
      </c>
      <c r="K133" s="10" t="str">
        <f>garage!K133</f>
        <v>A</v>
      </c>
      <c r="L133" s="11" t="str">
        <f>garage!L133</f>
        <v>Chevrolet</v>
      </c>
      <c r="M133" s="11" t="str">
        <f>garage!M133</f>
        <v>Corvette ZR1</v>
      </c>
      <c r="O133" s="18">
        <v>50</v>
      </c>
      <c r="P133" s="15">
        <v>23</v>
      </c>
      <c r="Q133" s="15">
        <v>27</v>
      </c>
      <c r="R133" s="15">
        <v>36</v>
      </c>
      <c r="S133" s="15">
        <v>51</v>
      </c>
      <c r="T133" s="16"/>
      <c r="U133" s="50">
        <f t="shared" si="38"/>
        <v>187</v>
      </c>
      <c r="W133" s="29">
        <v>50</v>
      </c>
      <c r="X133" s="30">
        <v>23</v>
      </c>
      <c r="Y133" s="30">
        <v>27</v>
      </c>
      <c r="Z133" s="30">
        <v>36</v>
      </c>
      <c r="AA133" s="30">
        <v>51</v>
      </c>
      <c r="AB133" s="31"/>
      <c r="AC133" s="31">
        <f t="shared" si="39"/>
        <v>187</v>
      </c>
      <c r="AE133" s="35"/>
      <c r="AF133" s="36"/>
      <c r="AG133" s="36"/>
      <c r="AH133" s="36"/>
      <c r="AI133" s="36"/>
      <c r="AJ133" s="37"/>
      <c r="AK133" s="37"/>
    </row>
    <row r="134" spans="2:37" ht="18" customHeight="1" x14ac:dyDescent="0.2">
      <c r="B134" s="8">
        <f>garage!B134</f>
        <v>134</v>
      </c>
      <c r="C134" s="8">
        <f>garage!C134</f>
        <v>4</v>
      </c>
      <c r="D134" s="8">
        <f>garage!D134</f>
        <v>13</v>
      </c>
      <c r="E134" s="8">
        <f>garage!E134</f>
        <v>14</v>
      </c>
      <c r="F134" s="8" t="str">
        <f>garage!F134</f>
        <v>--</v>
      </c>
      <c r="G134" s="8" t="str">
        <f>garage!G134</f>
        <v>O</v>
      </c>
      <c r="H134" s="8" t="str">
        <f>garage!H134</f>
        <v>N</v>
      </c>
      <c r="I134" s="8" t="str">
        <f>garage!I134</f>
        <v>N</v>
      </c>
      <c r="J134" s="8" t="str">
        <f>garage!J134</f>
        <v>N</v>
      </c>
      <c r="K134" s="8" t="str">
        <f>garage!K134</f>
        <v>A</v>
      </c>
      <c r="L134" s="9" t="str">
        <f>garage!L134</f>
        <v>Jaguar</v>
      </c>
      <c r="M134" s="9" t="str">
        <f>garage!M134</f>
        <v>C-X75</v>
      </c>
      <c r="O134" s="17">
        <v>50</v>
      </c>
      <c r="P134" s="13">
        <v>23</v>
      </c>
      <c r="Q134" s="13">
        <v>27</v>
      </c>
      <c r="R134" s="13">
        <v>36</v>
      </c>
      <c r="S134" s="13">
        <v>51</v>
      </c>
      <c r="T134" s="14"/>
      <c r="U134" s="49">
        <f t="shared" si="38"/>
        <v>187</v>
      </c>
      <c r="W134" s="26">
        <v>50</v>
      </c>
      <c r="X134" s="27">
        <v>8</v>
      </c>
      <c r="Y134" s="27"/>
      <c r="Z134" s="27"/>
      <c r="AA134" s="27"/>
      <c r="AB134" s="28"/>
      <c r="AC134" s="28">
        <f t="shared" si="39"/>
        <v>58</v>
      </c>
      <c r="AE134" s="32"/>
      <c r="AF134" s="33">
        <f t="shared" si="45"/>
        <v>15</v>
      </c>
      <c r="AG134" s="33">
        <f t="shared" si="40"/>
        <v>27</v>
      </c>
      <c r="AH134" s="33">
        <f t="shared" si="41"/>
        <v>36</v>
      </c>
      <c r="AI134" s="33">
        <f t="shared" si="42"/>
        <v>51</v>
      </c>
      <c r="AJ134" s="34"/>
      <c r="AK134" s="34">
        <f t="shared" si="43"/>
        <v>129</v>
      </c>
    </row>
    <row r="135" spans="2:37" ht="18" customHeight="1" x14ac:dyDescent="0.2">
      <c r="B135" s="10">
        <f>garage!B135</f>
        <v>135</v>
      </c>
      <c r="C135" s="10">
        <f>garage!C135</f>
        <v>4</v>
      </c>
      <c r="D135" s="10">
        <f>garage!D135</f>
        <v>14</v>
      </c>
      <c r="E135" s="10">
        <f>garage!E135</f>
        <v>0</v>
      </c>
      <c r="F135" s="10" t="str">
        <f>garage!F135</f>
        <v>--</v>
      </c>
      <c r="G135" s="10" t="str">
        <f>garage!G135</f>
        <v>O</v>
      </c>
      <c r="H135" s="10" t="str">
        <f>garage!H135</f>
        <v>O</v>
      </c>
      <c r="I135" s="10" t="str">
        <f>garage!I135</f>
        <v>O</v>
      </c>
      <c r="J135" s="10" t="str">
        <f>garage!J135</f>
        <v>N</v>
      </c>
      <c r="K135" s="10" t="str">
        <f>garage!K135</f>
        <v>A</v>
      </c>
      <c r="L135" s="11" t="str">
        <f>garage!L135</f>
        <v>VLF</v>
      </c>
      <c r="M135" s="11" t="str">
        <f>garage!M135</f>
        <v>Force 1 V10</v>
      </c>
      <c r="O135" s="18">
        <v>45</v>
      </c>
      <c r="P135" s="15">
        <v>12</v>
      </c>
      <c r="Q135" s="15">
        <v>15</v>
      </c>
      <c r="R135" s="15">
        <v>24</v>
      </c>
      <c r="S135" s="15">
        <v>36</v>
      </c>
      <c r="T135" s="16"/>
      <c r="U135" s="50">
        <f t="shared" si="38"/>
        <v>132</v>
      </c>
      <c r="W135" s="29">
        <v>45</v>
      </c>
      <c r="X135" s="30">
        <v>12</v>
      </c>
      <c r="Y135" s="30">
        <v>15</v>
      </c>
      <c r="Z135" s="30">
        <v>24</v>
      </c>
      <c r="AA135" s="30">
        <v>36</v>
      </c>
      <c r="AB135" s="31"/>
      <c r="AC135" s="31">
        <f t="shared" si="39"/>
        <v>132</v>
      </c>
      <c r="AE135" s="35"/>
      <c r="AF135" s="36"/>
      <c r="AG135" s="36"/>
      <c r="AH135" s="36"/>
      <c r="AI135" s="36"/>
      <c r="AJ135" s="37"/>
      <c r="AK135" s="37"/>
    </row>
    <row r="136" spans="2:37" ht="18" customHeight="1" x14ac:dyDescent="0.2">
      <c r="B136" s="8">
        <f>garage!B136</f>
        <v>136</v>
      </c>
      <c r="C136" s="8">
        <f>garage!C136</f>
        <v>4</v>
      </c>
      <c r="D136" s="8">
        <f>garage!D136</f>
        <v>15</v>
      </c>
      <c r="E136" s="8">
        <f>garage!E136</f>
        <v>23</v>
      </c>
      <c r="F136" s="8" t="str">
        <f>garage!F136</f>
        <v>M</v>
      </c>
      <c r="G136" s="8" t="str">
        <f>garage!G136</f>
        <v>O</v>
      </c>
      <c r="H136" s="8" t="str">
        <f>garage!H136</f>
        <v>N</v>
      </c>
      <c r="I136" s="8" t="str">
        <f>garage!I136</f>
        <v>N</v>
      </c>
      <c r="J136" s="8" t="str">
        <f>garage!J136</f>
        <v>N</v>
      </c>
      <c r="K136" s="8" t="str">
        <f>garage!K136</f>
        <v>A</v>
      </c>
      <c r="L136" s="9" t="str">
        <f>garage!L136</f>
        <v>McLaren</v>
      </c>
      <c r="M136" s="9" t="str">
        <f>garage!M136</f>
        <v>Senna GTR</v>
      </c>
      <c r="O136" s="17">
        <v>50</v>
      </c>
      <c r="P136" s="13">
        <v>23</v>
      </c>
      <c r="Q136" s="13">
        <v>27</v>
      </c>
      <c r="R136" s="13">
        <v>36</v>
      </c>
      <c r="S136" s="13">
        <v>51</v>
      </c>
      <c r="T136" s="14"/>
      <c r="U136" s="49">
        <f t="shared" si="38"/>
        <v>187</v>
      </c>
      <c r="W136" s="26">
        <v>50</v>
      </c>
      <c r="X136" s="27">
        <v>23</v>
      </c>
      <c r="Y136" s="27">
        <v>27</v>
      </c>
      <c r="Z136" s="27">
        <v>20</v>
      </c>
      <c r="AA136" s="27"/>
      <c r="AB136" s="28"/>
      <c r="AC136" s="28">
        <f t="shared" si="39"/>
        <v>120</v>
      </c>
      <c r="AE136" s="32"/>
      <c r="AF136" s="33"/>
      <c r="AG136" s="33"/>
      <c r="AH136" s="33">
        <f t="shared" si="41"/>
        <v>16</v>
      </c>
      <c r="AI136" s="33">
        <f t="shared" si="42"/>
        <v>51</v>
      </c>
      <c r="AJ136" s="34"/>
      <c r="AK136" s="34">
        <f t="shared" si="43"/>
        <v>67</v>
      </c>
    </row>
    <row r="137" spans="2:37" ht="18" customHeight="1" x14ac:dyDescent="0.2">
      <c r="B137" s="10">
        <f>garage!B137</f>
        <v>137</v>
      </c>
      <c r="C137" s="10">
        <f>garage!C137</f>
        <v>4</v>
      </c>
      <c r="D137" s="10">
        <f>garage!D137</f>
        <v>16</v>
      </c>
      <c r="E137" s="10">
        <f>garage!E137</f>
        <v>20</v>
      </c>
      <c r="F137" s="10" t="str">
        <f>garage!F137</f>
        <v>L</v>
      </c>
      <c r="G137" s="10" t="str">
        <f>garage!G137</f>
        <v>N</v>
      </c>
      <c r="H137" s="10" t="str">
        <f>garage!H137</f>
        <v>N</v>
      </c>
      <c r="I137" s="10" t="str">
        <f>garage!I137</f>
        <v>N</v>
      </c>
      <c r="J137" s="10" t="str">
        <f>garage!J137</f>
        <v>N</v>
      </c>
      <c r="K137" s="10" t="str">
        <f>garage!K137</f>
        <v>A</v>
      </c>
      <c r="L137" s="11" t="str">
        <f>garage!L137</f>
        <v>Lamborghini</v>
      </c>
      <c r="M137" s="11" t="str">
        <f>garage!M137</f>
        <v>Aventador SVJ Roadster</v>
      </c>
      <c r="O137" s="18">
        <v>70</v>
      </c>
      <c r="P137" s="15">
        <v>23</v>
      </c>
      <c r="Q137" s="15">
        <v>27</v>
      </c>
      <c r="R137" s="15">
        <v>36</v>
      </c>
      <c r="S137" s="15">
        <v>52</v>
      </c>
      <c r="T137" s="16">
        <v>59</v>
      </c>
      <c r="U137" s="50">
        <f t="shared" si="38"/>
        <v>267</v>
      </c>
      <c r="W137" s="29">
        <v>29</v>
      </c>
      <c r="X137" s="30">
        <v>0</v>
      </c>
      <c r="Y137" s="30">
        <v>0</v>
      </c>
      <c r="Z137" s="30">
        <v>0</v>
      </c>
      <c r="AA137" s="30">
        <v>0</v>
      </c>
      <c r="AB137" s="31">
        <v>0</v>
      </c>
      <c r="AC137" s="31">
        <f t="shared" si="39"/>
        <v>29</v>
      </c>
      <c r="AE137" s="35">
        <f t="shared" si="44"/>
        <v>41</v>
      </c>
      <c r="AF137" s="36">
        <f t="shared" si="45"/>
        <v>23</v>
      </c>
      <c r="AG137" s="36">
        <f t="shared" si="40"/>
        <v>27</v>
      </c>
      <c r="AH137" s="36">
        <f t="shared" si="41"/>
        <v>36</v>
      </c>
      <c r="AI137" s="36">
        <f t="shared" si="42"/>
        <v>52</v>
      </c>
      <c r="AJ137" s="37">
        <f t="shared" si="46"/>
        <v>59</v>
      </c>
      <c r="AK137" s="37">
        <f t="shared" si="43"/>
        <v>238</v>
      </c>
    </row>
    <row r="138" spans="2:37" ht="18" customHeight="1" x14ac:dyDescent="0.2">
      <c r="B138" s="8">
        <f>garage!B138</f>
        <v>138</v>
      </c>
      <c r="C138" s="8">
        <f>garage!C138</f>
        <v>4</v>
      </c>
      <c r="D138" s="8">
        <f>garage!D138</f>
        <v>17</v>
      </c>
      <c r="E138" s="8">
        <f>garage!E138</f>
        <v>8</v>
      </c>
      <c r="F138" s="8" t="str">
        <f>garage!F138</f>
        <v>--</v>
      </c>
      <c r="G138" s="8" t="str">
        <f>garage!G138</f>
        <v>O</v>
      </c>
      <c r="H138" s="8" t="str">
        <f>garage!H138</f>
        <v>O</v>
      </c>
      <c r="I138" s="8" t="str">
        <f>garage!I138</f>
        <v>O</v>
      </c>
      <c r="J138" s="8" t="str">
        <f>garage!J138</f>
        <v>N</v>
      </c>
      <c r="K138" s="8" t="str">
        <f>garage!K138</f>
        <v>A</v>
      </c>
      <c r="L138" s="9" t="str">
        <f>garage!L138</f>
        <v>Vanda Electrics</v>
      </c>
      <c r="M138" s="9" t="str">
        <f>garage!M138</f>
        <v>Dendrobium</v>
      </c>
      <c r="O138" s="17">
        <v>50</v>
      </c>
      <c r="P138" s="13">
        <v>23</v>
      </c>
      <c r="Q138" s="13">
        <v>27</v>
      </c>
      <c r="R138" s="13">
        <v>36</v>
      </c>
      <c r="S138" s="13">
        <v>52</v>
      </c>
      <c r="T138" s="14">
        <v>62</v>
      </c>
      <c r="U138" s="49">
        <f t="shared" si="38"/>
        <v>250</v>
      </c>
      <c r="W138" s="26">
        <v>50</v>
      </c>
      <c r="X138" s="27">
        <v>23</v>
      </c>
      <c r="Y138" s="27">
        <v>27</v>
      </c>
      <c r="Z138" s="27">
        <v>36</v>
      </c>
      <c r="AA138" s="27">
        <v>52</v>
      </c>
      <c r="AB138" s="28">
        <v>62</v>
      </c>
      <c r="AC138" s="28">
        <f t="shared" si="39"/>
        <v>250</v>
      </c>
      <c r="AE138" s="32"/>
      <c r="AF138" s="33"/>
      <c r="AG138" s="33"/>
      <c r="AH138" s="33"/>
      <c r="AI138" s="33"/>
      <c r="AJ138" s="34"/>
      <c r="AK138" s="34"/>
    </row>
    <row r="139" spans="2:37" ht="18" customHeight="1" x14ac:dyDescent="0.2">
      <c r="B139" s="10">
        <f>garage!B139</f>
        <v>139</v>
      </c>
      <c r="C139" s="10">
        <f>garage!C139</f>
        <v>4</v>
      </c>
      <c r="D139" s="10">
        <f>garage!D139</f>
        <v>18</v>
      </c>
      <c r="E139" s="10">
        <f>garage!E139</f>
        <v>0</v>
      </c>
      <c r="F139" s="10" t="str">
        <f>garage!F139</f>
        <v>P</v>
      </c>
      <c r="G139" s="10" t="str">
        <f>garage!G139</f>
        <v>O</v>
      </c>
      <c r="H139" s="10" t="str">
        <f>garage!H139</f>
        <v>O</v>
      </c>
      <c r="I139" s="10" t="str">
        <f>garage!I139</f>
        <v>O</v>
      </c>
      <c r="J139" s="10" t="str">
        <f>garage!J139</f>
        <v>N</v>
      </c>
      <c r="K139" s="10" t="str">
        <f>garage!K139</f>
        <v>A</v>
      </c>
      <c r="L139" s="11" t="str">
        <f>garage!L139</f>
        <v>Porsche</v>
      </c>
      <c r="M139" s="11" t="str">
        <f>garage!M139</f>
        <v>918 Spyder</v>
      </c>
      <c r="O139" s="18">
        <v>35</v>
      </c>
      <c r="P139" s="15">
        <v>12</v>
      </c>
      <c r="Q139" s="15">
        <v>15</v>
      </c>
      <c r="R139" s="15">
        <v>24</v>
      </c>
      <c r="S139" s="15">
        <v>36</v>
      </c>
      <c r="T139" s="16"/>
      <c r="U139" s="50">
        <f t="shared" si="38"/>
        <v>122</v>
      </c>
      <c r="W139" s="29">
        <v>35</v>
      </c>
      <c r="X139" s="30">
        <v>12</v>
      </c>
      <c r="Y139" s="30">
        <v>15</v>
      </c>
      <c r="Z139" s="30">
        <v>24</v>
      </c>
      <c r="AA139" s="30">
        <v>36</v>
      </c>
      <c r="AB139" s="31"/>
      <c r="AC139" s="31">
        <f t="shared" si="39"/>
        <v>122</v>
      </c>
      <c r="AE139" s="35"/>
      <c r="AF139" s="36"/>
      <c r="AG139" s="36"/>
      <c r="AH139" s="36"/>
      <c r="AI139" s="36"/>
      <c r="AJ139" s="37"/>
      <c r="AK139" s="37"/>
    </row>
    <row r="140" spans="2:37" ht="18" customHeight="1" x14ac:dyDescent="0.2">
      <c r="B140" s="8">
        <f>garage!B140</f>
        <v>140</v>
      </c>
      <c r="C140" s="8">
        <f>garage!C140</f>
        <v>4</v>
      </c>
      <c r="D140" s="8">
        <f>garage!D140</f>
        <v>19</v>
      </c>
      <c r="E140" s="8">
        <f>garage!E140</f>
        <v>28</v>
      </c>
      <c r="F140" s="8" t="str">
        <f>garage!F140</f>
        <v>--</v>
      </c>
      <c r="G140" s="8" t="str">
        <f>garage!G140</f>
        <v>N</v>
      </c>
      <c r="H140" s="8" t="str">
        <f>garage!H140</f>
        <v>N</v>
      </c>
      <c r="I140" s="8" t="str">
        <f>garage!I140</f>
        <v>N</v>
      </c>
      <c r="J140" s="8" t="str">
        <f>garage!J140</f>
        <v>N</v>
      </c>
      <c r="K140" s="8" t="str">
        <f>garage!K140</f>
        <v>A</v>
      </c>
      <c r="L140" s="9" t="str">
        <f>garage!L140</f>
        <v>Peugeot</v>
      </c>
      <c r="M140" s="9" t="str">
        <f>garage!M140</f>
        <v>9X8</v>
      </c>
      <c r="O140" s="17">
        <v>70</v>
      </c>
      <c r="P140" s="13">
        <v>23</v>
      </c>
      <c r="Q140" s="13">
        <v>27</v>
      </c>
      <c r="R140" s="13">
        <v>36</v>
      </c>
      <c r="S140" s="13">
        <v>52</v>
      </c>
      <c r="T140" s="14">
        <v>59</v>
      </c>
      <c r="U140" s="49">
        <f t="shared" si="38"/>
        <v>267</v>
      </c>
      <c r="W140" s="26">
        <v>5</v>
      </c>
      <c r="X140" s="27">
        <v>0</v>
      </c>
      <c r="Y140" s="27">
        <v>0</v>
      </c>
      <c r="Z140" s="27">
        <v>0</v>
      </c>
      <c r="AA140" s="27">
        <v>0</v>
      </c>
      <c r="AB140" s="28">
        <v>0</v>
      </c>
      <c r="AC140" s="28">
        <f t="shared" si="39"/>
        <v>5</v>
      </c>
      <c r="AE140" s="32">
        <f t="shared" si="44"/>
        <v>65</v>
      </c>
      <c r="AF140" s="33">
        <f t="shared" si="45"/>
        <v>23</v>
      </c>
      <c r="AG140" s="33">
        <f t="shared" si="40"/>
        <v>27</v>
      </c>
      <c r="AH140" s="33">
        <f t="shared" si="41"/>
        <v>36</v>
      </c>
      <c r="AI140" s="33">
        <f t="shared" si="42"/>
        <v>52</v>
      </c>
      <c r="AJ140" s="34">
        <f t="shared" si="46"/>
        <v>59</v>
      </c>
      <c r="AK140" s="34">
        <f t="shared" si="43"/>
        <v>262</v>
      </c>
    </row>
    <row r="141" spans="2:37" ht="18" customHeight="1" x14ac:dyDescent="0.2">
      <c r="B141" s="10">
        <f>garage!B141</f>
        <v>141</v>
      </c>
      <c r="C141" s="10">
        <f>garage!C141</f>
        <v>4</v>
      </c>
      <c r="D141" s="10">
        <f>garage!D141</f>
        <v>20</v>
      </c>
      <c r="E141" s="10">
        <f>garage!E141</f>
        <v>0</v>
      </c>
      <c r="F141" s="10" t="str">
        <f>garage!F141</f>
        <v>M</v>
      </c>
      <c r="G141" s="10" t="str">
        <f>garage!G141</f>
        <v>O</v>
      </c>
      <c r="H141" s="10" t="str">
        <f>garage!H141</f>
        <v>O</v>
      </c>
      <c r="I141" s="10" t="str">
        <f>garage!I141</f>
        <v>O</v>
      </c>
      <c r="J141" s="10" t="str">
        <f>garage!J141</f>
        <v>N</v>
      </c>
      <c r="K141" s="10" t="str">
        <f>garage!K141</f>
        <v>A</v>
      </c>
      <c r="L141" s="11" t="str">
        <f>garage!L141</f>
        <v>McLaren</v>
      </c>
      <c r="M141" s="11" t="str">
        <f>garage!M141</f>
        <v>570S Spider</v>
      </c>
      <c r="O141" s="18">
        <v>50</v>
      </c>
      <c r="P141" s="15">
        <v>12</v>
      </c>
      <c r="Q141" s="15">
        <v>15</v>
      </c>
      <c r="R141" s="15">
        <v>24</v>
      </c>
      <c r="S141" s="15">
        <v>37</v>
      </c>
      <c r="T141" s="16">
        <v>45</v>
      </c>
      <c r="U141" s="50">
        <f t="shared" si="38"/>
        <v>183</v>
      </c>
      <c r="W141" s="29">
        <v>50</v>
      </c>
      <c r="X141" s="30">
        <v>12</v>
      </c>
      <c r="Y141" s="30">
        <v>15</v>
      </c>
      <c r="Z141" s="30">
        <v>24</v>
      </c>
      <c r="AA141" s="30">
        <v>37</v>
      </c>
      <c r="AB141" s="31">
        <v>45</v>
      </c>
      <c r="AC141" s="31">
        <f t="shared" si="39"/>
        <v>183</v>
      </c>
      <c r="AE141" s="35"/>
      <c r="AF141" s="36"/>
      <c r="AG141" s="36"/>
      <c r="AH141" s="36"/>
      <c r="AI141" s="36"/>
      <c r="AJ141" s="37"/>
      <c r="AK141" s="37"/>
    </row>
    <row r="142" spans="2:37" ht="18" customHeight="1" x14ac:dyDescent="0.2">
      <c r="B142" s="8">
        <f>garage!B142</f>
        <v>142</v>
      </c>
      <c r="C142" s="8">
        <f>garage!C142</f>
        <v>4</v>
      </c>
      <c r="D142" s="8">
        <f>garage!D142</f>
        <v>21</v>
      </c>
      <c r="E142" s="8">
        <f>garage!E142</f>
        <v>0</v>
      </c>
      <c r="F142" s="8" t="str">
        <f>garage!F142</f>
        <v>L</v>
      </c>
      <c r="G142" s="8" t="str">
        <f>garage!G142</f>
        <v>O</v>
      </c>
      <c r="H142" s="8" t="str">
        <f>garage!H142</f>
        <v>O</v>
      </c>
      <c r="I142" s="8" t="str">
        <f>garage!I142</f>
        <v>O</v>
      </c>
      <c r="J142" s="8" t="str">
        <f>garage!J142</f>
        <v>N</v>
      </c>
      <c r="K142" s="8" t="str">
        <f>garage!K142</f>
        <v>A</v>
      </c>
      <c r="L142" s="9" t="str">
        <f>garage!L142</f>
        <v>Lamborghini</v>
      </c>
      <c r="M142" s="9" t="str">
        <f>garage!M142</f>
        <v>Aventador J</v>
      </c>
      <c r="O142" s="17">
        <v>50</v>
      </c>
      <c r="P142" s="13">
        <v>23</v>
      </c>
      <c r="Q142" s="13">
        <v>27</v>
      </c>
      <c r="R142" s="13">
        <v>36</v>
      </c>
      <c r="S142" s="13">
        <v>51</v>
      </c>
      <c r="T142" s="14"/>
      <c r="U142" s="49">
        <f t="shared" si="38"/>
        <v>187</v>
      </c>
      <c r="W142" s="26">
        <v>50</v>
      </c>
      <c r="X142" s="27">
        <v>23</v>
      </c>
      <c r="Y142" s="27">
        <v>27</v>
      </c>
      <c r="Z142" s="27">
        <v>36</v>
      </c>
      <c r="AA142" s="27">
        <v>51</v>
      </c>
      <c r="AB142" s="28"/>
      <c r="AC142" s="28">
        <f t="shared" si="39"/>
        <v>187</v>
      </c>
      <c r="AE142" s="32"/>
      <c r="AF142" s="33"/>
      <c r="AG142" s="33"/>
      <c r="AH142" s="33"/>
      <c r="AI142" s="33"/>
      <c r="AJ142" s="34"/>
      <c r="AK142" s="34"/>
    </row>
    <row r="143" spans="2:37" ht="18" customHeight="1" x14ac:dyDescent="0.2">
      <c r="B143" s="10">
        <f>garage!B143</f>
        <v>143</v>
      </c>
      <c r="C143" s="10">
        <f>garage!C143</f>
        <v>4</v>
      </c>
      <c r="D143" s="10">
        <f>garage!D143</f>
        <v>22</v>
      </c>
      <c r="E143" s="10">
        <f>garage!E143</f>
        <v>16</v>
      </c>
      <c r="F143" s="10" t="str">
        <f>garage!F143</f>
        <v>--</v>
      </c>
      <c r="G143" s="10" t="str">
        <f>garage!G143</f>
        <v>O</v>
      </c>
      <c r="H143" s="10" t="str">
        <f>garage!H143</f>
        <v>N</v>
      </c>
      <c r="I143" s="10" t="str">
        <f>garage!I143</f>
        <v>N</v>
      </c>
      <c r="J143" s="10" t="str">
        <f>garage!J143</f>
        <v>N</v>
      </c>
      <c r="K143" s="10" t="str">
        <f>garage!K143</f>
        <v>A</v>
      </c>
      <c r="L143" s="11" t="str">
        <f>garage!L143</f>
        <v>Peugeot</v>
      </c>
      <c r="M143" s="11" t="str">
        <f>garage!M143</f>
        <v>Onyx</v>
      </c>
      <c r="O143" s="18">
        <v>50</v>
      </c>
      <c r="P143" s="15">
        <v>23</v>
      </c>
      <c r="Q143" s="15">
        <v>27</v>
      </c>
      <c r="R143" s="15">
        <v>36</v>
      </c>
      <c r="S143" s="15">
        <v>52</v>
      </c>
      <c r="T143" s="16">
        <v>62</v>
      </c>
      <c r="U143" s="50">
        <f t="shared" si="38"/>
        <v>250</v>
      </c>
      <c r="W143" s="29">
        <v>50</v>
      </c>
      <c r="X143" s="30">
        <v>23</v>
      </c>
      <c r="Y143" s="30">
        <v>27</v>
      </c>
      <c r="Z143" s="30">
        <v>36</v>
      </c>
      <c r="AA143" s="30">
        <v>52</v>
      </c>
      <c r="AB143" s="31">
        <v>18</v>
      </c>
      <c r="AC143" s="31">
        <f t="shared" si="39"/>
        <v>206</v>
      </c>
      <c r="AE143" s="35"/>
      <c r="AF143" s="36"/>
      <c r="AG143" s="36"/>
      <c r="AH143" s="36"/>
      <c r="AI143" s="36"/>
      <c r="AJ143" s="37">
        <f t="shared" si="46"/>
        <v>44</v>
      </c>
      <c r="AK143" s="37">
        <f t="shared" si="43"/>
        <v>44</v>
      </c>
    </row>
    <row r="144" spans="2:37" ht="18" customHeight="1" x14ac:dyDescent="0.2">
      <c r="B144" s="8">
        <f>garage!B144</f>
        <v>144</v>
      </c>
      <c r="C144" s="8">
        <f>garage!C144</f>
        <v>4</v>
      </c>
      <c r="D144" s="8">
        <f>garage!D144</f>
        <v>23</v>
      </c>
      <c r="E144" s="8">
        <f>garage!E144</f>
        <v>22</v>
      </c>
      <c r="F144" s="8" t="str">
        <f>garage!F144</f>
        <v>--</v>
      </c>
      <c r="G144" s="8" t="str">
        <f>garage!G144</f>
        <v>N</v>
      </c>
      <c r="H144" s="8" t="str">
        <f>garage!H144</f>
        <v>N</v>
      </c>
      <c r="I144" s="8" t="str">
        <f>garage!I144</f>
        <v>N</v>
      </c>
      <c r="J144" s="8" t="str">
        <f>garage!J144</f>
        <v>N</v>
      </c>
      <c r="K144" s="8" t="str">
        <f>garage!K144</f>
        <v>A</v>
      </c>
      <c r="L144" s="9" t="str">
        <f>garage!L144</f>
        <v>Pagani</v>
      </c>
      <c r="M144" s="9" t="str">
        <f>garage!M144</f>
        <v>Zonda R</v>
      </c>
      <c r="O144" s="17" t="s">
        <v>432</v>
      </c>
      <c r="P144" s="13">
        <v>28</v>
      </c>
      <c r="Q144" s="13">
        <v>32</v>
      </c>
      <c r="R144" s="13">
        <v>44</v>
      </c>
      <c r="S144" s="13">
        <v>59</v>
      </c>
      <c r="T144" s="14">
        <v>86</v>
      </c>
      <c r="U144" s="49">
        <f t="shared" si="38"/>
        <v>249</v>
      </c>
      <c r="W144" s="26"/>
      <c r="X144" s="27">
        <v>28</v>
      </c>
      <c r="Y144" s="27">
        <v>19</v>
      </c>
      <c r="Z144" s="27">
        <v>0</v>
      </c>
      <c r="AA144" s="27">
        <v>0</v>
      </c>
      <c r="AB144" s="28">
        <v>0</v>
      </c>
      <c r="AC144" s="28">
        <f t="shared" si="39"/>
        <v>47</v>
      </c>
      <c r="AE144" s="32" t="s">
        <v>432</v>
      </c>
      <c r="AF144" s="33"/>
      <c r="AG144" s="33">
        <f t="shared" si="40"/>
        <v>13</v>
      </c>
      <c r="AH144" s="33">
        <f t="shared" si="41"/>
        <v>44</v>
      </c>
      <c r="AI144" s="33">
        <f t="shared" si="42"/>
        <v>59</v>
      </c>
      <c r="AJ144" s="34">
        <f t="shared" si="46"/>
        <v>86</v>
      </c>
      <c r="AK144" s="34">
        <f t="shared" si="43"/>
        <v>202</v>
      </c>
    </row>
    <row r="145" spans="2:37" ht="18" customHeight="1" x14ac:dyDescent="0.2">
      <c r="B145" s="10">
        <f>garage!B145</f>
        <v>145</v>
      </c>
      <c r="C145" s="10">
        <f>garage!C145</f>
        <v>4</v>
      </c>
      <c r="D145" s="10">
        <f>garage!D145</f>
        <v>24</v>
      </c>
      <c r="E145" s="10">
        <f>garage!E145</f>
        <v>22</v>
      </c>
      <c r="F145" s="10" t="str">
        <f>garage!F145</f>
        <v>--</v>
      </c>
      <c r="G145" s="10" t="str">
        <f>garage!G145</f>
        <v>N</v>
      </c>
      <c r="H145" s="10" t="str">
        <f>garage!H145</f>
        <v>N</v>
      </c>
      <c r="I145" s="10" t="str">
        <f>garage!I145</f>
        <v>N</v>
      </c>
      <c r="J145" s="10" t="str">
        <f>garage!J145</f>
        <v>N</v>
      </c>
      <c r="K145" s="10" t="str">
        <f>garage!K145</f>
        <v>A</v>
      </c>
      <c r="L145" s="11" t="str">
        <f>garage!L145</f>
        <v>Glickhaus</v>
      </c>
      <c r="M145" s="11" t="str">
        <f>garage!M145</f>
        <v>007S</v>
      </c>
      <c r="O145" s="18" t="s">
        <v>432</v>
      </c>
      <c r="P145" s="15">
        <v>28</v>
      </c>
      <c r="Q145" s="15">
        <v>32</v>
      </c>
      <c r="R145" s="15">
        <v>44</v>
      </c>
      <c r="S145" s="15">
        <v>59</v>
      </c>
      <c r="T145" s="16">
        <v>86</v>
      </c>
      <c r="U145" s="50">
        <f t="shared" si="38"/>
        <v>249</v>
      </c>
      <c r="W145" s="29"/>
      <c r="X145" s="30">
        <v>28</v>
      </c>
      <c r="Y145" s="30">
        <v>32</v>
      </c>
      <c r="Z145" s="30">
        <v>27</v>
      </c>
      <c r="AA145" s="30">
        <v>0</v>
      </c>
      <c r="AB145" s="31">
        <v>0</v>
      </c>
      <c r="AC145" s="31">
        <f t="shared" si="39"/>
        <v>87</v>
      </c>
      <c r="AE145" s="35" t="s">
        <v>432</v>
      </c>
      <c r="AF145" s="36"/>
      <c r="AG145" s="36"/>
      <c r="AH145" s="36">
        <f t="shared" si="41"/>
        <v>17</v>
      </c>
      <c r="AI145" s="36">
        <f t="shared" si="42"/>
        <v>59</v>
      </c>
      <c r="AJ145" s="37">
        <f t="shared" si="46"/>
        <v>86</v>
      </c>
      <c r="AK145" s="37">
        <f t="shared" si="43"/>
        <v>162</v>
      </c>
    </row>
    <row r="146" spans="2:37" ht="18" customHeight="1" x14ac:dyDescent="0.2">
      <c r="B146" s="8">
        <f>garage!B146</f>
        <v>146</v>
      </c>
      <c r="C146" s="8">
        <f>garage!C146</f>
        <v>4</v>
      </c>
      <c r="D146" s="8">
        <f>garage!D146</f>
        <v>25</v>
      </c>
      <c r="E146" s="8">
        <f>garage!E146</f>
        <v>16</v>
      </c>
      <c r="F146" s="8" t="str">
        <f>garage!F146</f>
        <v>--</v>
      </c>
      <c r="G146" s="8" t="str">
        <f>garage!G146</f>
        <v>O</v>
      </c>
      <c r="H146" s="8" t="str">
        <f>garage!H146</f>
        <v>N</v>
      </c>
      <c r="I146" s="8" t="str">
        <f>garage!I146</f>
        <v>N</v>
      </c>
      <c r="J146" s="8" t="str">
        <f>garage!J146</f>
        <v>N</v>
      </c>
      <c r="K146" s="8" t="str">
        <f>garage!K146</f>
        <v>A</v>
      </c>
      <c r="L146" s="9" t="str">
        <f>garage!L146</f>
        <v>Citroen</v>
      </c>
      <c r="M146" s="9" t="str">
        <f>garage!M146</f>
        <v>GT by Citroen</v>
      </c>
      <c r="O146" s="17">
        <v>50</v>
      </c>
      <c r="P146" s="13">
        <v>23</v>
      </c>
      <c r="Q146" s="13">
        <v>27</v>
      </c>
      <c r="R146" s="13">
        <v>36</v>
      </c>
      <c r="S146" s="13">
        <v>52</v>
      </c>
      <c r="T146" s="14">
        <v>62</v>
      </c>
      <c r="U146" s="49">
        <f t="shared" si="38"/>
        <v>250</v>
      </c>
      <c r="W146" s="26">
        <v>50</v>
      </c>
      <c r="X146" s="27">
        <v>9</v>
      </c>
      <c r="Y146" s="27"/>
      <c r="Z146" s="27"/>
      <c r="AA146" s="27"/>
      <c r="AB146" s="28"/>
      <c r="AC146" s="28">
        <f t="shared" si="39"/>
        <v>59</v>
      </c>
      <c r="AE146" s="32"/>
      <c r="AF146" s="33">
        <f t="shared" si="45"/>
        <v>14</v>
      </c>
      <c r="AG146" s="33">
        <f t="shared" si="40"/>
        <v>27</v>
      </c>
      <c r="AH146" s="33">
        <f t="shared" si="41"/>
        <v>36</v>
      </c>
      <c r="AI146" s="33">
        <f t="shared" si="42"/>
        <v>52</v>
      </c>
      <c r="AJ146" s="34">
        <f t="shared" si="46"/>
        <v>62</v>
      </c>
      <c r="AK146" s="34">
        <f t="shared" si="43"/>
        <v>191</v>
      </c>
    </row>
    <row r="147" spans="2:37" ht="18" customHeight="1" x14ac:dyDescent="0.2">
      <c r="B147" s="10">
        <f>garage!B147</f>
        <v>147</v>
      </c>
      <c r="C147" s="10">
        <f>garage!C147</f>
        <v>4</v>
      </c>
      <c r="D147" s="10">
        <f>garage!D147</f>
        <v>26</v>
      </c>
      <c r="E147" s="10">
        <f>garage!E147</f>
        <v>19</v>
      </c>
      <c r="F147" s="10" t="str">
        <f>garage!F147</f>
        <v>AM</v>
      </c>
      <c r="G147" s="10" t="str">
        <f>garage!G147</f>
        <v>O</v>
      </c>
      <c r="H147" s="10" t="str">
        <f>garage!H147</f>
        <v>N</v>
      </c>
      <c r="I147" s="10" t="str">
        <f>garage!I147</f>
        <v>N</v>
      </c>
      <c r="J147" s="10" t="str">
        <f>garage!J147</f>
        <v>N</v>
      </c>
      <c r="K147" s="10" t="str">
        <f>garage!K147</f>
        <v>A</v>
      </c>
      <c r="L147" s="11" t="str">
        <f>garage!L147</f>
        <v>Aston Martin</v>
      </c>
      <c r="M147" s="11" t="str">
        <f>garage!M147</f>
        <v>Victor</v>
      </c>
      <c r="O147" s="18">
        <v>70</v>
      </c>
      <c r="P147" s="15">
        <v>23</v>
      </c>
      <c r="Q147" s="15">
        <v>27</v>
      </c>
      <c r="R147" s="15">
        <v>36</v>
      </c>
      <c r="S147" s="15">
        <v>52</v>
      </c>
      <c r="T147" s="16">
        <v>59</v>
      </c>
      <c r="U147" s="50">
        <f t="shared" si="38"/>
        <v>267</v>
      </c>
      <c r="W147" s="29">
        <v>70</v>
      </c>
      <c r="X147" s="30">
        <v>23</v>
      </c>
      <c r="Y147" s="30">
        <v>27</v>
      </c>
      <c r="Z147" s="30">
        <v>5</v>
      </c>
      <c r="AA147" s="30"/>
      <c r="AB147" s="31"/>
      <c r="AC147" s="31">
        <f t="shared" si="39"/>
        <v>125</v>
      </c>
      <c r="AE147" s="35"/>
      <c r="AF147" s="36"/>
      <c r="AG147" s="36"/>
      <c r="AH147" s="36">
        <f t="shared" si="41"/>
        <v>31</v>
      </c>
      <c r="AI147" s="36">
        <f t="shared" si="42"/>
        <v>52</v>
      </c>
      <c r="AJ147" s="37">
        <f t="shared" si="46"/>
        <v>59</v>
      </c>
      <c r="AK147" s="37">
        <f t="shared" si="43"/>
        <v>142</v>
      </c>
    </row>
    <row r="148" spans="2:37" ht="18" customHeight="1" x14ac:dyDescent="0.2">
      <c r="B148" s="8">
        <f>garage!B148</f>
        <v>148</v>
      </c>
      <c r="C148" s="8">
        <f>garage!C148</f>
        <v>4</v>
      </c>
      <c r="D148" s="8">
        <f>garage!D148</f>
        <v>27</v>
      </c>
      <c r="E148" s="8">
        <f>garage!E148</f>
        <v>11</v>
      </c>
      <c r="F148" s="8" t="str">
        <f>garage!F148</f>
        <v>P</v>
      </c>
      <c r="G148" s="8" t="str">
        <f>garage!G148</f>
        <v>O</v>
      </c>
      <c r="H148" s="8" t="str">
        <f>garage!H148</f>
        <v>O</v>
      </c>
      <c r="I148" s="8" t="str">
        <f>garage!I148</f>
        <v>N</v>
      </c>
      <c r="J148" s="8" t="str">
        <f>garage!J148</f>
        <v>N</v>
      </c>
      <c r="K148" s="8" t="str">
        <f>garage!K148</f>
        <v>A</v>
      </c>
      <c r="L148" s="9" t="str">
        <f>garage!L148</f>
        <v>Porsche</v>
      </c>
      <c r="M148" s="9" t="str">
        <f>garage!M148</f>
        <v>911 GT2 RS Clubsport</v>
      </c>
      <c r="O148" s="17" t="s">
        <v>432</v>
      </c>
      <c r="P148" s="13">
        <v>28</v>
      </c>
      <c r="Q148" s="13">
        <v>32</v>
      </c>
      <c r="R148" s="13">
        <v>44</v>
      </c>
      <c r="S148" s="13">
        <v>59</v>
      </c>
      <c r="T148" s="14">
        <v>86</v>
      </c>
      <c r="U148" s="49">
        <f t="shared" si="38"/>
        <v>249</v>
      </c>
      <c r="W148" s="26" t="s">
        <v>432</v>
      </c>
      <c r="X148" s="27">
        <v>28</v>
      </c>
      <c r="Y148" s="27">
        <v>32</v>
      </c>
      <c r="Z148" s="27">
        <v>44</v>
      </c>
      <c r="AA148" s="27">
        <v>59</v>
      </c>
      <c r="AB148" s="28">
        <v>86</v>
      </c>
      <c r="AC148" s="28">
        <f t="shared" si="39"/>
        <v>249</v>
      </c>
      <c r="AE148" s="32"/>
      <c r="AF148" s="33"/>
      <c r="AG148" s="33"/>
      <c r="AH148" s="33"/>
      <c r="AI148" s="33"/>
      <c r="AJ148" s="34"/>
      <c r="AK148" s="34"/>
    </row>
    <row r="149" spans="2:37" ht="18" customHeight="1" x14ac:dyDescent="0.2">
      <c r="B149" s="10">
        <f>garage!B149</f>
        <v>149</v>
      </c>
      <c r="C149" s="10">
        <f>garage!C149</f>
        <v>4</v>
      </c>
      <c r="D149" s="10">
        <f>garage!D149</f>
        <v>28</v>
      </c>
      <c r="E149" s="10">
        <f>garage!E149</f>
        <v>0</v>
      </c>
      <c r="F149" s="10" t="str">
        <f>garage!F149</f>
        <v>--</v>
      </c>
      <c r="G149" s="10" t="str">
        <f>garage!G149</f>
        <v>O</v>
      </c>
      <c r="H149" s="10" t="str">
        <f>garage!H149</f>
        <v>O</v>
      </c>
      <c r="I149" s="10" t="str">
        <f>garage!I149</f>
        <v>O</v>
      </c>
      <c r="J149" s="10" t="str">
        <f>garage!J149</f>
        <v>N</v>
      </c>
      <c r="K149" s="10" t="str">
        <f>garage!K149</f>
        <v>A</v>
      </c>
      <c r="L149" s="11" t="str">
        <f>garage!L149</f>
        <v>Pagani</v>
      </c>
      <c r="M149" s="11" t="str">
        <f>garage!M149</f>
        <v>Huayra BC</v>
      </c>
      <c r="O149" s="18">
        <v>50</v>
      </c>
      <c r="P149" s="15">
        <v>12</v>
      </c>
      <c r="Q149" s="15">
        <v>15</v>
      </c>
      <c r="R149" s="15">
        <v>24</v>
      </c>
      <c r="S149" s="15">
        <v>37</v>
      </c>
      <c r="T149" s="16">
        <v>45</v>
      </c>
      <c r="U149" s="50">
        <f t="shared" si="38"/>
        <v>183</v>
      </c>
      <c r="W149" s="29">
        <v>50</v>
      </c>
      <c r="X149" s="30">
        <v>12</v>
      </c>
      <c r="Y149" s="30">
        <v>15</v>
      </c>
      <c r="Z149" s="30">
        <v>24</v>
      </c>
      <c r="AA149" s="30">
        <v>37</v>
      </c>
      <c r="AB149" s="31">
        <v>45</v>
      </c>
      <c r="AC149" s="31">
        <f t="shared" si="39"/>
        <v>183</v>
      </c>
      <c r="AE149" s="35"/>
      <c r="AF149" s="36"/>
      <c r="AG149" s="36"/>
      <c r="AH149" s="36"/>
      <c r="AI149" s="36"/>
      <c r="AJ149" s="37"/>
      <c r="AK149" s="37"/>
    </row>
    <row r="150" spans="2:37" ht="18" customHeight="1" x14ac:dyDescent="0.2">
      <c r="B150" s="8">
        <f>garage!B150</f>
        <v>150</v>
      </c>
      <c r="C150" s="8">
        <f>garage!C150</f>
        <v>4</v>
      </c>
      <c r="D150" s="8">
        <f>garage!D150</f>
        <v>29</v>
      </c>
      <c r="E150" s="8">
        <f>garage!E150</f>
        <v>28</v>
      </c>
      <c r="F150" s="8" t="str">
        <f>garage!F150</f>
        <v>M</v>
      </c>
      <c r="G150" s="8" t="str">
        <f>garage!G150</f>
        <v>N</v>
      </c>
      <c r="H150" s="8" t="str">
        <f>garage!H150</f>
        <v>N</v>
      </c>
      <c r="I150" s="8" t="str">
        <f>garage!I150</f>
        <v>N</v>
      </c>
      <c r="J150" s="8" t="str">
        <f>garage!J150</f>
        <v>N</v>
      </c>
      <c r="K150" s="8" t="str">
        <f>garage!K150</f>
        <v>A</v>
      </c>
      <c r="L150" s="9" t="str">
        <f>garage!L150</f>
        <v>McLaren</v>
      </c>
      <c r="M150" s="9" t="str">
        <f>garage!M150</f>
        <v>650S GT3</v>
      </c>
      <c r="O150" s="17">
        <v>70</v>
      </c>
      <c r="P150" s="13">
        <v>23</v>
      </c>
      <c r="Q150" s="13">
        <v>27</v>
      </c>
      <c r="R150" s="13">
        <v>36</v>
      </c>
      <c r="S150" s="13">
        <v>52</v>
      </c>
      <c r="T150" s="14">
        <v>59</v>
      </c>
      <c r="U150" s="49">
        <f t="shared" si="38"/>
        <v>267</v>
      </c>
      <c r="W150" s="26">
        <v>36</v>
      </c>
      <c r="X150" s="27">
        <v>0</v>
      </c>
      <c r="Y150" s="27">
        <v>0</v>
      </c>
      <c r="Z150" s="27">
        <v>0</v>
      </c>
      <c r="AA150" s="27">
        <v>0</v>
      </c>
      <c r="AB150" s="28">
        <v>0</v>
      </c>
      <c r="AC150" s="28">
        <f t="shared" si="39"/>
        <v>36</v>
      </c>
      <c r="AE150" s="32">
        <f t="shared" si="44"/>
        <v>34</v>
      </c>
      <c r="AF150" s="33">
        <f t="shared" si="45"/>
        <v>23</v>
      </c>
      <c r="AG150" s="33">
        <f t="shared" si="40"/>
        <v>27</v>
      </c>
      <c r="AH150" s="33">
        <f t="shared" si="41"/>
        <v>36</v>
      </c>
      <c r="AI150" s="33">
        <f t="shared" si="42"/>
        <v>52</v>
      </c>
      <c r="AJ150" s="34">
        <f t="shared" si="46"/>
        <v>59</v>
      </c>
      <c r="AK150" s="34">
        <f t="shared" si="43"/>
        <v>231</v>
      </c>
    </row>
    <row r="151" spans="2:37" ht="18" customHeight="1" x14ac:dyDescent="0.2">
      <c r="B151" s="10">
        <f>garage!B151</f>
        <v>151</v>
      </c>
      <c r="C151" s="10">
        <f>garage!C151</f>
        <v>4</v>
      </c>
      <c r="D151" s="10">
        <f>garage!D151</f>
        <v>30</v>
      </c>
      <c r="E151" s="10">
        <f>garage!E151</f>
        <v>12</v>
      </c>
      <c r="F151" s="10" t="str">
        <f>garage!F151</f>
        <v>L</v>
      </c>
      <c r="G151" s="10" t="str">
        <f>garage!G151</f>
        <v>O</v>
      </c>
      <c r="H151" s="10" t="str">
        <f>garage!H151</f>
        <v>N</v>
      </c>
      <c r="I151" s="10" t="str">
        <f>garage!I151</f>
        <v>N</v>
      </c>
      <c r="J151" s="10" t="str">
        <f>garage!J151</f>
        <v>N</v>
      </c>
      <c r="K151" s="10" t="str">
        <f>garage!K151</f>
        <v>A</v>
      </c>
      <c r="L151" s="11" t="str">
        <f>garage!L151</f>
        <v>Lamborghini</v>
      </c>
      <c r="M151" s="11" t="str">
        <f>garage!M151</f>
        <v>SC18</v>
      </c>
      <c r="O151" s="18" t="s">
        <v>432</v>
      </c>
      <c r="P151" s="15">
        <v>28</v>
      </c>
      <c r="Q151" s="15">
        <v>32</v>
      </c>
      <c r="R151" s="15">
        <v>44</v>
      </c>
      <c r="S151" s="15">
        <v>59</v>
      </c>
      <c r="T151" s="16">
        <v>86</v>
      </c>
      <c r="U151" s="50">
        <f t="shared" si="38"/>
        <v>249</v>
      </c>
      <c r="W151" s="29" t="s">
        <v>432</v>
      </c>
      <c r="X151" s="30">
        <v>28</v>
      </c>
      <c r="Y151" s="30">
        <v>32</v>
      </c>
      <c r="Z151" s="30">
        <v>44</v>
      </c>
      <c r="AA151" s="30">
        <v>17</v>
      </c>
      <c r="AB151" s="31"/>
      <c r="AC151" s="31">
        <f t="shared" si="39"/>
        <v>121</v>
      </c>
      <c r="AE151" s="35" t="s">
        <v>432</v>
      </c>
      <c r="AF151" s="36"/>
      <c r="AG151" s="36"/>
      <c r="AH151" s="36"/>
      <c r="AI151" s="36">
        <f t="shared" si="42"/>
        <v>42</v>
      </c>
      <c r="AJ151" s="37">
        <f t="shared" si="46"/>
        <v>86</v>
      </c>
      <c r="AK151" s="37">
        <f t="shared" si="43"/>
        <v>128</v>
      </c>
    </row>
    <row r="152" spans="2:37" ht="18" customHeight="1" x14ac:dyDescent="0.2">
      <c r="B152" s="8">
        <f>garage!B152</f>
        <v>152</v>
      </c>
      <c r="C152" s="8">
        <f>garage!C152</f>
        <v>4</v>
      </c>
      <c r="D152" s="8">
        <f>garage!D152</f>
        <v>31</v>
      </c>
      <c r="E152" s="8">
        <f>garage!E152</f>
        <v>6</v>
      </c>
      <c r="F152" s="8" t="str">
        <f>garage!F152</f>
        <v>F</v>
      </c>
      <c r="G152" s="8" t="str">
        <f>garage!G152</f>
        <v>O</v>
      </c>
      <c r="H152" s="8" t="str">
        <f>garage!H152</f>
        <v>O</v>
      </c>
      <c r="I152" s="8" t="str">
        <f>garage!I152</f>
        <v>O</v>
      </c>
      <c r="J152" s="8" t="str">
        <f>garage!J152</f>
        <v>N</v>
      </c>
      <c r="K152" s="8" t="str">
        <f>garage!K152</f>
        <v>A</v>
      </c>
      <c r="L152" s="9" t="str">
        <f>garage!L152</f>
        <v>Ferrari</v>
      </c>
      <c r="M152" s="9" t="str">
        <f>garage!M152</f>
        <v>LaFerrari Aperta</v>
      </c>
      <c r="O152" s="17">
        <v>50</v>
      </c>
      <c r="P152" s="13">
        <v>23</v>
      </c>
      <c r="Q152" s="13">
        <v>27</v>
      </c>
      <c r="R152" s="13">
        <v>36</v>
      </c>
      <c r="S152" s="13">
        <v>52</v>
      </c>
      <c r="T152" s="14">
        <v>62</v>
      </c>
      <c r="U152" s="49">
        <f t="shared" si="38"/>
        <v>250</v>
      </c>
      <c r="W152" s="26">
        <v>50</v>
      </c>
      <c r="X152" s="27">
        <v>23</v>
      </c>
      <c r="Y152" s="27">
        <v>27</v>
      </c>
      <c r="Z152" s="27">
        <v>36</v>
      </c>
      <c r="AA152" s="27">
        <v>52</v>
      </c>
      <c r="AB152" s="28">
        <v>62</v>
      </c>
      <c r="AC152" s="28">
        <f t="shared" si="39"/>
        <v>250</v>
      </c>
      <c r="AE152" s="32"/>
      <c r="AF152" s="33"/>
      <c r="AG152" s="33"/>
      <c r="AH152" s="33"/>
      <c r="AI152" s="33"/>
      <c r="AJ152" s="34"/>
      <c r="AK152" s="34"/>
    </row>
    <row r="153" spans="2:37" ht="18" customHeight="1" x14ac:dyDescent="0.2">
      <c r="B153" s="10">
        <f>garage!B153</f>
        <v>153</v>
      </c>
      <c r="C153" s="10">
        <f>garage!C153</f>
        <v>4</v>
      </c>
      <c r="D153" s="10">
        <f>garage!D153</f>
        <v>32</v>
      </c>
      <c r="E153" s="10">
        <f>garage!E153</f>
        <v>15</v>
      </c>
      <c r="F153" s="10" t="str">
        <f>garage!F153</f>
        <v>F</v>
      </c>
      <c r="G153" s="10" t="str">
        <f>garage!G153</f>
        <v>N</v>
      </c>
      <c r="H153" s="10" t="str">
        <f>garage!H153</f>
        <v>N</v>
      </c>
      <c r="I153" s="10" t="str">
        <f>garage!I153</f>
        <v>N</v>
      </c>
      <c r="J153" s="10" t="str">
        <f>garage!J153</f>
        <v>N</v>
      </c>
      <c r="K153" s="10" t="str">
        <f>garage!K153</f>
        <v>A</v>
      </c>
      <c r="L153" s="11" t="str">
        <f>garage!L153</f>
        <v>Ferrari</v>
      </c>
      <c r="M153" s="11" t="str">
        <f>garage!M153</f>
        <v>F8 Tributo</v>
      </c>
      <c r="O153" s="18">
        <v>50</v>
      </c>
      <c r="P153" s="15">
        <v>23</v>
      </c>
      <c r="Q153" s="15">
        <v>27</v>
      </c>
      <c r="R153" s="15">
        <v>36</v>
      </c>
      <c r="S153" s="15">
        <v>52</v>
      </c>
      <c r="T153" s="16">
        <v>62</v>
      </c>
      <c r="U153" s="50">
        <f t="shared" si="38"/>
        <v>250</v>
      </c>
      <c r="W153" s="29">
        <v>43</v>
      </c>
      <c r="X153" s="30">
        <v>0</v>
      </c>
      <c r="Y153" s="30">
        <v>0</v>
      </c>
      <c r="Z153" s="30">
        <v>0</v>
      </c>
      <c r="AA153" s="30">
        <v>0</v>
      </c>
      <c r="AB153" s="31">
        <v>0</v>
      </c>
      <c r="AC153" s="31">
        <f t="shared" si="39"/>
        <v>43</v>
      </c>
      <c r="AE153" s="35">
        <f t="shared" si="44"/>
        <v>7</v>
      </c>
      <c r="AF153" s="36">
        <f t="shared" si="45"/>
        <v>23</v>
      </c>
      <c r="AG153" s="36">
        <f t="shared" si="40"/>
        <v>27</v>
      </c>
      <c r="AH153" s="36">
        <f t="shared" si="41"/>
        <v>36</v>
      </c>
      <c r="AI153" s="36">
        <f t="shared" si="42"/>
        <v>52</v>
      </c>
      <c r="AJ153" s="37">
        <f t="shared" si="46"/>
        <v>62</v>
      </c>
      <c r="AK153" s="37">
        <f t="shared" si="43"/>
        <v>207</v>
      </c>
    </row>
    <row r="154" spans="2:37" ht="18" customHeight="1" x14ac:dyDescent="0.2">
      <c r="B154" s="8">
        <f>garage!B154</f>
        <v>154</v>
      </c>
      <c r="C154" s="8">
        <f>garage!C154</f>
        <v>4</v>
      </c>
      <c r="D154" s="8">
        <f>garage!D154</f>
        <v>33</v>
      </c>
      <c r="E154" s="8">
        <f>garage!E154</f>
        <v>20</v>
      </c>
      <c r="F154" s="8" t="str">
        <f>garage!F154</f>
        <v>L</v>
      </c>
      <c r="G154" s="8" t="str">
        <f>garage!G154</f>
        <v>N</v>
      </c>
      <c r="H154" s="8" t="str">
        <f>garage!H154</f>
        <v>N</v>
      </c>
      <c r="I154" s="8" t="str">
        <f>garage!I154</f>
        <v>N</v>
      </c>
      <c r="J154" s="8" t="str">
        <f>garage!J154</f>
        <v>N</v>
      </c>
      <c r="K154" s="8" t="str">
        <f>garage!K154</f>
        <v>A</v>
      </c>
      <c r="L154" s="9" t="str">
        <f>garage!L154</f>
        <v>Lamborghini</v>
      </c>
      <c r="M154" s="9" t="str">
        <f>garage!M154</f>
        <v>SC20</v>
      </c>
      <c r="O154" s="17" t="s">
        <v>432</v>
      </c>
      <c r="P154" s="13">
        <v>28</v>
      </c>
      <c r="Q154" s="13">
        <v>32</v>
      </c>
      <c r="R154" s="13">
        <v>44</v>
      </c>
      <c r="S154" s="13">
        <v>59</v>
      </c>
      <c r="T154" s="14">
        <v>86</v>
      </c>
      <c r="U154" s="49">
        <f t="shared" si="38"/>
        <v>249</v>
      </c>
      <c r="W154" s="26"/>
      <c r="X154" s="27">
        <v>28</v>
      </c>
      <c r="Y154" s="27">
        <v>32</v>
      </c>
      <c r="Z154" s="27">
        <v>20</v>
      </c>
      <c r="AA154" s="27"/>
      <c r="AB154" s="28"/>
      <c r="AC154" s="28">
        <f t="shared" si="39"/>
        <v>80</v>
      </c>
      <c r="AE154" s="32" t="s">
        <v>432</v>
      </c>
      <c r="AF154" s="33"/>
      <c r="AG154" s="33"/>
      <c r="AH154" s="33">
        <f t="shared" si="41"/>
        <v>24</v>
      </c>
      <c r="AI154" s="33">
        <f t="shared" si="42"/>
        <v>59</v>
      </c>
      <c r="AJ154" s="34">
        <f t="shared" si="46"/>
        <v>86</v>
      </c>
      <c r="AK154" s="34">
        <f t="shared" si="43"/>
        <v>169</v>
      </c>
    </row>
    <row r="155" spans="2:37" ht="18" customHeight="1" x14ac:dyDescent="0.2">
      <c r="B155" s="10">
        <f>garage!B155</f>
        <v>155</v>
      </c>
      <c r="C155" s="10">
        <f>garage!C155</f>
        <v>4</v>
      </c>
      <c r="D155" s="10">
        <f>garage!D155</f>
        <v>34</v>
      </c>
      <c r="E155" s="10">
        <f>garage!E155</f>
        <v>0</v>
      </c>
      <c r="F155" s="10" t="str">
        <f>garage!F155</f>
        <v>--</v>
      </c>
      <c r="G155" s="10" t="str">
        <f>garage!G155</f>
        <v>O</v>
      </c>
      <c r="H155" s="10" t="str">
        <f>garage!H155</f>
        <v>O</v>
      </c>
      <c r="I155" s="10" t="str">
        <f>garage!I155</f>
        <v>O</v>
      </c>
      <c r="J155" s="10" t="str">
        <f>garage!J155</f>
        <v>N</v>
      </c>
      <c r="K155" s="10" t="str">
        <f>garage!K155</f>
        <v>A</v>
      </c>
      <c r="L155" s="11" t="str">
        <f>garage!L155</f>
        <v>Genty</v>
      </c>
      <c r="M155" s="11" t="str">
        <f>garage!M155</f>
        <v>Akylone</v>
      </c>
      <c r="O155" s="18">
        <v>50</v>
      </c>
      <c r="P155" s="15">
        <v>23</v>
      </c>
      <c r="Q155" s="15">
        <v>27</v>
      </c>
      <c r="R155" s="15">
        <v>36</v>
      </c>
      <c r="S155" s="15">
        <v>52</v>
      </c>
      <c r="T155" s="16">
        <v>62</v>
      </c>
      <c r="U155" s="50">
        <f t="shared" si="38"/>
        <v>250</v>
      </c>
      <c r="W155" s="29">
        <v>50</v>
      </c>
      <c r="X155" s="30">
        <v>23</v>
      </c>
      <c r="Y155" s="30">
        <v>27</v>
      </c>
      <c r="Z155" s="30">
        <v>36</v>
      </c>
      <c r="AA155" s="30">
        <v>52</v>
      </c>
      <c r="AB155" s="31">
        <v>62</v>
      </c>
      <c r="AC155" s="31">
        <f t="shared" si="39"/>
        <v>250</v>
      </c>
      <c r="AE155" s="35"/>
      <c r="AF155" s="36"/>
      <c r="AG155" s="36"/>
      <c r="AH155" s="36"/>
      <c r="AI155" s="36"/>
      <c r="AJ155" s="37"/>
      <c r="AK155" s="37"/>
    </row>
    <row r="156" spans="2:37" ht="18" customHeight="1" x14ac:dyDescent="0.2">
      <c r="B156" s="8">
        <f>garage!B156</f>
        <v>156</v>
      </c>
      <c r="C156" s="8">
        <f>garage!C156</f>
        <v>4</v>
      </c>
      <c r="D156" s="8">
        <f>garage!D156</f>
        <v>35</v>
      </c>
      <c r="E156" s="8">
        <f>garage!E156</f>
        <v>0</v>
      </c>
      <c r="F156" s="8" t="str">
        <f>garage!F156</f>
        <v>--</v>
      </c>
      <c r="G156" s="8" t="str">
        <f>garage!G156</f>
        <v>O</v>
      </c>
      <c r="H156" s="8" t="str">
        <f>garage!H156</f>
        <v>N</v>
      </c>
      <c r="I156" s="8" t="str">
        <f>garage!I156</f>
        <v>N</v>
      </c>
      <c r="J156" s="8" t="str">
        <f>garage!J156</f>
        <v>N</v>
      </c>
      <c r="K156" s="8" t="str">
        <f>garage!K156</f>
        <v>A</v>
      </c>
      <c r="L156" s="9" t="str">
        <f>garage!L156</f>
        <v>Techrules</v>
      </c>
      <c r="M156" s="9" t="str">
        <f>garage!M156</f>
        <v>AT96 track version</v>
      </c>
      <c r="O156" s="17" t="s">
        <v>432</v>
      </c>
      <c r="P156" s="13">
        <v>30</v>
      </c>
      <c r="Q156" s="13">
        <v>40</v>
      </c>
      <c r="R156" s="13">
        <v>50</v>
      </c>
      <c r="S156" s="13">
        <v>65</v>
      </c>
      <c r="T156" s="14">
        <v>80</v>
      </c>
      <c r="U156" s="49">
        <f t="shared" si="38"/>
        <v>265</v>
      </c>
      <c r="W156" s="26" t="s">
        <v>432</v>
      </c>
      <c r="X156" s="27">
        <v>30</v>
      </c>
      <c r="Y156" s="27">
        <v>40</v>
      </c>
      <c r="Z156" s="27">
        <v>21</v>
      </c>
      <c r="AA156" s="27"/>
      <c r="AB156" s="28"/>
      <c r="AC156" s="28">
        <f t="shared" si="39"/>
        <v>91</v>
      </c>
      <c r="AE156" s="32" t="s">
        <v>432</v>
      </c>
      <c r="AF156" s="33"/>
      <c r="AG156" s="33"/>
      <c r="AH156" s="33">
        <f t="shared" si="41"/>
        <v>29</v>
      </c>
      <c r="AI156" s="33">
        <f t="shared" si="42"/>
        <v>65</v>
      </c>
      <c r="AJ156" s="34">
        <f t="shared" si="46"/>
        <v>80</v>
      </c>
      <c r="AK156" s="34">
        <f t="shared" si="43"/>
        <v>174</v>
      </c>
    </row>
    <row r="157" spans="2:37" ht="18" customHeight="1" x14ac:dyDescent="0.2">
      <c r="B157" s="10">
        <f>garage!B157</f>
        <v>157</v>
      </c>
      <c r="C157" s="10">
        <f>garage!C157</f>
        <v>4</v>
      </c>
      <c r="D157" s="10">
        <f>garage!D157</f>
        <v>36</v>
      </c>
      <c r="E157" s="10">
        <f>garage!E157</f>
        <v>21</v>
      </c>
      <c r="F157" s="10" t="str">
        <f>garage!F157</f>
        <v>--</v>
      </c>
      <c r="G157" s="10" t="str">
        <f>garage!G157</f>
        <v>O</v>
      </c>
      <c r="H157" s="10" t="str">
        <f>garage!H157</f>
        <v>N</v>
      </c>
      <c r="I157" s="10" t="str">
        <f>garage!I157</f>
        <v>N</v>
      </c>
      <c r="J157" s="10" t="str">
        <f>garage!J157</f>
        <v>N</v>
      </c>
      <c r="K157" s="10" t="str">
        <f>garage!K157</f>
        <v>A</v>
      </c>
      <c r="L157" s="11" t="str">
        <f>garage!L157</f>
        <v>Rimac</v>
      </c>
      <c r="M157" s="11" t="str">
        <f>garage!M157</f>
        <v>Concept_One</v>
      </c>
      <c r="O157" s="18">
        <v>70</v>
      </c>
      <c r="P157" s="15">
        <v>23</v>
      </c>
      <c r="Q157" s="15">
        <v>27</v>
      </c>
      <c r="R157" s="15">
        <v>36</v>
      </c>
      <c r="S157" s="15">
        <v>52</v>
      </c>
      <c r="T157" s="16">
        <v>59</v>
      </c>
      <c r="U157" s="50">
        <f t="shared" si="38"/>
        <v>267</v>
      </c>
      <c r="W157" s="29">
        <v>70</v>
      </c>
      <c r="X157" s="30">
        <v>5</v>
      </c>
      <c r="Y157" s="30"/>
      <c r="Z157" s="30"/>
      <c r="AA157" s="30"/>
      <c r="AB157" s="31"/>
      <c r="AC157" s="31">
        <f t="shared" si="39"/>
        <v>75</v>
      </c>
      <c r="AE157" s="35"/>
      <c r="AF157" s="36">
        <f t="shared" si="45"/>
        <v>18</v>
      </c>
      <c r="AG157" s="36">
        <f t="shared" si="40"/>
        <v>27</v>
      </c>
      <c r="AH157" s="36">
        <f t="shared" si="41"/>
        <v>36</v>
      </c>
      <c r="AI157" s="36">
        <f t="shared" si="42"/>
        <v>52</v>
      </c>
      <c r="AJ157" s="37">
        <f t="shared" si="46"/>
        <v>59</v>
      </c>
      <c r="AK157" s="37">
        <f t="shared" si="43"/>
        <v>192</v>
      </c>
    </row>
    <row r="158" spans="2:37" ht="18" customHeight="1" x14ac:dyDescent="0.2">
      <c r="B158" s="8">
        <f>garage!B158</f>
        <v>158</v>
      </c>
      <c r="C158" s="8">
        <f>garage!C158</f>
        <v>4</v>
      </c>
      <c r="D158" s="8">
        <f>garage!D158</f>
        <v>37</v>
      </c>
      <c r="E158" s="8">
        <f>garage!E158</f>
        <v>14</v>
      </c>
      <c r="F158" s="8" t="str">
        <f>garage!F158</f>
        <v>AM</v>
      </c>
      <c r="G158" s="8" t="str">
        <f>garage!G158</f>
        <v>O</v>
      </c>
      <c r="H158" s="8" t="str">
        <f>garage!H158</f>
        <v>O</v>
      </c>
      <c r="I158" s="8" t="str">
        <f>garage!I158</f>
        <v>N</v>
      </c>
      <c r="J158" s="8" t="str">
        <f>garage!J158</f>
        <v>N</v>
      </c>
      <c r="K158" s="8" t="str">
        <f>garage!K158</f>
        <v>A</v>
      </c>
      <c r="L158" s="9" t="str">
        <f>garage!L158</f>
        <v>Aston Martin</v>
      </c>
      <c r="M158" s="9" t="str">
        <f>garage!M158</f>
        <v>Valhalla Concept Car</v>
      </c>
      <c r="O158" s="17">
        <v>50</v>
      </c>
      <c r="P158" s="13">
        <v>23</v>
      </c>
      <c r="Q158" s="13">
        <v>27</v>
      </c>
      <c r="R158" s="13">
        <v>36</v>
      </c>
      <c r="S158" s="13">
        <v>52</v>
      </c>
      <c r="T158" s="14">
        <v>77</v>
      </c>
      <c r="U158" s="49">
        <f t="shared" si="38"/>
        <v>265</v>
      </c>
      <c r="W158" s="26">
        <v>50</v>
      </c>
      <c r="X158" s="27">
        <v>23</v>
      </c>
      <c r="Y158" s="27">
        <v>27</v>
      </c>
      <c r="Z158" s="27">
        <v>36</v>
      </c>
      <c r="AA158" s="27">
        <v>52</v>
      </c>
      <c r="AB158" s="28">
        <v>77</v>
      </c>
      <c r="AC158" s="28">
        <f t="shared" si="39"/>
        <v>265</v>
      </c>
      <c r="AE158" s="32"/>
      <c r="AF158" s="33"/>
      <c r="AG158" s="33"/>
      <c r="AH158" s="33"/>
      <c r="AI158" s="33"/>
      <c r="AJ158" s="34"/>
      <c r="AK158" s="34"/>
    </row>
    <row r="159" spans="2:37" ht="18" customHeight="1" x14ac:dyDescent="0.2">
      <c r="B159" s="10">
        <f>garage!B159</f>
        <v>159</v>
      </c>
      <c r="C159" s="10">
        <f>garage!C159</f>
        <v>4</v>
      </c>
      <c r="D159" s="10">
        <f>garage!D159</f>
        <v>38</v>
      </c>
      <c r="E159" s="10">
        <f>garage!E159</f>
        <v>18</v>
      </c>
      <c r="F159" s="10" t="str">
        <f>garage!F159</f>
        <v>--</v>
      </c>
      <c r="G159" s="10" t="str">
        <f>garage!G159</f>
        <v>O</v>
      </c>
      <c r="H159" s="10" t="str">
        <f>garage!H159</f>
        <v>N</v>
      </c>
      <c r="I159" s="10" t="str">
        <f>garage!I159</f>
        <v>N</v>
      </c>
      <c r="J159" s="10" t="str">
        <f>garage!J159</f>
        <v>N</v>
      </c>
      <c r="K159" s="10" t="str">
        <f>garage!K159</f>
        <v>A</v>
      </c>
      <c r="L159" s="11" t="str">
        <f>garage!L159</f>
        <v>Pagani</v>
      </c>
      <c r="M159" s="11" t="str">
        <f>garage!M159</f>
        <v>Imola</v>
      </c>
      <c r="O159" s="18">
        <v>70</v>
      </c>
      <c r="P159" s="15">
        <v>23</v>
      </c>
      <c r="Q159" s="15">
        <v>27</v>
      </c>
      <c r="R159" s="15">
        <v>36</v>
      </c>
      <c r="S159" s="15">
        <v>52</v>
      </c>
      <c r="T159" s="16">
        <v>59</v>
      </c>
      <c r="U159" s="50">
        <f t="shared" si="38"/>
        <v>267</v>
      </c>
      <c r="W159" s="29">
        <v>70</v>
      </c>
      <c r="X159" s="30"/>
      <c r="Y159" s="30"/>
      <c r="Z159" s="30"/>
      <c r="AA159" s="30"/>
      <c r="AB159" s="31"/>
      <c r="AC159" s="31">
        <f t="shared" si="39"/>
        <v>70</v>
      </c>
      <c r="AE159" s="35"/>
      <c r="AF159" s="36">
        <f t="shared" si="45"/>
        <v>23</v>
      </c>
      <c r="AG159" s="36">
        <f t="shared" si="40"/>
        <v>27</v>
      </c>
      <c r="AH159" s="36">
        <f t="shared" si="41"/>
        <v>36</v>
      </c>
      <c r="AI159" s="36">
        <f t="shared" si="42"/>
        <v>52</v>
      </c>
      <c r="AJ159" s="37">
        <f t="shared" si="46"/>
        <v>59</v>
      </c>
      <c r="AK159" s="37">
        <f t="shared" si="43"/>
        <v>197</v>
      </c>
    </row>
    <row r="160" spans="2:37" ht="18" customHeight="1" x14ac:dyDescent="0.2">
      <c r="B160" s="8">
        <f>garage!B160</f>
        <v>160</v>
      </c>
      <c r="C160" s="8">
        <f>garage!C160</f>
        <v>4</v>
      </c>
      <c r="D160" s="8">
        <f>garage!D160</f>
        <v>39</v>
      </c>
      <c r="E160" s="8">
        <f>garage!E160</f>
        <v>30</v>
      </c>
      <c r="F160" s="8" t="str">
        <f>garage!F160</f>
        <v>--</v>
      </c>
      <c r="G160" s="8" t="str">
        <f>garage!G160</f>
        <v>N</v>
      </c>
      <c r="H160" s="8" t="str">
        <f>garage!H160</f>
        <v>N</v>
      </c>
      <c r="I160" s="8" t="str">
        <f>garage!I160</f>
        <v>N</v>
      </c>
      <c r="J160" s="8" t="str">
        <f>garage!J160</f>
        <v>N</v>
      </c>
      <c r="K160" s="8" t="str">
        <f>garage!K160</f>
        <v>A</v>
      </c>
      <c r="L160" s="9" t="str">
        <f>garage!L160</f>
        <v>Jaguar</v>
      </c>
      <c r="M160" s="9" t="str">
        <f>garage!M160</f>
        <v>XJR-9</v>
      </c>
      <c r="O160" s="17"/>
      <c r="P160" s="13"/>
      <c r="Q160" s="13"/>
      <c r="R160" s="13"/>
      <c r="S160" s="13"/>
      <c r="T160" s="14"/>
      <c r="U160" s="49"/>
      <c r="W160" s="26"/>
      <c r="X160" s="27">
        <v>0</v>
      </c>
      <c r="Y160" s="27">
        <v>0</v>
      </c>
      <c r="Z160" s="27">
        <v>0</v>
      </c>
      <c r="AA160" s="27">
        <v>0</v>
      </c>
      <c r="AB160" s="28">
        <v>0</v>
      </c>
      <c r="AC160" s="28"/>
      <c r="AE160" s="32">
        <f t="shared" ref="AE160" si="53">O160-W160</f>
        <v>0</v>
      </c>
      <c r="AF160" s="33">
        <f t="shared" si="45"/>
        <v>0</v>
      </c>
      <c r="AG160" s="33">
        <f t="shared" si="40"/>
        <v>0</v>
      </c>
      <c r="AH160" s="33">
        <f t="shared" si="41"/>
        <v>0</v>
      </c>
      <c r="AI160" s="33">
        <f t="shared" si="42"/>
        <v>0</v>
      </c>
      <c r="AJ160" s="34">
        <f t="shared" si="46"/>
        <v>0</v>
      </c>
      <c r="AK160" s="34">
        <f t="shared" si="43"/>
        <v>0</v>
      </c>
    </row>
    <row r="161" spans="2:37" ht="18" customHeight="1" x14ac:dyDescent="0.2">
      <c r="B161" s="10">
        <f>garage!B161</f>
        <v>161</v>
      </c>
      <c r="C161" s="10">
        <f>garage!C161</f>
        <v>4</v>
      </c>
      <c r="D161" s="10">
        <f>garage!D161</f>
        <v>40</v>
      </c>
      <c r="E161" s="10">
        <f>garage!E161</f>
        <v>25</v>
      </c>
      <c r="F161" s="10" t="str">
        <f>garage!F161</f>
        <v>L</v>
      </c>
      <c r="G161" s="10" t="str">
        <f>garage!G161</f>
        <v>N</v>
      </c>
      <c r="H161" s="10" t="str">
        <f>garage!H161</f>
        <v>N</v>
      </c>
      <c r="I161" s="10" t="str">
        <f>garage!I161</f>
        <v>N</v>
      </c>
      <c r="J161" s="10" t="str">
        <f>garage!J161</f>
        <v>N</v>
      </c>
      <c r="K161" s="10" t="str">
        <f>garage!K161</f>
        <v>A</v>
      </c>
      <c r="L161" s="11" t="str">
        <f>garage!L161</f>
        <v>Lamborghini</v>
      </c>
      <c r="M161" s="11" t="str">
        <f>garage!M161</f>
        <v>Countach LPI 800-4</v>
      </c>
      <c r="O161" s="18" t="s">
        <v>432</v>
      </c>
      <c r="P161" s="15">
        <v>30</v>
      </c>
      <c r="Q161" s="15">
        <v>40</v>
      </c>
      <c r="R161" s="15">
        <v>50</v>
      </c>
      <c r="S161" s="15">
        <v>65</v>
      </c>
      <c r="T161" s="16">
        <v>80</v>
      </c>
      <c r="U161" s="50">
        <f t="shared" si="38"/>
        <v>265</v>
      </c>
      <c r="W161" s="29"/>
      <c r="X161" s="30">
        <v>30</v>
      </c>
      <c r="Y161" s="30">
        <v>9</v>
      </c>
      <c r="Z161" s="30">
        <v>0</v>
      </c>
      <c r="AA161" s="30">
        <v>0</v>
      </c>
      <c r="AB161" s="31">
        <v>0</v>
      </c>
      <c r="AC161" s="31">
        <f t="shared" si="39"/>
        <v>39</v>
      </c>
      <c r="AE161" s="35" t="s">
        <v>432</v>
      </c>
      <c r="AF161" s="36"/>
      <c r="AG161" s="36">
        <f t="shared" si="40"/>
        <v>31</v>
      </c>
      <c r="AH161" s="36">
        <f t="shared" si="41"/>
        <v>50</v>
      </c>
      <c r="AI161" s="36">
        <f t="shared" si="42"/>
        <v>65</v>
      </c>
      <c r="AJ161" s="37">
        <f t="shared" si="46"/>
        <v>80</v>
      </c>
      <c r="AK161" s="37">
        <f t="shared" si="43"/>
        <v>226</v>
      </c>
    </row>
    <row r="162" spans="2:37" ht="18" customHeight="1" x14ac:dyDescent="0.2">
      <c r="B162" s="8">
        <f>garage!B162</f>
        <v>162</v>
      </c>
      <c r="C162" s="8">
        <f>garage!C162</f>
        <v>4</v>
      </c>
      <c r="D162" s="8">
        <f>garage!D162</f>
        <v>99</v>
      </c>
      <c r="E162" s="8">
        <f>garage!E162</f>
        <v>20</v>
      </c>
      <c r="F162" s="8" t="str">
        <f>garage!F162</f>
        <v>--</v>
      </c>
      <c r="G162" s="8" t="str">
        <f>garage!G162</f>
        <v>N</v>
      </c>
      <c r="H162" s="8" t="str">
        <f>garage!H162</f>
        <v>N</v>
      </c>
      <c r="I162" s="8" t="str">
        <f>garage!I162</f>
        <v>N</v>
      </c>
      <c r="J162" s="8" t="str">
        <f>garage!J162</f>
        <v>N</v>
      </c>
      <c r="K162" s="8" t="str">
        <f>garage!K162</f>
        <v>A</v>
      </c>
      <c r="L162" s="9" t="str">
        <f>garage!L162</f>
        <v>Lego Technic McLaren</v>
      </c>
      <c r="M162" s="9" t="str">
        <f>garage!M162</f>
        <v>Senna GTR</v>
      </c>
      <c r="O162" s="17"/>
      <c r="P162" s="13"/>
      <c r="Q162" s="13"/>
      <c r="R162" s="13"/>
      <c r="S162" s="13"/>
      <c r="T162" s="14"/>
      <c r="U162" s="49">
        <f t="shared" si="38"/>
        <v>0</v>
      </c>
      <c r="W162" s="26">
        <v>0</v>
      </c>
      <c r="X162" s="27">
        <v>0</v>
      </c>
      <c r="Y162" s="27">
        <v>0</v>
      </c>
      <c r="Z162" s="27">
        <v>0</v>
      </c>
      <c r="AA162" s="27">
        <v>0</v>
      </c>
      <c r="AB162" s="28">
        <v>0</v>
      </c>
      <c r="AC162" s="28">
        <f t="shared" si="39"/>
        <v>0</v>
      </c>
      <c r="AE162" s="32">
        <f t="shared" si="44"/>
        <v>0</v>
      </c>
      <c r="AF162" s="33">
        <f t="shared" si="45"/>
        <v>0</v>
      </c>
      <c r="AG162" s="33">
        <f t="shared" si="40"/>
        <v>0</v>
      </c>
      <c r="AH162" s="33">
        <f t="shared" si="41"/>
        <v>0</v>
      </c>
      <c r="AI162" s="33">
        <f t="shared" si="42"/>
        <v>0</v>
      </c>
      <c r="AJ162" s="34">
        <f t="shared" si="46"/>
        <v>0</v>
      </c>
      <c r="AK162" s="34">
        <f t="shared" si="43"/>
        <v>0</v>
      </c>
    </row>
    <row r="163" spans="2:37" ht="18" customHeight="1" x14ac:dyDescent="0.2">
      <c r="B163" s="10">
        <f>garage!B163</f>
        <v>163</v>
      </c>
      <c r="C163" s="10">
        <f>garage!C163</f>
        <v>5</v>
      </c>
      <c r="D163" s="10">
        <f>garage!D163</f>
        <v>1</v>
      </c>
      <c r="E163" s="10">
        <f>garage!E163</f>
        <v>0</v>
      </c>
      <c r="F163" s="10" t="str">
        <f>garage!F163</f>
        <v>L</v>
      </c>
      <c r="G163" s="10" t="str">
        <f>garage!G163</f>
        <v>O</v>
      </c>
      <c r="H163" s="10" t="str">
        <f>garage!H163</f>
        <v>O</v>
      </c>
      <c r="I163" s="10" t="str">
        <f>garage!I163</f>
        <v>O</v>
      </c>
      <c r="J163" s="10" t="str">
        <f>garage!J163</f>
        <v>N</v>
      </c>
      <c r="K163" s="10" t="str">
        <f>garage!K163</f>
        <v>S</v>
      </c>
      <c r="L163" s="11" t="str">
        <f>garage!L163</f>
        <v>Lamborghini</v>
      </c>
      <c r="M163" s="11" t="str">
        <f>garage!M163</f>
        <v>Centenario</v>
      </c>
      <c r="O163" s="18">
        <v>40</v>
      </c>
      <c r="P163" s="15">
        <v>13</v>
      </c>
      <c r="Q163" s="15">
        <v>16</v>
      </c>
      <c r="R163" s="15">
        <v>25</v>
      </c>
      <c r="S163" s="15">
        <v>39</v>
      </c>
      <c r="T163" s="16"/>
      <c r="U163" s="50">
        <f t="shared" si="38"/>
        <v>133</v>
      </c>
      <c r="W163" s="29">
        <v>40</v>
      </c>
      <c r="X163" s="30">
        <v>13</v>
      </c>
      <c r="Y163" s="30">
        <v>16</v>
      </c>
      <c r="Z163" s="30">
        <v>25</v>
      </c>
      <c r="AA163" s="30">
        <v>39</v>
      </c>
      <c r="AB163" s="31"/>
      <c r="AC163" s="31">
        <f t="shared" si="39"/>
        <v>133</v>
      </c>
      <c r="AE163" s="35"/>
      <c r="AF163" s="36"/>
      <c r="AG163" s="36"/>
      <c r="AH163" s="36"/>
      <c r="AI163" s="36"/>
      <c r="AJ163" s="37"/>
      <c r="AK163" s="37"/>
    </row>
    <row r="164" spans="2:37" ht="18" customHeight="1" x14ac:dyDescent="0.2">
      <c r="B164" s="8">
        <f>garage!B164</f>
        <v>164</v>
      </c>
      <c r="C164" s="8">
        <f>garage!C164</f>
        <v>5</v>
      </c>
      <c r="D164" s="8">
        <f>garage!D164</f>
        <v>2</v>
      </c>
      <c r="E164" s="8">
        <f>garage!E164</f>
        <v>0</v>
      </c>
      <c r="F164" s="8" t="str">
        <f>garage!F164</f>
        <v>F</v>
      </c>
      <c r="G164" s="8" t="str">
        <f>garage!G164</f>
        <v>O</v>
      </c>
      <c r="H164" s="8" t="str">
        <f>garage!H164</f>
        <v>O</v>
      </c>
      <c r="I164" s="8" t="str">
        <f>garage!I164</f>
        <v>O</v>
      </c>
      <c r="J164" s="8" t="str">
        <f>garage!J164</f>
        <v>N</v>
      </c>
      <c r="K164" s="8" t="str">
        <f>garage!K164</f>
        <v>S</v>
      </c>
      <c r="L164" s="9" t="str">
        <f>garage!L164</f>
        <v>Ferrari</v>
      </c>
      <c r="M164" s="9" t="str">
        <f>garage!M164</f>
        <v>FXX K</v>
      </c>
      <c r="O164" s="17">
        <v>40</v>
      </c>
      <c r="P164" s="13">
        <v>13</v>
      </c>
      <c r="Q164" s="13">
        <v>16</v>
      </c>
      <c r="R164" s="13">
        <v>25</v>
      </c>
      <c r="S164" s="13">
        <v>39</v>
      </c>
      <c r="T164" s="14"/>
      <c r="U164" s="49">
        <f t="shared" si="38"/>
        <v>133</v>
      </c>
      <c r="W164" s="26">
        <v>40</v>
      </c>
      <c r="X164" s="27">
        <v>13</v>
      </c>
      <c r="Y164" s="27">
        <v>16</v>
      </c>
      <c r="Z164" s="27">
        <v>25</v>
      </c>
      <c r="AA164" s="27">
        <v>39</v>
      </c>
      <c r="AB164" s="28"/>
      <c r="AC164" s="28">
        <f t="shared" si="39"/>
        <v>133</v>
      </c>
      <c r="AE164" s="32"/>
      <c r="AF164" s="33"/>
      <c r="AG164" s="33"/>
      <c r="AH164" s="33"/>
      <c r="AI164" s="33"/>
      <c r="AJ164" s="34"/>
      <c r="AK164" s="34"/>
    </row>
    <row r="165" spans="2:37" ht="18" customHeight="1" x14ac:dyDescent="0.2">
      <c r="B165" s="10">
        <f>garage!B165</f>
        <v>165</v>
      </c>
      <c r="C165" s="10">
        <f>garage!C165</f>
        <v>5</v>
      </c>
      <c r="D165" s="10">
        <f>garage!D165</f>
        <v>3</v>
      </c>
      <c r="E165" s="10">
        <f>garage!E165</f>
        <v>0</v>
      </c>
      <c r="F165" s="10" t="str">
        <f>garage!F165</f>
        <v>--</v>
      </c>
      <c r="G165" s="10" t="str">
        <f>garage!G165</f>
        <v>O</v>
      </c>
      <c r="H165" s="10" t="str">
        <f>garage!H165</f>
        <v>O</v>
      </c>
      <c r="I165" s="10" t="str">
        <f>garage!I165</f>
        <v>O</v>
      </c>
      <c r="J165" s="10" t="str">
        <f>garage!J165</f>
        <v>N</v>
      </c>
      <c r="K165" s="10" t="str">
        <f>garage!K165</f>
        <v>S</v>
      </c>
      <c r="L165" s="11" t="str">
        <f>garage!L165</f>
        <v>Icona</v>
      </c>
      <c r="M165" s="11" t="str">
        <f>garage!M165</f>
        <v>Vulcano Titanium</v>
      </c>
      <c r="O165" s="18">
        <v>40</v>
      </c>
      <c r="P165" s="15">
        <v>13</v>
      </c>
      <c r="Q165" s="15">
        <v>16</v>
      </c>
      <c r="R165" s="15">
        <v>25</v>
      </c>
      <c r="S165" s="15">
        <v>39</v>
      </c>
      <c r="T165" s="16"/>
      <c r="U165" s="50">
        <f t="shared" si="38"/>
        <v>133</v>
      </c>
      <c r="W165" s="29">
        <v>40</v>
      </c>
      <c r="X165" s="30">
        <v>13</v>
      </c>
      <c r="Y165" s="30">
        <v>16</v>
      </c>
      <c r="Z165" s="30">
        <v>25</v>
      </c>
      <c r="AA165" s="30">
        <v>39</v>
      </c>
      <c r="AB165" s="31"/>
      <c r="AC165" s="31">
        <f t="shared" si="39"/>
        <v>133</v>
      </c>
      <c r="AE165" s="35"/>
      <c r="AF165" s="36"/>
      <c r="AG165" s="36"/>
      <c r="AH165" s="36"/>
      <c r="AI165" s="36"/>
      <c r="AJ165" s="37"/>
      <c r="AK165" s="37"/>
    </row>
    <row r="166" spans="2:37" ht="18" customHeight="1" x14ac:dyDescent="0.2">
      <c r="B166" s="8">
        <f>garage!B166</f>
        <v>166</v>
      </c>
      <c r="C166" s="8">
        <f>garage!C166</f>
        <v>5</v>
      </c>
      <c r="D166" s="8">
        <f>garage!D166</f>
        <v>4</v>
      </c>
      <c r="E166" s="8">
        <f>garage!E166</f>
        <v>0</v>
      </c>
      <c r="F166" s="8" t="str">
        <f>garage!F166</f>
        <v>--</v>
      </c>
      <c r="G166" s="8" t="str">
        <f>garage!G166</f>
        <v>O</v>
      </c>
      <c r="H166" s="8" t="str">
        <f>garage!H166</f>
        <v>O</v>
      </c>
      <c r="I166" s="8" t="str">
        <f>garage!I166</f>
        <v>O</v>
      </c>
      <c r="J166" s="8" t="str">
        <f>garage!J166</f>
        <v>N</v>
      </c>
      <c r="K166" s="8" t="str">
        <f>garage!K166</f>
        <v>S</v>
      </c>
      <c r="L166" s="9" t="str">
        <f>garage!L166</f>
        <v>W Motors</v>
      </c>
      <c r="M166" s="9" t="str">
        <f>garage!M166</f>
        <v>Lykan Hypersport</v>
      </c>
      <c r="O166" s="17">
        <v>40</v>
      </c>
      <c r="P166" s="13">
        <v>13</v>
      </c>
      <c r="Q166" s="13">
        <v>16</v>
      </c>
      <c r="R166" s="13">
        <v>25</v>
      </c>
      <c r="S166" s="13">
        <v>39</v>
      </c>
      <c r="T166" s="14"/>
      <c r="U166" s="49">
        <f t="shared" si="38"/>
        <v>133</v>
      </c>
      <c r="W166" s="26">
        <v>40</v>
      </c>
      <c r="X166" s="27">
        <v>13</v>
      </c>
      <c r="Y166" s="27">
        <v>16</v>
      </c>
      <c r="Z166" s="27">
        <v>25</v>
      </c>
      <c r="AA166" s="27">
        <v>39</v>
      </c>
      <c r="AB166" s="28"/>
      <c r="AC166" s="28">
        <f t="shared" si="39"/>
        <v>133</v>
      </c>
      <c r="AE166" s="32"/>
      <c r="AF166" s="33"/>
      <c r="AG166" s="33"/>
      <c r="AH166" s="33"/>
      <c r="AI166" s="33"/>
      <c r="AJ166" s="34"/>
      <c r="AK166" s="34"/>
    </row>
    <row r="167" spans="2:37" ht="18" customHeight="1" x14ac:dyDescent="0.2">
      <c r="B167" s="10">
        <f>garage!B167</f>
        <v>167</v>
      </c>
      <c r="C167" s="10">
        <f>garage!C167</f>
        <v>5</v>
      </c>
      <c r="D167" s="10">
        <f>garage!D167</f>
        <v>5</v>
      </c>
      <c r="E167" s="10">
        <f>garage!E167</f>
        <v>21</v>
      </c>
      <c r="F167" s="10" t="str">
        <f>garage!F167</f>
        <v>--</v>
      </c>
      <c r="G167" s="10" t="str">
        <f>garage!G167</f>
        <v>N</v>
      </c>
      <c r="H167" s="10" t="str">
        <f>garage!H167</f>
        <v>N</v>
      </c>
      <c r="I167" s="10" t="str">
        <f>garage!I167</f>
        <v>N</v>
      </c>
      <c r="J167" s="10" t="str">
        <f>garage!J167</f>
        <v>N</v>
      </c>
      <c r="K167" s="10" t="str">
        <f>garage!K167</f>
        <v>S</v>
      </c>
      <c r="L167" s="11" t="str">
        <f>garage!L167</f>
        <v>Raesr</v>
      </c>
      <c r="M167" s="11" t="str">
        <f>garage!M167</f>
        <v>Tachyon Speed</v>
      </c>
      <c r="O167" s="18" t="s">
        <v>432</v>
      </c>
      <c r="P167" s="15">
        <v>40</v>
      </c>
      <c r="Q167" s="15">
        <v>45</v>
      </c>
      <c r="R167" s="15">
        <v>60</v>
      </c>
      <c r="S167" s="15">
        <v>70</v>
      </c>
      <c r="T167" s="16">
        <v>85</v>
      </c>
      <c r="U167" s="50">
        <f t="shared" ref="U167:U210" si="54">SUM(O167:T167)</f>
        <v>300</v>
      </c>
      <c r="W167" s="29"/>
      <c r="X167" s="30">
        <v>40</v>
      </c>
      <c r="Y167" s="30">
        <v>7</v>
      </c>
      <c r="Z167" s="30">
        <v>0</v>
      </c>
      <c r="AA167" s="30">
        <v>0</v>
      </c>
      <c r="AB167" s="31">
        <v>0</v>
      </c>
      <c r="AC167" s="31">
        <f t="shared" ref="AC167:AC210" si="55">SUM(W167:AB167)</f>
        <v>47</v>
      </c>
      <c r="AE167" s="35" t="s">
        <v>432</v>
      </c>
      <c r="AF167" s="36"/>
      <c r="AG167" s="36">
        <f t="shared" ref="AG167:AG210" si="56">Q167-Y167</f>
        <v>38</v>
      </c>
      <c r="AH167" s="36">
        <f t="shared" ref="AH167:AH210" si="57">R167-Z167</f>
        <v>60</v>
      </c>
      <c r="AI167" s="36">
        <f t="shared" ref="AI167:AI210" si="58">S167-AA167</f>
        <v>70</v>
      </c>
      <c r="AJ167" s="37">
        <f t="shared" ref="AJ167:AJ210" si="59">T167-AB167</f>
        <v>85</v>
      </c>
      <c r="AK167" s="37">
        <f t="shared" ref="AK167:AK210" si="60">SUM(AE167:AJ167)</f>
        <v>253</v>
      </c>
    </row>
    <row r="168" spans="2:37" ht="18" customHeight="1" x14ac:dyDescent="0.2">
      <c r="B168" s="8">
        <f>garage!B168</f>
        <v>168</v>
      </c>
      <c r="C168" s="8">
        <f>garage!C168</f>
        <v>5</v>
      </c>
      <c r="D168" s="8">
        <f>garage!D168</f>
        <v>6</v>
      </c>
      <c r="E168" s="8">
        <f>garage!E168</f>
        <v>12</v>
      </c>
      <c r="F168" s="8" t="str">
        <f>garage!F168</f>
        <v>L</v>
      </c>
      <c r="G168" s="8" t="str">
        <f>garage!G168</f>
        <v>O</v>
      </c>
      <c r="H168" s="8" t="str">
        <f>garage!H168</f>
        <v>O</v>
      </c>
      <c r="I168" s="8" t="str">
        <f>garage!I168</f>
        <v>O</v>
      </c>
      <c r="J168" s="8" t="str">
        <f>garage!J168</f>
        <v>N</v>
      </c>
      <c r="K168" s="8" t="str">
        <f>garage!K168</f>
        <v>S</v>
      </c>
      <c r="L168" s="9" t="str">
        <f>garage!L168</f>
        <v>Lamborghini</v>
      </c>
      <c r="M168" s="9" t="str">
        <f>garage!M168</f>
        <v>Veneno</v>
      </c>
      <c r="O168" s="17">
        <v>60</v>
      </c>
      <c r="P168" s="13">
        <v>13</v>
      </c>
      <c r="Q168" s="13">
        <v>16</v>
      </c>
      <c r="R168" s="13">
        <v>25</v>
      </c>
      <c r="S168" s="13">
        <v>38</v>
      </c>
      <c r="T168" s="14">
        <v>48</v>
      </c>
      <c r="U168" s="49">
        <f t="shared" si="54"/>
        <v>200</v>
      </c>
      <c r="W168" s="26">
        <v>60</v>
      </c>
      <c r="X168" s="27">
        <v>13</v>
      </c>
      <c r="Y168" s="27">
        <v>16</v>
      </c>
      <c r="Z168" s="27">
        <v>25</v>
      </c>
      <c r="AA168" s="27">
        <v>38</v>
      </c>
      <c r="AB168" s="28">
        <v>48</v>
      </c>
      <c r="AC168" s="28">
        <f t="shared" si="55"/>
        <v>200</v>
      </c>
      <c r="AE168" s="32"/>
      <c r="AF168" s="33"/>
      <c r="AG168" s="33"/>
      <c r="AH168" s="33"/>
      <c r="AI168" s="33"/>
      <c r="AJ168" s="34"/>
      <c r="AK168" s="34"/>
    </row>
    <row r="169" spans="2:37" ht="18" customHeight="1" x14ac:dyDescent="0.2">
      <c r="B169" s="10">
        <f>garage!B169</f>
        <v>169</v>
      </c>
      <c r="C169" s="10">
        <f>garage!C169</f>
        <v>5</v>
      </c>
      <c r="D169" s="10">
        <f>garage!D169</f>
        <v>7</v>
      </c>
      <c r="E169" s="10">
        <f>garage!E169</f>
        <v>23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garage!J169</f>
        <v>N</v>
      </c>
      <c r="K169" s="10" t="str">
        <f>garage!K169</f>
        <v>S</v>
      </c>
      <c r="L169" s="11" t="str">
        <f>garage!L169</f>
        <v>Jaguar</v>
      </c>
      <c r="M169" s="11" t="str">
        <f>garage!M169</f>
        <v>XJ220S TWR</v>
      </c>
      <c r="O169" s="18" t="s">
        <v>432</v>
      </c>
      <c r="P169" s="15">
        <v>40</v>
      </c>
      <c r="Q169" s="15">
        <v>45</v>
      </c>
      <c r="R169" s="15">
        <v>60</v>
      </c>
      <c r="S169" s="15">
        <v>70</v>
      </c>
      <c r="T169" s="16">
        <v>85</v>
      </c>
      <c r="U169" s="50">
        <f t="shared" si="54"/>
        <v>300</v>
      </c>
      <c r="W169" s="29"/>
      <c r="X169" s="30">
        <v>40</v>
      </c>
      <c r="Y169" s="30">
        <v>22</v>
      </c>
      <c r="Z169" s="30">
        <v>0</v>
      </c>
      <c r="AA169" s="30">
        <v>0</v>
      </c>
      <c r="AB169" s="31">
        <v>0</v>
      </c>
      <c r="AC169" s="31">
        <f t="shared" si="55"/>
        <v>62</v>
      </c>
      <c r="AE169" s="35" t="s">
        <v>432</v>
      </c>
      <c r="AF169" s="36"/>
      <c r="AG169" s="36">
        <f t="shared" si="56"/>
        <v>23</v>
      </c>
      <c r="AH169" s="36">
        <f t="shared" si="57"/>
        <v>60</v>
      </c>
      <c r="AI169" s="36">
        <f t="shared" si="58"/>
        <v>70</v>
      </c>
      <c r="AJ169" s="37">
        <f t="shared" si="59"/>
        <v>85</v>
      </c>
      <c r="AK169" s="37">
        <f t="shared" si="60"/>
        <v>238</v>
      </c>
    </row>
    <row r="170" spans="2:37" ht="18" customHeight="1" x14ac:dyDescent="0.2">
      <c r="B170" s="8">
        <f>garage!B170</f>
        <v>170</v>
      </c>
      <c r="C170" s="8">
        <f>garage!C170</f>
        <v>5</v>
      </c>
      <c r="D170" s="8">
        <f>garage!D170</f>
        <v>8</v>
      </c>
      <c r="E170" s="8">
        <f>garage!E170</f>
        <v>0</v>
      </c>
      <c r="F170" s="8" t="str">
        <f>garage!F170</f>
        <v>L</v>
      </c>
      <c r="G170" s="8" t="str">
        <f>garage!G170</f>
        <v>O</v>
      </c>
      <c r="H170" s="8" t="str">
        <f>garage!H170</f>
        <v>O</v>
      </c>
      <c r="I170" s="8" t="str">
        <f>garage!I170</f>
        <v>O</v>
      </c>
      <c r="J170" s="8" t="str">
        <f>garage!J170</f>
        <v>N</v>
      </c>
      <c r="K170" s="8" t="str">
        <f>garage!K170</f>
        <v>S</v>
      </c>
      <c r="L170" s="9" t="str">
        <f>garage!L170</f>
        <v>Lamborghini</v>
      </c>
      <c r="M170" s="9" t="str">
        <f>garage!M170</f>
        <v>Egoista</v>
      </c>
      <c r="O170" s="17">
        <v>60</v>
      </c>
      <c r="P170" s="13">
        <v>13</v>
      </c>
      <c r="Q170" s="13">
        <v>16</v>
      </c>
      <c r="R170" s="13">
        <v>25</v>
      </c>
      <c r="S170" s="13">
        <v>38</v>
      </c>
      <c r="T170" s="14">
        <v>48</v>
      </c>
      <c r="U170" s="49">
        <f t="shared" si="54"/>
        <v>200</v>
      </c>
      <c r="W170" s="26">
        <v>60</v>
      </c>
      <c r="X170" s="27">
        <v>13</v>
      </c>
      <c r="Y170" s="27">
        <v>16</v>
      </c>
      <c r="Z170" s="27">
        <v>25</v>
      </c>
      <c r="AA170" s="27">
        <v>38</v>
      </c>
      <c r="AB170" s="28">
        <v>48</v>
      </c>
      <c r="AC170" s="28">
        <f t="shared" si="55"/>
        <v>200</v>
      </c>
      <c r="AE170" s="32"/>
      <c r="AF170" s="33"/>
      <c r="AG170" s="33"/>
      <c r="AH170" s="33"/>
      <c r="AI170" s="33"/>
      <c r="AJ170" s="34"/>
      <c r="AK170" s="34"/>
    </row>
    <row r="171" spans="2:37" ht="18" customHeight="1" x14ac:dyDescent="0.2">
      <c r="B171" s="10">
        <f>garage!B171</f>
        <v>171</v>
      </c>
      <c r="C171" s="10">
        <f>garage!C171</f>
        <v>5</v>
      </c>
      <c r="D171" s="10">
        <f>garage!D171</f>
        <v>9</v>
      </c>
      <c r="E171" s="10">
        <f>garage!E171</f>
        <v>28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garage!J171</f>
        <v>N</v>
      </c>
      <c r="K171" s="10" t="str">
        <f>garage!K171</f>
        <v>S</v>
      </c>
      <c r="L171" s="11" t="str">
        <f>garage!L171</f>
        <v>Chrysler</v>
      </c>
      <c r="M171" s="11" t="str">
        <f>garage!M171</f>
        <v>ME412</v>
      </c>
      <c r="O171" s="18">
        <v>85</v>
      </c>
      <c r="P171" s="15">
        <v>25</v>
      </c>
      <c r="Q171" s="15">
        <v>29</v>
      </c>
      <c r="R171" s="15">
        <v>38</v>
      </c>
      <c r="S171" s="15">
        <v>54</v>
      </c>
      <c r="T171" s="16">
        <v>69</v>
      </c>
      <c r="U171" s="50">
        <f t="shared" si="54"/>
        <v>300</v>
      </c>
      <c r="W171" s="29">
        <v>21</v>
      </c>
      <c r="X171" s="30">
        <v>0</v>
      </c>
      <c r="Y171" s="30">
        <v>0</v>
      </c>
      <c r="Z171" s="30">
        <v>0</v>
      </c>
      <c r="AA171" s="30">
        <v>0</v>
      </c>
      <c r="AB171" s="31">
        <v>0</v>
      </c>
      <c r="AC171" s="31">
        <f t="shared" si="55"/>
        <v>21</v>
      </c>
      <c r="AE171" s="35">
        <f t="shared" ref="AE171:AE210" si="61">O171-W171</f>
        <v>64</v>
      </c>
      <c r="AF171" s="36">
        <f t="shared" ref="AF171:AF210" si="62">P171-X171</f>
        <v>25</v>
      </c>
      <c r="AG171" s="36">
        <f t="shared" si="56"/>
        <v>29</v>
      </c>
      <c r="AH171" s="36">
        <f t="shared" si="57"/>
        <v>38</v>
      </c>
      <c r="AI171" s="36">
        <f t="shared" si="58"/>
        <v>54</v>
      </c>
      <c r="AJ171" s="37">
        <f t="shared" si="59"/>
        <v>69</v>
      </c>
      <c r="AK171" s="37">
        <f t="shared" si="60"/>
        <v>279</v>
      </c>
    </row>
    <row r="172" spans="2:37" ht="18" customHeight="1" x14ac:dyDescent="0.2">
      <c r="B172" s="8">
        <f>garage!B172</f>
        <v>172</v>
      </c>
      <c r="C172" s="8">
        <f>garage!C172</f>
        <v>5</v>
      </c>
      <c r="D172" s="8">
        <f>garage!D172</f>
        <v>10</v>
      </c>
      <c r="E172" s="8">
        <f>garage!E172</f>
        <v>0</v>
      </c>
      <c r="F172" s="8" t="str">
        <f>garage!F172</f>
        <v>--</v>
      </c>
      <c r="G172" s="8" t="str">
        <f>garage!G172</f>
        <v>O</v>
      </c>
      <c r="H172" s="8" t="str">
        <f>garage!H172</f>
        <v>O</v>
      </c>
      <c r="I172" s="8" t="str">
        <f>garage!I172</f>
        <v>O</v>
      </c>
      <c r="J172" s="8" t="str">
        <f>garage!J172</f>
        <v>N</v>
      </c>
      <c r="K172" s="8" t="str">
        <f>garage!K172</f>
        <v>S</v>
      </c>
      <c r="L172" s="9" t="str">
        <f>garage!L172</f>
        <v>Trion</v>
      </c>
      <c r="M172" s="9" t="str">
        <f>garage!M172</f>
        <v>Nemesis</v>
      </c>
      <c r="O172" s="17">
        <v>85</v>
      </c>
      <c r="P172" s="13">
        <v>25</v>
      </c>
      <c r="Q172" s="13">
        <v>29</v>
      </c>
      <c r="R172" s="13">
        <v>38</v>
      </c>
      <c r="S172" s="13">
        <v>54</v>
      </c>
      <c r="T172" s="14">
        <v>69</v>
      </c>
      <c r="U172" s="49">
        <f t="shared" si="54"/>
        <v>300</v>
      </c>
      <c r="W172" s="26">
        <v>60</v>
      </c>
      <c r="X172" s="27">
        <v>13</v>
      </c>
      <c r="Y172" s="27">
        <v>16</v>
      </c>
      <c r="Z172" s="27">
        <v>25</v>
      </c>
      <c r="AA172" s="27">
        <v>38</v>
      </c>
      <c r="AB172" s="28">
        <v>48</v>
      </c>
      <c r="AC172" s="28">
        <f t="shared" si="55"/>
        <v>200</v>
      </c>
      <c r="AE172" s="32"/>
      <c r="AF172" s="33"/>
      <c r="AG172" s="33"/>
      <c r="AH172" s="33"/>
      <c r="AI172" s="33"/>
      <c r="AJ172" s="34"/>
      <c r="AK172" s="34"/>
    </row>
    <row r="173" spans="2:37" ht="18" customHeight="1" x14ac:dyDescent="0.2">
      <c r="B173" s="10">
        <f>garage!B173</f>
        <v>173</v>
      </c>
      <c r="C173" s="10">
        <f>garage!C173</f>
        <v>5</v>
      </c>
      <c r="D173" s="10">
        <f>garage!D173</f>
        <v>11</v>
      </c>
      <c r="E173" s="10">
        <f>garage!E173</f>
        <v>29</v>
      </c>
      <c r="F173" s="10" t="str">
        <f>garage!F173</f>
        <v>--</v>
      </c>
      <c r="G173" s="10" t="str">
        <f>garage!G173</f>
        <v>N</v>
      </c>
      <c r="H173" s="10" t="str">
        <f>garage!H173</f>
        <v>N</v>
      </c>
      <c r="I173" s="10" t="str">
        <f>garage!I173</f>
        <v>N</v>
      </c>
      <c r="J173" s="10" t="str">
        <f>garage!J173</f>
        <v>N</v>
      </c>
      <c r="K173" s="10" t="str">
        <f>garage!K173</f>
        <v>S</v>
      </c>
      <c r="L173" s="11" t="str">
        <f>garage!L173</f>
        <v>Spania GTA</v>
      </c>
      <c r="M173" s="11" t="str">
        <f>garage!M173</f>
        <v>2015 GTA Spano</v>
      </c>
      <c r="O173" s="18">
        <v>85</v>
      </c>
      <c r="P173" s="15">
        <v>25</v>
      </c>
      <c r="Q173" s="15">
        <v>29</v>
      </c>
      <c r="R173" s="15">
        <v>38</v>
      </c>
      <c r="S173" s="15">
        <v>54</v>
      </c>
      <c r="T173" s="16">
        <v>69</v>
      </c>
      <c r="U173" s="50">
        <f t="shared" si="54"/>
        <v>300</v>
      </c>
      <c r="W173" s="29">
        <v>0</v>
      </c>
      <c r="X173" s="30">
        <v>0</v>
      </c>
      <c r="Y173" s="30">
        <v>0</v>
      </c>
      <c r="Z173" s="30">
        <v>0</v>
      </c>
      <c r="AA173" s="30">
        <v>0</v>
      </c>
      <c r="AB173" s="31">
        <v>0</v>
      </c>
      <c r="AC173" s="31">
        <f t="shared" si="55"/>
        <v>0</v>
      </c>
      <c r="AE173" s="35">
        <f t="shared" si="61"/>
        <v>85</v>
      </c>
      <c r="AF173" s="36">
        <f t="shared" si="62"/>
        <v>25</v>
      </c>
      <c r="AG173" s="36">
        <f t="shared" si="56"/>
        <v>29</v>
      </c>
      <c r="AH173" s="36">
        <f t="shared" si="57"/>
        <v>38</v>
      </c>
      <c r="AI173" s="36">
        <f t="shared" si="58"/>
        <v>54</v>
      </c>
      <c r="AJ173" s="37">
        <f t="shared" si="59"/>
        <v>69</v>
      </c>
      <c r="AK173" s="37">
        <f t="shared" si="60"/>
        <v>300</v>
      </c>
    </row>
    <row r="174" spans="2:37" ht="18" customHeight="1" x14ac:dyDescent="0.2">
      <c r="B174" s="8">
        <f>garage!B174</f>
        <v>174</v>
      </c>
      <c r="C174" s="8">
        <f>garage!C174</f>
        <v>5</v>
      </c>
      <c r="D174" s="8">
        <f>garage!D174</f>
        <v>12</v>
      </c>
      <c r="E174" s="8">
        <f>garage!E174</f>
        <v>15</v>
      </c>
      <c r="F174" s="8" t="str">
        <f>garage!F174</f>
        <v>F</v>
      </c>
      <c r="G174" s="8" t="str">
        <f>garage!G174</f>
        <v>O</v>
      </c>
      <c r="H174" s="8" t="str">
        <f>garage!H174</f>
        <v>N</v>
      </c>
      <c r="I174" s="8" t="str">
        <f>garage!I174</f>
        <v>N</v>
      </c>
      <c r="J174" s="8" t="str">
        <f>garage!J174</f>
        <v>N</v>
      </c>
      <c r="K174" s="8" t="str">
        <f>garage!K174</f>
        <v>S</v>
      </c>
      <c r="L174" s="9" t="str">
        <f>garage!L174</f>
        <v>Ferrari</v>
      </c>
      <c r="M174" s="9" t="str">
        <f>garage!M174</f>
        <v>SF90 Stradale</v>
      </c>
      <c r="O174" s="17">
        <v>85</v>
      </c>
      <c r="P174" s="13">
        <v>25</v>
      </c>
      <c r="Q174" s="13">
        <v>29</v>
      </c>
      <c r="R174" s="13">
        <v>38</v>
      </c>
      <c r="S174" s="13">
        <v>54</v>
      </c>
      <c r="T174" s="14">
        <v>69</v>
      </c>
      <c r="U174" s="49">
        <f t="shared" si="54"/>
        <v>300</v>
      </c>
      <c r="W174" s="26">
        <v>60</v>
      </c>
      <c r="X174" s="27">
        <v>14</v>
      </c>
      <c r="Y174" s="27"/>
      <c r="Z174" s="27"/>
      <c r="AA174" s="27"/>
      <c r="AB174" s="28"/>
      <c r="AC174" s="28">
        <f t="shared" si="55"/>
        <v>74</v>
      </c>
      <c r="AE174" s="32"/>
      <c r="AF174" s="33">
        <f t="shared" si="62"/>
        <v>11</v>
      </c>
      <c r="AG174" s="33">
        <f t="shared" si="56"/>
        <v>29</v>
      </c>
      <c r="AH174" s="33">
        <f t="shared" si="57"/>
        <v>38</v>
      </c>
      <c r="AI174" s="33">
        <f t="shared" si="58"/>
        <v>54</v>
      </c>
      <c r="AJ174" s="34">
        <f t="shared" si="59"/>
        <v>69</v>
      </c>
      <c r="AK174" s="34">
        <f t="shared" si="60"/>
        <v>201</v>
      </c>
    </row>
    <row r="175" spans="2:37" ht="18" customHeight="1" x14ac:dyDescent="0.2">
      <c r="B175" s="10">
        <f>garage!B175</f>
        <v>175</v>
      </c>
      <c r="C175" s="10">
        <f>garage!C175</f>
        <v>5</v>
      </c>
      <c r="D175" s="10">
        <f>garage!D175</f>
        <v>13</v>
      </c>
      <c r="E175" s="10">
        <f>garage!E175</f>
        <v>30</v>
      </c>
      <c r="F175" s="10" t="str">
        <f>garage!F175</f>
        <v>--</v>
      </c>
      <c r="G175" s="10" t="str">
        <f>garage!G175</f>
        <v>N</v>
      </c>
      <c r="H175" s="10" t="str">
        <f>garage!H175</f>
        <v>N</v>
      </c>
      <c r="I175" s="10" t="str">
        <f>garage!I175</f>
        <v>N</v>
      </c>
      <c r="J175" s="10" t="str">
        <f>garage!J175</f>
        <v>N</v>
      </c>
      <c r="K175" s="10" t="str">
        <f>garage!K175</f>
        <v>S</v>
      </c>
      <c r="L175" s="11" t="str">
        <f>garage!L175</f>
        <v>FV Frangivento</v>
      </c>
      <c r="M175" s="11" t="str">
        <f>garage!M175</f>
        <v>Sorpasso GT3</v>
      </c>
      <c r="O175" s="18">
        <v>85</v>
      </c>
      <c r="P175" s="15">
        <v>25</v>
      </c>
      <c r="Q175" s="15">
        <v>29</v>
      </c>
      <c r="R175" s="15">
        <v>38</v>
      </c>
      <c r="S175" s="15">
        <v>54</v>
      </c>
      <c r="T175" s="16">
        <v>69</v>
      </c>
      <c r="U175" s="50">
        <f t="shared" si="54"/>
        <v>300</v>
      </c>
      <c r="W175" s="29">
        <v>0</v>
      </c>
      <c r="X175" s="30">
        <v>0</v>
      </c>
      <c r="Y175" s="30">
        <v>0</v>
      </c>
      <c r="Z175" s="30">
        <v>0</v>
      </c>
      <c r="AA175" s="30">
        <v>0</v>
      </c>
      <c r="AB175" s="31">
        <v>0</v>
      </c>
      <c r="AC175" s="31">
        <f t="shared" si="55"/>
        <v>0</v>
      </c>
      <c r="AE175" s="35">
        <f t="shared" ref="AE175" si="63">O175-W175</f>
        <v>85</v>
      </c>
      <c r="AF175" s="36">
        <f t="shared" ref="AF175" si="64">P175-X175</f>
        <v>25</v>
      </c>
      <c r="AG175" s="36">
        <f t="shared" ref="AG175" si="65">Q175-Y175</f>
        <v>29</v>
      </c>
      <c r="AH175" s="36">
        <f t="shared" ref="AH175" si="66">R175-Z175</f>
        <v>38</v>
      </c>
      <c r="AI175" s="36">
        <f t="shared" ref="AI175" si="67">S175-AA175</f>
        <v>54</v>
      </c>
      <c r="AJ175" s="37">
        <f t="shared" ref="AJ175" si="68">T175-AB175</f>
        <v>69</v>
      </c>
      <c r="AK175" s="37">
        <f t="shared" ref="AK175" si="69">SUM(AE175:AJ175)</f>
        <v>300</v>
      </c>
    </row>
    <row r="176" spans="2:37" ht="18" customHeight="1" x14ac:dyDescent="0.2">
      <c r="B176" s="8">
        <f>garage!B176</f>
        <v>176</v>
      </c>
      <c r="C176" s="8">
        <f>garage!C176</f>
        <v>5</v>
      </c>
      <c r="D176" s="8">
        <f>garage!D176</f>
        <v>14</v>
      </c>
      <c r="E176" s="8">
        <f>garage!E176</f>
        <v>7</v>
      </c>
      <c r="F176" s="8" t="str">
        <f>garage!F176</f>
        <v>M</v>
      </c>
      <c r="G176" s="8" t="str">
        <f>garage!G176</f>
        <v>O</v>
      </c>
      <c r="H176" s="8" t="str">
        <f>garage!H176</f>
        <v>N</v>
      </c>
      <c r="I176" s="8" t="str">
        <f>garage!I176</f>
        <v>N</v>
      </c>
      <c r="J176" s="8" t="str">
        <f>garage!J176</f>
        <v>N</v>
      </c>
      <c r="K176" s="8" t="str">
        <f>garage!K176</f>
        <v>S</v>
      </c>
      <c r="L176" s="9" t="str">
        <f>garage!L176</f>
        <v>McLaren</v>
      </c>
      <c r="M176" s="9" t="str">
        <f>garage!M176</f>
        <v>Senna</v>
      </c>
      <c r="O176" s="17">
        <v>60</v>
      </c>
      <c r="P176" s="13">
        <v>13</v>
      </c>
      <c r="Q176" s="13">
        <v>16</v>
      </c>
      <c r="R176" s="13">
        <v>25</v>
      </c>
      <c r="S176" s="13">
        <v>38</v>
      </c>
      <c r="T176" s="14">
        <v>48</v>
      </c>
      <c r="U176" s="49">
        <f t="shared" si="54"/>
        <v>200</v>
      </c>
      <c r="W176" s="26">
        <v>60</v>
      </c>
      <c r="X176" s="27">
        <v>13</v>
      </c>
      <c r="Y176" s="27">
        <v>16</v>
      </c>
      <c r="Z176" s="27">
        <v>25</v>
      </c>
      <c r="AA176" s="27">
        <v>38</v>
      </c>
      <c r="AB176" s="28">
        <v>7</v>
      </c>
      <c r="AC176" s="28">
        <f t="shared" si="55"/>
        <v>159</v>
      </c>
      <c r="AE176" s="32"/>
      <c r="AF176" s="33"/>
      <c r="AG176" s="33"/>
      <c r="AH176" s="33"/>
      <c r="AI176" s="33"/>
      <c r="AJ176" s="34">
        <f t="shared" si="59"/>
        <v>41</v>
      </c>
      <c r="AK176" s="34">
        <f t="shared" si="60"/>
        <v>41</v>
      </c>
    </row>
    <row r="177" spans="2:37" ht="18" customHeight="1" x14ac:dyDescent="0.2">
      <c r="B177" s="10">
        <f>garage!B177</f>
        <v>177</v>
      </c>
      <c r="C177" s="10">
        <f>garage!C177</f>
        <v>5</v>
      </c>
      <c r="D177" s="10">
        <f>garage!D177</f>
        <v>15</v>
      </c>
      <c r="E177" s="10">
        <f>garage!E177</f>
        <v>20</v>
      </c>
      <c r="F177" s="10" t="str">
        <f>garage!F177</f>
        <v>B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 t="str">
        <f>garage!J177</f>
        <v>N</v>
      </c>
      <c r="K177" s="10" t="str">
        <f>garage!K177</f>
        <v>S</v>
      </c>
      <c r="L177" s="11" t="str">
        <f>garage!L177</f>
        <v>Bugatti</v>
      </c>
      <c r="M177" s="11" t="str">
        <f>garage!M177</f>
        <v>Veyron 16.4 Grand Sport Vitesse</v>
      </c>
      <c r="O177" s="18">
        <v>85</v>
      </c>
      <c r="P177" s="15">
        <v>25</v>
      </c>
      <c r="Q177" s="15">
        <v>29</v>
      </c>
      <c r="R177" s="15">
        <v>38</v>
      </c>
      <c r="S177" s="15">
        <v>54</v>
      </c>
      <c r="T177" s="16">
        <v>69</v>
      </c>
      <c r="U177" s="50">
        <f t="shared" si="54"/>
        <v>300</v>
      </c>
      <c r="W177" s="29">
        <v>43</v>
      </c>
      <c r="X177" s="30">
        <v>0</v>
      </c>
      <c r="Y177" s="30">
        <v>0</v>
      </c>
      <c r="Z177" s="30">
        <v>0</v>
      </c>
      <c r="AA177" s="30">
        <v>0</v>
      </c>
      <c r="AB177" s="31">
        <v>0</v>
      </c>
      <c r="AC177" s="31">
        <f t="shared" si="55"/>
        <v>43</v>
      </c>
      <c r="AE177" s="35">
        <f t="shared" si="61"/>
        <v>42</v>
      </c>
      <c r="AF177" s="36">
        <f t="shared" si="62"/>
        <v>25</v>
      </c>
      <c r="AG177" s="36">
        <f t="shared" si="56"/>
        <v>29</v>
      </c>
      <c r="AH177" s="36">
        <f t="shared" si="57"/>
        <v>38</v>
      </c>
      <c r="AI177" s="36">
        <f t="shared" si="58"/>
        <v>54</v>
      </c>
      <c r="AJ177" s="37">
        <f t="shared" si="59"/>
        <v>69</v>
      </c>
      <c r="AK177" s="37">
        <f t="shared" si="60"/>
        <v>257</v>
      </c>
    </row>
    <row r="178" spans="2:37" ht="18" customHeight="1" x14ac:dyDescent="0.2">
      <c r="B178" s="8">
        <f>garage!B178</f>
        <v>178</v>
      </c>
      <c r="C178" s="8">
        <f>garage!C178</f>
        <v>5</v>
      </c>
      <c r="D178" s="8">
        <f>garage!D178</f>
        <v>16</v>
      </c>
      <c r="E178" s="8">
        <f>garage!E178</f>
        <v>0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 t="str">
        <f>garage!J178</f>
        <v>N</v>
      </c>
      <c r="K178" s="8" t="str">
        <f>garage!K178</f>
        <v>S</v>
      </c>
      <c r="L178" s="9" t="str">
        <f>garage!L178</f>
        <v>Lamborghini</v>
      </c>
      <c r="M178" s="9" t="str">
        <f>garage!M178</f>
        <v>Terzo Millennio</v>
      </c>
      <c r="O178" s="17">
        <v>60</v>
      </c>
      <c r="P178" s="13">
        <v>13</v>
      </c>
      <c r="Q178" s="13">
        <v>16</v>
      </c>
      <c r="R178" s="13">
        <v>25</v>
      </c>
      <c r="S178" s="13">
        <v>38</v>
      </c>
      <c r="T178" s="14">
        <v>48</v>
      </c>
      <c r="U178" s="49">
        <f t="shared" si="54"/>
        <v>200</v>
      </c>
      <c r="W178" s="26">
        <v>60</v>
      </c>
      <c r="X178" s="27">
        <v>13</v>
      </c>
      <c r="Y178" s="27">
        <v>16</v>
      </c>
      <c r="Z178" s="27">
        <v>25</v>
      </c>
      <c r="AA178" s="27">
        <v>38</v>
      </c>
      <c r="AB178" s="28">
        <v>48</v>
      </c>
      <c r="AC178" s="28">
        <f t="shared" si="55"/>
        <v>200</v>
      </c>
      <c r="AE178" s="32"/>
      <c r="AF178" s="33"/>
      <c r="AG178" s="33"/>
      <c r="AH178" s="33"/>
      <c r="AI178" s="33"/>
      <c r="AJ178" s="34"/>
      <c r="AK178" s="34"/>
    </row>
    <row r="179" spans="2:37" ht="18" customHeight="1" x14ac:dyDescent="0.2">
      <c r="B179" s="10">
        <f>garage!B179</f>
        <v>179</v>
      </c>
      <c r="C179" s="10">
        <f>garage!C179</f>
        <v>5</v>
      </c>
      <c r="D179" s="10">
        <f>garage!D179</f>
        <v>17</v>
      </c>
      <c r="E179" s="10">
        <f>garage!E179</f>
        <v>24</v>
      </c>
      <c r="F179" s="10" t="str">
        <f>garage!F179</f>
        <v>--</v>
      </c>
      <c r="G179" s="10" t="str">
        <f>garage!G179</f>
        <v>O</v>
      </c>
      <c r="H179" s="10" t="str">
        <f>garage!H179</f>
        <v>N</v>
      </c>
      <c r="I179" s="10" t="str">
        <f>garage!I179</f>
        <v>N</v>
      </c>
      <c r="J179" s="10" t="str">
        <f>garage!J179</f>
        <v>N</v>
      </c>
      <c r="K179" s="10" t="str">
        <f>garage!K179</f>
        <v>S</v>
      </c>
      <c r="L179" s="11" t="str">
        <f>garage!L179</f>
        <v>Vision</v>
      </c>
      <c r="M179" s="11">
        <f>garage!M179</f>
        <v>1789</v>
      </c>
      <c r="O179" s="18">
        <v>85</v>
      </c>
      <c r="P179" s="15">
        <v>25</v>
      </c>
      <c r="Q179" s="15">
        <v>29</v>
      </c>
      <c r="R179" s="15">
        <v>38</v>
      </c>
      <c r="S179" s="15">
        <v>54</v>
      </c>
      <c r="T179" s="16">
        <v>69</v>
      </c>
      <c r="U179" s="50">
        <f t="shared" si="54"/>
        <v>300</v>
      </c>
      <c r="W179" s="29">
        <v>85</v>
      </c>
      <c r="X179" s="30">
        <v>25</v>
      </c>
      <c r="Y179" s="30">
        <v>29</v>
      </c>
      <c r="Z179" s="30">
        <v>11</v>
      </c>
      <c r="AA179" s="30"/>
      <c r="AB179" s="31"/>
      <c r="AC179" s="31">
        <f t="shared" si="55"/>
        <v>150</v>
      </c>
      <c r="AE179" s="35"/>
      <c r="AF179" s="36"/>
      <c r="AG179" s="36"/>
      <c r="AH179" s="36">
        <f t="shared" si="57"/>
        <v>27</v>
      </c>
      <c r="AI179" s="36">
        <f t="shared" si="58"/>
        <v>54</v>
      </c>
      <c r="AJ179" s="37">
        <f t="shared" si="59"/>
        <v>69</v>
      </c>
      <c r="AK179" s="37">
        <f t="shared" si="60"/>
        <v>150</v>
      </c>
    </row>
    <row r="180" spans="2:37" ht="18" customHeight="1" x14ac:dyDescent="0.2">
      <c r="B180" s="8">
        <f>garage!B180</f>
        <v>180</v>
      </c>
      <c r="C180" s="8">
        <f>garage!C180</f>
        <v>5</v>
      </c>
      <c r="D180" s="8">
        <f>garage!D180</f>
        <v>18</v>
      </c>
      <c r="E180" s="8">
        <f>garage!E180</f>
        <v>0</v>
      </c>
      <c r="F180" s="8" t="str">
        <f>garage!F180</f>
        <v>--</v>
      </c>
      <c r="G180" s="8" t="str">
        <f>garage!G180</f>
        <v>O</v>
      </c>
      <c r="H180" s="8" t="str">
        <f>garage!H180</f>
        <v>O</v>
      </c>
      <c r="I180" s="8" t="str">
        <f>garage!I180</f>
        <v>N</v>
      </c>
      <c r="J180" s="8" t="str">
        <f>garage!J180</f>
        <v>N</v>
      </c>
      <c r="K180" s="8" t="str">
        <f>garage!K180</f>
        <v>S</v>
      </c>
      <c r="L180" s="9" t="str">
        <f>garage!L180</f>
        <v>W Motors</v>
      </c>
      <c r="M180" s="9" t="str">
        <f>garage!M180</f>
        <v>Fenyr Supersport</v>
      </c>
      <c r="O180" s="17">
        <v>60</v>
      </c>
      <c r="P180" s="13">
        <v>13</v>
      </c>
      <c r="Q180" s="13">
        <v>16</v>
      </c>
      <c r="R180" s="13">
        <v>25</v>
      </c>
      <c r="S180" s="13">
        <v>38</v>
      </c>
      <c r="T180" s="14">
        <v>48</v>
      </c>
      <c r="U180" s="49">
        <f t="shared" si="54"/>
        <v>200</v>
      </c>
      <c r="W180" s="26">
        <v>60</v>
      </c>
      <c r="X180" s="27">
        <v>13</v>
      </c>
      <c r="Y180" s="27">
        <v>16</v>
      </c>
      <c r="Z180" s="27">
        <v>25</v>
      </c>
      <c r="AA180" s="27">
        <v>38</v>
      </c>
      <c r="AB180" s="28">
        <v>48</v>
      </c>
      <c r="AC180" s="28">
        <f t="shared" si="55"/>
        <v>200</v>
      </c>
      <c r="AE180" s="32"/>
      <c r="AF180" s="33"/>
      <c r="AG180" s="33"/>
      <c r="AH180" s="33"/>
      <c r="AI180" s="33"/>
      <c r="AJ180" s="34"/>
      <c r="AK180" s="34"/>
    </row>
    <row r="181" spans="2:37" ht="18" customHeight="1" x14ac:dyDescent="0.2">
      <c r="B181" s="10">
        <f>garage!B181</f>
        <v>181</v>
      </c>
      <c r="C181" s="10">
        <f>garage!C181</f>
        <v>5</v>
      </c>
      <c r="D181" s="10">
        <f>garage!D181</f>
        <v>19</v>
      </c>
      <c r="E181" s="10">
        <f>garage!E181</f>
        <v>19</v>
      </c>
      <c r="F181" s="10" t="str">
        <f>garage!F181</f>
        <v>AM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 t="str">
        <f>garage!J181</f>
        <v>N</v>
      </c>
      <c r="K181" s="10" t="str">
        <f>garage!K181</f>
        <v>S</v>
      </c>
      <c r="L181" s="11" t="str">
        <f>garage!L181</f>
        <v>Aston Martin</v>
      </c>
      <c r="M181" s="11" t="str">
        <f>garage!M181</f>
        <v>Valkyrie</v>
      </c>
      <c r="O181" s="18">
        <v>85</v>
      </c>
      <c r="P181" s="15">
        <v>25</v>
      </c>
      <c r="Q181" s="15">
        <v>29</v>
      </c>
      <c r="R181" s="15">
        <v>38</v>
      </c>
      <c r="S181" s="15">
        <v>54</v>
      </c>
      <c r="T181" s="16">
        <v>69</v>
      </c>
      <c r="U181" s="50">
        <f t="shared" si="54"/>
        <v>300</v>
      </c>
      <c r="W181" s="29">
        <v>61</v>
      </c>
      <c r="X181" s="30">
        <v>0</v>
      </c>
      <c r="Y181" s="30">
        <v>0</v>
      </c>
      <c r="Z181" s="30">
        <v>0</v>
      </c>
      <c r="AA181" s="30">
        <v>0</v>
      </c>
      <c r="AB181" s="31">
        <v>0</v>
      </c>
      <c r="AC181" s="31">
        <f t="shared" si="55"/>
        <v>61</v>
      </c>
      <c r="AE181" s="35">
        <f t="shared" si="61"/>
        <v>24</v>
      </c>
      <c r="AF181" s="36">
        <f t="shared" si="62"/>
        <v>25</v>
      </c>
      <c r="AG181" s="36">
        <f t="shared" si="56"/>
        <v>29</v>
      </c>
      <c r="AH181" s="36">
        <f t="shared" si="57"/>
        <v>38</v>
      </c>
      <c r="AI181" s="36">
        <f t="shared" si="58"/>
        <v>54</v>
      </c>
      <c r="AJ181" s="37">
        <f t="shared" si="59"/>
        <v>69</v>
      </c>
      <c r="AK181" s="37">
        <f t="shared" si="60"/>
        <v>239</v>
      </c>
    </row>
    <row r="182" spans="2:37" ht="18" customHeight="1" x14ac:dyDescent="0.2">
      <c r="B182" s="8">
        <f>garage!B182</f>
        <v>182</v>
      </c>
      <c r="C182" s="8">
        <f>garage!C182</f>
        <v>5</v>
      </c>
      <c r="D182" s="8">
        <f>garage!D182</f>
        <v>20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N</v>
      </c>
      <c r="J182" s="8" t="str">
        <f>garage!J182</f>
        <v>N</v>
      </c>
      <c r="K182" s="8" t="str">
        <f>garage!K182</f>
        <v>S</v>
      </c>
      <c r="L182" s="9" t="str">
        <f>garage!L182</f>
        <v>Zenvo</v>
      </c>
      <c r="M182" s="9" t="str">
        <f>garage!M182</f>
        <v>TS1 GT Anniversary</v>
      </c>
      <c r="O182" s="17">
        <v>60</v>
      </c>
      <c r="P182" s="13">
        <v>13</v>
      </c>
      <c r="Q182" s="13">
        <v>16</v>
      </c>
      <c r="R182" s="13">
        <v>25</v>
      </c>
      <c r="S182" s="13">
        <v>38</v>
      </c>
      <c r="T182" s="14">
        <v>48</v>
      </c>
      <c r="U182" s="49">
        <f t="shared" si="54"/>
        <v>200</v>
      </c>
      <c r="W182" s="26">
        <v>60</v>
      </c>
      <c r="X182" s="27">
        <v>13</v>
      </c>
      <c r="Y182" s="27">
        <v>16</v>
      </c>
      <c r="Z182" s="27">
        <v>25</v>
      </c>
      <c r="AA182" s="27">
        <v>38</v>
      </c>
      <c r="AB182" s="28">
        <v>48</v>
      </c>
      <c r="AC182" s="28">
        <f t="shared" si="55"/>
        <v>200</v>
      </c>
      <c r="AE182" s="32"/>
      <c r="AF182" s="33"/>
      <c r="AG182" s="33"/>
      <c r="AH182" s="33"/>
      <c r="AI182" s="33"/>
      <c r="AJ182" s="34"/>
      <c r="AK182" s="34"/>
    </row>
    <row r="183" spans="2:37" ht="18" customHeight="1" x14ac:dyDescent="0.2">
      <c r="B183" s="10">
        <f>garage!B183</f>
        <v>183</v>
      </c>
      <c r="C183" s="10">
        <f>garage!C183</f>
        <v>5</v>
      </c>
      <c r="D183" s="10">
        <f>garage!D183</f>
        <v>21</v>
      </c>
      <c r="E183" s="10">
        <f>garage!E183</f>
        <v>8</v>
      </c>
      <c r="F183" s="10" t="str">
        <f>garage!F183</f>
        <v>--</v>
      </c>
      <c r="G183" s="10" t="str">
        <f>garage!G183</f>
        <v>O</v>
      </c>
      <c r="H183" s="10" t="str">
        <f>garage!H183</f>
        <v>N</v>
      </c>
      <c r="I183" s="10" t="str">
        <f>garage!I183</f>
        <v>N</v>
      </c>
      <c r="J183" s="10" t="str">
        <f>garage!J183</f>
        <v>N</v>
      </c>
      <c r="K183" s="10" t="str">
        <f>garage!K183</f>
        <v>S</v>
      </c>
      <c r="L183" s="11" t="str">
        <f>garage!L183</f>
        <v>Automobili Pininfarina</v>
      </c>
      <c r="M183" s="11" t="str">
        <f>garage!M183</f>
        <v>Battista</v>
      </c>
      <c r="O183" s="18">
        <v>60</v>
      </c>
      <c r="P183" s="15">
        <v>25</v>
      </c>
      <c r="Q183" s="15">
        <v>35</v>
      </c>
      <c r="R183" s="15">
        <v>46</v>
      </c>
      <c r="S183" s="15">
        <v>58</v>
      </c>
      <c r="T183" s="16">
        <v>76</v>
      </c>
      <c r="U183" s="50">
        <f t="shared" si="54"/>
        <v>300</v>
      </c>
      <c r="W183" s="29">
        <v>60</v>
      </c>
      <c r="X183" s="30">
        <v>25</v>
      </c>
      <c r="Y183" s="30">
        <v>35</v>
      </c>
      <c r="Z183" s="30">
        <v>46</v>
      </c>
      <c r="AA183" s="30">
        <v>12</v>
      </c>
      <c r="AB183" s="31"/>
      <c r="AC183" s="31">
        <f t="shared" si="55"/>
        <v>178</v>
      </c>
      <c r="AE183" s="35"/>
      <c r="AF183" s="36"/>
      <c r="AG183" s="36"/>
      <c r="AH183" s="36"/>
      <c r="AI183" s="36">
        <f t="shared" si="58"/>
        <v>46</v>
      </c>
      <c r="AJ183" s="37">
        <f t="shared" si="59"/>
        <v>76</v>
      </c>
      <c r="AK183" s="37">
        <f t="shared" si="60"/>
        <v>122</v>
      </c>
    </row>
    <row r="184" spans="2:37" ht="18" customHeight="1" x14ac:dyDescent="0.2">
      <c r="B184" s="8">
        <f>garage!B184</f>
        <v>184</v>
      </c>
      <c r="C184" s="8">
        <f>garage!C184</f>
        <v>5</v>
      </c>
      <c r="D184" s="8">
        <f>garage!D184</f>
        <v>22</v>
      </c>
      <c r="E184" s="8">
        <f>garage!E184</f>
        <v>22</v>
      </c>
      <c r="F184" s="8" t="str">
        <f>garage!F184</f>
        <v>--</v>
      </c>
      <c r="G184" s="8" t="str">
        <f>garage!G184</f>
        <v>N</v>
      </c>
      <c r="H184" s="8" t="str">
        <f>garage!H184</f>
        <v>N</v>
      </c>
      <c r="I184" s="8" t="str">
        <f>garage!I184</f>
        <v>N</v>
      </c>
      <c r="J184" s="8" t="str">
        <f>garage!J184</f>
        <v>N</v>
      </c>
      <c r="K184" s="8" t="str">
        <f>garage!K184</f>
        <v>S</v>
      </c>
      <c r="L184" s="9" t="str">
        <f>garage!L184</f>
        <v>Naran</v>
      </c>
      <c r="M184" s="9" t="str">
        <f>garage!M184</f>
        <v>Hyper Coupé</v>
      </c>
      <c r="O184" s="17">
        <v>85</v>
      </c>
      <c r="P184" s="13">
        <v>25</v>
      </c>
      <c r="Q184" s="13">
        <v>29</v>
      </c>
      <c r="R184" s="13">
        <v>38</v>
      </c>
      <c r="S184" s="13">
        <v>54</v>
      </c>
      <c r="T184" s="14">
        <v>69</v>
      </c>
      <c r="U184" s="49">
        <f t="shared" si="54"/>
        <v>300</v>
      </c>
      <c r="W184" s="26">
        <v>25</v>
      </c>
      <c r="X184" s="27">
        <v>0</v>
      </c>
      <c r="Y184" s="27">
        <v>0</v>
      </c>
      <c r="Z184" s="27">
        <v>0</v>
      </c>
      <c r="AA184" s="27">
        <v>0</v>
      </c>
      <c r="AB184" s="28">
        <v>0</v>
      </c>
      <c r="AC184" s="28">
        <f t="shared" si="55"/>
        <v>25</v>
      </c>
      <c r="AE184" s="32">
        <f t="shared" si="61"/>
        <v>60</v>
      </c>
      <c r="AF184" s="33">
        <f t="shared" si="62"/>
        <v>25</v>
      </c>
      <c r="AG184" s="33">
        <f t="shared" si="56"/>
        <v>29</v>
      </c>
      <c r="AH184" s="33">
        <f t="shared" si="57"/>
        <v>38</v>
      </c>
      <c r="AI184" s="33">
        <f t="shared" si="58"/>
        <v>54</v>
      </c>
      <c r="AJ184" s="34">
        <f t="shared" si="59"/>
        <v>69</v>
      </c>
      <c r="AK184" s="34">
        <f t="shared" si="60"/>
        <v>275</v>
      </c>
    </row>
    <row r="185" spans="2:37" ht="18" customHeight="1" x14ac:dyDescent="0.2">
      <c r="B185" s="10">
        <f>garage!B185</f>
        <v>185</v>
      </c>
      <c r="C185" s="10">
        <f>garage!C185</f>
        <v>5</v>
      </c>
      <c r="D185" s="10">
        <f>garage!D185</f>
        <v>23</v>
      </c>
      <c r="E185" s="10">
        <f>garage!E185</f>
        <v>14</v>
      </c>
      <c r="F185" s="10" t="str">
        <f>garage!F185</f>
        <v>M</v>
      </c>
      <c r="G185" s="10" t="str">
        <f>garage!G185</f>
        <v>O</v>
      </c>
      <c r="H185" s="10" t="str">
        <f>garage!H185</f>
        <v>N</v>
      </c>
      <c r="I185" s="10" t="str">
        <f>garage!I185</f>
        <v>N</v>
      </c>
      <c r="J185" s="10" t="str">
        <f>garage!J185</f>
        <v>N</v>
      </c>
      <c r="K185" s="10" t="str">
        <f>garage!K185</f>
        <v>S</v>
      </c>
      <c r="L185" s="11" t="str">
        <f>garage!L185</f>
        <v>McLaren</v>
      </c>
      <c r="M185" s="11" t="str">
        <f>garage!M185</f>
        <v>Speedtail</v>
      </c>
      <c r="O185" s="18">
        <v>85</v>
      </c>
      <c r="P185" s="15">
        <v>25</v>
      </c>
      <c r="Q185" s="15">
        <v>29</v>
      </c>
      <c r="R185" s="15">
        <v>38</v>
      </c>
      <c r="S185" s="15">
        <v>54</v>
      </c>
      <c r="T185" s="16">
        <v>69</v>
      </c>
      <c r="U185" s="50">
        <f t="shared" si="54"/>
        <v>300</v>
      </c>
      <c r="W185" s="29">
        <v>85</v>
      </c>
      <c r="X185" s="30">
        <v>25</v>
      </c>
      <c r="Y185" s="30">
        <v>29</v>
      </c>
      <c r="Z185" s="30">
        <v>38</v>
      </c>
      <c r="AA185" s="30">
        <v>54</v>
      </c>
      <c r="AB185" s="31">
        <v>18</v>
      </c>
      <c r="AC185" s="31">
        <f t="shared" si="55"/>
        <v>249</v>
      </c>
      <c r="AE185" s="35"/>
      <c r="AF185" s="36"/>
      <c r="AG185" s="36"/>
      <c r="AH185" s="36"/>
      <c r="AI185" s="36"/>
      <c r="AJ185" s="37">
        <f t="shared" si="59"/>
        <v>51</v>
      </c>
      <c r="AK185" s="37">
        <f t="shared" si="60"/>
        <v>51</v>
      </c>
    </row>
    <row r="186" spans="2:37" ht="18" customHeight="1" x14ac:dyDescent="0.2">
      <c r="B186" s="8">
        <f>garage!B186</f>
        <v>186</v>
      </c>
      <c r="C186" s="8">
        <f>garage!C186</f>
        <v>5</v>
      </c>
      <c r="D186" s="8">
        <f>garage!D186</f>
        <v>24</v>
      </c>
      <c r="E186" s="8">
        <f>garage!E186</f>
        <v>28</v>
      </c>
      <c r="F186" s="8" t="str">
        <f>garage!F186</f>
        <v>--</v>
      </c>
      <c r="G186" s="8" t="str">
        <f>garage!G186</f>
        <v>N</v>
      </c>
      <c r="H186" s="8" t="str">
        <f>garage!H186</f>
        <v>N</v>
      </c>
      <c r="I186" s="8" t="str">
        <f>garage!I186</f>
        <v>N</v>
      </c>
      <c r="J186" s="8" t="str">
        <f>garage!J186</f>
        <v>N</v>
      </c>
      <c r="K186" s="8" t="str">
        <f>garage!K186</f>
        <v>S</v>
      </c>
      <c r="L186" s="9" t="str">
        <f>garage!L186</f>
        <v>Faraday</v>
      </c>
      <c r="M186" s="9" t="str">
        <f>garage!M186</f>
        <v>FFZero1</v>
      </c>
      <c r="O186" s="17">
        <v>85</v>
      </c>
      <c r="P186" s="13">
        <v>25</v>
      </c>
      <c r="Q186" s="13">
        <v>29</v>
      </c>
      <c r="R186" s="13">
        <v>38</v>
      </c>
      <c r="S186" s="13">
        <v>54</v>
      </c>
      <c r="T186" s="14">
        <v>69</v>
      </c>
      <c r="U186" s="49">
        <f t="shared" si="54"/>
        <v>300</v>
      </c>
      <c r="W186" s="26">
        <v>25</v>
      </c>
      <c r="X186" s="27">
        <v>0</v>
      </c>
      <c r="Y186" s="27">
        <v>0</v>
      </c>
      <c r="Z186" s="27">
        <v>0</v>
      </c>
      <c r="AA186" s="27">
        <v>0</v>
      </c>
      <c r="AB186" s="28">
        <v>0</v>
      </c>
      <c r="AC186" s="28">
        <f t="shared" si="55"/>
        <v>25</v>
      </c>
      <c r="AE186" s="32">
        <f t="shared" ref="AE186" si="70">O186-W186</f>
        <v>60</v>
      </c>
      <c r="AF186" s="33">
        <f t="shared" ref="AF186" si="71">P186-X186</f>
        <v>25</v>
      </c>
      <c r="AG186" s="33">
        <f t="shared" si="56"/>
        <v>29</v>
      </c>
      <c r="AH186" s="33">
        <f t="shared" si="57"/>
        <v>38</v>
      </c>
      <c r="AI186" s="33">
        <f t="shared" si="58"/>
        <v>54</v>
      </c>
      <c r="AJ186" s="34">
        <f t="shared" si="59"/>
        <v>69</v>
      </c>
      <c r="AK186" s="34">
        <f t="shared" si="60"/>
        <v>275</v>
      </c>
    </row>
    <row r="187" spans="2:37" ht="18" customHeight="1" x14ac:dyDescent="0.2">
      <c r="B187" s="10">
        <f>garage!B187</f>
        <v>187</v>
      </c>
      <c r="C187" s="10">
        <f>garage!C187</f>
        <v>5</v>
      </c>
      <c r="D187" s="10">
        <f>garage!D187</f>
        <v>25</v>
      </c>
      <c r="E187" s="10">
        <f>garage!E187</f>
        <v>0</v>
      </c>
      <c r="F187" s="10" t="str">
        <f>garage!F187</f>
        <v>--</v>
      </c>
      <c r="G187" s="10" t="str">
        <f>garage!G187</f>
        <v>O</v>
      </c>
      <c r="H187" s="10" t="str">
        <f>garage!H187</f>
        <v>O</v>
      </c>
      <c r="I187" s="10" t="str">
        <f>garage!I187</f>
        <v>O</v>
      </c>
      <c r="J187" s="10" t="str">
        <f>garage!J187</f>
        <v>N</v>
      </c>
      <c r="K187" s="10" t="str">
        <f>garage!K187</f>
        <v>S</v>
      </c>
      <c r="L187" s="11" t="str">
        <f>garage!L187</f>
        <v>Koenigsegg</v>
      </c>
      <c r="M187" s="11" t="str">
        <f>garage!M187</f>
        <v>Regera</v>
      </c>
      <c r="O187" s="18">
        <v>60</v>
      </c>
      <c r="P187" s="15">
        <v>13</v>
      </c>
      <c r="Q187" s="15">
        <v>16</v>
      </c>
      <c r="R187" s="15">
        <v>25</v>
      </c>
      <c r="S187" s="15">
        <v>38</v>
      </c>
      <c r="T187" s="16">
        <v>48</v>
      </c>
      <c r="U187" s="50">
        <f t="shared" si="54"/>
        <v>200</v>
      </c>
      <c r="W187" s="29">
        <v>60</v>
      </c>
      <c r="X187" s="30">
        <v>13</v>
      </c>
      <c r="Y187" s="30">
        <v>16</v>
      </c>
      <c r="Z187" s="30">
        <v>25</v>
      </c>
      <c r="AA187" s="30">
        <v>38</v>
      </c>
      <c r="AB187" s="31">
        <v>48</v>
      </c>
      <c r="AC187" s="31">
        <f t="shared" si="55"/>
        <v>200</v>
      </c>
      <c r="AE187" s="35"/>
      <c r="AF187" s="36"/>
      <c r="AG187" s="36"/>
      <c r="AH187" s="36"/>
      <c r="AI187" s="36"/>
      <c r="AJ187" s="37"/>
      <c r="AK187" s="37"/>
    </row>
    <row r="188" spans="2:37" ht="18" customHeight="1" x14ac:dyDescent="0.2">
      <c r="B188" s="8">
        <f>garage!B188</f>
        <v>188</v>
      </c>
      <c r="C188" s="8">
        <f>garage!C188</f>
        <v>5</v>
      </c>
      <c r="D188" s="8">
        <f>garage!D188</f>
        <v>26</v>
      </c>
      <c r="E188" s="8">
        <f>garage!E188</f>
        <v>23</v>
      </c>
      <c r="F188" s="8" t="str">
        <f>garage!F188</f>
        <v>--</v>
      </c>
      <c r="G188" s="8" t="str">
        <f>garage!G188</f>
        <v>N</v>
      </c>
      <c r="H188" s="8" t="str">
        <f>garage!H188</f>
        <v>N</v>
      </c>
      <c r="I188" s="8" t="str">
        <f>garage!I188</f>
        <v>N</v>
      </c>
      <c r="J188" s="8" t="str">
        <f>garage!J188</f>
        <v>N</v>
      </c>
      <c r="K188" s="8" t="str">
        <f>garage!K188</f>
        <v>S</v>
      </c>
      <c r="L188" s="9" t="str">
        <f>garage!L188</f>
        <v>Ultima</v>
      </c>
      <c r="M188" s="9" t="str">
        <f>garage!M188</f>
        <v>RS</v>
      </c>
      <c r="O188" s="17" t="s">
        <v>432</v>
      </c>
      <c r="P188" s="13">
        <v>40</v>
      </c>
      <c r="Q188" s="13">
        <v>45</v>
      </c>
      <c r="R188" s="13">
        <v>60</v>
      </c>
      <c r="S188" s="13">
        <v>70</v>
      </c>
      <c r="T188" s="14">
        <v>85</v>
      </c>
      <c r="U188" s="49">
        <f t="shared" si="54"/>
        <v>300</v>
      </c>
      <c r="W188" s="26"/>
      <c r="X188" s="27">
        <v>40</v>
      </c>
      <c r="Y188" s="27">
        <v>45</v>
      </c>
      <c r="Z188" s="27">
        <v>43</v>
      </c>
      <c r="AA188" s="27">
        <v>0</v>
      </c>
      <c r="AB188" s="28">
        <v>0</v>
      </c>
      <c r="AC188" s="28">
        <f t="shared" si="55"/>
        <v>128</v>
      </c>
      <c r="AE188" s="32" t="s">
        <v>432</v>
      </c>
      <c r="AF188" s="33"/>
      <c r="AG188" s="33"/>
      <c r="AH188" s="33">
        <f t="shared" si="57"/>
        <v>17</v>
      </c>
      <c r="AI188" s="33">
        <f t="shared" si="58"/>
        <v>70</v>
      </c>
      <c r="AJ188" s="34">
        <f t="shared" si="59"/>
        <v>85</v>
      </c>
      <c r="AK188" s="34">
        <f t="shared" si="60"/>
        <v>172</v>
      </c>
    </row>
    <row r="189" spans="2:37" ht="18" customHeight="1" x14ac:dyDescent="0.2">
      <c r="B189" s="10">
        <f>garage!B189</f>
        <v>189</v>
      </c>
      <c r="C189" s="10">
        <f>garage!C189</f>
        <v>5</v>
      </c>
      <c r="D189" s="10">
        <f>garage!D189</f>
        <v>27</v>
      </c>
      <c r="E189" s="10">
        <f>garage!E189</f>
        <v>12</v>
      </c>
      <c r="F189" s="10" t="str">
        <f>garage!F189</f>
        <v>L</v>
      </c>
      <c r="G189" s="10" t="str">
        <f>garage!G189</f>
        <v>N</v>
      </c>
      <c r="H189" s="10" t="str">
        <f>garage!H189</f>
        <v>N</v>
      </c>
      <c r="I189" s="10" t="str">
        <f>garage!I189</f>
        <v>N</v>
      </c>
      <c r="J189" s="10" t="str">
        <f>garage!J189</f>
        <v>N</v>
      </c>
      <c r="K189" s="10" t="str">
        <f>garage!K189</f>
        <v>S</v>
      </c>
      <c r="L189" s="11" t="str">
        <f>garage!L189</f>
        <v>Lamborghini</v>
      </c>
      <c r="M189" s="11" t="str">
        <f>garage!M189</f>
        <v>Sián FKP 37</v>
      </c>
      <c r="O189" s="18">
        <v>85</v>
      </c>
      <c r="P189" s="15">
        <v>25</v>
      </c>
      <c r="Q189" s="15">
        <v>29</v>
      </c>
      <c r="R189" s="15">
        <v>38</v>
      </c>
      <c r="S189" s="15">
        <v>54</v>
      </c>
      <c r="T189" s="16">
        <v>69</v>
      </c>
      <c r="U189" s="50">
        <f t="shared" si="54"/>
        <v>300</v>
      </c>
      <c r="W189" s="29">
        <v>72</v>
      </c>
      <c r="X189" s="30">
        <v>0</v>
      </c>
      <c r="Y189" s="30">
        <v>0</v>
      </c>
      <c r="Z189" s="30">
        <v>0</v>
      </c>
      <c r="AA189" s="30">
        <v>0</v>
      </c>
      <c r="AB189" s="31">
        <v>0</v>
      </c>
      <c r="AC189" s="31">
        <f t="shared" si="55"/>
        <v>72</v>
      </c>
      <c r="AE189" s="35">
        <f t="shared" si="61"/>
        <v>13</v>
      </c>
      <c r="AF189" s="36">
        <f t="shared" si="62"/>
        <v>25</v>
      </c>
      <c r="AG189" s="36">
        <f t="shared" si="56"/>
        <v>29</v>
      </c>
      <c r="AH189" s="36">
        <f t="shared" si="57"/>
        <v>38</v>
      </c>
      <c r="AI189" s="36">
        <f t="shared" si="58"/>
        <v>54</v>
      </c>
      <c r="AJ189" s="37">
        <f t="shared" si="59"/>
        <v>69</v>
      </c>
      <c r="AK189" s="37">
        <f t="shared" si="60"/>
        <v>228</v>
      </c>
    </row>
    <row r="190" spans="2:37" ht="18" customHeight="1" x14ac:dyDescent="0.2">
      <c r="B190" s="8">
        <f>garage!B190</f>
        <v>190</v>
      </c>
      <c r="C190" s="8">
        <f>garage!C190</f>
        <v>5</v>
      </c>
      <c r="D190" s="8">
        <f>garage!D190</f>
        <v>28</v>
      </c>
      <c r="E190" s="8">
        <f>garage!E190</f>
        <v>27</v>
      </c>
      <c r="F190" s="8" t="str">
        <f>garage!F190</f>
        <v>--</v>
      </c>
      <c r="G190" s="8" t="str">
        <f>garage!G190</f>
        <v>N</v>
      </c>
      <c r="H190" s="8" t="str">
        <f>garage!H190</f>
        <v>N</v>
      </c>
      <c r="I190" s="8" t="str">
        <f>garage!I190</f>
        <v>N</v>
      </c>
      <c r="J190" s="8" t="str">
        <f>garage!J190</f>
        <v>N</v>
      </c>
      <c r="K190" s="8" t="str">
        <f>garage!K190</f>
        <v>S</v>
      </c>
      <c r="L190" s="9" t="str">
        <f>garage!L190</f>
        <v>Ajlani</v>
      </c>
      <c r="M190" s="9" t="str">
        <f>garage!M190</f>
        <v>Drakuma</v>
      </c>
      <c r="O190" s="17">
        <v>85</v>
      </c>
      <c r="P190" s="13">
        <v>25</v>
      </c>
      <c r="Q190" s="13">
        <v>29</v>
      </c>
      <c r="R190" s="13">
        <v>38</v>
      </c>
      <c r="S190" s="13">
        <v>54</v>
      </c>
      <c r="T190" s="14">
        <v>69</v>
      </c>
      <c r="U190" s="49">
        <f t="shared" si="54"/>
        <v>300</v>
      </c>
      <c r="W190" s="26">
        <v>21</v>
      </c>
      <c r="X190" s="27">
        <v>0</v>
      </c>
      <c r="Y190" s="27">
        <v>0</v>
      </c>
      <c r="Z190" s="27">
        <v>0</v>
      </c>
      <c r="AA190" s="27">
        <v>0</v>
      </c>
      <c r="AB190" s="28">
        <v>0</v>
      </c>
      <c r="AC190" s="28">
        <f t="shared" si="55"/>
        <v>21</v>
      </c>
      <c r="AE190" s="32">
        <f t="shared" si="61"/>
        <v>64</v>
      </c>
      <c r="AF190" s="33">
        <f t="shared" si="62"/>
        <v>25</v>
      </c>
      <c r="AG190" s="33">
        <f t="shared" si="56"/>
        <v>29</v>
      </c>
      <c r="AH190" s="33">
        <f t="shared" si="57"/>
        <v>38</v>
      </c>
      <c r="AI190" s="33">
        <f t="shared" si="58"/>
        <v>54</v>
      </c>
      <c r="AJ190" s="34">
        <f t="shared" si="59"/>
        <v>69</v>
      </c>
      <c r="AK190" s="34">
        <f t="shared" si="60"/>
        <v>279</v>
      </c>
    </row>
    <row r="191" spans="2:37" ht="18" customHeight="1" x14ac:dyDescent="0.2">
      <c r="B191" s="10">
        <f>garage!B191</f>
        <v>191</v>
      </c>
      <c r="C191" s="10">
        <f>garage!C191</f>
        <v>5</v>
      </c>
      <c r="D191" s="10">
        <f>garage!D191</f>
        <v>29</v>
      </c>
      <c r="E191" s="10">
        <f>garage!E191</f>
        <v>29</v>
      </c>
      <c r="F191" s="10" t="str">
        <f>garage!F191</f>
        <v>--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 t="str">
        <f>garage!J191</f>
        <v>N</v>
      </c>
      <c r="K191" s="10" t="str">
        <f>garage!K191</f>
        <v>S</v>
      </c>
      <c r="L191" s="11" t="str">
        <f>garage!L191</f>
        <v>Torino Design</v>
      </c>
      <c r="M191" s="11" t="str">
        <f>garage!M191</f>
        <v>Super Sport</v>
      </c>
      <c r="O191" s="18">
        <v>85</v>
      </c>
      <c r="P191" s="15">
        <v>25</v>
      </c>
      <c r="Q191" s="15">
        <v>29</v>
      </c>
      <c r="R191" s="15">
        <v>38</v>
      </c>
      <c r="S191" s="15">
        <v>54</v>
      </c>
      <c r="T191" s="16">
        <v>69</v>
      </c>
      <c r="U191" s="50">
        <f t="shared" si="54"/>
        <v>300</v>
      </c>
      <c r="W191" s="29">
        <v>0</v>
      </c>
      <c r="X191" s="30">
        <v>0</v>
      </c>
      <c r="Y191" s="30">
        <v>0</v>
      </c>
      <c r="Z191" s="30">
        <v>0</v>
      </c>
      <c r="AA191" s="30">
        <v>0</v>
      </c>
      <c r="AB191" s="31">
        <v>0</v>
      </c>
      <c r="AC191" s="31">
        <f t="shared" si="55"/>
        <v>0</v>
      </c>
      <c r="AE191" s="35">
        <f t="shared" ref="AE191" si="72">O191-W191</f>
        <v>85</v>
      </c>
      <c r="AF191" s="36">
        <f t="shared" ref="AF191" si="73">P191-X191</f>
        <v>25</v>
      </c>
      <c r="AG191" s="36">
        <f t="shared" ref="AG191" si="74">Q191-Y191</f>
        <v>29</v>
      </c>
      <c r="AH191" s="36">
        <f t="shared" ref="AH191" si="75">R191-Z191</f>
        <v>38</v>
      </c>
      <c r="AI191" s="36">
        <f t="shared" ref="AI191" si="76">S191-AA191</f>
        <v>54</v>
      </c>
      <c r="AJ191" s="37">
        <f t="shared" ref="AJ191" si="77">T191-AB191</f>
        <v>69</v>
      </c>
      <c r="AK191" s="37">
        <f t="shared" ref="AK191" si="78">SUM(AE191:AJ191)</f>
        <v>300</v>
      </c>
    </row>
    <row r="192" spans="2:37" ht="18" customHeight="1" x14ac:dyDescent="0.2">
      <c r="B192" s="8">
        <f>garage!B192</f>
        <v>192</v>
      </c>
      <c r="C192" s="8">
        <f>garage!C192</f>
        <v>5</v>
      </c>
      <c r="D192" s="8">
        <f>garage!D192</f>
        <v>30</v>
      </c>
      <c r="E192" s="8">
        <f>garage!E192</f>
        <v>17</v>
      </c>
      <c r="F192" s="8" t="str">
        <f>garage!F192</f>
        <v>--</v>
      </c>
      <c r="G192" s="8" t="str">
        <f>garage!G192</f>
        <v>O</v>
      </c>
      <c r="H192" s="8" t="str">
        <f>garage!H192</f>
        <v>N</v>
      </c>
      <c r="I192" s="8" t="str">
        <f>garage!I192</f>
        <v>N</v>
      </c>
      <c r="J192" s="8" t="str">
        <f>garage!J192</f>
        <v>N</v>
      </c>
      <c r="K192" s="8" t="str">
        <f>garage!K192</f>
        <v>S</v>
      </c>
      <c r="L192" s="9" t="str">
        <f>garage!L192</f>
        <v>Inferno Automobili</v>
      </c>
      <c r="M192" s="9" t="str">
        <f>garage!M192</f>
        <v>Inferno</v>
      </c>
      <c r="O192" s="17">
        <v>85</v>
      </c>
      <c r="P192" s="13">
        <v>25</v>
      </c>
      <c r="Q192" s="13">
        <v>29</v>
      </c>
      <c r="R192" s="13">
        <v>38</v>
      </c>
      <c r="S192" s="13">
        <v>54</v>
      </c>
      <c r="T192" s="14">
        <v>69</v>
      </c>
      <c r="U192" s="49">
        <f t="shared" si="54"/>
        <v>300</v>
      </c>
      <c r="W192" s="26">
        <v>85</v>
      </c>
      <c r="X192" s="27">
        <v>25</v>
      </c>
      <c r="Y192" s="27">
        <v>29</v>
      </c>
      <c r="Z192" s="27">
        <v>7</v>
      </c>
      <c r="AA192" s="27"/>
      <c r="AB192" s="28"/>
      <c r="AC192" s="28">
        <f t="shared" si="55"/>
        <v>146</v>
      </c>
      <c r="AE192" s="32"/>
      <c r="AF192" s="33"/>
      <c r="AG192" s="33"/>
      <c r="AH192" s="33">
        <f t="shared" si="57"/>
        <v>31</v>
      </c>
      <c r="AI192" s="33">
        <f t="shared" si="58"/>
        <v>54</v>
      </c>
      <c r="AJ192" s="34">
        <f t="shared" si="59"/>
        <v>69</v>
      </c>
      <c r="AK192" s="34">
        <f t="shared" si="60"/>
        <v>154</v>
      </c>
    </row>
    <row r="193" spans="2:37" ht="18" customHeight="1" x14ac:dyDescent="0.2">
      <c r="B193" s="10">
        <f>garage!B193</f>
        <v>193</v>
      </c>
      <c r="C193" s="10">
        <f>garage!C193</f>
        <v>5</v>
      </c>
      <c r="D193" s="10">
        <f>garage!D193</f>
        <v>31</v>
      </c>
      <c r="E193" s="10">
        <f>garage!E193</f>
        <v>0</v>
      </c>
      <c r="F193" s="10" t="str">
        <f>garage!F193</f>
        <v>B</v>
      </c>
      <c r="G193" s="10" t="str">
        <f>garage!G193</f>
        <v>O</v>
      </c>
      <c r="H193" s="10" t="str">
        <f>garage!H193</f>
        <v>O</v>
      </c>
      <c r="I193" s="10" t="str">
        <f>garage!I193</f>
        <v>O</v>
      </c>
      <c r="J193" s="10" t="str">
        <f>garage!J193</f>
        <v>N</v>
      </c>
      <c r="K193" s="10" t="str">
        <f>garage!K193</f>
        <v>S</v>
      </c>
      <c r="L193" s="11" t="str">
        <f>garage!L193</f>
        <v>Bugatti</v>
      </c>
      <c r="M193" s="11" t="str">
        <f>garage!M193</f>
        <v>Chiron</v>
      </c>
      <c r="O193" s="18">
        <v>60</v>
      </c>
      <c r="P193" s="15">
        <v>13</v>
      </c>
      <c r="Q193" s="15">
        <v>16</v>
      </c>
      <c r="R193" s="15">
        <v>25</v>
      </c>
      <c r="S193" s="15">
        <v>38</v>
      </c>
      <c r="T193" s="16">
        <v>48</v>
      </c>
      <c r="U193" s="50">
        <f t="shared" si="54"/>
        <v>200</v>
      </c>
      <c r="W193" s="29">
        <v>60</v>
      </c>
      <c r="X193" s="30">
        <v>13</v>
      </c>
      <c r="Y193" s="30">
        <v>16</v>
      </c>
      <c r="Z193" s="30">
        <v>25</v>
      </c>
      <c r="AA193" s="30">
        <v>38</v>
      </c>
      <c r="AB193" s="31">
        <v>48</v>
      </c>
      <c r="AC193" s="31">
        <f t="shared" si="55"/>
        <v>200</v>
      </c>
      <c r="AE193" s="35"/>
      <c r="AF193" s="36"/>
      <c r="AG193" s="36"/>
      <c r="AH193" s="36"/>
      <c r="AI193" s="36"/>
      <c r="AJ193" s="37"/>
      <c r="AK193" s="37"/>
    </row>
    <row r="194" spans="2:37" ht="18" customHeight="1" x14ac:dyDescent="0.2">
      <c r="B194" s="8">
        <f>garage!B194</f>
        <v>194</v>
      </c>
      <c r="C194" s="8">
        <f>garage!C194</f>
        <v>5</v>
      </c>
      <c r="D194" s="8">
        <f>garage!D194</f>
        <v>32</v>
      </c>
      <c r="E194" s="8">
        <f>garage!E194</f>
        <v>13</v>
      </c>
      <c r="F194" s="8" t="str">
        <f>garage!F194</f>
        <v>--</v>
      </c>
      <c r="G194" s="8" t="str">
        <f>garage!G194</f>
        <v>O</v>
      </c>
      <c r="H194" s="8" t="str">
        <f>garage!H194</f>
        <v>O</v>
      </c>
      <c r="I194" s="8" t="str">
        <f>garage!I194</f>
        <v>N</v>
      </c>
      <c r="J194" s="8" t="str">
        <f>garage!J194</f>
        <v>N</v>
      </c>
      <c r="K194" s="8" t="str">
        <f>garage!K194</f>
        <v>S</v>
      </c>
      <c r="L194" s="9" t="str">
        <f>garage!L194</f>
        <v>BXR</v>
      </c>
      <c r="M194" s="9" t="str">
        <f>garage!M194</f>
        <v>Bailey Blade GT1</v>
      </c>
      <c r="O194" s="17">
        <v>85</v>
      </c>
      <c r="P194" s="13">
        <v>25</v>
      </c>
      <c r="Q194" s="13">
        <v>29</v>
      </c>
      <c r="R194" s="13">
        <v>38</v>
      </c>
      <c r="S194" s="13">
        <v>54</v>
      </c>
      <c r="T194" s="14">
        <v>69</v>
      </c>
      <c r="U194" s="49">
        <f t="shared" si="54"/>
        <v>300</v>
      </c>
      <c r="W194" s="26">
        <v>85</v>
      </c>
      <c r="X194" s="27">
        <v>25</v>
      </c>
      <c r="Y194" s="27">
        <v>29</v>
      </c>
      <c r="Z194" s="27">
        <v>38</v>
      </c>
      <c r="AA194" s="27">
        <v>54</v>
      </c>
      <c r="AB194" s="28">
        <v>69</v>
      </c>
      <c r="AC194" s="28">
        <f t="shared" si="55"/>
        <v>300</v>
      </c>
      <c r="AE194" s="32"/>
      <c r="AF194" s="33"/>
      <c r="AG194" s="33"/>
      <c r="AH194" s="33"/>
      <c r="AI194" s="33"/>
      <c r="AJ194" s="34"/>
      <c r="AK194" s="34"/>
    </row>
    <row r="195" spans="2:37" ht="18" customHeight="1" x14ac:dyDescent="0.2">
      <c r="B195" s="10">
        <f>garage!B195</f>
        <v>195</v>
      </c>
      <c r="C195" s="10">
        <f>garage!C195</f>
        <v>5</v>
      </c>
      <c r="D195" s="10">
        <f>garage!D195</f>
        <v>33</v>
      </c>
      <c r="E195" s="10">
        <f>garage!E195</f>
        <v>18</v>
      </c>
      <c r="F195" s="10" t="str">
        <f>garage!F195</f>
        <v>--</v>
      </c>
      <c r="G195" s="10" t="str">
        <f>garage!G195</f>
        <v>N</v>
      </c>
      <c r="H195" s="10" t="str">
        <f>garage!H195</f>
        <v>N</v>
      </c>
      <c r="I195" s="10" t="str">
        <f>garage!I195</f>
        <v>N</v>
      </c>
      <c r="J195" s="10" t="str">
        <f>garage!J195</f>
        <v>N</v>
      </c>
      <c r="K195" s="10" t="str">
        <f>garage!K195</f>
        <v>S</v>
      </c>
      <c r="L195" s="11" t="str">
        <f>garage!L195</f>
        <v>Mazzanti</v>
      </c>
      <c r="M195" s="11" t="str">
        <f>garage!M195</f>
        <v>Evantra Millecavalli</v>
      </c>
      <c r="O195" s="18">
        <v>85</v>
      </c>
      <c r="P195" s="15">
        <v>25</v>
      </c>
      <c r="Q195" s="15">
        <v>29</v>
      </c>
      <c r="R195" s="15">
        <v>38</v>
      </c>
      <c r="S195" s="15">
        <v>54</v>
      </c>
      <c r="T195" s="16">
        <v>69</v>
      </c>
      <c r="U195" s="50">
        <f t="shared" si="54"/>
        <v>300</v>
      </c>
      <c r="W195" s="29">
        <v>70</v>
      </c>
      <c r="X195" s="30">
        <v>0</v>
      </c>
      <c r="Y195" s="30">
        <v>0</v>
      </c>
      <c r="Z195" s="30">
        <v>0</v>
      </c>
      <c r="AA195" s="30">
        <v>0</v>
      </c>
      <c r="AB195" s="31">
        <v>0</v>
      </c>
      <c r="AC195" s="31">
        <f t="shared" si="55"/>
        <v>70</v>
      </c>
      <c r="AE195" s="35">
        <f t="shared" si="61"/>
        <v>15</v>
      </c>
      <c r="AF195" s="36">
        <f t="shared" si="62"/>
        <v>25</v>
      </c>
      <c r="AG195" s="36">
        <f t="shared" si="56"/>
        <v>29</v>
      </c>
      <c r="AH195" s="36">
        <f t="shared" si="57"/>
        <v>38</v>
      </c>
      <c r="AI195" s="36">
        <f t="shared" si="58"/>
        <v>54</v>
      </c>
      <c r="AJ195" s="37">
        <f t="shared" si="59"/>
        <v>69</v>
      </c>
      <c r="AK195" s="37">
        <f t="shared" si="60"/>
        <v>230</v>
      </c>
    </row>
    <row r="196" spans="2:37" ht="18" customHeight="1" x14ac:dyDescent="0.2">
      <c r="B196" s="8">
        <f>garage!B196</f>
        <v>196</v>
      </c>
      <c r="C196" s="8">
        <f>garage!C196</f>
        <v>5</v>
      </c>
      <c r="D196" s="8">
        <f>garage!D196</f>
        <v>34</v>
      </c>
      <c r="E196" s="8">
        <f>garage!E196</f>
        <v>21</v>
      </c>
      <c r="F196" s="8" t="str">
        <f>garage!F196</f>
        <v>TD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 t="str">
        <f>garage!J196</f>
        <v>N</v>
      </c>
      <c r="K196" s="8" t="str">
        <f>garage!K196</f>
        <v>S</v>
      </c>
      <c r="L196" s="9" t="str">
        <f>garage!L196</f>
        <v>Toroidion</v>
      </c>
      <c r="M196" s="9" t="str">
        <f>garage!M196</f>
        <v>1MW</v>
      </c>
      <c r="O196" s="17">
        <v>85</v>
      </c>
      <c r="P196" s="13">
        <v>25</v>
      </c>
      <c r="Q196" s="13">
        <v>29</v>
      </c>
      <c r="R196" s="13">
        <v>38</v>
      </c>
      <c r="S196" s="13">
        <v>54</v>
      </c>
      <c r="T196" s="14">
        <v>69</v>
      </c>
      <c r="U196" s="49">
        <f t="shared" si="54"/>
        <v>300</v>
      </c>
      <c r="W196" s="26">
        <v>6</v>
      </c>
      <c r="X196" s="27">
        <v>0</v>
      </c>
      <c r="Y196" s="27">
        <v>0</v>
      </c>
      <c r="Z196" s="27">
        <v>0</v>
      </c>
      <c r="AA196" s="27">
        <v>0</v>
      </c>
      <c r="AB196" s="28">
        <v>0</v>
      </c>
      <c r="AC196" s="28">
        <f t="shared" si="55"/>
        <v>6</v>
      </c>
      <c r="AE196" s="32">
        <f t="shared" si="61"/>
        <v>79</v>
      </c>
      <c r="AF196" s="33">
        <f t="shared" si="62"/>
        <v>25</v>
      </c>
      <c r="AG196" s="33">
        <f t="shared" si="56"/>
        <v>29</v>
      </c>
      <c r="AH196" s="33">
        <f t="shared" si="57"/>
        <v>38</v>
      </c>
      <c r="AI196" s="33">
        <f t="shared" si="58"/>
        <v>54</v>
      </c>
      <c r="AJ196" s="34">
        <f t="shared" si="59"/>
        <v>69</v>
      </c>
      <c r="AK196" s="34">
        <f t="shared" si="60"/>
        <v>294</v>
      </c>
    </row>
    <row r="197" spans="2:37" ht="18" customHeight="1" x14ac:dyDescent="0.2">
      <c r="B197" s="10">
        <f>garage!B197</f>
        <v>197</v>
      </c>
      <c r="C197" s="10">
        <f>garage!C197</f>
        <v>5</v>
      </c>
      <c r="D197" s="10">
        <f>garage!D197</f>
        <v>35</v>
      </c>
      <c r="E197" s="10">
        <f>garage!E197</f>
        <v>27</v>
      </c>
      <c r="F197" s="10" t="str">
        <f>garage!F197</f>
        <v>--</v>
      </c>
      <c r="G197" s="10" t="str">
        <f>garage!G197</f>
        <v>N</v>
      </c>
      <c r="H197" s="10" t="str">
        <f>garage!H197</f>
        <v>N</v>
      </c>
      <c r="I197" s="10" t="str">
        <f>garage!I197</f>
        <v>N</v>
      </c>
      <c r="J197" s="10" t="str">
        <f>garage!J197</f>
        <v>N</v>
      </c>
      <c r="K197" s="10" t="str">
        <f>garage!K197</f>
        <v>S</v>
      </c>
      <c r="L197" s="11" t="str">
        <f>garage!L197</f>
        <v>Inferno Automobili</v>
      </c>
      <c r="M197" s="11" t="str">
        <f>garage!M197</f>
        <v>Settimo Cerchio</v>
      </c>
      <c r="O197" s="18">
        <v>85</v>
      </c>
      <c r="P197" s="15">
        <v>25</v>
      </c>
      <c r="Q197" s="15">
        <v>29</v>
      </c>
      <c r="R197" s="15">
        <v>38</v>
      </c>
      <c r="S197" s="15">
        <v>54</v>
      </c>
      <c r="T197" s="16">
        <v>69</v>
      </c>
      <c r="U197" s="50">
        <f t="shared" si="54"/>
        <v>300</v>
      </c>
      <c r="W197" s="29">
        <v>0</v>
      </c>
      <c r="X197" s="30">
        <v>0</v>
      </c>
      <c r="Y197" s="30">
        <v>0</v>
      </c>
      <c r="Z197" s="30">
        <v>0</v>
      </c>
      <c r="AA197" s="30">
        <v>0</v>
      </c>
      <c r="AB197" s="31">
        <v>0</v>
      </c>
      <c r="AC197" s="31">
        <f t="shared" si="55"/>
        <v>0</v>
      </c>
      <c r="AE197" s="35">
        <f t="shared" si="61"/>
        <v>85</v>
      </c>
      <c r="AF197" s="36">
        <f t="shared" si="62"/>
        <v>25</v>
      </c>
      <c r="AG197" s="36">
        <f t="shared" si="56"/>
        <v>29</v>
      </c>
      <c r="AH197" s="36">
        <f t="shared" si="57"/>
        <v>38</v>
      </c>
      <c r="AI197" s="36">
        <f t="shared" si="58"/>
        <v>54</v>
      </c>
      <c r="AJ197" s="37">
        <f t="shared" si="59"/>
        <v>69</v>
      </c>
      <c r="AK197" s="37">
        <f t="shared" si="60"/>
        <v>300</v>
      </c>
    </row>
    <row r="198" spans="2:37" ht="18" customHeight="1" x14ac:dyDescent="0.2">
      <c r="B198" s="8">
        <f>garage!B198</f>
        <v>198</v>
      </c>
      <c r="C198" s="8">
        <f>garage!C198</f>
        <v>5</v>
      </c>
      <c r="D198" s="8">
        <f>garage!D198</f>
        <v>36</v>
      </c>
      <c r="E198" s="8">
        <f>garage!E198</f>
        <v>6</v>
      </c>
      <c r="F198" s="8" t="str">
        <f>garage!F198</f>
        <v>--</v>
      </c>
      <c r="G198" s="8" t="str">
        <f>garage!G198</f>
        <v>N</v>
      </c>
      <c r="H198" s="8" t="str">
        <f>garage!H198</f>
        <v>O</v>
      </c>
      <c r="I198" s="8" t="str">
        <f>garage!I198</f>
        <v>N</v>
      </c>
      <c r="J198" s="8" t="str">
        <f>garage!J198</f>
        <v>N</v>
      </c>
      <c r="K198" s="8" t="str">
        <f>garage!K198</f>
        <v>S</v>
      </c>
      <c r="L198" s="9" t="str">
        <f>garage!L198</f>
        <v>Koenigsegg</v>
      </c>
      <c r="M198" s="9" t="str">
        <f>garage!M198</f>
        <v>Jesko</v>
      </c>
      <c r="O198" s="17" t="s">
        <v>432</v>
      </c>
      <c r="P198" s="13">
        <v>40</v>
      </c>
      <c r="Q198" s="13">
        <v>45</v>
      </c>
      <c r="R198" s="13">
        <v>60</v>
      </c>
      <c r="S198" s="13">
        <v>70</v>
      </c>
      <c r="T198" s="14">
        <v>85</v>
      </c>
      <c r="U198" s="49">
        <f t="shared" si="54"/>
        <v>300</v>
      </c>
      <c r="W198" s="26"/>
      <c r="X198" s="27">
        <v>40</v>
      </c>
      <c r="Y198" s="27">
        <v>45</v>
      </c>
      <c r="Z198" s="27">
        <v>60</v>
      </c>
      <c r="AA198" s="27">
        <v>70</v>
      </c>
      <c r="AB198" s="28">
        <v>85</v>
      </c>
      <c r="AC198" s="28">
        <f t="shared" si="55"/>
        <v>300</v>
      </c>
      <c r="AE198" s="32" t="s">
        <v>432</v>
      </c>
      <c r="AF198" s="33">
        <f t="shared" ref="AF198" si="79">P198-X198</f>
        <v>0</v>
      </c>
      <c r="AG198" s="33">
        <f t="shared" ref="AG198" si="80">Q198-Y198</f>
        <v>0</v>
      </c>
      <c r="AH198" s="33">
        <f t="shared" ref="AH198" si="81">R198-Z198</f>
        <v>0</v>
      </c>
      <c r="AI198" s="33">
        <f t="shared" ref="AI198" si="82">S198-AA198</f>
        <v>0</v>
      </c>
      <c r="AJ198" s="34">
        <f t="shared" ref="AJ198" si="83">T198-AB198</f>
        <v>0</v>
      </c>
      <c r="AK198" s="34">
        <f t="shared" ref="AK198" si="84">SUM(AE198:AJ198)</f>
        <v>0</v>
      </c>
    </row>
    <row r="199" spans="2:37" ht="18" customHeight="1" x14ac:dyDescent="0.2">
      <c r="B199" s="10">
        <f>garage!B199</f>
        <v>199</v>
      </c>
      <c r="C199" s="10">
        <f>garage!C199</f>
        <v>5</v>
      </c>
      <c r="D199" s="10">
        <f>garage!D199</f>
        <v>37</v>
      </c>
      <c r="E199" s="10">
        <f>garage!E199</f>
        <v>26</v>
      </c>
      <c r="F199" s="10" t="str">
        <f>garage!F199</f>
        <v>B</v>
      </c>
      <c r="G199" s="10" t="str">
        <f>garage!G199</f>
        <v>N</v>
      </c>
      <c r="H199" s="10" t="str">
        <f>garage!H199</f>
        <v>N</v>
      </c>
      <c r="I199" s="10" t="str">
        <f>garage!I199</f>
        <v>N</v>
      </c>
      <c r="J199" s="10" t="str">
        <f>garage!J199</f>
        <v>N</v>
      </c>
      <c r="K199" s="10" t="str">
        <f>garage!K199</f>
        <v>S</v>
      </c>
      <c r="L199" s="11" t="str">
        <f>garage!L199</f>
        <v>Bugatti</v>
      </c>
      <c r="M199" s="11" t="str">
        <f>garage!M199</f>
        <v>Centodieci</v>
      </c>
      <c r="O199" s="18" t="s">
        <v>432</v>
      </c>
      <c r="P199" s="15">
        <v>40</v>
      </c>
      <c r="Q199" s="15">
        <v>45</v>
      </c>
      <c r="R199" s="15">
        <v>60</v>
      </c>
      <c r="S199" s="15">
        <v>70</v>
      </c>
      <c r="T199" s="16">
        <v>85</v>
      </c>
      <c r="U199" s="50">
        <f t="shared" si="54"/>
        <v>300</v>
      </c>
      <c r="W199" s="29"/>
      <c r="X199" s="30">
        <v>0</v>
      </c>
      <c r="Y199" s="30">
        <v>0</v>
      </c>
      <c r="Z199" s="30">
        <v>0</v>
      </c>
      <c r="AA199" s="30">
        <v>0</v>
      </c>
      <c r="AB199" s="31">
        <v>0</v>
      </c>
      <c r="AC199" s="31">
        <f t="shared" si="55"/>
        <v>0</v>
      </c>
      <c r="AE199" s="35" t="s">
        <v>432</v>
      </c>
      <c r="AF199" s="36">
        <f t="shared" si="62"/>
        <v>40</v>
      </c>
      <c r="AG199" s="36">
        <f t="shared" si="56"/>
        <v>45</v>
      </c>
      <c r="AH199" s="36">
        <f t="shared" si="57"/>
        <v>60</v>
      </c>
      <c r="AI199" s="36">
        <f t="shared" si="58"/>
        <v>70</v>
      </c>
      <c r="AJ199" s="37">
        <f t="shared" si="59"/>
        <v>85</v>
      </c>
      <c r="AK199" s="37">
        <f t="shared" si="60"/>
        <v>300</v>
      </c>
    </row>
    <row r="200" spans="2:37" ht="18" customHeight="1" x14ac:dyDescent="0.2">
      <c r="B200" s="8">
        <f>garage!B200</f>
        <v>200</v>
      </c>
      <c r="C200" s="8">
        <f>garage!C200</f>
        <v>5</v>
      </c>
      <c r="D200" s="8">
        <f>garage!D200</f>
        <v>38</v>
      </c>
      <c r="E200" s="8">
        <f>garage!E200</f>
        <v>17</v>
      </c>
      <c r="F200" s="8" t="str">
        <f>garage!F200</f>
        <v>--</v>
      </c>
      <c r="G200" s="8" t="str">
        <f>garage!G200</f>
        <v>N</v>
      </c>
      <c r="H200" s="8" t="str">
        <f>garage!H200</f>
        <v>N</v>
      </c>
      <c r="I200" s="8" t="str">
        <f>garage!I200</f>
        <v>N</v>
      </c>
      <c r="J200" s="8" t="str">
        <f>garage!J200</f>
        <v>N</v>
      </c>
      <c r="K200" s="8" t="str">
        <f>garage!K200</f>
        <v>S</v>
      </c>
      <c r="L200" s="9" t="str">
        <f>garage!L200</f>
        <v>Aspark</v>
      </c>
      <c r="M200" s="9" t="str">
        <f>garage!M200</f>
        <v>Owl</v>
      </c>
      <c r="O200" s="17">
        <v>85</v>
      </c>
      <c r="P200" s="13">
        <v>25</v>
      </c>
      <c r="Q200" s="13">
        <v>29</v>
      </c>
      <c r="R200" s="13">
        <v>38</v>
      </c>
      <c r="S200" s="13">
        <v>54</v>
      </c>
      <c r="T200" s="14">
        <v>69</v>
      </c>
      <c r="U200" s="49">
        <f t="shared" si="54"/>
        <v>300</v>
      </c>
      <c r="W200" s="26">
        <v>18</v>
      </c>
      <c r="X200" s="27">
        <v>0</v>
      </c>
      <c r="Y200" s="27">
        <v>0</v>
      </c>
      <c r="Z200" s="27">
        <v>0</v>
      </c>
      <c r="AA200" s="27">
        <v>0</v>
      </c>
      <c r="AB200" s="28">
        <v>0</v>
      </c>
      <c r="AC200" s="28">
        <f t="shared" si="55"/>
        <v>18</v>
      </c>
      <c r="AE200" s="32">
        <f t="shared" si="61"/>
        <v>67</v>
      </c>
      <c r="AF200" s="33">
        <f t="shared" si="62"/>
        <v>25</v>
      </c>
      <c r="AG200" s="33">
        <f t="shared" si="56"/>
        <v>29</v>
      </c>
      <c r="AH200" s="33">
        <f t="shared" si="57"/>
        <v>38</v>
      </c>
      <c r="AI200" s="33">
        <f t="shared" si="58"/>
        <v>54</v>
      </c>
      <c r="AJ200" s="34">
        <f t="shared" si="59"/>
        <v>69</v>
      </c>
      <c r="AK200" s="34">
        <f t="shared" si="60"/>
        <v>282</v>
      </c>
    </row>
    <row r="201" spans="2:37" ht="18" customHeight="1" x14ac:dyDescent="0.2">
      <c r="B201" s="10">
        <f>garage!B201</f>
        <v>201</v>
      </c>
      <c r="C201" s="10">
        <f>garage!C201</f>
        <v>5</v>
      </c>
      <c r="D201" s="10">
        <f>garage!D201</f>
        <v>39</v>
      </c>
      <c r="E201" s="10">
        <f>garage!E201</f>
        <v>0</v>
      </c>
      <c r="F201" s="10" t="str">
        <f>garage!F201</f>
        <v>--</v>
      </c>
      <c r="G201" s="10" t="str">
        <f>garage!G201</f>
        <v>N</v>
      </c>
      <c r="H201" s="10" t="str">
        <f>garage!H201</f>
        <v>N</v>
      </c>
      <c r="I201" s="10" t="str">
        <f>garage!I201</f>
        <v>N</v>
      </c>
      <c r="J201" s="10" t="str">
        <f>garage!J201</f>
        <v>N</v>
      </c>
      <c r="K201" s="10" t="str">
        <f>garage!K201</f>
        <v>S</v>
      </c>
      <c r="L201" s="11" t="str">
        <f>garage!L201</f>
        <v>Rimac</v>
      </c>
      <c r="M201" s="11" t="str">
        <f>garage!M201</f>
        <v>Nevera</v>
      </c>
      <c r="O201" s="18" t="s">
        <v>432</v>
      </c>
      <c r="P201" s="15">
        <v>40</v>
      </c>
      <c r="Q201" s="15">
        <v>45</v>
      </c>
      <c r="R201" s="15">
        <v>60</v>
      </c>
      <c r="S201" s="15">
        <v>70</v>
      </c>
      <c r="T201" s="16">
        <v>85</v>
      </c>
      <c r="U201" s="50">
        <f t="shared" si="54"/>
        <v>300</v>
      </c>
      <c r="W201" s="29"/>
      <c r="X201" s="30">
        <v>40</v>
      </c>
      <c r="Y201" s="30">
        <v>7</v>
      </c>
      <c r="Z201" s="30">
        <v>0</v>
      </c>
      <c r="AA201" s="30">
        <v>0</v>
      </c>
      <c r="AB201" s="31">
        <v>0</v>
      </c>
      <c r="AC201" s="31">
        <f t="shared" si="55"/>
        <v>47</v>
      </c>
      <c r="AE201" s="35" t="s">
        <v>432</v>
      </c>
      <c r="AF201" s="36"/>
      <c r="AG201" s="36">
        <f t="shared" si="56"/>
        <v>38</v>
      </c>
      <c r="AH201" s="36">
        <f t="shared" si="57"/>
        <v>60</v>
      </c>
      <c r="AI201" s="36">
        <f t="shared" si="58"/>
        <v>70</v>
      </c>
      <c r="AJ201" s="37">
        <f t="shared" si="59"/>
        <v>85</v>
      </c>
      <c r="AK201" s="37">
        <f t="shared" si="60"/>
        <v>253</v>
      </c>
    </row>
    <row r="202" spans="2:37" ht="18" customHeight="1" x14ac:dyDescent="0.2">
      <c r="B202" s="8">
        <f>garage!B202</f>
        <v>202</v>
      </c>
      <c r="C202" s="8">
        <f>garage!C202</f>
        <v>5</v>
      </c>
      <c r="D202" s="8">
        <f>garage!D202</f>
        <v>40</v>
      </c>
      <c r="E202" s="8">
        <f>garage!E202</f>
        <v>27</v>
      </c>
      <c r="F202" s="8" t="str">
        <f>garage!F202</f>
        <v>--</v>
      </c>
      <c r="G202" s="8" t="str">
        <f>garage!G202</f>
        <v>N</v>
      </c>
      <c r="H202" s="8" t="str">
        <f>garage!H202</f>
        <v>N</v>
      </c>
      <c r="I202" s="8" t="str">
        <f>garage!I202</f>
        <v>N</v>
      </c>
      <c r="J202" s="8" t="str">
        <f>garage!J202</f>
        <v>N</v>
      </c>
      <c r="K202" s="8" t="str">
        <f>garage!K202</f>
        <v>S</v>
      </c>
      <c r="L202" s="9" t="str">
        <f>garage!L202</f>
        <v>Koenigsegg</v>
      </c>
      <c r="M202" s="9" t="str">
        <f>garage!M202</f>
        <v>Agera RS</v>
      </c>
      <c r="O202" s="17">
        <v>85</v>
      </c>
      <c r="P202" s="13">
        <v>25</v>
      </c>
      <c r="Q202" s="13">
        <v>29</v>
      </c>
      <c r="R202" s="13">
        <v>38</v>
      </c>
      <c r="S202" s="13">
        <v>54</v>
      </c>
      <c r="T202" s="14">
        <v>69</v>
      </c>
      <c r="U202" s="49">
        <f t="shared" si="54"/>
        <v>300</v>
      </c>
      <c r="W202" s="26">
        <v>5</v>
      </c>
      <c r="X202" s="27">
        <v>0</v>
      </c>
      <c r="Y202" s="27">
        <v>0</v>
      </c>
      <c r="Z202" s="27">
        <v>0</v>
      </c>
      <c r="AA202" s="27">
        <v>0</v>
      </c>
      <c r="AB202" s="28">
        <v>0</v>
      </c>
      <c r="AC202" s="28">
        <f t="shared" si="55"/>
        <v>5</v>
      </c>
      <c r="AE202" s="32">
        <f t="shared" si="61"/>
        <v>80</v>
      </c>
      <c r="AF202" s="33">
        <f t="shared" si="62"/>
        <v>25</v>
      </c>
      <c r="AG202" s="33">
        <f t="shared" si="56"/>
        <v>29</v>
      </c>
      <c r="AH202" s="33">
        <f t="shared" si="57"/>
        <v>38</v>
      </c>
      <c r="AI202" s="33">
        <f t="shared" si="58"/>
        <v>54</v>
      </c>
      <c r="AJ202" s="34">
        <f t="shared" si="59"/>
        <v>69</v>
      </c>
      <c r="AK202" s="34">
        <f t="shared" si="60"/>
        <v>295</v>
      </c>
    </row>
    <row r="203" spans="2:37" ht="18" customHeight="1" x14ac:dyDescent="0.2">
      <c r="B203" s="10">
        <f>garage!B203</f>
        <v>203</v>
      </c>
      <c r="C203" s="10">
        <f>garage!C203</f>
        <v>5</v>
      </c>
      <c r="D203" s="10">
        <f>garage!D203</f>
        <v>41</v>
      </c>
      <c r="E203" s="10">
        <f>garage!E203</f>
        <v>13</v>
      </c>
      <c r="F203" s="10" t="str">
        <f>garage!F203</f>
        <v>--</v>
      </c>
      <c r="G203" s="10" t="str">
        <f>garage!G203</f>
        <v>N</v>
      </c>
      <c r="H203" s="10" t="str">
        <f>garage!H203</f>
        <v>O</v>
      </c>
      <c r="I203" s="10" t="str">
        <f>garage!I203</f>
        <v>N</v>
      </c>
      <c r="J203" s="10" t="str">
        <f>garage!J203</f>
        <v>N</v>
      </c>
      <c r="K203" s="10" t="str">
        <f>garage!K203</f>
        <v>S</v>
      </c>
      <c r="L203" s="11" t="str">
        <f>garage!L203</f>
        <v>SSC</v>
      </c>
      <c r="M203" s="11" t="str">
        <f>garage!M203</f>
        <v>Tuatara</v>
      </c>
      <c r="O203" s="18" t="s">
        <v>432</v>
      </c>
      <c r="P203" s="15">
        <v>40</v>
      </c>
      <c r="Q203" s="15">
        <v>45</v>
      </c>
      <c r="R203" s="15">
        <v>60</v>
      </c>
      <c r="S203" s="15">
        <v>70</v>
      </c>
      <c r="T203" s="16">
        <v>85</v>
      </c>
      <c r="U203" s="50">
        <f t="shared" si="54"/>
        <v>300</v>
      </c>
      <c r="W203" s="29"/>
      <c r="X203" s="30">
        <v>40</v>
      </c>
      <c r="Y203" s="30">
        <v>45</v>
      </c>
      <c r="Z203" s="30">
        <v>60</v>
      </c>
      <c r="AA203" s="30">
        <v>70</v>
      </c>
      <c r="AB203" s="31">
        <v>85</v>
      </c>
      <c r="AC203" s="31">
        <f t="shared" si="55"/>
        <v>300</v>
      </c>
      <c r="AE203" s="35" t="s">
        <v>432</v>
      </c>
      <c r="AF203" s="36"/>
      <c r="AG203" s="36"/>
      <c r="AH203" s="36"/>
      <c r="AI203" s="36"/>
      <c r="AJ203" s="37"/>
      <c r="AK203" s="37"/>
    </row>
    <row r="204" spans="2:37" ht="18" customHeight="1" x14ac:dyDescent="0.2">
      <c r="B204" s="8">
        <f>garage!B204</f>
        <v>204</v>
      </c>
      <c r="C204" s="8">
        <f>garage!C204</f>
        <v>5</v>
      </c>
      <c r="D204" s="8">
        <f>garage!D204</f>
        <v>42</v>
      </c>
      <c r="E204" s="8">
        <f>garage!E204</f>
        <v>16</v>
      </c>
      <c r="F204" s="8" t="str">
        <f>garage!F204</f>
        <v>B</v>
      </c>
      <c r="G204" s="8" t="str">
        <f>garage!G204</f>
        <v>N</v>
      </c>
      <c r="H204" s="8" t="str">
        <f>garage!H204</f>
        <v>N</v>
      </c>
      <c r="I204" s="8" t="str">
        <f>garage!I204</f>
        <v>N</v>
      </c>
      <c r="J204" s="8" t="str">
        <f>garage!J204</f>
        <v>N</v>
      </c>
      <c r="K204" s="8" t="str">
        <f>garage!K204</f>
        <v>S</v>
      </c>
      <c r="L204" s="9" t="str">
        <f>garage!L204</f>
        <v>Bugatti</v>
      </c>
      <c r="M204" s="9" t="str">
        <f>garage!M204</f>
        <v>La Voiture Noire</v>
      </c>
      <c r="O204" s="17" t="s">
        <v>432</v>
      </c>
      <c r="P204" s="13">
        <v>40</v>
      </c>
      <c r="Q204" s="13">
        <v>45</v>
      </c>
      <c r="R204" s="13">
        <v>60</v>
      </c>
      <c r="S204" s="13">
        <v>75</v>
      </c>
      <c r="T204" s="14">
        <v>85</v>
      </c>
      <c r="U204" s="49">
        <f t="shared" si="54"/>
        <v>305</v>
      </c>
      <c r="W204" s="26"/>
      <c r="X204" s="27">
        <v>17</v>
      </c>
      <c r="Y204" s="27">
        <v>0</v>
      </c>
      <c r="Z204" s="27">
        <v>0</v>
      </c>
      <c r="AA204" s="27">
        <v>0</v>
      </c>
      <c r="AB204" s="28">
        <v>0</v>
      </c>
      <c r="AC204" s="28">
        <f t="shared" si="55"/>
        <v>17</v>
      </c>
      <c r="AE204" s="32" t="s">
        <v>432</v>
      </c>
      <c r="AF204" s="33">
        <f t="shared" si="62"/>
        <v>23</v>
      </c>
      <c r="AG204" s="33">
        <f t="shared" si="56"/>
        <v>45</v>
      </c>
      <c r="AH204" s="33">
        <f t="shared" si="57"/>
        <v>60</v>
      </c>
      <c r="AI204" s="33">
        <f t="shared" si="58"/>
        <v>75</v>
      </c>
      <c r="AJ204" s="34">
        <f t="shared" si="59"/>
        <v>85</v>
      </c>
      <c r="AK204" s="34">
        <f t="shared" si="60"/>
        <v>288</v>
      </c>
    </row>
    <row r="205" spans="2:37" ht="18" customHeight="1" x14ac:dyDescent="0.2">
      <c r="B205" s="10">
        <f>garage!B205</f>
        <v>205</v>
      </c>
      <c r="C205" s="10">
        <f>garage!C205</f>
        <v>5</v>
      </c>
      <c r="D205" s="10">
        <f>garage!D205</f>
        <v>43</v>
      </c>
      <c r="E205" s="10">
        <f>garage!E205</f>
        <v>20</v>
      </c>
      <c r="F205" s="10" t="str">
        <f>garage!F205</f>
        <v>TD</v>
      </c>
      <c r="G205" s="10" t="str">
        <f>garage!G205</f>
        <v>N</v>
      </c>
      <c r="H205" s="10" t="str">
        <f>garage!H205</f>
        <v>N</v>
      </c>
      <c r="I205" s="10" t="str">
        <f>garage!I205</f>
        <v>N</v>
      </c>
      <c r="J205" s="10" t="str">
        <f>garage!J205</f>
        <v>N</v>
      </c>
      <c r="K205" s="10" t="str">
        <f>garage!K205</f>
        <v>S</v>
      </c>
      <c r="L205" s="11" t="str">
        <f>garage!L205</f>
        <v>Hennessey</v>
      </c>
      <c r="M205" s="11" t="str">
        <f>garage!M205</f>
        <v>Venom F5</v>
      </c>
      <c r="O205" s="18">
        <v>85</v>
      </c>
      <c r="P205" s="15">
        <v>25</v>
      </c>
      <c r="Q205" s="15">
        <v>29</v>
      </c>
      <c r="R205" s="15">
        <v>38</v>
      </c>
      <c r="S205" s="15">
        <v>54</v>
      </c>
      <c r="T205" s="16">
        <v>69</v>
      </c>
      <c r="U205" s="50">
        <f t="shared" si="54"/>
        <v>300</v>
      </c>
      <c r="W205" s="29">
        <v>9</v>
      </c>
      <c r="X205" s="30">
        <v>0</v>
      </c>
      <c r="Y205" s="30">
        <v>0</v>
      </c>
      <c r="Z205" s="30">
        <v>0</v>
      </c>
      <c r="AA205" s="30">
        <v>0</v>
      </c>
      <c r="AB205" s="31">
        <v>0</v>
      </c>
      <c r="AC205" s="31">
        <f t="shared" si="55"/>
        <v>9</v>
      </c>
      <c r="AE205" s="35">
        <f t="shared" si="61"/>
        <v>76</v>
      </c>
      <c r="AF205" s="36">
        <f t="shared" si="62"/>
        <v>25</v>
      </c>
      <c r="AG205" s="36">
        <f t="shared" si="56"/>
        <v>29</v>
      </c>
      <c r="AH205" s="36">
        <f t="shared" si="57"/>
        <v>38</v>
      </c>
      <c r="AI205" s="36">
        <f t="shared" si="58"/>
        <v>54</v>
      </c>
      <c r="AJ205" s="37">
        <f t="shared" si="59"/>
        <v>69</v>
      </c>
      <c r="AK205" s="37">
        <f t="shared" si="60"/>
        <v>291</v>
      </c>
    </row>
    <row r="206" spans="2:37" ht="18" customHeight="1" x14ac:dyDescent="0.2">
      <c r="B206" s="8">
        <f>garage!B206</f>
        <v>206</v>
      </c>
      <c r="C206" s="8">
        <f>garage!C206</f>
        <v>5</v>
      </c>
      <c r="D206" s="8">
        <f>garage!D206</f>
        <v>44</v>
      </c>
      <c r="E206" s="8">
        <f>garage!E206</f>
        <v>22</v>
      </c>
      <c r="F206" s="8" t="str">
        <f>garage!F206</f>
        <v>--</v>
      </c>
      <c r="G206" s="8" t="str">
        <f>garage!G206</f>
        <v>N</v>
      </c>
      <c r="H206" s="8" t="str">
        <f>garage!H206</f>
        <v>N</v>
      </c>
      <c r="I206" s="8" t="str">
        <f>garage!I206</f>
        <v>N</v>
      </c>
      <c r="J206" s="8" t="str">
        <f>garage!J206</f>
        <v>N</v>
      </c>
      <c r="K206" s="8" t="str">
        <f>garage!K206</f>
        <v>S</v>
      </c>
      <c r="L206" s="9" t="str">
        <f>garage!L206</f>
        <v>Koenigsegg</v>
      </c>
      <c r="M206" s="9" t="str">
        <f>garage!M206</f>
        <v>Gemera</v>
      </c>
      <c r="O206" s="17" t="s">
        <v>432</v>
      </c>
      <c r="P206" s="13">
        <v>40</v>
      </c>
      <c r="Q206" s="13">
        <v>45</v>
      </c>
      <c r="R206" s="13">
        <v>60</v>
      </c>
      <c r="S206" s="13">
        <v>70</v>
      </c>
      <c r="T206" s="14">
        <v>85</v>
      </c>
      <c r="U206" s="49">
        <f t="shared" si="54"/>
        <v>300</v>
      </c>
      <c r="W206" s="26"/>
      <c r="X206" s="27">
        <v>6</v>
      </c>
      <c r="Y206" s="27">
        <v>0</v>
      </c>
      <c r="Z206" s="27">
        <v>0</v>
      </c>
      <c r="AA206" s="27">
        <v>0</v>
      </c>
      <c r="AB206" s="28">
        <v>0</v>
      </c>
      <c r="AC206" s="28">
        <f t="shared" si="55"/>
        <v>6</v>
      </c>
      <c r="AE206" s="32" t="s">
        <v>432</v>
      </c>
      <c r="AF206" s="33">
        <f t="shared" si="62"/>
        <v>34</v>
      </c>
      <c r="AG206" s="33">
        <f t="shared" si="56"/>
        <v>45</v>
      </c>
      <c r="AH206" s="33">
        <f t="shared" si="57"/>
        <v>60</v>
      </c>
      <c r="AI206" s="33">
        <f t="shared" si="58"/>
        <v>70</v>
      </c>
      <c r="AJ206" s="34">
        <f t="shared" si="59"/>
        <v>85</v>
      </c>
      <c r="AK206" s="34">
        <f t="shared" si="60"/>
        <v>294</v>
      </c>
    </row>
    <row r="207" spans="2:37" ht="18" customHeight="1" x14ac:dyDescent="0.2">
      <c r="B207" s="10">
        <f>garage!B207</f>
        <v>207</v>
      </c>
      <c r="C207" s="10">
        <f>garage!C207</f>
        <v>5</v>
      </c>
      <c r="D207" s="10">
        <f>garage!D207</f>
        <v>45</v>
      </c>
      <c r="E207" s="10">
        <f>garage!E207</f>
        <v>24</v>
      </c>
      <c r="F207" s="10" t="str">
        <f>garage!F207</f>
        <v>--</v>
      </c>
      <c r="G207" s="10" t="str">
        <f>garage!G207</f>
        <v>N</v>
      </c>
      <c r="H207" s="10" t="str">
        <f>garage!H207</f>
        <v>N</v>
      </c>
      <c r="I207" s="10" t="str">
        <f>garage!I207</f>
        <v>N</v>
      </c>
      <c r="J207" s="10" t="str">
        <f>garage!J207</f>
        <v>N</v>
      </c>
      <c r="K207" s="10" t="str">
        <f>garage!K207</f>
        <v>S</v>
      </c>
      <c r="L207" s="11" t="str">
        <f>garage!L207</f>
        <v>Tushek</v>
      </c>
      <c r="M207" s="11" t="str">
        <f>garage!M207</f>
        <v>TS 900 Racer Pro</v>
      </c>
      <c r="O207" s="18">
        <v>85</v>
      </c>
      <c r="P207" s="15">
        <v>25</v>
      </c>
      <c r="Q207" s="15">
        <v>29</v>
      </c>
      <c r="R207" s="15">
        <v>38</v>
      </c>
      <c r="S207" s="15">
        <v>54</v>
      </c>
      <c r="T207" s="16">
        <v>69</v>
      </c>
      <c r="U207" s="50">
        <f t="shared" si="54"/>
        <v>300</v>
      </c>
      <c r="W207" s="29">
        <v>0</v>
      </c>
      <c r="X207" s="30">
        <v>0</v>
      </c>
      <c r="Y207" s="30">
        <v>0</v>
      </c>
      <c r="Z207" s="30">
        <v>0</v>
      </c>
      <c r="AA207" s="30">
        <v>0</v>
      </c>
      <c r="AB207" s="31">
        <v>0</v>
      </c>
      <c r="AC207" s="31">
        <f t="shared" si="55"/>
        <v>0</v>
      </c>
      <c r="AE207" s="35">
        <f t="shared" si="61"/>
        <v>85</v>
      </c>
      <c r="AF207" s="36">
        <f t="shared" si="62"/>
        <v>25</v>
      </c>
      <c r="AG207" s="36">
        <f t="shared" si="56"/>
        <v>29</v>
      </c>
      <c r="AH207" s="36">
        <f t="shared" si="57"/>
        <v>38</v>
      </c>
      <c r="AI207" s="36">
        <f t="shared" si="58"/>
        <v>54</v>
      </c>
      <c r="AJ207" s="37">
        <f t="shared" si="59"/>
        <v>69</v>
      </c>
      <c r="AK207" s="37">
        <f t="shared" si="60"/>
        <v>300</v>
      </c>
    </row>
    <row r="208" spans="2:37" ht="18" customHeight="1" x14ac:dyDescent="0.2">
      <c r="B208" s="8">
        <f>garage!B208</f>
        <v>208</v>
      </c>
      <c r="C208" s="8">
        <f>garage!C208</f>
        <v>5</v>
      </c>
      <c r="D208" s="8">
        <f>garage!D208</f>
        <v>46</v>
      </c>
      <c r="E208" s="8">
        <f>garage!E208</f>
        <v>28</v>
      </c>
      <c r="F208" s="8" t="str">
        <f>garage!F208</f>
        <v>B</v>
      </c>
      <c r="G208" s="8" t="str">
        <f>garage!G208</f>
        <v>N</v>
      </c>
      <c r="H208" s="8" t="str">
        <f>garage!H208</f>
        <v>N</v>
      </c>
      <c r="I208" s="8" t="str">
        <f>garage!I208</f>
        <v>N</v>
      </c>
      <c r="J208" s="8" t="str">
        <f>garage!J208</f>
        <v>N</v>
      </c>
      <c r="K208" s="8" t="str">
        <f>garage!K208</f>
        <v>S</v>
      </c>
      <c r="L208" s="9" t="str">
        <f>garage!L208</f>
        <v>Bugatti</v>
      </c>
      <c r="M208" s="9" t="str">
        <f>garage!M208</f>
        <v>Bolide</v>
      </c>
      <c r="O208" s="17" t="s">
        <v>432</v>
      </c>
      <c r="P208" s="13">
        <v>40</v>
      </c>
      <c r="Q208" s="13">
        <v>45</v>
      </c>
      <c r="R208" s="13">
        <v>60</v>
      </c>
      <c r="S208" s="13">
        <v>70</v>
      </c>
      <c r="T208" s="14">
        <v>85</v>
      </c>
      <c r="U208" s="49">
        <f t="shared" si="54"/>
        <v>300</v>
      </c>
      <c r="W208" s="26"/>
      <c r="X208" s="27">
        <v>0</v>
      </c>
      <c r="Y208" s="27">
        <v>0</v>
      </c>
      <c r="Z208" s="27">
        <v>0</v>
      </c>
      <c r="AA208" s="27">
        <v>0</v>
      </c>
      <c r="AB208" s="28">
        <v>0</v>
      </c>
      <c r="AC208" s="28">
        <f t="shared" si="55"/>
        <v>0</v>
      </c>
      <c r="AE208" s="32" t="s">
        <v>432</v>
      </c>
      <c r="AF208" s="33">
        <f t="shared" si="62"/>
        <v>40</v>
      </c>
      <c r="AG208" s="33">
        <f t="shared" si="56"/>
        <v>45</v>
      </c>
      <c r="AH208" s="33">
        <f t="shared" si="57"/>
        <v>60</v>
      </c>
      <c r="AI208" s="33">
        <f t="shared" si="58"/>
        <v>70</v>
      </c>
      <c r="AJ208" s="34">
        <f t="shared" si="59"/>
        <v>85</v>
      </c>
      <c r="AK208" s="34">
        <f t="shared" si="60"/>
        <v>300</v>
      </c>
    </row>
    <row r="209" spans="2:37" ht="18" customHeight="1" x14ac:dyDescent="0.2">
      <c r="B209" s="10">
        <f>garage!B209</f>
        <v>209</v>
      </c>
      <c r="C209" s="10">
        <f>garage!C209</f>
        <v>5</v>
      </c>
      <c r="D209" s="10">
        <f>garage!D209</f>
        <v>47</v>
      </c>
      <c r="E209" s="10">
        <f>garage!E209</f>
        <v>0</v>
      </c>
      <c r="F209" s="10" t="str">
        <f>garage!F209</f>
        <v>--</v>
      </c>
      <c r="G209" s="10" t="str">
        <f>garage!G209</f>
        <v>N</v>
      </c>
      <c r="H209" s="10" t="str">
        <f>garage!H209</f>
        <v>N</v>
      </c>
      <c r="I209" s="10" t="str">
        <f>garage!I209</f>
        <v>N</v>
      </c>
      <c r="J209" s="10" t="str">
        <f>garage!J209</f>
        <v>N</v>
      </c>
      <c r="K209" s="10" t="str">
        <f>garage!K209</f>
        <v>S</v>
      </c>
      <c r="L209" s="11" t="str">
        <f>garage!L209</f>
        <v>Rimac</v>
      </c>
      <c r="M209" s="11" t="str">
        <f>garage!M209</f>
        <v>C TWO</v>
      </c>
      <c r="O209" s="18" t="s">
        <v>432</v>
      </c>
      <c r="P209" s="15">
        <v>40</v>
      </c>
      <c r="Q209" s="15">
        <v>45</v>
      </c>
      <c r="R209" s="15">
        <v>60</v>
      </c>
      <c r="S209" s="15">
        <v>70</v>
      </c>
      <c r="T209" s="16">
        <v>85</v>
      </c>
      <c r="U209" s="50">
        <f t="shared" si="54"/>
        <v>300</v>
      </c>
      <c r="W209" s="29"/>
      <c r="X209" s="30">
        <v>0</v>
      </c>
      <c r="Y209" s="30">
        <v>0</v>
      </c>
      <c r="Z209" s="30">
        <v>0</v>
      </c>
      <c r="AA209" s="30">
        <v>0</v>
      </c>
      <c r="AB209" s="31">
        <v>0</v>
      </c>
      <c r="AC209" s="31">
        <f t="shared" si="55"/>
        <v>0</v>
      </c>
      <c r="AE209" s="35" t="s">
        <v>432</v>
      </c>
      <c r="AF209" s="36">
        <f t="shared" si="62"/>
        <v>40</v>
      </c>
      <c r="AG209" s="36">
        <f t="shared" si="56"/>
        <v>45</v>
      </c>
      <c r="AH209" s="36">
        <f t="shared" si="57"/>
        <v>60</v>
      </c>
      <c r="AI209" s="36">
        <f t="shared" si="58"/>
        <v>70</v>
      </c>
      <c r="AJ209" s="37">
        <f t="shared" si="59"/>
        <v>85</v>
      </c>
      <c r="AK209" s="37">
        <f t="shared" si="60"/>
        <v>300</v>
      </c>
    </row>
    <row r="210" spans="2:37" ht="18" customHeight="1" x14ac:dyDescent="0.2">
      <c r="B210" s="8">
        <f>garage!B210</f>
        <v>210</v>
      </c>
      <c r="C210" s="8">
        <f>garage!C210</f>
        <v>5</v>
      </c>
      <c r="D210" s="8">
        <f>garage!D210</f>
        <v>48</v>
      </c>
      <c r="E210" s="8">
        <f>garage!E210</f>
        <v>16</v>
      </c>
      <c r="F210" s="8" t="str">
        <f>garage!F210</f>
        <v>B</v>
      </c>
      <c r="G210" s="8" t="str">
        <f>garage!G210</f>
        <v>N</v>
      </c>
      <c r="H210" s="8" t="str">
        <f>garage!H210</f>
        <v>N</v>
      </c>
      <c r="I210" s="8" t="str">
        <f>garage!I210</f>
        <v>N</v>
      </c>
      <c r="J210" s="8" t="str">
        <f>garage!J210</f>
        <v>N</v>
      </c>
      <c r="K210" s="8" t="str">
        <f>garage!K210</f>
        <v>S</v>
      </c>
      <c r="L210" s="9" t="str">
        <f>garage!L210</f>
        <v>Bugatti</v>
      </c>
      <c r="M210" s="9" t="str">
        <f>garage!M210</f>
        <v>Divo</v>
      </c>
      <c r="O210" s="17">
        <v>85</v>
      </c>
      <c r="P210" s="13">
        <v>25</v>
      </c>
      <c r="Q210" s="13">
        <v>29</v>
      </c>
      <c r="R210" s="13">
        <v>38</v>
      </c>
      <c r="S210" s="13">
        <v>54</v>
      </c>
      <c r="T210" s="14">
        <v>69</v>
      </c>
      <c r="U210" s="49">
        <f t="shared" si="54"/>
        <v>300</v>
      </c>
      <c r="W210" s="26">
        <v>23</v>
      </c>
      <c r="X210" s="27">
        <v>0</v>
      </c>
      <c r="Y210" s="27">
        <v>0</v>
      </c>
      <c r="Z210" s="27">
        <v>0</v>
      </c>
      <c r="AA210" s="27">
        <v>0</v>
      </c>
      <c r="AB210" s="28">
        <v>0</v>
      </c>
      <c r="AC210" s="28">
        <f t="shared" si="55"/>
        <v>23</v>
      </c>
      <c r="AE210" s="32">
        <f t="shared" si="61"/>
        <v>62</v>
      </c>
      <c r="AF210" s="33">
        <f t="shared" si="62"/>
        <v>25</v>
      </c>
      <c r="AG210" s="33">
        <f t="shared" si="56"/>
        <v>29</v>
      </c>
      <c r="AH210" s="33">
        <f t="shared" si="57"/>
        <v>38</v>
      </c>
      <c r="AI210" s="33">
        <f t="shared" si="58"/>
        <v>54</v>
      </c>
      <c r="AJ210" s="34">
        <f t="shared" si="59"/>
        <v>69</v>
      </c>
      <c r="AK210" s="34">
        <f t="shared" si="60"/>
        <v>277</v>
      </c>
    </row>
  </sheetData>
  <autoFilter ref="E1:L210"/>
  <sortState ref="B2:AK206">
    <sortCondition ref="C2:C206"/>
    <sortCondition ref="D2:D206"/>
    <sortCondition ref="K2:K206"/>
    <sortCondition ref="E2:E206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filterMode="1"/>
  <dimension ref="B1:CC210"/>
  <sheetViews>
    <sheetView showGridLines="0" workbookViewId="0">
      <pane ySplit="1" topLeftCell="A2" activePane="bottomLeft" state="frozenSplit"/>
      <selection activeCell="A175" sqref="A175:XFD175"/>
      <selection pane="bottomLeft" activeCell="A2" sqref="A2"/>
    </sheetView>
  </sheetViews>
  <sheetFormatPr baseColWidth="10" defaultColWidth="3.7109375" defaultRowHeight="18" customHeight="1" x14ac:dyDescent="0.2"/>
  <cols>
    <col min="2" max="11" width="3.7109375" style="2" customWidth="1"/>
    <col min="12" max="12" width="20.7109375" style="1" customWidth="1"/>
    <col min="13" max="13" width="30.7109375" style="1" customWidth="1"/>
    <col min="14" max="14" width="3.7109375" style="2"/>
    <col min="15" max="66" width="2.28515625" style="2" customWidth="1"/>
    <col min="67" max="67" width="3.7109375" style="2"/>
    <col min="68" max="71" width="2.7109375" style="2" customWidth="1"/>
    <col min="72" max="72" width="3.7109375" style="2"/>
    <col min="73" max="76" width="2.7109375" style="2" customWidth="1"/>
    <col min="77" max="77" width="3.7109375" style="2"/>
    <col min="78" max="81" width="2.7109375" style="2" customWidth="1"/>
  </cols>
  <sheetData>
    <row r="1" spans="2:81" ht="50.1" customHeight="1" x14ac:dyDescent="0.2">
      <c r="B1" s="7" t="s">
        <v>113</v>
      </c>
      <c r="C1" s="7" t="s">
        <v>114</v>
      </c>
      <c r="D1" s="7" t="s">
        <v>115</v>
      </c>
      <c r="E1" s="7" t="s">
        <v>116</v>
      </c>
      <c r="F1" s="7" t="s">
        <v>117</v>
      </c>
      <c r="G1" s="7" t="s">
        <v>69</v>
      </c>
      <c r="H1" s="7" t="s">
        <v>70</v>
      </c>
      <c r="I1" s="7" t="s">
        <v>71</v>
      </c>
      <c r="J1" s="7" t="s">
        <v>118</v>
      </c>
      <c r="K1" s="6" t="s">
        <v>119</v>
      </c>
      <c r="L1" s="6" t="s">
        <v>120</v>
      </c>
      <c r="M1" s="6" t="s">
        <v>121</v>
      </c>
      <c r="N1" s="3"/>
      <c r="O1" s="83">
        <v>1</v>
      </c>
      <c r="P1" s="81"/>
      <c r="Q1" s="81"/>
      <c r="R1" s="82"/>
      <c r="S1" s="81">
        <v>2</v>
      </c>
      <c r="T1" s="81"/>
      <c r="U1" s="81"/>
      <c r="V1" s="82"/>
      <c r="W1" s="81">
        <v>3</v>
      </c>
      <c r="X1" s="81"/>
      <c r="Y1" s="81"/>
      <c r="Z1" s="82"/>
      <c r="AA1" s="81">
        <v>4</v>
      </c>
      <c r="AB1" s="81"/>
      <c r="AC1" s="81"/>
      <c r="AD1" s="82"/>
      <c r="AE1" s="81">
        <v>5</v>
      </c>
      <c r="AF1" s="81"/>
      <c r="AG1" s="81"/>
      <c r="AH1" s="82"/>
      <c r="AI1" s="81">
        <v>6</v>
      </c>
      <c r="AJ1" s="81"/>
      <c r="AK1" s="81"/>
      <c r="AL1" s="82"/>
      <c r="AM1" s="81">
        <v>7</v>
      </c>
      <c r="AN1" s="81"/>
      <c r="AO1" s="81"/>
      <c r="AP1" s="82"/>
      <c r="AQ1" s="81">
        <v>8</v>
      </c>
      <c r="AR1" s="81"/>
      <c r="AS1" s="81"/>
      <c r="AT1" s="82"/>
      <c r="AU1" s="81">
        <v>9</v>
      </c>
      <c r="AV1" s="81"/>
      <c r="AW1" s="81"/>
      <c r="AX1" s="82"/>
      <c r="AY1" s="81">
        <v>10</v>
      </c>
      <c r="AZ1" s="81"/>
      <c r="BA1" s="81"/>
      <c r="BB1" s="82"/>
      <c r="BC1" s="81">
        <v>11</v>
      </c>
      <c r="BD1" s="81"/>
      <c r="BE1" s="81"/>
      <c r="BF1" s="82"/>
      <c r="BG1" s="81">
        <v>12</v>
      </c>
      <c r="BH1" s="81"/>
      <c r="BI1" s="81"/>
      <c r="BJ1" s="82"/>
      <c r="BK1" s="81">
        <v>13</v>
      </c>
      <c r="BL1" s="81"/>
      <c r="BM1" s="81"/>
      <c r="BN1" s="82"/>
      <c r="BO1" s="3"/>
      <c r="BP1" s="19" t="s">
        <v>433</v>
      </c>
      <c r="BQ1" s="6" t="s">
        <v>434</v>
      </c>
      <c r="BR1" s="6" t="s">
        <v>435</v>
      </c>
      <c r="BS1" s="20" t="s">
        <v>436</v>
      </c>
      <c r="BT1" s="3"/>
      <c r="BU1" s="19" t="s">
        <v>433</v>
      </c>
      <c r="BV1" s="6" t="s">
        <v>434</v>
      </c>
      <c r="BW1" s="6" t="s">
        <v>435</v>
      </c>
      <c r="BX1" s="20" t="s">
        <v>436</v>
      </c>
      <c r="BY1" s="3"/>
      <c r="BZ1" s="19" t="s">
        <v>433</v>
      </c>
      <c r="CA1" s="6" t="s">
        <v>434</v>
      </c>
      <c r="CB1" s="6" t="s">
        <v>435</v>
      </c>
      <c r="CC1" s="20" t="s">
        <v>436</v>
      </c>
    </row>
    <row r="2" spans="2:81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garage!J2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17">
        <v>1</v>
      </c>
      <c r="P2" s="13">
        <v>1</v>
      </c>
      <c r="Q2" s="13">
        <v>1</v>
      </c>
      <c r="R2" s="14">
        <v>1</v>
      </c>
      <c r="S2" s="13">
        <v>1</v>
      </c>
      <c r="T2" s="13">
        <v>1</v>
      </c>
      <c r="U2" s="13">
        <v>1</v>
      </c>
      <c r="V2" s="14">
        <v>1</v>
      </c>
      <c r="W2" s="13">
        <v>1</v>
      </c>
      <c r="X2" s="13">
        <v>1</v>
      </c>
      <c r="Y2" s="13">
        <v>1</v>
      </c>
      <c r="Z2" s="14">
        <v>1</v>
      </c>
      <c r="AA2" s="13">
        <v>1</v>
      </c>
      <c r="AB2" s="13">
        <v>1</v>
      </c>
      <c r="AC2" s="13">
        <v>1</v>
      </c>
      <c r="AD2" s="14">
        <v>1</v>
      </c>
      <c r="AE2" s="13">
        <v>1</v>
      </c>
      <c r="AF2" s="13">
        <v>1</v>
      </c>
      <c r="AG2" s="13">
        <v>1</v>
      </c>
      <c r="AH2" s="14">
        <v>1</v>
      </c>
      <c r="AI2" s="13">
        <v>1</v>
      </c>
      <c r="AJ2" s="13">
        <v>1</v>
      </c>
      <c r="AK2" s="13">
        <v>1</v>
      </c>
      <c r="AL2" s="14">
        <v>1</v>
      </c>
      <c r="AM2" s="13">
        <v>1</v>
      </c>
      <c r="AN2" s="13">
        <v>1</v>
      </c>
      <c r="AO2" s="13">
        <v>1</v>
      </c>
      <c r="AP2" s="14">
        <v>1</v>
      </c>
      <c r="AQ2" s="13">
        <v>1</v>
      </c>
      <c r="AR2" s="13">
        <v>1</v>
      </c>
      <c r="AS2" s="13">
        <v>1</v>
      </c>
      <c r="AT2" s="14">
        <v>1</v>
      </c>
      <c r="AU2" s="13">
        <v>1</v>
      </c>
      <c r="AV2" s="13">
        <v>1</v>
      </c>
      <c r="AW2" s="13">
        <v>1</v>
      </c>
      <c r="AX2" s="14">
        <v>1</v>
      </c>
      <c r="AY2" s="13">
        <v>1</v>
      </c>
      <c r="AZ2" s="13">
        <v>1</v>
      </c>
      <c r="BA2" s="13">
        <v>1</v>
      </c>
      <c r="BB2" s="14">
        <v>1</v>
      </c>
      <c r="BC2" s="13" t="s">
        <v>437</v>
      </c>
      <c r="BD2" s="13" t="s">
        <v>437</v>
      </c>
      <c r="BE2" s="13" t="s">
        <v>437</v>
      </c>
      <c r="BF2" s="14" t="s">
        <v>437</v>
      </c>
      <c r="BG2" s="13" t="s">
        <v>437</v>
      </c>
      <c r="BH2" s="13" t="s">
        <v>437</v>
      </c>
      <c r="BI2" s="13" t="s">
        <v>437</v>
      </c>
      <c r="BJ2" s="14" t="s">
        <v>437</v>
      </c>
      <c r="BK2" s="13" t="s">
        <v>437</v>
      </c>
      <c r="BL2" s="13" t="s">
        <v>437</v>
      </c>
      <c r="BM2" s="13" t="s">
        <v>437</v>
      </c>
      <c r="BN2" s="14" t="s">
        <v>437</v>
      </c>
      <c r="BP2" s="17">
        <v>5</v>
      </c>
      <c r="BQ2" s="13">
        <v>5</v>
      </c>
      <c r="BR2" s="13">
        <v>5</v>
      </c>
      <c r="BS2" s="14">
        <v>5</v>
      </c>
      <c r="BU2" s="17">
        <v>1</v>
      </c>
      <c r="BV2" s="13">
        <v>1</v>
      </c>
      <c r="BW2" s="13">
        <v>1</v>
      </c>
      <c r="BX2" s="14">
        <v>1</v>
      </c>
      <c r="BZ2" s="17">
        <v>0</v>
      </c>
      <c r="CA2" s="13">
        <v>0</v>
      </c>
      <c r="CB2" s="13">
        <v>0</v>
      </c>
      <c r="CC2" s="14">
        <v>0</v>
      </c>
    </row>
    <row r="3" spans="2:81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garage!J3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18">
        <v>1</v>
      </c>
      <c r="P3" s="15">
        <v>1</v>
      </c>
      <c r="Q3" s="15">
        <v>1</v>
      </c>
      <c r="R3" s="16">
        <v>1</v>
      </c>
      <c r="S3" s="15">
        <v>1</v>
      </c>
      <c r="T3" s="15">
        <v>1</v>
      </c>
      <c r="U3" s="15">
        <v>1</v>
      </c>
      <c r="V3" s="16">
        <v>1</v>
      </c>
      <c r="W3" s="15">
        <v>1</v>
      </c>
      <c r="X3" s="15">
        <v>1</v>
      </c>
      <c r="Y3" s="15">
        <v>1</v>
      </c>
      <c r="Z3" s="16">
        <v>1</v>
      </c>
      <c r="AA3" s="15">
        <v>1</v>
      </c>
      <c r="AB3" s="15">
        <v>1</v>
      </c>
      <c r="AC3" s="15">
        <v>1</v>
      </c>
      <c r="AD3" s="16">
        <v>1</v>
      </c>
      <c r="AE3" s="15">
        <v>1</v>
      </c>
      <c r="AF3" s="15">
        <v>1</v>
      </c>
      <c r="AG3" s="15">
        <v>1</v>
      </c>
      <c r="AH3" s="16">
        <v>1</v>
      </c>
      <c r="AI3" s="15">
        <v>1</v>
      </c>
      <c r="AJ3" s="15">
        <v>1</v>
      </c>
      <c r="AK3" s="15">
        <v>1</v>
      </c>
      <c r="AL3" s="16">
        <v>1</v>
      </c>
      <c r="AM3" s="15">
        <v>1</v>
      </c>
      <c r="AN3" s="15">
        <v>1</v>
      </c>
      <c r="AO3" s="15">
        <v>1</v>
      </c>
      <c r="AP3" s="16">
        <v>1</v>
      </c>
      <c r="AQ3" s="15">
        <v>1</v>
      </c>
      <c r="AR3" s="15">
        <v>1</v>
      </c>
      <c r="AS3" s="15">
        <v>1</v>
      </c>
      <c r="AT3" s="16">
        <v>1</v>
      </c>
      <c r="AU3" s="15">
        <v>1</v>
      </c>
      <c r="AV3" s="15">
        <v>1</v>
      </c>
      <c r="AW3" s="15">
        <v>1</v>
      </c>
      <c r="AX3" s="16">
        <v>1</v>
      </c>
      <c r="AY3" s="15">
        <v>1</v>
      </c>
      <c r="AZ3" s="15">
        <v>1</v>
      </c>
      <c r="BA3" s="15">
        <v>1</v>
      </c>
      <c r="BB3" s="16">
        <v>1</v>
      </c>
      <c r="BC3" s="15" t="s">
        <v>437</v>
      </c>
      <c r="BD3" s="15" t="s">
        <v>437</v>
      </c>
      <c r="BE3" s="15" t="s">
        <v>437</v>
      </c>
      <c r="BF3" s="16" t="s">
        <v>437</v>
      </c>
      <c r="BG3" s="15" t="s">
        <v>437</v>
      </c>
      <c r="BH3" s="15" t="s">
        <v>437</v>
      </c>
      <c r="BI3" s="15" t="s">
        <v>437</v>
      </c>
      <c r="BJ3" s="16" t="s">
        <v>437</v>
      </c>
      <c r="BK3" s="15" t="s">
        <v>437</v>
      </c>
      <c r="BL3" s="15" t="s">
        <v>437</v>
      </c>
      <c r="BM3" s="15" t="s">
        <v>437</v>
      </c>
      <c r="BN3" s="16" t="s">
        <v>437</v>
      </c>
      <c r="BP3" s="18">
        <v>5</v>
      </c>
      <c r="BQ3" s="15">
        <v>5</v>
      </c>
      <c r="BR3" s="15">
        <v>5</v>
      </c>
      <c r="BS3" s="16">
        <v>5</v>
      </c>
      <c r="BU3" s="18">
        <v>1</v>
      </c>
      <c r="BV3" s="15">
        <v>1</v>
      </c>
      <c r="BW3" s="15">
        <v>1</v>
      </c>
      <c r="BX3" s="16">
        <v>1</v>
      </c>
      <c r="BZ3" s="18">
        <v>0</v>
      </c>
      <c r="CA3" s="15">
        <v>0</v>
      </c>
      <c r="CB3" s="15">
        <v>0</v>
      </c>
      <c r="CC3" s="16">
        <v>0</v>
      </c>
    </row>
    <row r="4" spans="2:81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17">
        <v>1</v>
      </c>
      <c r="P4" s="13">
        <v>1</v>
      </c>
      <c r="Q4" s="13">
        <v>1</v>
      </c>
      <c r="R4" s="14">
        <v>1</v>
      </c>
      <c r="S4" s="13">
        <v>1</v>
      </c>
      <c r="T4" s="13">
        <v>1</v>
      </c>
      <c r="U4" s="13">
        <v>1</v>
      </c>
      <c r="V4" s="14">
        <v>1</v>
      </c>
      <c r="W4" s="13">
        <v>1</v>
      </c>
      <c r="X4" s="13">
        <v>1</v>
      </c>
      <c r="Y4" s="13">
        <v>1</v>
      </c>
      <c r="Z4" s="14">
        <v>1</v>
      </c>
      <c r="AA4" s="13">
        <v>1</v>
      </c>
      <c r="AB4" s="13">
        <v>1</v>
      </c>
      <c r="AC4" s="13">
        <v>1</v>
      </c>
      <c r="AD4" s="14">
        <v>1</v>
      </c>
      <c r="AE4" s="13">
        <v>1</v>
      </c>
      <c r="AF4" s="13">
        <v>1</v>
      </c>
      <c r="AG4" s="13">
        <v>1</v>
      </c>
      <c r="AH4" s="14">
        <v>1</v>
      </c>
      <c r="AI4" s="13">
        <v>1</v>
      </c>
      <c r="AJ4" s="13">
        <v>1</v>
      </c>
      <c r="AK4" s="13">
        <v>1</v>
      </c>
      <c r="AL4" s="14">
        <v>1</v>
      </c>
      <c r="AM4" s="13">
        <v>1</v>
      </c>
      <c r="AN4" s="13">
        <v>1</v>
      </c>
      <c r="AO4" s="13">
        <v>1</v>
      </c>
      <c r="AP4" s="14">
        <v>1</v>
      </c>
      <c r="AQ4" s="13">
        <v>1</v>
      </c>
      <c r="AR4" s="13">
        <v>1</v>
      </c>
      <c r="AS4" s="13">
        <v>1</v>
      </c>
      <c r="AT4" s="14">
        <v>1</v>
      </c>
      <c r="AU4" s="13">
        <v>1</v>
      </c>
      <c r="AV4" s="13">
        <v>1</v>
      </c>
      <c r="AW4" s="13">
        <v>1</v>
      </c>
      <c r="AX4" s="14">
        <v>1</v>
      </c>
      <c r="AY4" s="13">
        <v>1</v>
      </c>
      <c r="AZ4" s="13">
        <v>1</v>
      </c>
      <c r="BA4" s="13">
        <v>1</v>
      </c>
      <c r="BB4" s="14">
        <v>1</v>
      </c>
      <c r="BC4" s="13" t="s">
        <v>437</v>
      </c>
      <c r="BD4" s="13" t="s">
        <v>437</v>
      </c>
      <c r="BE4" s="13" t="s">
        <v>437</v>
      </c>
      <c r="BF4" s="14" t="s">
        <v>437</v>
      </c>
      <c r="BG4" s="13" t="s">
        <v>437</v>
      </c>
      <c r="BH4" s="13" t="s">
        <v>437</v>
      </c>
      <c r="BI4" s="13" t="s">
        <v>437</v>
      </c>
      <c r="BJ4" s="14" t="s">
        <v>437</v>
      </c>
      <c r="BK4" s="13" t="s">
        <v>437</v>
      </c>
      <c r="BL4" s="13" t="s">
        <v>437</v>
      </c>
      <c r="BM4" s="13" t="s">
        <v>437</v>
      </c>
      <c r="BN4" s="14" t="s">
        <v>437</v>
      </c>
      <c r="BP4" s="17">
        <v>5</v>
      </c>
      <c r="BQ4" s="13">
        <v>5</v>
      </c>
      <c r="BR4" s="13">
        <v>5</v>
      </c>
      <c r="BS4" s="14">
        <v>5</v>
      </c>
      <c r="BU4" s="17">
        <v>1</v>
      </c>
      <c r="BV4" s="13">
        <v>1</v>
      </c>
      <c r="BW4" s="13">
        <v>1</v>
      </c>
      <c r="BX4" s="14">
        <v>1</v>
      </c>
      <c r="BZ4" s="17">
        <v>0</v>
      </c>
      <c r="CA4" s="13">
        <v>0</v>
      </c>
      <c r="CB4" s="13">
        <v>0</v>
      </c>
      <c r="CC4" s="14">
        <v>0</v>
      </c>
    </row>
    <row r="5" spans="2:81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garage!J5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18">
        <v>1</v>
      </c>
      <c r="P5" s="15">
        <v>1</v>
      </c>
      <c r="Q5" s="15">
        <v>1</v>
      </c>
      <c r="R5" s="16">
        <v>1</v>
      </c>
      <c r="S5" s="15">
        <v>1</v>
      </c>
      <c r="T5" s="15">
        <v>1</v>
      </c>
      <c r="U5" s="15">
        <v>1</v>
      </c>
      <c r="V5" s="16">
        <v>1</v>
      </c>
      <c r="W5" s="15">
        <v>1</v>
      </c>
      <c r="X5" s="15">
        <v>1</v>
      </c>
      <c r="Y5" s="15">
        <v>1</v>
      </c>
      <c r="Z5" s="16">
        <v>1</v>
      </c>
      <c r="AA5" s="15">
        <v>1</v>
      </c>
      <c r="AB5" s="15">
        <v>1</v>
      </c>
      <c r="AC5" s="15">
        <v>1</v>
      </c>
      <c r="AD5" s="16">
        <v>1</v>
      </c>
      <c r="AE5" s="15">
        <v>1</v>
      </c>
      <c r="AF5" s="15">
        <v>1</v>
      </c>
      <c r="AG5" s="15">
        <v>1</v>
      </c>
      <c r="AH5" s="16">
        <v>1</v>
      </c>
      <c r="AI5" s="15">
        <v>1</v>
      </c>
      <c r="AJ5" s="15">
        <v>1</v>
      </c>
      <c r="AK5" s="15">
        <v>1</v>
      </c>
      <c r="AL5" s="16">
        <v>1</v>
      </c>
      <c r="AM5" s="15">
        <v>1</v>
      </c>
      <c r="AN5" s="15">
        <v>1</v>
      </c>
      <c r="AO5" s="15">
        <v>1</v>
      </c>
      <c r="AP5" s="16">
        <v>1</v>
      </c>
      <c r="AQ5" s="15">
        <v>1</v>
      </c>
      <c r="AR5" s="15">
        <v>1</v>
      </c>
      <c r="AS5" s="15">
        <v>1</v>
      </c>
      <c r="AT5" s="16">
        <v>1</v>
      </c>
      <c r="AU5" s="15">
        <v>1</v>
      </c>
      <c r="AV5" s="15">
        <v>1</v>
      </c>
      <c r="AW5" s="15">
        <v>1</v>
      </c>
      <c r="AX5" s="16">
        <v>1</v>
      </c>
      <c r="AY5" s="15">
        <v>1</v>
      </c>
      <c r="AZ5" s="15">
        <v>1</v>
      </c>
      <c r="BA5" s="15">
        <v>1</v>
      </c>
      <c r="BB5" s="16">
        <v>1</v>
      </c>
      <c r="BC5" s="15" t="s">
        <v>437</v>
      </c>
      <c r="BD5" s="15" t="s">
        <v>437</v>
      </c>
      <c r="BE5" s="15" t="s">
        <v>437</v>
      </c>
      <c r="BF5" s="16" t="s">
        <v>437</v>
      </c>
      <c r="BG5" s="15" t="s">
        <v>437</v>
      </c>
      <c r="BH5" s="15" t="s">
        <v>437</v>
      </c>
      <c r="BI5" s="15" t="s">
        <v>437</v>
      </c>
      <c r="BJ5" s="16" t="s">
        <v>437</v>
      </c>
      <c r="BK5" s="15" t="s">
        <v>437</v>
      </c>
      <c r="BL5" s="15" t="s">
        <v>437</v>
      </c>
      <c r="BM5" s="15" t="s">
        <v>437</v>
      </c>
      <c r="BN5" s="16" t="s">
        <v>437</v>
      </c>
      <c r="BP5" s="18">
        <v>5</v>
      </c>
      <c r="BQ5" s="15">
        <v>5</v>
      </c>
      <c r="BR5" s="15">
        <v>5</v>
      </c>
      <c r="BS5" s="16">
        <v>5</v>
      </c>
      <c r="BU5" s="18">
        <v>1</v>
      </c>
      <c r="BV5" s="15">
        <v>1</v>
      </c>
      <c r="BW5" s="15">
        <v>1</v>
      </c>
      <c r="BX5" s="16">
        <v>1</v>
      </c>
      <c r="BZ5" s="18">
        <v>0</v>
      </c>
      <c r="CA5" s="15">
        <v>0</v>
      </c>
      <c r="CB5" s="15">
        <v>0</v>
      </c>
      <c r="CC5" s="16">
        <v>0</v>
      </c>
    </row>
    <row r="6" spans="2:81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garage!J6</f>
        <v>N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17">
        <v>1</v>
      </c>
      <c r="P6" s="13">
        <v>1</v>
      </c>
      <c r="Q6" s="13">
        <v>1</v>
      </c>
      <c r="R6" s="14">
        <v>1</v>
      </c>
      <c r="S6" s="13">
        <v>1</v>
      </c>
      <c r="T6" s="13">
        <v>1</v>
      </c>
      <c r="U6" s="13">
        <v>1</v>
      </c>
      <c r="V6" s="14">
        <v>1</v>
      </c>
      <c r="W6" s="13">
        <v>1</v>
      </c>
      <c r="X6" s="13">
        <v>1</v>
      </c>
      <c r="Y6" s="13">
        <v>1</v>
      </c>
      <c r="Z6" s="14">
        <v>1</v>
      </c>
      <c r="AA6" s="13">
        <v>1</v>
      </c>
      <c r="AB6" s="13">
        <v>1</v>
      </c>
      <c r="AC6" s="13">
        <v>1</v>
      </c>
      <c r="AD6" s="14">
        <v>1</v>
      </c>
      <c r="AE6" s="13">
        <v>1</v>
      </c>
      <c r="AF6" s="13">
        <v>1</v>
      </c>
      <c r="AG6" s="13">
        <v>1</v>
      </c>
      <c r="AH6" s="14">
        <v>1</v>
      </c>
      <c r="AI6" s="13">
        <v>1</v>
      </c>
      <c r="AJ6" s="13">
        <v>1</v>
      </c>
      <c r="AK6" s="13">
        <v>1</v>
      </c>
      <c r="AL6" s="14">
        <v>1</v>
      </c>
      <c r="AM6" s="13">
        <v>1</v>
      </c>
      <c r="AN6" s="13">
        <v>1</v>
      </c>
      <c r="AO6" s="13">
        <v>1</v>
      </c>
      <c r="AP6" s="14">
        <v>1</v>
      </c>
      <c r="AQ6" s="13">
        <v>1</v>
      </c>
      <c r="AR6" s="13">
        <v>1</v>
      </c>
      <c r="AS6" s="13">
        <v>1</v>
      </c>
      <c r="AT6" s="14">
        <v>1</v>
      </c>
      <c r="AU6" s="13">
        <v>1</v>
      </c>
      <c r="AV6" s="13">
        <v>1</v>
      </c>
      <c r="AW6" s="13">
        <v>1</v>
      </c>
      <c r="AX6" s="14">
        <v>1</v>
      </c>
      <c r="AY6" s="13">
        <v>1</v>
      </c>
      <c r="AZ6" s="13">
        <v>1</v>
      </c>
      <c r="BA6" s="13">
        <v>1</v>
      </c>
      <c r="BB6" s="14">
        <v>1</v>
      </c>
      <c r="BC6" s="13" t="s">
        <v>437</v>
      </c>
      <c r="BD6" s="13" t="s">
        <v>437</v>
      </c>
      <c r="BE6" s="13" t="s">
        <v>437</v>
      </c>
      <c r="BF6" s="14" t="s">
        <v>437</v>
      </c>
      <c r="BG6" s="13" t="s">
        <v>437</v>
      </c>
      <c r="BH6" s="13" t="s">
        <v>437</v>
      </c>
      <c r="BI6" s="13" t="s">
        <v>437</v>
      </c>
      <c r="BJ6" s="14" t="s">
        <v>437</v>
      </c>
      <c r="BK6" s="13" t="s">
        <v>437</v>
      </c>
      <c r="BL6" s="13" t="s">
        <v>437</v>
      </c>
      <c r="BM6" s="13" t="s">
        <v>437</v>
      </c>
      <c r="BN6" s="14" t="s">
        <v>437</v>
      </c>
      <c r="BP6" s="17">
        <v>5</v>
      </c>
      <c r="BQ6" s="13">
        <v>5</v>
      </c>
      <c r="BR6" s="13">
        <v>5</v>
      </c>
      <c r="BS6" s="14">
        <v>5</v>
      </c>
      <c r="BU6" s="17">
        <v>1</v>
      </c>
      <c r="BV6" s="13">
        <v>1</v>
      </c>
      <c r="BW6" s="13">
        <v>1</v>
      </c>
      <c r="BX6" s="14">
        <v>1</v>
      </c>
      <c r="BZ6" s="17">
        <v>0</v>
      </c>
      <c r="CA6" s="13">
        <v>0</v>
      </c>
      <c r="CB6" s="13">
        <v>0</v>
      </c>
      <c r="CC6" s="14">
        <v>0</v>
      </c>
    </row>
    <row r="7" spans="2:81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garage!J7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18">
        <v>1</v>
      </c>
      <c r="P7" s="15">
        <v>1</v>
      </c>
      <c r="Q7" s="15">
        <v>1</v>
      </c>
      <c r="R7" s="16">
        <v>1</v>
      </c>
      <c r="S7" s="15">
        <v>1</v>
      </c>
      <c r="T7" s="15">
        <v>1</v>
      </c>
      <c r="U7" s="15">
        <v>1</v>
      </c>
      <c r="V7" s="16">
        <v>1</v>
      </c>
      <c r="W7" s="15">
        <v>1</v>
      </c>
      <c r="X7" s="15">
        <v>1</v>
      </c>
      <c r="Y7" s="15">
        <v>1</v>
      </c>
      <c r="Z7" s="16">
        <v>1</v>
      </c>
      <c r="AA7" s="15">
        <v>1</v>
      </c>
      <c r="AB7" s="15">
        <v>1</v>
      </c>
      <c r="AC7" s="15">
        <v>1</v>
      </c>
      <c r="AD7" s="16">
        <v>1</v>
      </c>
      <c r="AE7" s="15" t="s">
        <v>437</v>
      </c>
      <c r="AF7" s="15" t="s">
        <v>437</v>
      </c>
      <c r="AG7" s="15" t="s">
        <v>437</v>
      </c>
      <c r="AH7" s="16" t="s">
        <v>437</v>
      </c>
      <c r="AI7" s="15" t="s">
        <v>437</v>
      </c>
      <c r="AJ7" s="15" t="s">
        <v>437</v>
      </c>
      <c r="AK7" s="15" t="s">
        <v>437</v>
      </c>
      <c r="AL7" s="16" t="s">
        <v>437</v>
      </c>
      <c r="AM7" s="15" t="s">
        <v>437</v>
      </c>
      <c r="AN7" s="15" t="s">
        <v>437</v>
      </c>
      <c r="AO7" s="15" t="s">
        <v>437</v>
      </c>
      <c r="AP7" s="16" t="s">
        <v>437</v>
      </c>
      <c r="AQ7" s="15" t="s">
        <v>437</v>
      </c>
      <c r="AR7" s="15" t="s">
        <v>437</v>
      </c>
      <c r="AS7" s="15" t="s">
        <v>437</v>
      </c>
      <c r="AT7" s="16" t="s">
        <v>437</v>
      </c>
      <c r="AU7" s="15" t="s">
        <v>437</v>
      </c>
      <c r="AV7" s="15" t="s">
        <v>437</v>
      </c>
      <c r="AW7" s="15" t="s">
        <v>437</v>
      </c>
      <c r="AX7" s="16" t="s">
        <v>437</v>
      </c>
      <c r="AY7" s="15" t="s">
        <v>437</v>
      </c>
      <c r="AZ7" s="15" t="s">
        <v>437</v>
      </c>
      <c r="BA7" s="15" t="s">
        <v>437</v>
      </c>
      <c r="BB7" s="16" t="s">
        <v>437</v>
      </c>
      <c r="BC7" s="15" t="s">
        <v>437</v>
      </c>
      <c r="BD7" s="15" t="s">
        <v>437</v>
      </c>
      <c r="BE7" s="15" t="s">
        <v>437</v>
      </c>
      <c r="BF7" s="16" t="s">
        <v>437</v>
      </c>
      <c r="BG7" s="15" t="s">
        <v>437</v>
      </c>
      <c r="BH7" s="15" t="s">
        <v>437</v>
      </c>
      <c r="BI7" s="15" t="s">
        <v>437</v>
      </c>
      <c r="BJ7" s="16" t="s">
        <v>437</v>
      </c>
      <c r="BK7" s="15" t="s">
        <v>437</v>
      </c>
      <c r="BL7" s="15" t="s">
        <v>437</v>
      </c>
      <c r="BM7" s="15" t="s">
        <v>437</v>
      </c>
      <c r="BN7" s="16" t="s">
        <v>437</v>
      </c>
      <c r="BP7" s="18" t="s">
        <v>437</v>
      </c>
      <c r="BQ7" s="15" t="s">
        <v>437</v>
      </c>
      <c r="BR7" s="15" t="s">
        <v>437</v>
      </c>
      <c r="BS7" s="16" t="s">
        <v>437</v>
      </c>
      <c r="BU7" s="18" t="s">
        <v>437</v>
      </c>
      <c r="BV7" s="15" t="s">
        <v>437</v>
      </c>
      <c r="BW7" s="15" t="s">
        <v>437</v>
      </c>
      <c r="BX7" s="16" t="s">
        <v>437</v>
      </c>
      <c r="BZ7" s="18" t="s">
        <v>437</v>
      </c>
      <c r="CA7" s="15" t="s">
        <v>437</v>
      </c>
      <c r="CB7" s="15" t="s">
        <v>437</v>
      </c>
      <c r="CC7" s="16" t="s">
        <v>437</v>
      </c>
    </row>
    <row r="8" spans="2:81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garage!J8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17">
        <v>1</v>
      </c>
      <c r="P8" s="13">
        <v>1</v>
      </c>
      <c r="Q8" s="13">
        <v>1</v>
      </c>
      <c r="R8" s="14">
        <v>1</v>
      </c>
      <c r="S8" s="13">
        <v>1</v>
      </c>
      <c r="T8" s="13">
        <v>1</v>
      </c>
      <c r="U8" s="13">
        <v>1</v>
      </c>
      <c r="V8" s="14">
        <v>1</v>
      </c>
      <c r="W8" s="13">
        <v>1</v>
      </c>
      <c r="X8" s="13">
        <v>1</v>
      </c>
      <c r="Y8" s="13">
        <v>1</v>
      </c>
      <c r="Z8" s="14">
        <v>1</v>
      </c>
      <c r="AA8" s="13">
        <v>1</v>
      </c>
      <c r="AB8" s="13">
        <v>1</v>
      </c>
      <c r="AC8" s="13">
        <v>1</v>
      </c>
      <c r="AD8" s="14">
        <v>1</v>
      </c>
      <c r="AE8" s="13">
        <v>1</v>
      </c>
      <c r="AF8" s="13">
        <v>1</v>
      </c>
      <c r="AG8" s="13">
        <v>1</v>
      </c>
      <c r="AH8" s="14">
        <v>1</v>
      </c>
      <c r="AI8" s="13">
        <v>1</v>
      </c>
      <c r="AJ8" s="13">
        <v>1</v>
      </c>
      <c r="AK8" s="13">
        <v>1</v>
      </c>
      <c r="AL8" s="14">
        <v>1</v>
      </c>
      <c r="AM8" s="13">
        <v>1</v>
      </c>
      <c r="AN8" s="13">
        <v>1</v>
      </c>
      <c r="AO8" s="13">
        <v>1</v>
      </c>
      <c r="AP8" s="14">
        <v>1</v>
      </c>
      <c r="AQ8" s="13">
        <v>1</v>
      </c>
      <c r="AR8" s="13">
        <v>1</v>
      </c>
      <c r="AS8" s="13">
        <v>1</v>
      </c>
      <c r="AT8" s="14">
        <v>1</v>
      </c>
      <c r="AU8" s="13">
        <v>1</v>
      </c>
      <c r="AV8" s="13">
        <v>1</v>
      </c>
      <c r="AW8" s="13">
        <v>1</v>
      </c>
      <c r="AX8" s="14">
        <v>1</v>
      </c>
      <c r="AY8" s="13">
        <v>1</v>
      </c>
      <c r="AZ8" s="13">
        <v>1</v>
      </c>
      <c r="BA8" s="13">
        <v>1</v>
      </c>
      <c r="BB8" s="14">
        <v>1</v>
      </c>
      <c r="BC8" s="13" t="s">
        <v>437</v>
      </c>
      <c r="BD8" s="13" t="s">
        <v>437</v>
      </c>
      <c r="BE8" s="13" t="s">
        <v>437</v>
      </c>
      <c r="BF8" s="14" t="s">
        <v>437</v>
      </c>
      <c r="BG8" s="13" t="s">
        <v>437</v>
      </c>
      <c r="BH8" s="13" t="s">
        <v>437</v>
      </c>
      <c r="BI8" s="13" t="s">
        <v>437</v>
      </c>
      <c r="BJ8" s="14" t="s">
        <v>437</v>
      </c>
      <c r="BK8" s="13" t="s">
        <v>437</v>
      </c>
      <c r="BL8" s="13" t="s">
        <v>437</v>
      </c>
      <c r="BM8" s="13" t="s">
        <v>437</v>
      </c>
      <c r="BN8" s="14" t="s">
        <v>437</v>
      </c>
      <c r="BP8" s="17">
        <v>5</v>
      </c>
      <c r="BQ8" s="13">
        <v>5</v>
      </c>
      <c r="BR8" s="13">
        <v>5</v>
      </c>
      <c r="BS8" s="14">
        <v>5</v>
      </c>
      <c r="BU8" s="17">
        <v>1</v>
      </c>
      <c r="BV8" s="13">
        <v>1</v>
      </c>
      <c r="BW8" s="13">
        <v>1</v>
      </c>
      <c r="BX8" s="14">
        <v>1</v>
      </c>
      <c r="BZ8" s="17">
        <v>0</v>
      </c>
      <c r="CA8" s="13">
        <v>0</v>
      </c>
      <c r="CB8" s="13">
        <v>0</v>
      </c>
      <c r="CC8" s="14">
        <v>0</v>
      </c>
    </row>
    <row r="9" spans="2:81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garage!J9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18">
        <v>1</v>
      </c>
      <c r="P9" s="15">
        <v>1</v>
      </c>
      <c r="Q9" s="15">
        <v>1</v>
      </c>
      <c r="R9" s="16">
        <v>1</v>
      </c>
      <c r="S9" s="15">
        <v>1</v>
      </c>
      <c r="T9" s="15">
        <v>1</v>
      </c>
      <c r="U9" s="15">
        <v>1</v>
      </c>
      <c r="V9" s="16">
        <v>1</v>
      </c>
      <c r="W9" s="15">
        <v>1</v>
      </c>
      <c r="X9" s="15">
        <v>1</v>
      </c>
      <c r="Y9" s="15">
        <v>1</v>
      </c>
      <c r="Z9" s="16">
        <v>1</v>
      </c>
      <c r="AA9" s="15">
        <v>1</v>
      </c>
      <c r="AB9" s="15">
        <v>1</v>
      </c>
      <c r="AC9" s="15">
        <v>1</v>
      </c>
      <c r="AD9" s="16">
        <v>1</v>
      </c>
      <c r="AE9" s="15">
        <v>1</v>
      </c>
      <c r="AF9" s="15">
        <v>1</v>
      </c>
      <c r="AG9" s="15">
        <v>1</v>
      </c>
      <c r="AH9" s="16">
        <v>1</v>
      </c>
      <c r="AI9" s="15">
        <v>1</v>
      </c>
      <c r="AJ9" s="15">
        <v>1</v>
      </c>
      <c r="AK9" s="15">
        <v>1</v>
      </c>
      <c r="AL9" s="16">
        <v>1</v>
      </c>
      <c r="AM9" s="15">
        <v>1</v>
      </c>
      <c r="AN9" s="15">
        <v>1</v>
      </c>
      <c r="AO9" s="15">
        <v>1</v>
      </c>
      <c r="AP9" s="16">
        <v>1</v>
      </c>
      <c r="AQ9" s="15">
        <v>1</v>
      </c>
      <c r="AR9" s="15">
        <v>1</v>
      </c>
      <c r="AS9" s="15">
        <v>1</v>
      </c>
      <c r="AT9" s="16">
        <v>1</v>
      </c>
      <c r="AU9" s="15">
        <v>1</v>
      </c>
      <c r="AV9" s="15">
        <v>1</v>
      </c>
      <c r="AW9" s="15">
        <v>1</v>
      </c>
      <c r="AX9" s="16">
        <v>1</v>
      </c>
      <c r="AY9" s="15">
        <v>1</v>
      </c>
      <c r="AZ9" s="15">
        <v>1</v>
      </c>
      <c r="BA9" s="15">
        <v>1</v>
      </c>
      <c r="BB9" s="16">
        <v>1</v>
      </c>
      <c r="BC9" s="15" t="s">
        <v>437</v>
      </c>
      <c r="BD9" s="15" t="s">
        <v>437</v>
      </c>
      <c r="BE9" s="15" t="s">
        <v>437</v>
      </c>
      <c r="BF9" s="16" t="s">
        <v>437</v>
      </c>
      <c r="BG9" s="15" t="s">
        <v>437</v>
      </c>
      <c r="BH9" s="15" t="s">
        <v>437</v>
      </c>
      <c r="BI9" s="15" t="s">
        <v>437</v>
      </c>
      <c r="BJ9" s="16" t="s">
        <v>437</v>
      </c>
      <c r="BK9" s="15" t="s">
        <v>437</v>
      </c>
      <c r="BL9" s="15" t="s">
        <v>437</v>
      </c>
      <c r="BM9" s="15" t="s">
        <v>437</v>
      </c>
      <c r="BN9" s="16" t="s">
        <v>437</v>
      </c>
      <c r="BP9" s="18">
        <v>5</v>
      </c>
      <c r="BQ9" s="15">
        <v>5</v>
      </c>
      <c r="BR9" s="15">
        <v>5</v>
      </c>
      <c r="BS9" s="16">
        <v>5</v>
      </c>
      <c r="BU9" s="18">
        <v>1</v>
      </c>
      <c r="BV9" s="15">
        <v>1</v>
      </c>
      <c r="BW9" s="15">
        <v>1</v>
      </c>
      <c r="BX9" s="16">
        <v>1</v>
      </c>
      <c r="BZ9" s="18">
        <v>0</v>
      </c>
      <c r="CA9" s="15">
        <v>0</v>
      </c>
      <c r="CB9" s="15">
        <v>0</v>
      </c>
      <c r="CC9" s="16">
        <v>0</v>
      </c>
    </row>
    <row r="10" spans="2:81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garage!J10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17">
        <v>1</v>
      </c>
      <c r="P10" s="13">
        <v>1</v>
      </c>
      <c r="Q10" s="13">
        <v>1</v>
      </c>
      <c r="R10" s="14">
        <v>1</v>
      </c>
      <c r="S10" s="13">
        <v>1</v>
      </c>
      <c r="T10" s="13">
        <v>1</v>
      </c>
      <c r="U10" s="13">
        <v>1</v>
      </c>
      <c r="V10" s="14">
        <v>1</v>
      </c>
      <c r="W10" s="13">
        <v>1</v>
      </c>
      <c r="X10" s="13">
        <v>1</v>
      </c>
      <c r="Y10" s="13">
        <v>1</v>
      </c>
      <c r="Z10" s="14">
        <v>1</v>
      </c>
      <c r="AA10" s="13">
        <v>1</v>
      </c>
      <c r="AB10" s="13">
        <v>1</v>
      </c>
      <c r="AC10" s="13">
        <v>1</v>
      </c>
      <c r="AD10" s="14">
        <v>1</v>
      </c>
      <c r="AE10" s="13">
        <v>1</v>
      </c>
      <c r="AF10" s="13">
        <v>1</v>
      </c>
      <c r="AG10" s="13">
        <v>1</v>
      </c>
      <c r="AH10" s="14">
        <v>1</v>
      </c>
      <c r="AI10" s="13">
        <v>1</v>
      </c>
      <c r="AJ10" s="13">
        <v>1</v>
      </c>
      <c r="AK10" s="13">
        <v>1</v>
      </c>
      <c r="AL10" s="14">
        <v>1</v>
      </c>
      <c r="AM10" s="13">
        <v>1</v>
      </c>
      <c r="AN10" s="13">
        <v>1</v>
      </c>
      <c r="AO10" s="13">
        <v>1</v>
      </c>
      <c r="AP10" s="14">
        <v>1</v>
      </c>
      <c r="AQ10" s="13">
        <v>1</v>
      </c>
      <c r="AR10" s="13">
        <v>1</v>
      </c>
      <c r="AS10" s="13">
        <v>1</v>
      </c>
      <c r="AT10" s="14">
        <v>1</v>
      </c>
      <c r="AU10" s="13">
        <v>1</v>
      </c>
      <c r="AV10" s="13">
        <v>1</v>
      </c>
      <c r="AW10" s="13">
        <v>1</v>
      </c>
      <c r="AX10" s="14">
        <v>1</v>
      </c>
      <c r="AY10" s="13">
        <v>1</v>
      </c>
      <c r="AZ10" s="13">
        <v>1</v>
      </c>
      <c r="BA10" s="13">
        <v>1</v>
      </c>
      <c r="BB10" s="14">
        <v>1</v>
      </c>
      <c r="BC10" s="13" t="s">
        <v>437</v>
      </c>
      <c r="BD10" s="13" t="s">
        <v>437</v>
      </c>
      <c r="BE10" s="13" t="s">
        <v>437</v>
      </c>
      <c r="BF10" s="14" t="s">
        <v>437</v>
      </c>
      <c r="BG10" s="13" t="s">
        <v>437</v>
      </c>
      <c r="BH10" s="13" t="s">
        <v>437</v>
      </c>
      <c r="BI10" s="13" t="s">
        <v>437</v>
      </c>
      <c r="BJ10" s="14" t="s">
        <v>437</v>
      </c>
      <c r="BK10" s="13" t="s">
        <v>437</v>
      </c>
      <c r="BL10" s="13" t="s">
        <v>437</v>
      </c>
      <c r="BM10" s="13" t="s">
        <v>437</v>
      </c>
      <c r="BN10" s="14" t="s">
        <v>437</v>
      </c>
      <c r="BP10" s="17">
        <v>5</v>
      </c>
      <c r="BQ10" s="13">
        <v>5</v>
      </c>
      <c r="BR10" s="13">
        <v>5</v>
      </c>
      <c r="BS10" s="14">
        <v>5</v>
      </c>
      <c r="BU10" s="17">
        <v>1</v>
      </c>
      <c r="BV10" s="13">
        <v>1</v>
      </c>
      <c r="BW10" s="13">
        <v>1</v>
      </c>
      <c r="BX10" s="14">
        <v>1</v>
      </c>
      <c r="BZ10" s="17">
        <v>0</v>
      </c>
      <c r="CA10" s="13">
        <v>0</v>
      </c>
      <c r="CB10" s="13">
        <v>0</v>
      </c>
      <c r="CC10" s="14">
        <v>0</v>
      </c>
    </row>
    <row r="11" spans="2:81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garage!J11</f>
        <v>O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18" t="s">
        <v>437</v>
      </c>
      <c r="P11" s="15" t="s">
        <v>437</v>
      </c>
      <c r="Q11" s="15" t="s">
        <v>437</v>
      </c>
      <c r="R11" s="16" t="s">
        <v>437</v>
      </c>
      <c r="S11" s="15" t="s">
        <v>437</v>
      </c>
      <c r="T11" s="15" t="s">
        <v>437</v>
      </c>
      <c r="U11" s="15" t="s">
        <v>437</v>
      </c>
      <c r="V11" s="16" t="s">
        <v>437</v>
      </c>
      <c r="W11" s="15" t="s">
        <v>437</v>
      </c>
      <c r="X11" s="15" t="s">
        <v>437</v>
      </c>
      <c r="Y11" s="15" t="s">
        <v>437</v>
      </c>
      <c r="Z11" s="16" t="s">
        <v>437</v>
      </c>
      <c r="AA11" s="15" t="s">
        <v>437</v>
      </c>
      <c r="AB11" s="15" t="s">
        <v>437</v>
      </c>
      <c r="AC11" s="15" t="s">
        <v>437</v>
      </c>
      <c r="AD11" s="16" t="s">
        <v>437</v>
      </c>
      <c r="AE11" s="15" t="s">
        <v>437</v>
      </c>
      <c r="AF11" s="15" t="s">
        <v>437</v>
      </c>
      <c r="AG11" s="15" t="s">
        <v>437</v>
      </c>
      <c r="AH11" s="16" t="s">
        <v>437</v>
      </c>
      <c r="AI11" s="15" t="s">
        <v>437</v>
      </c>
      <c r="AJ11" s="15" t="s">
        <v>437</v>
      </c>
      <c r="AK11" s="15" t="s">
        <v>437</v>
      </c>
      <c r="AL11" s="16" t="s">
        <v>437</v>
      </c>
      <c r="AM11" s="15" t="s">
        <v>437</v>
      </c>
      <c r="AN11" s="15" t="s">
        <v>437</v>
      </c>
      <c r="AO11" s="15" t="s">
        <v>437</v>
      </c>
      <c r="AP11" s="16" t="s">
        <v>437</v>
      </c>
      <c r="AQ11" s="15" t="s">
        <v>437</v>
      </c>
      <c r="AR11" s="15" t="s">
        <v>437</v>
      </c>
      <c r="AS11" s="15" t="s">
        <v>437</v>
      </c>
      <c r="AT11" s="16" t="s">
        <v>437</v>
      </c>
      <c r="AU11" s="15" t="s">
        <v>437</v>
      </c>
      <c r="AV11" s="15" t="s">
        <v>437</v>
      </c>
      <c r="AW11" s="15" t="s">
        <v>437</v>
      </c>
      <c r="AX11" s="16" t="s">
        <v>437</v>
      </c>
      <c r="AY11" s="15" t="s">
        <v>437</v>
      </c>
      <c r="AZ11" s="15" t="s">
        <v>437</v>
      </c>
      <c r="BA11" s="15" t="s">
        <v>437</v>
      </c>
      <c r="BB11" s="16" t="s">
        <v>437</v>
      </c>
      <c r="BC11" s="15" t="s">
        <v>437</v>
      </c>
      <c r="BD11" s="15" t="s">
        <v>437</v>
      </c>
      <c r="BE11" s="15" t="s">
        <v>437</v>
      </c>
      <c r="BF11" s="16" t="s">
        <v>437</v>
      </c>
      <c r="BG11" s="15" t="s">
        <v>437</v>
      </c>
      <c r="BH11" s="15" t="s">
        <v>437</v>
      </c>
      <c r="BI11" s="15" t="s">
        <v>437</v>
      </c>
      <c r="BJ11" s="16" t="s">
        <v>437</v>
      </c>
      <c r="BK11" s="15" t="s">
        <v>437</v>
      </c>
      <c r="BL11" s="15" t="s">
        <v>437</v>
      </c>
      <c r="BM11" s="15" t="s">
        <v>437</v>
      </c>
      <c r="BN11" s="16" t="s">
        <v>437</v>
      </c>
      <c r="BP11" s="18" t="s">
        <v>437</v>
      </c>
      <c r="BQ11" s="15" t="s">
        <v>437</v>
      </c>
      <c r="BR11" s="15" t="s">
        <v>437</v>
      </c>
      <c r="BS11" s="16" t="s">
        <v>437</v>
      </c>
      <c r="BU11" s="18" t="s">
        <v>437</v>
      </c>
      <c r="BV11" s="15" t="s">
        <v>437</v>
      </c>
      <c r="BW11" s="15" t="s">
        <v>437</v>
      </c>
      <c r="BX11" s="16" t="s">
        <v>437</v>
      </c>
      <c r="BZ11" s="18" t="s">
        <v>437</v>
      </c>
      <c r="CA11" s="15" t="s">
        <v>437</v>
      </c>
      <c r="CB11" s="15" t="s">
        <v>437</v>
      </c>
      <c r="CC11" s="16" t="s">
        <v>437</v>
      </c>
    </row>
    <row r="12" spans="2:81" ht="18" hidden="1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garage!J12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17" t="s">
        <v>437</v>
      </c>
      <c r="P12" s="13" t="s">
        <v>437</v>
      </c>
      <c r="Q12" s="13" t="s">
        <v>437</v>
      </c>
      <c r="R12" s="14" t="s">
        <v>437</v>
      </c>
      <c r="S12" s="13" t="s">
        <v>437</v>
      </c>
      <c r="T12" s="13" t="s">
        <v>437</v>
      </c>
      <c r="U12" s="13" t="s">
        <v>437</v>
      </c>
      <c r="V12" s="14" t="s">
        <v>437</v>
      </c>
      <c r="W12" s="13" t="s">
        <v>437</v>
      </c>
      <c r="X12" s="13" t="s">
        <v>437</v>
      </c>
      <c r="Y12" s="13" t="s">
        <v>437</v>
      </c>
      <c r="Z12" s="14" t="s">
        <v>437</v>
      </c>
      <c r="AA12" s="13" t="s">
        <v>437</v>
      </c>
      <c r="AB12" s="13" t="s">
        <v>437</v>
      </c>
      <c r="AC12" s="13" t="s">
        <v>437</v>
      </c>
      <c r="AD12" s="14" t="s">
        <v>437</v>
      </c>
      <c r="AE12" s="13" t="s">
        <v>437</v>
      </c>
      <c r="AF12" s="13" t="s">
        <v>437</v>
      </c>
      <c r="AG12" s="13" t="s">
        <v>437</v>
      </c>
      <c r="AH12" s="14" t="s">
        <v>437</v>
      </c>
      <c r="AI12" s="13" t="s">
        <v>437</v>
      </c>
      <c r="AJ12" s="13" t="s">
        <v>437</v>
      </c>
      <c r="AK12" s="13" t="s">
        <v>437</v>
      </c>
      <c r="AL12" s="14" t="s">
        <v>437</v>
      </c>
      <c r="AM12" s="13" t="s">
        <v>437</v>
      </c>
      <c r="AN12" s="13" t="s">
        <v>437</v>
      </c>
      <c r="AO12" s="13" t="s">
        <v>437</v>
      </c>
      <c r="AP12" s="14" t="s">
        <v>437</v>
      </c>
      <c r="AQ12" s="13" t="s">
        <v>437</v>
      </c>
      <c r="AR12" s="13" t="s">
        <v>437</v>
      </c>
      <c r="AS12" s="13" t="s">
        <v>437</v>
      </c>
      <c r="AT12" s="14" t="s">
        <v>437</v>
      </c>
      <c r="AU12" s="13" t="s">
        <v>437</v>
      </c>
      <c r="AV12" s="13" t="s">
        <v>437</v>
      </c>
      <c r="AW12" s="13" t="s">
        <v>437</v>
      </c>
      <c r="AX12" s="14" t="s">
        <v>437</v>
      </c>
      <c r="AY12" s="13" t="s">
        <v>437</v>
      </c>
      <c r="AZ12" s="13" t="s">
        <v>437</v>
      </c>
      <c r="BA12" s="13" t="s">
        <v>437</v>
      </c>
      <c r="BB12" s="14" t="s">
        <v>437</v>
      </c>
      <c r="BC12" s="13" t="s">
        <v>437</v>
      </c>
      <c r="BD12" s="13" t="s">
        <v>437</v>
      </c>
      <c r="BE12" s="13" t="s">
        <v>437</v>
      </c>
      <c r="BF12" s="14" t="s">
        <v>437</v>
      </c>
      <c r="BG12" s="13" t="s">
        <v>437</v>
      </c>
      <c r="BH12" s="13" t="s">
        <v>437</v>
      </c>
      <c r="BI12" s="13" t="s">
        <v>437</v>
      </c>
      <c r="BJ12" s="14" t="s">
        <v>437</v>
      </c>
      <c r="BK12" s="13" t="s">
        <v>437</v>
      </c>
      <c r="BL12" s="13" t="s">
        <v>437</v>
      </c>
      <c r="BM12" s="13" t="s">
        <v>437</v>
      </c>
      <c r="BN12" s="14" t="s">
        <v>437</v>
      </c>
      <c r="BP12" s="17" t="s">
        <v>437</v>
      </c>
      <c r="BQ12" s="13" t="s">
        <v>437</v>
      </c>
      <c r="BR12" s="13" t="s">
        <v>437</v>
      </c>
      <c r="BS12" s="14" t="s">
        <v>437</v>
      </c>
      <c r="BU12" s="17" t="s">
        <v>437</v>
      </c>
      <c r="BV12" s="13" t="s">
        <v>437</v>
      </c>
      <c r="BW12" s="13" t="s">
        <v>437</v>
      </c>
      <c r="BX12" s="14" t="s">
        <v>437</v>
      </c>
      <c r="BZ12" s="17" t="s">
        <v>437</v>
      </c>
      <c r="CA12" s="13" t="s">
        <v>437</v>
      </c>
      <c r="CB12" s="13" t="s">
        <v>437</v>
      </c>
      <c r="CC12" s="14" t="s">
        <v>437</v>
      </c>
    </row>
    <row r="13" spans="2:81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garage!J13</f>
        <v>O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18">
        <v>1</v>
      </c>
      <c r="P13" s="15">
        <v>1</v>
      </c>
      <c r="Q13" s="15">
        <v>1</v>
      </c>
      <c r="R13" s="16">
        <v>1</v>
      </c>
      <c r="S13" s="15">
        <v>1</v>
      </c>
      <c r="T13" s="15">
        <v>1</v>
      </c>
      <c r="U13" s="15">
        <v>1</v>
      </c>
      <c r="V13" s="16">
        <v>1</v>
      </c>
      <c r="W13" s="15">
        <v>1</v>
      </c>
      <c r="X13" s="15">
        <v>1</v>
      </c>
      <c r="Y13" s="15">
        <v>1</v>
      </c>
      <c r="Z13" s="16">
        <v>1</v>
      </c>
      <c r="AA13" s="15">
        <v>1</v>
      </c>
      <c r="AB13" s="15">
        <v>1</v>
      </c>
      <c r="AC13" s="15">
        <v>1</v>
      </c>
      <c r="AD13" s="16">
        <v>1</v>
      </c>
      <c r="AE13" s="15">
        <v>1</v>
      </c>
      <c r="AF13" s="15">
        <v>1</v>
      </c>
      <c r="AG13" s="15">
        <v>1</v>
      </c>
      <c r="AH13" s="16">
        <v>1</v>
      </c>
      <c r="AI13" s="15">
        <v>1</v>
      </c>
      <c r="AJ13" s="15">
        <v>1</v>
      </c>
      <c r="AK13" s="15">
        <v>1</v>
      </c>
      <c r="AL13" s="16">
        <v>1</v>
      </c>
      <c r="AM13" s="15">
        <v>1</v>
      </c>
      <c r="AN13" s="15">
        <v>1</v>
      </c>
      <c r="AO13" s="15">
        <v>1</v>
      </c>
      <c r="AP13" s="16">
        <v>1</v>
      </c>
      <c r="AQ13" s="15" t="s">
        <v>437</v>
      </c>
      <c r="AR13" s="15" t="s">
        <v>437</v>
      </c>
      <c r="AS13" s="15" t="s">
        <v>437</v>
      </c>
      <c r="AT13" s="16" t="s">
        <v>437</v>
      </c>
      <c r="AU13" s="15" t="s">
        <v>437</v>
      </c>
      <c r="AV13" s="15" t="s">
        <v>437</v>
      </c>
      <c r="AW13" s="15" t="s">
        <v>437</v>
      </c>
      <c r="AX13" s="16" t="s">
        <v>437</v>
      </c>
      <c r="AY13" s="15" t="s">
        <v>437</v>
      </c>
      <c r="AZ13" s="15" t="s">
        <v>437</v>
      </c>
      <c r="BA13" s="15" t="s">
        <v>437</v>
      </c>
      <c r="BB13" s="16" t="s">
        <v>437</v>
      </c>
      <c r="BC13" s="15" t="s">
        <v>437</v>
      </c>
      <c r="BD13" s="15" t="s">
        <v>437</v>
      </c>
      <c r="BE13" s="15" t="s">
        <v>437</v>
      </c>
      <c r="BF13" s="16" t="s">
        <v>437</v>
      </c>
      <c r="BG13" s="15" t="s">
        <v>437</v>
      </c>
      <c r="BH13" s="15" t="s">
        <v>437</v>
      </c>
      <c r="BI13" s="15" t="s">
        <v>437</v>
      </c>
      <c r="BJ13" s="16" t="s">
        <v>437</v>
      </c>
      <c r="BK13" s="15" t="s">
        <v>437</v>
      </c>
      <c r="BL13" s="15" t="s">
        <v>437</v>
      </c>
      <c r="BM13" s="15" t="s">
        <v>437</v>
      </c>
      <c r="BN13" s="16" t="s">
        <v>437</v>
      </c>
      <c r="BP13" s="18">
        <v>6</v>
      </c>
      <c r="BQ13" s="15">
        <v>4</v>
      </c>
      <c r="BR13" s="15">
        <v>4</v>
      </c>
      <c r="BS13" s="16">
        <v>6</v>
      </c>
      <c r="BU13" s="18" t="s">
        <v>437</v>
      </c>
      <c r="BV13" s="15" t="s">
        <v>437</v>
      </c>
      <c r="BW13" s="15" t="s">
        <v>437</v>
      </c>
      <c r="BX13" s="16" t="s">
        <v>437</v>
      </c>
      <c r="BZ13" s="18" t="s">
        <v>437</v>
      </c>
      <c r="CA13" s="15" t="s">
        <v>437</v>
      </c>
      <c r="CB13" s="15" t="s">
        <v>437</v>
      </c>
      <c r="CC13" s="16" t="s">
        <v>437</v>
      </c>
    </row>
    <row r="14" spans="2:81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garage!J14</f>
        <v>N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17">
        <v>1</v>
      </c>
      <c r="P14" s="13">
        <v>1</v>
      </c>
      <c r="Q14" s="13">
        <v>1</v>
      </c>
      <c r="R14" s="14">
        <v>1</v>
      </c>
      <c r="S14" s="13">
        <v>1</v>
      </c>
      <c r="T14" s="13">
        <v>1</v>
      </c>
      <c r="U14" s="13">
        <v>1</v>
      </c>
      <c r="V14" s="14">
        <v>1</v>
      </c>
      <c r="W14" s="13">
        <v>1</v>
      </c>
      <c r="X14" s="13">
        <v>1</v>
      </c>
      <c r="Y14" s="13">
        <v>1</v>
      </c>
      <c r="Z14" s="14">
        <v>1</v>
      </c>
      <c r="AA14" s="13">
        <v>1</v>
      </c>
      <c r="AB14" s="13">
        <v>1</v>
      </c>
      <c r="AC14" s="13">
        <v>1</v>
      </c>
      <c r="AD14" s="14">
        <v>1</v>
      </c>
      <c r="AE14" s="13" t="s">
        <v>437</v>
      </c>
      <c r="AF14" s="13" t="s">
        <v>437</v>
      </c>
      <c r="AG14" s="13" t="s">
        <v>437</v>
      </c>
      <c r="AH14" s="14" t="s">
        <v>437</v>
      </c>
      <c r="AI14" s="13" t="s">
        <v>437</v>
      </c>
      <c r="AJ14" s="13" t="s">
        <v>437</v>
      </c>
      <c r="AK14" s="13" t="s">
        <v>437</v>
      </c>
      <c r="AL14" s="14" t="s">
        <v>437</v>
      </c>
      <c r="AM14" s="13" t="s">
        <v>437</v>
      </c>
      <c r="AN14" s="13" t="s">
        <v>437</v>
      </c>
      <c r="AO14" s="13" t="s">
        <v>437</v>
      </c>
      <c r="AP14" s="14" t="s">
        <v>437</v>
      </c>
      <c r="AQ14" s="13" t="s">
        <v>437</v>
      </c>
      <c r="AR14" s="13" t="s">
        <v>437</v>
      </c>
      <c r="AS14" s="13" t="s">
        <v>437</v>
      </c>
      <c r="AT14" s="14" t="s">
        <v>437</v>
      </c>
      <c r="AU14" s="13" t="s">
        <v>437</v>
      </c>
      <c r="AV14" s="13" t="s">
        <v>437</v>
      </c>
      <c r="AW14" s="13" t="s">
        <v>437</v>
      </c>
      <c r="AX14" s="14" t="s">
        <v>437</v>
      </c>
      <c r="AY14" s="13" t="s">
        <v>437</v>
      </c>
      <c r="AZ14" s="13" t="s">
        <v>437</v>
      </c>
      <c r="BA14" s="13" t="s">
        <v>437</v>
      </c>
      <c r="BB14" s="14" t="s">
        <v>437</v>
      </c>
      <c r="BC14" s="13" t="s">
        <v>437</v>
      </c>
      <c r="BD14" s="13" t="s">
        <v>437</v>
      </c>
      <c r="BE14" s="13" t="s">
        <v>437</v>
      </c>
      <c r="BF14" s="14" t="s">
        <v>437</v>
      </c>
      <c r="BG14" s="13" t="s">
        <v>437</v>
      </c>
      <c r="BH14" s="13" t="s">
        <v>437</v>
      </c>
      <c r="BI14" s="13" t="s">
        <v>437</v>
      </c>
      <c r="BJ14" s="14" t="s">
        <v>437</v>
      </c>
      <c r="BK14" s="13" t="s">
        <v>437</v>
      </c>
      <c r="BL14" s="13" t="s">
        <v>437</v>
      </c>
      <c r="BM14" s="13" t="s">
        <v>437</v>
      </c>
      <c r="BN14" s="14" t="s">
        <v>437</v>
      </c>
      <c r="BP14" s="17">
        <v>4</v>
      </c>
      <c r="BQ14" s="13">
        <v>2</v>
      </c>
      <c r="BR14" s="13">
        <v>2</v>
      </c>
      <c r="BS14" s="14">
        <v>4</v>
      </c>
      <c r="BU14" s="17" t="s">
        <v>437</v>
      </c>
      <c r="BV14" s="13" t="s">
        <v>437</v>
      </c>
      <c r="BW14" s="13" t="s">
        <v>437</v>
      </c>
      <c r="BX14" s="14" t="s">
        <v>437</v>
      </c>
      <c r="BZ14" s="17" t="s">
        <v>437</v>
      </c>
      <c r="CA14" s="13" t="s">
        <v>437</v>
      </c>
      <c r="CB14" s="13" t="s">
        <v>437</v>
      </c>
      <c r="CC14" s="14" t="s">
        <v>437</v>
      </c>
    </row>
    <row r="15" spans="2:81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garage!J15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18">
        <v>1</v>
      </c>
      <c r="P15" s="15">
        <v>1</v>
      </c>
      <c r="Q15" s="15">
        <v>1</v>
      </c>
      <c r="R15" s="16">
        <v>1</v>
      </c>
      <c r="S15" s="15">
        <v>1</v>
      </c>
      <c r="T15" s="15">
        <v>1</v>
      </c>
      <c r="U15" s="15">
        <v>1</v>
      </c>
      <c r="V15" s="16">
        <v>1</v>
      </c>
      <c r="W15" s="15">
        <v>1</v>
      </c>
      <c r="X15" s="15">
        <v>1</v>
      </c>
      <c r="Y15" s="15">
        <v>1</v>
      </c>
      <c r="Z15" s="16">
        <v>1</v>
      </c>
      <c r="AA15" s="15">
        <v>1</v>
      </c>
      <c r="AB15" s="15">
        <v>1</v>
      </c>
      <c r="AC15" s="15">
        <v>1</v>
      </c>
      <c r="AD15" s="16">
        <v>1</v>
      </c>
      <c r="AE15" s="15">
        <v>1</v>
      </c>
      <c r="AF15" s="15">
        <v>1</v>
      </c>
      <c r="AG15" s="15">
        <v>1</v>
      </c>
      <c r="AH15" s="16">
        <v>1</v>
      </c>
      <c r="AI15" s="15">
        <v>1</v>
      </c>
      <c r="AJ15" s="15">
        <v>1</v>
      </c>
      <c r="AK15" s="15">
        <v>1</v>
      </c>
      <c r="AL15" s="16">
        <v>1</v>
      </c>
      <c r="AM15" s="15">
        <v>1</v>
      </c>
      <c r="AN15" s="15">
        <v>1</v>
      </c>
      <c r="AO15" s="15">
        <v>1</v>
      </c>
      <c r="AP15" s="16">
        <v>1</v>
      </c>
      <c r="AQ15" s="15">
        <v>1</v>
      </c>
      <c r="AR15" s="15">
        <v>1</v>
      </c>
      <c r="AS15" s="15">
        <v>1</v>
      </c>
      <c r="AT15" s="16">
        <v>1</v>
      </c>
      <c r="AU15" s="15">
        <v>1</v>
      </c>
      <c r="AV15" s="15">
        <v>1</v>
      </c>
      <c r="AW15" s="15">
        <v>1</v>
      </c>
      <c r="AX15" s="16">
        <v>1</v>
      </c>
      <c r="AY15" s="15">
        <v>1</v>
      </c>
      <c r="AZ15" s="15">
        <v>1</v>
      </c>
      <c r="BA15" s="15">
        <v>1</v>
      </c>
      <c r="BB15" s="16">
        <v>1</v>
      </c>
      <c r="BC15" s="15">
        <v>1</v>
      </c>
      <c r="BD15" s="15">
        <v>1</v>
      </c>
      <c r="BE15" s="15">
        <v>1</v>
      </c>
      <c r="BF15" s="16">
        <v>1</v>
      </c>
      <c r="BG15" s="15" t="s">
        <v>437</v>
      </c>
      <c r="BH15" s="15" t="s">
        <v>437</v>
      </c>
      <c r="BI15" s="15" t="s">
        <v>437</v>
      </c>
      <c r="BJ15" s="16" t="s">
        <v>437</v>
      </c>
      <c r="BK15" s="15" t="s">
        <v>437</v>
      </c>
      <c r="BL15" s="15" t="s">
        <v>437</v>
      </c>
      <c r="BM15" s="15" t="s">
        <v>437</v>
      </c>
      <c r="BN15" s="16" t="s">
        <v>437</v>
      </c>
      <c r="BP15" s="18">
        <v>7</v>
      </c>
      <c r="BQ15" s="15">
        <v>7</v>
      </c>
      <c r="BR15" s="15">
        <v>7</v>
      </c>
      <c r="BS15" s="16">
        <v>7</v>
      </c>
      <c r="BU15" s="18">
        <v>2</v>
      </c>
      <c r="BV15" s="15">
        <v>2</v>
      </c>
      <c r="BW15" s="15">
        <v>2</v>
      </c>
      <c r="BX15" s="16">
        <v>2</v>
      </c>
      <c r="BZ15" s="18">
        <v>1</v>
      </c>
      <c r="CA15" s="15">
        <v>1</v>
      </c>
      <c r="CB15" s="15">
        <v>1</v>
      </c>
      <c r="CC15" s="16">
        <v>1</v>
      </c>
    </row>
    <row r="16" spans="2:81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garage!J16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17">
        <v>1</v>
      </c>
      <c r="P16" s="13">
        <v>1</v>
      </c>
      <c r="Q16" s="13">
        <v>1</v>
      </c>
      <c r="R16" s="14">
        <v>1</v>
      </c>
      <c r="S16" s="13">
        <v>1</v>
      </c>
      <c r="T16" s="13">
        <v>1</v>
      </c>
      <c r="U16" s="13">
        <v>1</v>
      </c>
      <c r="V16" s="14">
        <v>1</v>
      </c>
      <c r="W16" s="13">
        <v>1</v>
      </c>
      <c r="X16" s="13">
        <v>1</v>
      </c>
      <c r="Y16" s="13">
        <v>1</v>
      </c>
      <c r="Z16" s="14">
        <v>1</v>
      </c>
      <c r="AA16" s="13">
        <v>1</v>
      </c>
      <c r="AB16" s="13">
        <v>1</v>
      </c>
      <c r="AC16" s="13">
        <v>1</v>
      </c>
      <c r="AD16" s="14">
        <v>1</v>
      </c>
      <c r="AE16" s="13">
        <v>1</v>
      </c>
      <c r="AF16" s="13">
        <v>1</v>
      </c>
      <c r="AG16" s="13">
        <v>1</v>
      </c>
      <c r="AH16" s="14">
        <v>1</v>
      </c>
      <c r="AI16" s="13">
        <v>1</v>
      </c>
      <c r="AJ16" s="13">
        <v>1</v>
      </c>
      <c r="AK16" s="13">
        <v>1</v>
      </c>
      <c r="AL16" s="14">
        <v>1</v>
      </c>
      <c r="AM16" s="13" t="s">
        <v>437</v>
      </c>
      <c r="AN16" s="13" t="s">
        <v>437</v>
      </c>
      <c r="AO16" s="13" t="s">
        <v>437</v>
      </c>
      <c r="AP16" s="14" t="s">
        <v>437</v>
      </c>
      <c r="AQ16" s="13" t="s">
        <v>437</v>
      </c>
      <c r="AR16" s="13" t="s">
        <v>437</v>
      </c>
      <c r="AS16" s="13" t="s">
        <v>437</v>
      </c>
      <c r="AT16" s="14" t="s">
        <v>437</v>
      </c>
      <c r="AU16" s="13" t="s">
        <v>437</v>
      </c>
      <c r="AV16" s="13" t="s">
        <v>437</v>
      </c>
      <c r="AW16" s="13" t="s">
        <v>437</v>
      </c>
      <c r="AX16" s="14" t="s">
        <v>437</v>
      </c>
      <c r="AY16" s="13" t="s">
        <v>437</v>
      </c>
      <c r="AZ16" s="13" t="s">
        <v>437</v>
      </c>
      <c r="BA16" s="13" t="s">
        <v>437</v>
      </c>
      <c r="BB16" s="14" t="s">
        <v>437</v>
      </c>
      <c r="BC16" s="13" t="s">
        <v>437</v>
      </c>
      <c r="BD16" s="13" t="s">
        <v>437</v>
      </c>
      <c r="BE16" s="13" t="s">
        <v>437</v>
      </c>
      <c r="BF16" s="14" t="s">
        <v>437</v>
      </c>
      <c r="BG16" s="13" t="s">
        <v>437</v>
      </c>
      <c r="BH16" s="13" t="s">
        <v>437</v>
      </c>
      <c r="BI16" s="13" t="s">
        <v>437</v>
      </c>
      <c r="BJ16" s="14" t="s">
        <v>437</v>
      </c>
      <c r="BK16" s="13" t="s">
        <v>437</v>
      </c>
      <c r="BL16" s="13" t="s">
        <v>437</v>
      </c>
      <c r="BM16" s="13" t="s">
        <v>437</v>
      </c>
      <c r="BN16" s="14" t="s">
        <v>437</v>
      </c>
      <c r="BP16" s="17">
        <v>4</v>
      </c>
      <c r="BQ16" s="13">
        <v>2</v>
      </c>
      <c r="BR16" s="13">
        <v>2</v>
      </c>
      <c r="BS16" s="14">
        <v>4</v>
      </c>
      <c r="BU16" s="17" t="s">
        <v>437</v>
      </c>
      <c r="BV16" s="13" t="s">
        <v>437</v>
      </c>
      <c r="BW16" s="13" t="s">
        <v>437</v>
      </c>
      <c r="BX16" s="14" t="s">
        <v>437</v>
      </c>
      <c r="BZ16" s="17" t="s">
        <v>437</v>
      </c>
      <c r="CA16" s="13" t="s">
        <v>437</v>
      </c>
      <c r="CB16" s="13" t="s">
        <v>437</v>
      </c>
      <c r="CC16" s="14" t="s">
        <v>437</v>
      </c>
    </row>
    <row r="17" spans="2:81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garage!J17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18">
        <v>1</v>
      </c>
      <c r="P17" s="15">
        <v>1</v>
      </c>
      <c r="Q17" s="15">
        <v>1</v>
      </c>
      <c r="R17" s="16">
        <v>1</v>
      </c>
      <c r="S17" s="15">
        <v>1</v>
      </c>
      <c r="T17" s="15">
        <v>1</v>
      </c>
      <c r="U17" s="15">
        <v>1</v>
      </c>
      <c r="V17" s="16">
        <v>1</v>
      </c>
      <c r="W17" s="15">
        <v>1</v>
      </c>
      <c r="X17" s="15">
        <v>1</v>
      </c>
      <c r="Y17" s="15">
        <v>1</v>
      </c>
      <c r="Z17" s="16">
        <v>1</v>
      </c>
      <c r="AA17" s="15">
        <v>1</v>
      </c>
      <c r="AB17" s="15">
        <v>1</v>
      </c>
      <c r="AC17" s="15">
        <v>1</v>
      </c>
      <c r="AD17" s="16">
        <v>1</v>
      </c>
      <c r="AE17" s="15">
        <v>1</v>
      </c>
      <c r="AF17" s="15">
        <v>1</v>
      </c>
      <c r="AG17" s="15">
        <v>1</v>
      </c>
      <c r="AH17" s="16">
        <v>1</v>
      </c>
      <c r="AI17" s="15">
        <v>1</v>
      </c>
      <c r="AJ17" s="15">
        <v>1</v>
      </c>
      <c r="AK17" s="15">
        <v>1</v>
      </c>
      <c r="AL17" s="16">
        <v>1</v>
      </c>
      <c r="AM17" s="15">
        <v>1</v>
      </c>
      <c r="AN17" s="15">
        <v>1</v>
      </c>
      <c r="AO17" s="15">
        <v>1</v>
      </c>
      <c r="AP17" s="16">
        <v>1</v>
      </c>
      <c r="AQ17" s="15">
        <v>1</v>
      </c>
      <c r="AR17" s="15">
        <v>1</v>
      </c>
      <c r="AS17" s="15">
        <v>1</v>
      </c>
      <c r="AT17" s="16">
        <v>1</v>
      </c>
      <c r="AU17" s="15">
        <v>1</v>
      </c>
      <c r="AV17" s="15">
        <v>1</v>
      </c>
      <c r="AW17" s="15">
        <v>1</v>
      </c>
      <c r="AX17" s="16">
        <v>1</v>
      </c>
      <c r="AY17" s="15">
        <v>1</v>
      </c>
      <c r="AZ17" s="15">
        <v>1</v>
      </c>
      <c r="BA17" s="15">
        <v>1</v>
      </c>
      <c r="BB17" s="16">
        <v>1</v>
      </c>
      <c r="BC17" s="15">
        <v>1</v>
      </c>
      <c r="BD17" s="15">
        <v>1</v>
      </c>
      <c r="BE17" s="15">
        <v>1</v>
      </c>
      <c r="BF17" s="16">
        <v>1</v>
      </c>
      <c r="BG17" s="15" t="s">
        <v>437</v>
      </c>
      <c r="BH17" s="15" t="s">
        <v>437</v>
      </c>
      <c r="BI17" s="15" t="s">
        <v>437</v>
      </c>
      <c r="BJ17" s="16" t="s">
        <v>437</v>
      </c>
      <c r="BK17" s="15" t="s">
        <v>437</v>
      </c>
      <c r="BL17" s="15" t="s">
        <v>437</v>
      </c>
      <c r="BM17" s="15" t="s">
        <v>437</v>
      </c>
      <c r="BN17" s="16" t="s">
        <v>437</v>
      </c>
      <c r="BP17" s="18">
        <v>7</v>
      </c>
      <c r="BQ17" s="15">
        <v>7</v>
      </c>
      <c r="BR17" s="15">
        <v>7</v>
      </c>
      <c r="BS17" s="16">
        <v>7</v>
      </c>
      <c r="BU17" s="18">
        <v>2</v>
      </c>
      <c r="BV17" s="15">
        <v>2</v>
      </c>
      <c r="BW17" s="15">
        <v>2</v>
      </c>
      <c r="BX17" s="16">
        <v>2</v>
      </c>
      <c r="BZ17" s="18">
        <v>1</v>
      </c>
      <c r="CA17" s="15">
        <v>1</v>
      </c>
      <c r="CB17" s="15">
        <v>1</v>
      </c>
      <c r="CC17" s="16">
        <v>1</v>
      </c>
    </row>
    <row r="18" spans="2:81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garage!J18</f>
        <v>O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17" t="s">
        <v>437</v>
      </c>
      <c r="P18" s="13" t="s">
        <v>437</v>
      </c>
      <c r="Q18" s="13" t="s">
        <v>437</v>
      </c>
      <c r="R18" s="14" t="s">
        <v>437</v>
      </c>
      <c r="S18" s="13" t="s">
        <v>437</v>
      </c>
      <c r="T18" s="13" t="s">
        <v>437</v>
      </c>
      <c r="U18" s="13" t="s">
        <v>437</v>
      </c>
      <c r="V18" s="14" t="s">
        <v>437</v>
      </c>
      <c r="W18" s="13" t="s">
        <v>437</v>
      </c>
      <c r="X18" s="13" t="s">
        <v>437</v>
      </c>
      <c r="Y18" s="13" t="s">
        <v>437</v>
      </c>
      <c r="Z18" s="14" t="s">
        <v>437</v>
      </c>
      <c r="AA18" s="13" t="s">
        <v>437</v>
      </c>
      <c r="AB18" s="13" t="s">
        <v>437</v>
      </c>
      <c r="AC18" s="13" t="s">
        <v>437</v>
      </c>
      <c r="AD18" s="14" t="s">
        <v>437</v>
      </c>
      <c r="AE18" s="13" t="s">
        <v>437</v>
      </c>
      <c r="AF18" s="13" t="s">
        <v>437</v>
      </c>
      <c r="AG18" s="13" t="s">
        <v>437</v>
      </c>
      <c r="AH18" s="14" t="s">
        <v>437</v>
      </c>
      <c r="AI18" s="13" t="s">
        <v>437</v>
      </c>
      <c r="AJ18" s="13" t="s">
        <v>437</v>
      </c>
      <c r="AK18" s="13" t="s">
        <v>437</v>
      </c>
      <c r="AL18" s="14" t="s">
        <v>437</v>
      </c>
      <c r="AM18" s="13" t="s">
        <v>437</v>
      </c>
      <c r="AN18" s="13" t="s">
        <v>437</v>
      </c>
      <c r="AO18" s="13" t="s">
        <v>437</v>
      </c>
      <c r="AP18" s="14" t="s">
        <v>437</v>
      </c>
      <c r="AQ18" s="13" t="s">
        <v>437</v>
      </c>
      <c r="AR18" s="13" t="s">
        <v>437</v>
      </c>
      <c r="AS18" s="13" t="s">
        <v>437</v>
      </c>
      <c r="AT18" s="14" t="s">
        <v>437</v>
      </c>
      <c r="AU18" s="13" t="s">
        <v>437</v>
      </c>
      <c r="AV18" s="13" t="s">
        <v>437</v>
      </c>
      <c r="AW18" s="13" t="s">
        <v>437</v>
      </c>
      <c r="AX18" s="14" t="s">
        <v>437</v>
      </c>
      <c r="AY18" s="13" t="s">
        <v>437</v>
      </c>
      <c r="AZ18" s="13" t="s">
        <v>437</v>
      </c>
      <c r="BA18" s="13" t="s">
        <v>437</v>
      </c>
      <c r="BB18" s="14" t="s">
        <v>437</v>
      </c>
      <c r="BC18" s="13" t="s">
        <v>437</v>
      </c>
      <c r="BD18" s="13" t="s">
        <v>437</v>
      </c>
      <c r="BE18" s="13" t="s">
        <v>437</v>
      </c>
      <c r="BF18" s="14" t="s">
        <v>437</v>
      </c>
      <c r="BG18" s="13" t="s">
        <v>437</v>
      </c>
      <c r="BH18" s="13" t="s">
        <v>437</v>
      </c>
      <c r="BI18" s="13" t="s">
        <v>437</v>
      </c>
      <c r="BJ18" s="14" t="s">
        <v>437</v>
      </c>
      <c r="BK18" s="13" t="s">
        <v>437</v>
      </c>
      <c r="BL18" s="13" t="s">
        <v>437</v>
      </c>
      <c r="BM18" s="13" t="s">
        <v>437</v>
      </c>
      <c r="BN18" s="14" t="s">
        <v>437</v>
      </c>
      <c r="BP18" s="17" t="s">
        <v>437</v>
      </c>
      <c r="BQ18" s="13" t="s">
        <v>437</v>
      </c>
      <c r="BR18" s="13" t="s">
        <v>437</v>
      </c>
      <c r="BS18" s="14" t="s">
        <v>437</v>
      </c>
      <c r="BU18" s="17" t="s">
        <v>437</v>
      </c>
      <c r="BV18" s="13" t="s">
        <v>437</v>
      </c>
      <c r="BW18" s="13" t="s">
        <v>437</v>
      </c>
      <c r="BX18" s="14" t="s">
        <v>437</v>
      </c>
      <c r="BZ18" s="17" t="s">
        <v>437</v>
      </c>
      <c r="CA18" s="13" t="s">
        <v>437</v>
      </c>
      <c r="CB18" s="13" t="s">
        <v>437</v>
      </c>
      <c r="CC18" s="14" t="s">
        <v>437</v>
      </c>
    </row>
    <row r="19" spans="2:81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garage!J19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18">
        <v>1</v>
      </c>
      <c r="P19" s="15">
        <v>1</v>
      </c>
      <c r="Q19" s="15">
        <v>1</v>
      </c>
      <c r="R19" s="16">
        <v>1</v>
      </c>
      <c r="S19" s="15">
        <v>1</v>
      </c>
      <c r="T19" s="15">
        <v>1</v>
      </c>
      <c r="U19" s="15">
        <v>1</v>
      </c>
      <c r="V19" s="16">
        <v>1</v>
      </c>
      <c r="W19" s="15">
        <v>1</v>
      </c>
      <c r="X19" s="15">
        <v>1</v>
      </c>
      <c r="Y19" s="15">
        <v>1</v>
      </c>
      <c r="Z19" s="16">
        <v>1</v>
      </c>
      <c r="AA19" s="15">
        <v>1</v>
      </c>
      <c r="AB19" s="15">
        <v>1</v>
      </c>
      <c r="AC19" s="15">
        <v>1</v>
      </c>
      <c r="AD19" s="16">
        <v>1</v>
      </c>
      <c r="AE19" s="15">
        <v>1</v>
      </c>
      <c r="AF19" s="15">
        <v>1</v>
      </c>
      <c r="AG19" s="15">
        <v>1</v>
      </c>
      <c r="AH19" s="16">
        <v>1</v>
      </c>
      <c r="AI19" s="15">
        <v>1</v>
      </c>
      <c r="AJ19" s="15">
        <v>1</v>
      </c>
      <c r="AK19" s="15">
        <v>1</v>
      </c>
      <c r="AL19" s="16">
        <v>1</v>
      </c>
      <c r="AM19" s="15">
        <v>1</v>
      </c>
      <c r="AN19" s="15">
        <v>1</v>
      </c>
      <c r="AO19" s="15">
        <v>1</v>
      </c>
      <c r="AP19" s="16">
        <v>1</v>
      </c>
      <c r="AQ19" s="15">
        <v>1</v>
      </c>
      <c r="AR19" s="15">
        <v>1</v>
      </c>
      <c r="AS19" s="15">
        <v>1</v>
      </c>
      <c r="AT19" s="16">
        <v>1</v>
      </c>
      <c r="AU19" s="15">
        <v>1</v>
      </c>
      <c r="AV19" s="15">
        <v>1</v>
      </c>
      <c r="AW19" s="15">
        <v>1</v>
      </c>
      <c r="AX19" s="16">
        <v>1</v>
      </c>
      <c r="AY19" s="15">
        <v>1</v>
      </c>
      <c r="AZ19" s="15">
        <v>1</v>
      </c>
      <c r="BA19" s="15">
        <v>1</v>
      </c>
      <c r="BB19" s="16">
        <v>1</v>
      </c>
      <c r="BC19" s="15">
        <v>1</v>
      </c>
      <c r="BD19" s="15">
        <v>1</v>
      </c>
      <c r="BE19" s="15">
        <v>1</v>
      </c>
      <c r="BF19" s="16">
        <v>1</v>
      </c>
      <c r="BG19" s="15" t="s">
        <v>437</v>
      </c>
      <c r="BH19" s="15" t="s">
        <v>437</v>
      </c>
      <c r="BI19" s="15" t="s">
        <v>437</v>
      </c>
      <c r="BJ19" s="16" t="s">
        <v>437</v>
      </c>
      <c r="BK19" s="15" t="s">
        <v>437</v>
      </c>
      <c r="BL19" s="15" t="s">
        <v>437</v>
      </c>
      <c r="BM19" s="15" t="s">
        <v>437</v>
      </c>
      <c r="BN19" s="16" t="s">
        <v>437</v>
      </c>
      <c r="BP19" s="18">
        <v>7</v>
      </c>
      <c r="BQ19" s="15">
        <v>7</v>
      </c>
      <c r="BR19" s="15">
        <v>7</v>
      </c>
      <c r="BS19" s="16">
        <v>7</v>
      </c>
      <c r="BU19" s="18">
        <v>2</v>
      </c>
      <c r="BV19" s="15">
        <v>2</v>
      </c>
      <c r="BW19" s="15">
        <v>2</v>
      </c>
      <c r="BX19" s="16">
        <v>2</v>
      </c>
      <c r="BZ19" s="18">
        <v>1</v>
      </c>
      <c r="CA19" s="15">
        <v>1</v>
      </c>
      <c r="CB19" s="15">
        <v>1</v>
      </c>
      <c r="CC19" s="16">
        <v>1</v>
      </c>
    </row>
    <row r="20" spans="2:81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garage!J20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17">
        <v>1</v>
      </c>
      <c r="P20" s="13">
        <v>1</v>
      </c>
      <c r="Q20" s="13">
        <v>1</v>
      </c>
      <c r="R20" s="14">
        <v>1</v>
      </c>
      <c r="S20" s="13">
        <v>1</v>
      </c>
      <c r="T20" s="13">
        <v>1</v>
      </c>
      <c r="U20" s="13">
        <v>1</v>
      </c>
      <c r="V20" s="14">
        <v>1</v>
      </c>
      <c r="W20" s="13">
        <v>1</v>
      </c>
      <c r="X20" s="13">
        <v>1</v>
      </c>
      <c r="Y20" s="13">
        <v>1</v>
      </c>
      <c r="Z20" s="14">
        <v>1</v>
      </c>
      <c r="AA20" s="13">
        <v>1</v>
      </c>
      <c r="AB20" s="13">
        <v>1</v>
      </c>
      <c r="AC20" s="13">
        <v>1</v>
      </c>
      <c r="AD20" s="14">
        <v>1</v>
      </c>
      <c r="AE20" s="13">
        <v>1</v>
      </c>
      <c r="AF20" s="13">
        <v>1</v>
      </c>
      <c r="AG20" s="13">
        <v>1</v>
      </c>
      <c r="AH20" s="14">
        <v>1</v>
      </c>
      <c r="AI20" s="13">
        <v>1</v>
      </c>
      <c r="AJ20" s="13">
        <v>1</v>
      </c>
      <c r="AK20" s="13">
        <v>1</v>
      </c>
      <c r="AL20" s="14">
        <v>1</v>
      </c>
      <c r="AM20" s="13">
        <v>1</v>
      </c>
      <c r="AN20" s="13">
        <v>1</v>
      </c>
      <c r="AO20" s="13">
        <v>1</v>
      </c>
      <c r="AP20" s="14">
        <v>1</v>
      </c>
      <c r="AQ20" s="13">
        <v>1</v>
      </c>
      <c r="AR20" s="13">
        <v>1</v>
      </c>
      <c r="AS20" s="13">
        <v>1</v>
      </c>
      <c r="AT20" s="14">
        <v>1</v>
      </c>
      <c r="AU20" s="13">
        <v>1</v>
      </c>
      <c r="AV20" s="13">
        <v>1</v>
      </c>
      <c r="AW20" s="13">
        <v>1</v>
      </c>
      <c r="AX20" s="14">
        <v>1</v>
      </c>
      <c r="AY20" s="13">
        <v>1</v>
      </c>
      <c r="AZ20" s="13">
        <v>1</v>
      </c>
      <c r="BA20" s="13">
        <v>1</v>
      </c>
      <c r="BB20" s="14">
        <v>1</v>
      </c>
      <c r="BC20" s="13">
        <v>1</v>
      </c>
      <c r="BD20" s="13">
        <v>1</v>
      </c>
      <c r="BE20" s="13">
        <v>1</v>
      </c>
      <c r="BF20" s="14">
        <v>1</v>
      </c>
      <c r="BG20" s="13" t="s">
        <v>437</v>
      </c>
      <c r="BH20" s="13" t="s">
        <v>437</v>
      </c>
      <c r="BI20" s="13" t="s">
        <v>437</v>
      </c>
      <c r="BJ20" s="14" t="s">
        <v>437</v>
      </c>
      <c r="BK20" s="13" t="s">
        <v>437</v>
      </c>
      <c r="BL20" s="13" t="s">
        <v>437</v>
      </c>
      <c r="BM20" s="13" t="s">
        <v>437</v>
      </c>
      <c r="BN20" s="14" t="s">
        <v>437</v>
      </c>
      <c r="BP20" s="17">
        <v>7</v>
      </c>
      <c r="BQ20" s="13">
        <v>7</v>
      </c>
      <c r="BR20" s="13">
        <v>7</v>
      </c>
      <c r="BS20" s="14">
        <v>7</v>
      </c>
      <c r="BU20" s="17">
        <v>2</v>
      </c>
      <c r="BV20" s="13">
        <v>2</v>
      </c>
      <c r="BW20" s="13">
        <v>2</v>
      </c>
      <c r="BX20" s="14">
        <v>2</v>
      </c>
      <c r="BZ20" s="17">
        <v>1</v>
      </c>
      <c r="CA20" s="13">
        <v>1</v>
      </c>
      <c r="CB20" s="13">
        <v>1</v>
      </c>
      <c r="CC20" s="14">
        <v>1</v>
      </c>
    </row>
    <row r="21" spans="2:81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garage!J21</f>
        <v>O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18">
        <v>1</v>
      </c>
      <c r="P21" s="15">
        <v>1</v>
      </c>
      <c r="Q21" s="15">
        <v>1</v>
      </c>
      <c r="R21" s="16">
        <v>1</v>
      </c>
      <c r="S21" s="15">
        <v>1</v>
      </c>
      <c r="T21" s="15">
        <v>1</v>
      </c>
      <c r="U21" s="15">
        <v>1</v>
      </c>
      <c r="V21" s="16">
        <v>1</v>
      </c>
      <c r="W21" s="15">
        <v>1</v>
      </c>
      <c r="X21" s="15">
        <v>1</v>
      </c>
      <c r="Y21" s="15">
        <v>1</v>
      </c>
      <c r="Z21" s="16">
        <v>1</v>
      </c>
      <c r="AA21" s="15">
        <v>1</v>
      </c>
      <c r="AB21" s="15">
        <v>1</v>
      </c>
      <c r="AC21" s="15">
        <v>1</v>
      </c>
      <c r="AD21" s="16">
        <v>1</v>
      </c>
      <c r="AE21" s="15">
        <v>1</v>
      </c>
      <c r="AF21" s="15">
        <v>1</v>
      </c>
      <c r="AG21" s="15">
        <v>1</v>
      </c>
      <c r="AH21" s="16">
        <v>1</v>
      </c>
      <c r="AI21" s="15">
        <v>1</v>
      </c>
      <c r="AJ21" s="15">
        <v>1</v>
      </c>
      <c r="AK21" s="15">
        <v>1</v>
      </c>
      <c r="AL21" s="16">
        <v>1</v>
      </c>
      <c r="AM21" s="15">
        <v>1</v>
      </c>
      <c r="AN21" s="15">
        <v>1</v>
      </c>
      <c r="AO21" s="15">
        <v>1</v>
      </c>
      <c r="AP21" s="16">
        <v>1</v>
      </c>
      <c r="AQ21" s="15" t="s">
        <v>437</v>
      </c>
      <c r="AR21" s="15" t="s">
        <v>437</v>
      </c>
      <c r="AS21" s="15" t="s">
        <v>437</v>
      </c>
      <c r="AT21" s="16" t="s">
        <v>437</v>
      </c>
      <c r="AU21" s="15" t="s">
        <v>437</v>
      </c>
      <c r="AV21" s="15" t="s">
        <v>437</v>
      </c>
      <c r="AW21" s="15" t="s">
        <v>437</v>
      </c>
      <c r="AX21" s="16" t="s">
        <v>437</v>
      </c>
      <c r="AY21" s="15" t="s">
        <v>437</v>
      </c>
      <c r="AZ21" s="15" t="s">
        <v>437</v>
      </c>
      <c r="BA21" s="15" t="s">
        <v>437</v>
      </c>
      <c r="BB21" s="16" t="s">
        <v>437</v>
      </c>
      <c r="BC21" s="15" t="s">
        <v>437</v>
      </c>
      <c r="BD21" s="15" t="s">
        <v>437</v>
      </c>
      <c r="BE21" s="15" t="s">
        <v>437</v>
      </c>
      <c r="BF21" s="16" t="s">
        <v>437</v>
      </c>
      <c r="BG21" s="15" t="s">
        <v>437</v>
      </c>
      <c r="BH21" s="15" t="s">
        <v>437</v>
      </c>
      <c r="BI21" s="15" t="s">
        <v>437</v>
      </c>
      <c r="BJ21" s="16" t="s">
        <v>437</v>
      </c>
      <c r="BK21" s="15" t="s">
        <v>437</v>
      </c>
      <c r="BL21" s="15" t="s">
        <v>437</v>
      </c>
      <c r="BM21" s="15" t="s">
        <v>437</v>
      </c>
      <c r="BN21" s="16" t="s">
        <v>437</v>
      </c>
      <c r="BP21" s="18">
        <v>4</v>
      </c>
      <c r="BQ21" s="15">
        <v>4</v>
      </c>
      <c r="BR21" s="15">
        <v>4</v>
      </c>
      <c r="BS21" s="16">
        <v>4</v>
      </c>
      <c r="BU21" s="18" t="s">
        <v>437</v>
      </c>
      <c r="BV21" s="15" t="s">
        <v>437</v>
      </c>
      <c r="BW21" s="15" t="s">
        <v>437</v>
      </c>
      <c r="BX21" s="16" t="s">
        <v>437</v>
      </c>
      <c r="BZ21" s="18" t="s">
        <v>437</v>
      </c>
      <c r="CA21" s="15" t="s">
        <v>437</v>
      </c>
      <c r="CB21" s="15" t="s">
        <v>437</v>
      </c>
      <c r="CC21" s="16" t="s">
        <v>437</v>
      </c>
    </row>
    <row r="22" spans="2:81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garage!J22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17">
        <v>1</v>
      </c>
      <c r="P22" s="13">
        <v>1</v>
      </c>
      <c r="Q22" s="13">
        <v>1</v>
      </c>
      <c r="R22" s="14">
        <v>1</v>
      </c>
      <c r="S22" s="13">
        <v>1</v>
      </c>
      <c r="T22" s="13">
        <v>1</v>
      </c>
      <c r="U22" s="13">
        <v>1</v>
      </c>
      <c r="V22" s="14">
        <v>1</v>
      </c>
      <c r="W22" s="13">
        <v>1</v>
      </c>
      <c r="X22" s="13">
        <v>1</v>
      </c>
      <c r="Y22" s="13">
        <v>1</v>
      </c>
      <c r="Z22" s="14">
        <v>1</v>
      </c>
      <c r="AA22" s="13">
        <v>1</v>
      </c>
      <c r="AB22" s="13">
        <v>1</v>
      </c>
      <c r="AC22" s="13">
        <v>1</v>
      </c>
      <c r="AD22" s="14">
        <v>1</v>
      </c>
      <c r="AE22" s="13">
        <v>1</v>
      </c>
      <c r="AF22" s="13">
        <v>1</v>
      </c>
      <c r="AG22" s="13">
        <v>1</v>
      </c>
      <c r="AH22" s="14">
        <v>1</v>
      </c>
      <c r="AI22" s="13">
        <v>1</v>
      </c>
      <c r="AJ22" s="13">
        <v>1</v>
      </c>
      <c r="AK22" s="13">
        <v>1</v>
      </c>
      <c r="AL22" s="14">
        <v>1</v>
      </c>
      <c r="AM22" s="13">
        <v>1</v>
      </c>
      <c r="AN22" s="13">
        <v>1</v>
      </c>
      <c r="AO22" s="13">
        <v>1</v>
      </c>
      <c r="AP22" s="14">
        <v>1</v>
      </c>
      <c r="AQ22" s="13" t="s">
        <v>437</v>
      </c>
      <c r="AR22" s="13" t="s">
        <v>437</v>
      </c>
      <c r="AS22" s="13" t="s">
        <v>437</v>
      </c>
      <c r="AT22" s="14" t="s">
        <v>437</v>
      </c>
      <c r="AU22" s="13" t="s">
        <v>437</v>
      </c>
      <c r="AV22" s="13" t="s">
        <v>437</v>
      </c>
      <c r="AW22" s="13" t="s">
        <v>437</v>
      </c>
      <c r="AX22" s="14" t="s">
        <v>437</v>
      </c>
      <c r="AY22" s="13" t="s">
        <v>437</v>
      </c>
      <c r="AZ22" s="13" t="s">
        <v>437</v>
      </c>
      <c r="BA22" s="13" t="s">
        <v>437</v>
      </c>
      <c r="BB22" s="14" t="s">
        <v>437</v>
      </c>
      <c r="BC22" s="13" t="s">
        <v>437</v>
      </c>
      <c r="BD22" s="13" t="s">
        <v>437</v>
      </c>
      <c r="BE22" s="13" t="s">
        <v>437</v>
      </c>
      <c r="BF22" s="14" t="s">
        <v>437</v>
      </c>
      <c r="BG22" s="13" t="s">
        <v>437</v>
      </c>
      <c r="BH22" s="13" t="s">
        <v>437</v>
      </c>
      <c r="BI22" s="13" t="s">
        <v>437</v>
      </c>
      <c r="BJ22" s="14" t="s">
        <v>437</v>
      </c>
      <c r="BK22" s="13" t="s">
        <v>437</v>
      </c>
      <c r="BL22" s="13" t="s">
        <v>437</v>
      </c>
      <c r="BM22" s="13" t="s">
        <v>437</v>
      </c>
      <c r="BN22" s="14" t="s">
        <v>437</v>
      </c>
      <c r="BP22" s="17">
        <v>6</v>
      </c>
      <c r="BQ22" s="13">
        <v>4</v>
      </c>
      <c r="BR22" s="13">
        <v>4</v>
      </c>
      <c r="BS22" s="14">
        <v>6</v>
      </c>
      <c r="BU22" s="17"/>
      <c r="BV22" s="13"/>
      <c r="BW22" s="13"/>
      <c r="BX22" s="14"/>
      <c r="BZ22" s="17"/>
      <c r="CA22" s="13"/>
      <c r="CB22" s="13"/>
      <c r="CC22" s="14"/>
    </row>
    <row r="23" spans="2:81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garage!J23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18">
        <v>1</v>
      </c>
      <c r="P23" s="15">
        <v>1</v>
      </c>
      <c r="Q23" s="15">
        <v>1</v>
      </c>
      <c r="R23" s="16">
        <v>1</v>
      </c>
      <c r="S23" s="15">
        <v>1</v>
      </c>
      <c r="T23" s="15">
        <v>1</v>
      </c>
      <c r="U23" s="15">
        <v>1</v>
      </c>
      <c r="V23" s="16">
        <v>1</v>
      </c>
      <c r="W23" s="15">
        <v>1</v>
      </c>
      <c r="X23" s="15">
        <v>1</v>
      </c>
      <c r="Y23" s="15">
        <v>1</v>
      </c>
      <c r="Z23" s="16">
        <v>1</v>
      </c>
      <c r="AA23" s="15">
        <v>1</v>
      </c>
      <c r="AB23" s="15">
        <v>1</v>
      </c>
      <c r="AC23" s="15">
        <v>1</v>
      </c>
      <c r="AD23" s="16">
        <v>1</v>
      </c>
      <c r="AE23" s="15">
        <v>1</v>
      </c>
      <c r="AF23" s="15">
        <v>1</v>
      </c>
      <c r="AG23" s="15">
        <v>1</v>
      </c>
      <c r="AH23" s="16">
        <v>1</v>
      </c>
      <c r="AI23" s="15">
        <v>1</v>
      </c>
      <c r="AJ23" s="15">
        <v>1</v>
      </c>
      <c r="AK23" s="15">
        <v>1</v>
      </c>
      <c r="AL23" s="16">
        <v>1</v>
      </c>
      <c r="AM23" s="15">
        <v>1</v>
      </c>
      <c r="AN23" s="15">
        <v>1</v>
      </c>
      <c r="AO23" s="15">
        <v>1</v>
      </c>
      <c r="AP23" s="16">
        <v>1</v>
      </c>
      <c r="AQ23" s="15">
        <v>1</v>
      </c>
      <c r="AR23" s="15">
        <v>1</v>
      </c>
      <c r="AS23" s="15">
        <v>1</v>
      </c>
      <c r="AT23" s="16">
        <v>1</v>
      </c>
      <c r="AU23" s="15">
        <v>1</v>
      </c>
      <c r="AV23" s="15">
        <v>1</v>
      </c>
      <c r="AW23" s="15">
        <v>1</v>
      </c>
      <c r="AX23" s="16">
        <v>1</v>
      </c>
      <c r="AY23" s="15">
        <v>1</v>
      </c>
      <c r="AZ23" s="15">
        <v>1</v>
      </c>
      <c r="BA23" s="15">
        <v>1</v>
      </c>
      <c r="BB23" s="16">
        <v>1</v>
      </c>
      <c r="BC23" s="15">
        <v>1</v>
      </c>
      <c r="BD23" s="15">
        <v>1</v>
      </c>
      <c r="BE23" s="15">
        <v>1</v>
      </c>
      <c r="BF23" s="16">
        <v>1</v>
      </c>
      <c r="BG23" s="15" t="s">
        <v>437</v>
      </c>
      <c r="BH23" s="15" t="s">
        <v>437</v>
      </c>
      <c r="BI23" s="15" t="s">
        <v>437</v>
      </c>
      <c r="BJ23" s="16" t="s">
        <v>437</v>
      </c>
      <c r="BK23" s="15" t="s">
        <v>437</v>
      </c>
      <c r="BL23" s="15" t="s">
        <v>437</v>
      </c>
      <c r="BM23" s="15" t="s">
        <v>437</v>
      </c>
      <c r="BN23" s="16" t="s">
        <v>437</v>
      </c>
      <c r="BP23" s="18">
        <v>7</v>
      </c>
      <c r="BQ23" s="15">
        <v>7</v>
      </c>
      <c r="BR23" s="15">
        <v>7</v>
      </c>
      <c r="BS23" s="16">
        <v>7</v>
      </c>
      <c r="BU23" s="18">
        <v>2</v>
      </c>
      <c r="BV23" s="15">
        <v>2</v>
      </c>
      <c r="BW23" s="15">
        <v>2</v>
      </c>
      <c r="BX23" s="16">
        <v>2</v>
      </c>
      <c r="BZ23" s="18">
        <v>1</v>
      </c>
      <c r="CA23" s="15">
        <v>1</v>
      </c>
      <c r="CB23" s="15">
        <v>1</v>
      </c>
      <c r="CC23" s="16">
        <v>1</v>
      </c>
    </row>
    <row r="24" spans="2:81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garage!J24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17">
        <v>1</v>
      </c>
      <c r="P24" s="13">
        <v>1</v>
      </c>
      <c r="Q24" s="13">
        <v>1</v>
      </c>
      <c r="R24" s="14">
        <v>1</v>
      </c>
      <c r="S24" s="13">
        <v>1</v>
      </c>
      <c r="T24" s="13">
        <v>1</v>
      </c>
      <c r="U24" s="13">
        <v>1</v>
      </c>
      <c r="V24" s="14">
        <v>1</v>
      </c>
      <c r="W24" s="13" t="s">
        <v>437</v>
      </c>
      <c r="X24" s="13" t="s">
        <v>437</v>
      </c>
      <c r="Y24" s="13" t="s">
        <v>437</v>
      </c>
      <c r="Z24" s="14" t="s">
        <v>437</v>
      </c>
      <c r="AA24" s="13" t="s">
        <v>437</v>
      </c>
      <c r="AB24" s="13" t="s">
        <v>437</v>
      </c>
      <c r="AC24" s="13" t="s">
        <v>437</v>
      </c>
      <c r="AD24" s="14" t="s">
        <v>437</v>
      </c>
      <c r="AE24" s="13" t="s">
        <v>437</v>
      </c>
      <c r="AF24" s="13" t="s">
        <v>437</v>
      </c>
      <c r="AG24" s="13" t="s">
        <v>437</v>
      </c>
      <c r="AH24" s="14" t="s">
        <v>437</v>
      </c>
      <c r="AI24" s="13" t="s">
        <v>437</v>
      </c>
      <c r="AJ24" s="13" t="s">
        <v>437</v>
      </c>
      <c r="AK24" s="13" t="s">
        <v>437</v>
      </c>
      <c r="AL24" s="14" t="s">
        <v>437</v>
      </c>
      <c r="AM24" s="13" t="s">
        <v>437</v>
      </c>
      <c r="AN24" s="13" t="s">
        <v>437</v>
      </c>
      <c r="AO24" s="13" t="s">
        <v>437</v>
      </c>
      <c r="AP24" s="14" t="s">
        <v>437</v>
      </c>
      <c r="AQ24" s="13" t="s">
        <v>437</v>
      </c>
      <c r="AR24" s="13" t="s">
        <v>437</v>
      </c>
      <c r="AS24" s="13" t="s">
        <v>437</v>
      </c>
      <c r="AT24" s="14" t="s">
        <v>437</v>
      </c>
      <c r="AU24" s="13" t="s">
        <v>437</v>
      </c>
      <c r="AV24" s="13" t="s">
        <v>437</v>
      </c>
      <c r="AW24" s="13" t="s">
        <v>437</v>
      </c>
      <c r="AX24" s="14" t="s">
        <v>437</v>
      </c>
      <c r="AY24" s="13" t="s">
        <v>437</v>
      </c>
      <c r="AZ24" s="13" t="s">
        <v>437</v>
      </c>
      <c r="BA24" s="13" t="s">
        <v>437</v>
      </c>
      <c r="BB24" s="14" t="s">
        <v>437</v>
      </c>
      <c r="BC24" s="13" t="s">
        <v>437</v>
      </c>
      <c r="BD24" s="13" t="s">
        <v>437</v>
      </c>
      <c r="BE24" s="13" t="s">
        <v>437</v>
      </c>
      <c r="BF24" s="14" t="s">
        <v>437</v>
      </c>
      <c r="BG24" s="13" t="s">
        <v>437</v>
      </c>
      <c r="BH24" s="13" t="s">
        <v>437</v>
      </c>
      <c r="BI24" s="13" t="s">
        <v>437</v>
      </c>
      <c r="BJ24" s="14" t="s">
        <v>437</v>
      </c>
      <c r="BK24" s="13" t="s">
        <v>437</v>
      </c>
      <c r="BL24" s="13" t="s">
        <v>437</v>
      </c>
      <c r="BM24" s="13" t="s">
        <v>437</v>
      </c>
      <c r="BN24" s="14" t="s">
        <v>437</v>
      </c>
      <c r="BP24" s="17" t="s">
        <v>437</v>
      </c>
      <c r="BQ24" s="13" t="s">
        <v>437</v>
      </c>
      <c r="BR24" s="13" t="s">
        <v>437</v>
      </c>
      <c r="BS24" s="14" t="s">
        <v>437</v>
      </c>
      <c r="BU24" s="17" t="s">
        <v>437</v>
      </c>
      <c r="BV24" s="13" t="s">
        <v>437</v>
      </c>
      <c r="BW24" s="13" t="s">
        <v>437</v>
      </c>
      <c r="BX24" s="14" t="s">
        <v>437</v>
      </c>
      <c r="BZ24" s="17" t="s">
        <v>437</v>
      </c>
      <c r="CA24" s="13" t="s">
        <v>437</v>
      </c>
      <c r="CB24" s="13" t="s">
        <v>437</v>
      </c>
      <c r="CC24" s="14" t="s">
        <v>437</v>
      </c>
    </row>
    <row r="25" spans="2:81" ht="18" customHeight="1" x14ac:dyDescent="0.2">
      <c r="B25" s="10">
        <f>garage!B25</f>
        <v>25</v>
      </c>
      <c r="C25" s="10">
        <f>garage!C25</f>
        <v>1</v>
      </c>
      <c r="D25" s="10">
        <f>garage!D25</f>
        <v>24</v>
      </c>
      <c r="E25" s="10">
        <f>garage!E25</f>
        <v>10</v>
      </c>
      <c r="F25" s="10" t="str">
        <f>garage!F25</f>
        <v>--</v>
      </c>
      <c r="G25" s="10" t="str">
        <f>garage!G25</f>
        <v>O</v>
      </c>
      <c r="H25" s="10" t="str">
        <f>garage!H25</f>
        <v>O</v>
      </c>
      <c r="I25" s="10" t="str">
        <f>garage!I25</f>
        <v>N</v>
      </c>
      <c r="J25" s="10" t="str">
        <f>garage!J25</f>
        <v>N</v>
      </c>
      <c r="K25" s="10" t="str">
        <f>garage!K25</f>
        <v>D</v>
      </c>
      <c r="L25" s="11" t="str">
        <f>garage!L25</f>
        <v>Honda</v>
      </c>
      <c r="M25" s="11" t="str">
        <f>garage!M25</f>
        <v>Civic Type-R</v>
      </c>
      <c r="O25" s="18">
        <v>1</v>
      </c>
      <c r="P25" s="15">
        <v>1</v>
      </c>
      <c r="Q25" s="15">
        <v>1</v>
      </c>
      <c r="R25" s="16">
        <v>1</v>
      </c>
      <c r="S25" s="15">
        <v>1</v>
      </c>
      <c r="T25" s="15">
        <v>1</v>
      </c>
      <c r="U25" s="15">
        <v>1</v>
      </c>
      <c r="V25" s="16">
        <v>1</v>
      </c>
      <c r="W25" s="15">
        <v>1</v>
      </c>
      <c r="X25" s="15">
        <v>1</v>
      </c>
      <c r="Y25" s="15">
        <v>1</v>
      </c>
      <c r="Z25" s="16">
        <v>1</v>
      </c>
      <c r="AA25" s="15">
        <v>1</v>
      </c>
      <c r="AB25" s="15">
        <v>1</v>
      </c>
      <c r="AC25" s="15">
        <v>1</v>
      </c>
      <c r="AD25" s="16">
        <v>1</v>
      </c>
      <c r="AE25" s="15">
        <v>1</v>
      </c>
      <c r="AF25" s="15">
        <v>1</v>
      </c>
      <c r="AG25" s="15">
        <v>1</v>
      </c>
      <c r="AH25" s="16">
        <v>1</v>
      </c>
      <c r="AI25" s="15">
        <v>1</v>
      </c>
      <c r="AJ25" s="15">
        <v>1</v>
      </c>
      <c r="AK25" s="15">
        <v>1</v>
      </c>
      <c r="AL25" s="16">
        <v>1</v>
      </c>
      <c r="AM25" s="15">
        <v>1</v>
      </c>
      <c r="AN25" s="15">
        <v>1</v>
      </c>
      <c r="AO25" s="15">
        <v>1</v>
      </c>
      <c r="AP25" s="16">
        <v>1</v>
      </c>
      <c r="AQ25" s="15">
        <v>1</v>
      </c>
      <c r="AR25" s="15">
        <v>1</v>
      </c>
      <c r="AS25" s="15">
        <v>1</v>
      </c>
      <c r="AT25" s="16">
        <v>1</v>
      </c>
      <c r="AU25" s="15">
        <v>1</v>
      </c>
      <c r="AV25" s="15">
        <v>1</v>
      </c>
      <c r="AW25" s="15">
        <v>1</v>
      </c>
      <c r="AX25" s="16">
        <v>1</v>
      </c>
      <c r="AY25" s="15">
        <v>1</v>
      </c>
      <c r="AZ25" s="15">
        <v>1</v>
      </c>
      <c r="BA25" s="15">
        <v>1</v>
      </c>
      <c r="BB25" s="16">
        <v>1</v>
      </c>
      <c r="BC25" s="15">
        <v>1</v>
      </c>
      <c r="BD25" s="15">
        <v>1</v>
      </c>
      <c r="BE25" s="15">
        <v>1</v>
      </c>
      <c r="BF25" s="16">
        <v>1</v>
      </c>
      <c r="BG25" s="15" t="s">
        <v>437</v>
      </c>
      <c r="BH25" s="15" t="s">
        <v>437</v>
      </c>
      <c r="BI25" s="15" t="s">
        <v>437</v>
      </c>
      <c r="BJ25" s="16" t="s">
        <v>437</v>
      </c>
      <c r="BK25" s="15" t="s">
        <v>437</v>
      </c>
      <c r="BL25" s="15" t="s">
        <v>437</v>
      </c>
      <c r="BM25" s="15" t="s">
        <v>437</v>
      </c>
      <c r="BN25" s="16" t="s">
        <v>437</v>
      </c>
      <c r="BP25" s="18">
        <v>7</v>
      </c>
      <c r="BQ25" s="15">
        <v>7</v>
      </c>
      <c r="BR25" s="15">
        <v>7</v>
      </c>
      <c r="BS25" s="16">
        <v>7</v>
      </c>
      <c r="BU25" s="18">
        <v>2</v>
      </c>
      <c r="BV25" s="15">
        <v>2</v>
      </c>
      <c r="BW25" s="15">
        <v>2</v>
      </c>
      <c r="BX25" s="16">
        <v>2</v>
      </c>
      <c r="BZ25" s="18" t="s">
        <v>437</v>
      </c>
      <c r="CA25" s="15" t="s">
        <v>437</v>
      </c>
      <c r="CB25" s="15" t="s">
        <v>437</v>
      </c>
      <c r="CC25" s="16" t="s">
        <v>437</v>
      </c>
    </row>
    <row r="26" spans="2:81" ht="18" customHeight="1" x14ac:dyDescent="0.2">
      <c r="B26" s="8">
        <f>garage!B26</f>
        <v>26</v>
      </c>
      <c r="C26" s="8">
        <f>garage!C26</f>
        <v>1</v>
      </c>
      <c r="D26" s="8">
        <f>garage!D26</f>
        <v>25</v>
      </c>
      <c r="E26" s="8">
        <f>garage!E26</f>
        <v>11</v>
      </c>
      <c r="F26" s="8" t="str">
        <f>garage!F26</f>
        <v>P</v>
      </c>
      <c r="G26" s="8" t="str">
        <f>garage!G26</f>
        <v>O</v>
      </c>
      <c r="H26" s="8" t="str">
        <f>garage!H26</f>
        <v>O</v>
      </c>
      <c r="I26" s="8" t="str">
        <f>garage!I26</f>
        <v>O</v>
      </c>
      <c r="J26" s="8" t="str">
        <f>garage!J26</f>
        <v>N</v>
      </c>
      <c r="K26" s="8" t="str">
        <f>garage!K26</f>
        <v>D</v>
      </c>
      <c r="L26" s="9" t="str">
        <f>garage!L26</f>
        <v>Porsche</v>
      </c>
      <c r="M26" s="9" t="str">
        <f>garage!M26</f>
        <v>Taycan Turbo S</v>
      </c>
      <c r="O26" s="17">
        <v>1</v>
      </c>
      <c r="P26" s="13">
        <v>1</v>
      </c>
      <c r="Q26" s="13">
        <v>1</v>
      </c>
      <c r="R26" s="14">
        <v>1</v>
      </c>
      <c r="S26" s="13">
        <v>1</v>
      </c>
      <c r="T26" s="13">
        <v>1</v>
      </c>
      <c r="U26" s="13">
        <v>1</v>
      </c>
      <c r="V26" s="14">
        <v>1</v>
      </c>
      <c r="W26" s="13">
        <v>1</v>
      </c>
      <c r="X26" s="13">
        <v>1</v>
      </c>
      <c r="Y26" s="13">
        <v>1</v>
      </c>
      <c r="Z26" s="14">
        <v>1</v>
      </c>
      <c r="AA26" s="13">
        <v>1</v>
      </c>
      <c r="AB26" s="13">
        <v>1</v>
      </c>
      <c r="AC26" s="13">
        <v>1</v>
      </c>
      <c r="AD26" s="14">
        <v>1</v>
      </c>
      <c r="AE26" s="13">
        <v>1</v>
      </c>
      <c r="AF26" s="13">
        <v>1</v>
      </c>
      <c r="AG26" s="13">
        <v>1</v>
      </c>
      <c r="AH26" s="14">
        <v>1</v>
      </c>
      <c r="AI26" s="13">
        <v>1</v>
      </c>
      <c r="AJ26" s="13">
        <v>1</v>
      </c>
      <c r="AK26" s="13">
        <v>1</v>
      </c>
      <c r="AL26" s="14">
        <v>1</v>
      </c>
      <c r="AM26" s="13">
        <v>1</v>
      </c>
      <c r="AN26" s="13">
        <v>1</v>
      </c>
      <c r="AO26" s="13">
        <v>1</v>
      </c>
      <c r="AP26" s="14">
        <v>1</v>
      </c>
      <c r="AQ26" s="13">
        <v>1</v>
      </c>
      <c r="AR26" s="13">
        <v>1</v>
      </c>
      <c r="AS26" s="13">
        <v>1</v>
      </c>
      <c r="AT26" s="14">
        <v>1</v>
      </c>
      <c r="AU26" s="13">
        <v>1</v>
      </c>
      <c r="AV26" s="13">
        <v>1</v>
      </c>
      <c r="AW26" s="13">
        <v>1</v>
      </c>
      <c r="AX26" s="14">
        <v>1</v>
      </c>
      <c r="AY26" s="13">
        <v>1</v>
      </c>
      <c r="AZ26" s="13">
        <v>1</v>
      </c>
      <c r="BA26" s="13">
        <v>1</v>
      </c>
      <c r="BB26" s="14">
        <v>1</v>
      </c>
      <c r="BC26" s="13">
        <v>1</v>
      </c>
      <c r="BD26" s="13">
        <v>1</v>
      </c>
      <c r="BE26" s="13">
        <v>1</v>
      </c>
      <c r="BF26" s="14">
        <v>1</v>
      </c>
      <c r="BG26" s="13" t="s">
        <v>437</v>
      </c>
      <c r="BH26" s="13" t="s">
        <v>437</v>
      </c>
      <c r="BI26" s="13" t="s">
        <v>437</v>
      </c>
      <c r="BJ26" s="14" t="s">
        <v>437</v>
      </c>
      <c r="BK26" s="13" t="s">
        <v>437</v>
      </c>
      <c r="BL26" s="13" t="s">
        <v>437</v>
      </c>
      <c r="BM26" s="13" t="s">
        <v>437</v>
      </c>
      <c r="BN26" s="14" t="s">
        <v>437</v>
      </c>
      <c r="BP26" s="17">
        <v>7</v>
      </c>
      <c r="BQ26" s="13">
        <v>7</v>
      </c>
      <c r="BR26" s="13">
        <v>7</v>
      </c>
      <c r="BS26" s="14">
        <v>7</v>
      </c>
      <c r="BU26" s="17">
        <v>2</v>
      </c>
      <c r="BV26" s="13">
        <v>2</v>
      </c>
      <c r="BW26" s="13">
        <v>2</v>
      </c>
      <c r="BX26" s="14">
        <v>2</v>
      </c>
      <c r="BZ26" s="17">
        <v>1</v>
      </c>
      <c r="CA26" s="13">
        <v>1</v>
      </c>
      <c r="CB26" s="13">
        <v>1</v>
      </c>
      <c r="CC26" s="14">
        <v>1</v>
      </c>
    </row>
    <row r="27" spans="2:81" ht="18" customHeight="1" x14ac:dyDescent="0.2">
      <c r="B27" s="10">
        <f>garage!B27</f>
        <v>27</v>
      </c>
      <c r="C27" s="10">
        <f>garage!C27</f>
        <v>1</v>
      </c>
      <c r="D27" s="10">
        <f>garage!D27</f>
        <v>26</v>
      </c>
      <c r="E27" s="10">
        <f>garage!E27</f>
        <v>7</v>
      </c>
      <c r="F27" s="10" t="str">
        <f>garage!F27</f>
        <v>--</v>
      </c>
      <c r="G27" s="10" t="str">
        <f>garage!G27</f>
        <v>O</v>
      </c>
      <c r="H27" s="10" t="str">
        <f>garage!H27</f>
        <v>O</v>
      </c>
      <c r="I27" s="10" t="str">
        <f>garage!I27</f>
        <v>O</v>
      </c>
      <c r="J27" s="10" t="str">
        <f>garage!J27</f>
        <v>N</v>
      </c>
      <c r="K27" s="10" t="str">
        <f>garage!K27</f>
        <v>D</v>
      </c>
      <c r="L27" s="11" t="str">
        <f>garage!L27</f>
        <v>TVR</v>
      </c>
      <c r="M27" s="11" t="str">
        <f>garage!M27</f>
        <v>Griffith</v>
      </c>
      <c r="O27" s="18">
        <v>1</v>
      </c>
      <c r="P27" s="15">
        <v>1</v>
      </c>
      <c r="Q27" s="15">
        <v>1</v>
      </c>
      <c r="R27" s="16">
        <v>1</v>
      </c>
      <c r="S27" s="15">
        <v>1</v>
      </c>
      <c r="T27" s="15">
        <v>1</v>
      </c>
      <c r="U27" s="15">
        <v>1</v>
      </c>
      <c r="V27" s="16">
        <v>1</v>
      </c>
      <c r="W27" s="15">
        <v>1</v>
      </c>
      <c r="X27" s="15">
        <v>1</v>
      </c>
      <c r="Y27" s="15">
        <v>1</v>
      </c>
      <c r="Z27" s="16">
        <v>1</v>
      </c>
      <c r="AA27" s="15">
        <v>1</v>
      </c>
      <c r="AB27" s="15">
        <v>1</v>
      </c>
      <c r="AC27" s="15">
        <v>1</v>
      </c>
      <c r="AD27" s="16">
        <v>1</v>
      </c>
      <c r="AE27" s="15">
        <v>1</v>
      </c>
      <c r="AF27" s="15">
        <v>1</v>
      </c>
      <c r="AG27" s="15">
        <v>1</v>
      </c>
      <c r="AH27" s="16">
        <v>1</v>
      </c>
      <c r="AI27" s="15">
        <v>1</v>
      </c>
      <c r="AJ27" s="15">
        <v>1</v>
      </c>
      <c r="AK27" s="15">
        <v>1</v>
      </c>
      <c r="AL27" s="16">
        <v>1</v>
      </c>
      <c r="AM27" s="15">
        <v>1</v>
      </c>
      <c r="AN27" s="15">
        <v>1</v>
      </c>
      <c r="AO27" s="15">
        <v>1</v>
      </c>
      <c r="AP27" s="16">
        <v>1</v>
      </c>
      <c r="AQ27" s="15">
        <v>1</v>
      </c>
      <c r="AR27" s="15">
        <v>1</v>
      </c>
      <c r="AS27" s="15">
        <v>1</v>
      </c>
      <c r="AT27" s="16">
        <v>1</v>
      </c>
      <c r="AU27" s="15">
        <v>1</v>
      </c>
      <c r="AV27" s="15">
        <v>1</v>
      </c>
      <c r="AW27" s="15">
        <v>1</v>
      </c>
      <c r="AX27" s="16">
        <v>1</v>
      </c>
      <c r="AY27" s="15">
        <v>1</v>
      </c>
      <c r="AZ27" s="15">
        <v>1</v>
      </c>
      <c r="BA27" s="15">
        <v>1</v>
      </c>
      <c r="BB27" s="16">
        <v>1</v>
      </c>
      <c r="BC27" s="15">
        <v>1</v>
      </c>
      <c r="BD27" s="15">
        <v>1</v>
      </c>
      <c r="BE27" s="15">
        <v>1</v>
      </c>
      <c r="BF27" s="16">
        <v>1</v>
      </c>
      <c r="BG27" s="15" t="s">
        <v>437</v>
      </c>
      <c r="BH27" s="15" t="s">
        <v>437</v>
      </c>
      <c r="BI27" s="15" t="s">
        <v>437</v>
      </c>
      <c r="BJ27" s="16" t="s">
        <v>437</v>
      </c>
      <c r="BK27" s="15" t="s">
        <v>437</v>
      </c>
      <c r="BL27" s="15" t="s">
        <v>437</v>
      </c>
      <c r="BM27" s="15" t="s">
        <v>437</v>
      </c>
      <c r="BN27" s="16" t="s">
        <v>437</v>
      </c>
      <c r="BP27" s="18">
        <v>7</v>
      </c>
      <c r="BQ27" s="15">
        <v>7</v>
      </c>
      <c r="BR27" s="15">
        <v>7</v>
      </c>
      <c r="BS27" s="16">
        <v>7</v>
      </c>
      <c r="BU27" s="18">
        <v>2</v>
      </c>
      <c r="BV27" s="15">
        <v>2</v>
      </c>
      <c r="BW27" s="15">
        <v>2</v>
      </c>
      <c r="BX27" s="16">
        <v>2</v>
      </c>
      <c r="BZ27" s="18">
        <v>1</v>
      </c>
      <c r="CA27" s="15">
        <v>1</v>
      </c>
      <c r="CB27" s="15">
        <v>1</v>
      </c>
      <c r="CC27" s="16">
        <v>1</v>
      </c>
    </row>
    <row r="28" spans="2:81" ht="18" customHeight="1" x14ac:dyDescent="0.2">
      <c r="B28" s="8">
        <f>garage!B28</f>
        <v>28</v>
      </c>
      <c r="C28" s="8">
        <f>garage!C28</f>
        <v>1</v>
      </c>
      <c r="D28" s="8">
        <f>garage!D28</f>
        <v>27</v>
      </c>
      <c r="E28" s="8">
        <f>garage!E28</f>
        <v>14</v>
      </c>
      <c r="F28" s="8" t="str">
        <f>garage!F28</f>
        <v>--</v>
      </c>
      <c r="G28" s="8" t="str">
        <f>garage!G28</f>
        <v>O</v>
      </c>
      <c r="H28" s="8" t="str">
        <f>garage!H28</f>
        <v>O</v>
      </c>
      <c r="I28" s="8" t="str">
        <f>garage!I28</f>
        <v>N</v>
      </c>
      <c r="J28" s="8" t="str">
        <f>garage!J28</f>
        <v>N</v>
      </c>
      <c r="K28" s="8" t="str">
        <f>garage!K28</f>
        <v>D</v>
      </c>
      <c r="L28" s="9" t="str">
        <f>garage!L28</f>
        <v>Bentley</v>
      </c>
      <c r="M28" s="9" t="str">
        <f>garage!M28</f>
        <v>Continental GT3</v>
      </c>
      <c r="O28" s="17">
        <v>1</v>
      </c>
      <c r="P28" s="13">
        <v>1</v>
      </c>
      <c r="Q28" s="13">
        <v>1</v>
      </c>
      <c r="R28" s="14">
        <v>1</v>
      </c>
      <c r="S28" s="13">
        <v>1</v>
      </c>
      <c r="T28" s="13">
        <v>1</v>
      </c>
      <c r="U28" s="13">
        <v>1</v>
      </c>
      <c r="V28" s="14">
        <v>1</v>
      </c>
      <c r="W28" s="13">
        <v>1</v>
      </c>
      <c r="X28" s="13">
        <v>1</v>
      </c>
      <c r="Y28" s="13">
        <v>1</v>
      </c>
      <c r="Z28" s="14">
        <v>1</v>
      </c>
      <c r="AA28" s="13">
        <v>1</v>
      </c>
      <c r="AB28" s="13">
        <v>1</v>
      </c>
      <c r="AC28" s="13">
        <v>1</v>
      </c>
      <c r="AD28" s="14">
        <v>1</v>
      </c>
      <c r="AE28" s="13">
        <v>1</v>
      </c>
      <c r="AF28" s="13">
        <v>1</v>
      </c>
      <c r="AG28" s="13">
        <v>1</v>
      </c>
      <c r="AH28" s="14">
        <v>1</v>
      </c>
      <c r="AI28" s="13">
        <v>1</v>
      </c>
      <c r="AJ28" s="13">
        <v>1</v>
      </c>
      <c r="AK28" s="13">
        <v>1</v>
      </c>
      <c r="AL28" s="14">
        <v>1</v>
      </c>
      <c r="AM28" s="13">
        <v>1</v>
      </c>
      <c r="AN28" s="13">
        <v>1</v>
      </c>
      <c r="AO28" s="13">
        <v>1</v>
      </c>
      <c r="AP28" s="14">
        <v>1</v>
      </c>
      <c r="AQ28" s="13">
        <v>1</v>
      </c>
      <c r="AR28" s="13">
        <v>1</v>
      </c>
      <c r="AS28" s="13">
        <v>1</v>
      </c>
      <c r="AT28" s="14">
        <v>1</v>
      </c>
      <c r="AU28" s="13">
        <v>1</v>
      </c>
      <c r="AV28" s="13">
        <v>1</v>
      </c>
      <c r="AW28" s="13">
        <v>1</v>
      </c>
      <c r="AX28" s="14">
        <v>1</v>
      </c>
      <c r="AY28" s="13">
        <v>1</v>
      </c>
      <c r="AZ28" s="13">
        <v>1</v>
      </c>
      <c r="BA28" s="13">
        <v>1</v>
      </c>
      <c r="BB28" s="14">
        <v>1</v>
      </c>
      <c r="BC28" s="13">
        <v>1</v>
      </c>
      <c r="BD28" s="13">
        <v>1</v>
      </c>
      <c r="BE28" s="13">
        <v>1</v>
      </c>
      <c r="BF28" s="14">
        <v>1</v>
      </c>
      <c r="BG28" s="13" t="s">
        <v>437</v>
      </c>
      <c r="BH28" s="13" t="s">
        <v>437</v>
      </c>
      <c r="BI28" s="13" t="s">
        <v>437</v>
      </c>
      <c r="BJ28" s="14" t="s">
        <v>437</v>
      </c>
      <c r="BK28" s="13" t="s">
        <v>437</v>
      </c>
      <c r="BL28" s="13" t="s">
        <v>437</v>
      </c>
      <c r="BM28" s="13" t="s">
        <v>437</v>
      </c>
      <c r="BN28" s="14" t="s">
        <v>437</v>
      </c>
      <c r="BP28" s="17">
        <v>7</v>
      </c>
      <c r="BQ28" s="13">
        <v>7</v>
      </c>
      <c r="BR28" s="13">
        <v>7</v>
      </c>
      <c r="BS28" s="14">
        <v>7</v>
      </c>
      <c r="BU28" s="17">
        <v>2</v>
      </c>
      <c r="BV28" s="13">
        <v>2</v>
      </c>
      <c r="BW28" s="13">
        <v>2</v>
      </c>
      <c r="BX28" s="14">
        <v>2</v>
      </c>
      <c r="BZ28" s="17">
        <v>1</v>
      </c>
      <c r="CA28" s="13" t="s">
        <v>437</v>
      </c>
      <c r="CB28" s="13" t="s">
        <v>437</v>
      </c>
      <c r="CC28" s="14" t="s">
        <v>437</v>
      </c>
    </row>
    <row r="29" spans="2:81" ht="18" customHeight="1" x14ac:dyDescent="0.2">
      <c r="B29" s="10">
        <f>garage!B29</f>
        <v>29</v>
      </c>
      <c r="C29" s="10">
        <f>garage!C29</f>
        <v>1</v>
      </c>
      <c r="D29" s="10">
        <f>garage!D29</f>
        <v>28</v>
      </c>
      <c r="E29" s="10">
        <f>garage!E29</f>
        <v>0</v>
      </c>
      <c r="F29" s="10" t="str">
        <f>garage!F29</f>
        <v>--</v>
      </c>
      <c r="G29" s="10" t="str">
        <f>garage!G29</f>
        <v>O</v>
      </c>
      <c r="H29" s="10" t="str">
        <f>garage!H29</f>
        <v>O</v>
      </c>
      <c r="I29" s="10" t="str">
        <f>garage!I29</f>
        <v>O</v>
      </c>
      <c r="J29" s="10" t="str">
        <f>garage!J29</f>
        <v>N</v>
      </c>
      <c r="K29" s="10" t="str">
        <f>garage!K29</f>
        <v>D</v>
      </c>
      <c r="L29" s="11" t="str">
        <f>garage!L29</f>
        <v>Mazda</v>
      </c>
      <c r="M29" s="11" t="str">
        <f>garage!M29</f>
        <v>Furai</v>
      </c>
      <c r="O29" s="18">
        <v>1</v>
      </c>
      <c r="P29" s="15">
        <v>1</v>
      </c>
      <c r="Q29" s="15">
        <v>1</v>
      </c>
      <c r="R29" s="16">
        <v>1</v>
      </c>
      <c r="S29" s="15">
        <v>1</v>
      </c>
      <c r="T29" s="15">
        <v>1</v>
      </c>
      <c r="U29" s="15">
        <v>1</v>
      </c>
      <c r="V29" s="16">
        <v>1</v>
      </c>
      <c r="W29" s="15">
        <v>1</v>
      </c>
      <c r="X29" s="15">
        <v>1</v>
      </c>
      <c r="Y29" s="15">
        <v>1</v>
      </c>
      <c r="Z29" s="16">
        <v>1</v>
      </c>
      <c r="AA29" s="15">
        <v>1</v>
      </c>
      <c r="AB29" s="15">
        <v>1</v>
      </c>
      <c r="AC29" s="15">
        <v>1</v>
      </c>
      <c r="AD29" s="16">
        <v>1</v>
      </c>
      <c r="AE29" s="15">
        <v>1</v>
      </c>
      <c r="AF29" s="15">
        <v>1</v>
      </c>
      <c r="AG29" s="15">
        <v>1</v>
      </c>
      <c r="AH29" s="16">
        <v>1</v>
      </c>
      <c r="AI29" s="15">
        <v>1</v>
      </c>
      <c r="AJ29" s="15">
        <v>1</v>
      </c>
      <c r="AK29" s="15">
        <v>1</v>
      </c>
      <c r="AL29" s="16">
        <v>1</v>
      </c>
      <c r="AM29" s="15">
        <v>1</v>
      </c>
      <c r="AN29" s="15">
        <v>1</v>
      </c>
      <c r="AO29" s="15">
        <v>1</v>
      </c>
      <c r="AP29" s="16">
        <v>1</v>
      </c>
      <c r="AQ29" s="15">
        <v>1</v>
      </c>
      <c r="AR29" s="15">
        <v>1</v>
      </c>
      <c r="AS29" s="15">
        <v>1</v>
      </c>
      <c r="AT29" s="16">
        <v>1</v>
      </c>
      <c r="AU29" s="15">
        <v>1</v>
      </c>
      <c r="AV29" s="15">
        <v>1</v>
      </c>
      <c r="AW29" s="15">
        <v>1</v>
      </c>
      <c r="AX29" s="16">
        <v>1</v>
      </c>
      <c r="AY29" s="15">
        <v>1</v>
      </c>
      <c r="AZ29" s="15">
        <v>1</v>
      </c>
      <c r="BA29" s="15">
        <v>1</v>
      </c>
      <c r="BB29" s="16">
        <v>1</v>
      </c>
      <c r="BC29" s="15">
        <v>1</v>
      </c>
      <c r="BD29" s="15">
        <v>1</v>
      </c>
      <c r="BE29" s="15">
        <v>1</v>
      </c>
      <c r="BF29" s="16">
        <v>1</v>
      </c>
      <c r="BG29" s="15" t="s">
        <v>437</v>
      </c>
      <c r="BH29" s="15" t="s">
        <v>437</v>
      </c>
      <c r="BI29" s="15" t="s">
        <v>437</v>
      </c>
      <c r="BJ29" s="16" t="s">
        <v>437</v>
      </c>
      <c r="BK29" s="15" t="s">
        <v>437</v>
      </c>
      <c r="BL29" s="15" t="s">
        <v>437</v>
      </c>
      <c r="BM29" s="15" t="s">
        <v>437</v>
      </c>
      <c r="BN29" s="16" t="s">
        <v>437</v>
      </c>
      <c r="BP29" s="18">
        <v>7</v>
      </c>
      <c r="BQ29" s="15">
        <v>7</v>
      </c>
      <c r="BR29" s="15">
        <v>7</v>
      </c>
      <c r="BS29" s="16">
        <v>7</v>
      </c>
      <c r="BU29" s="18">
        <v>2</v>
      </c>
      <c r="BV29" s="15">
        <v>2</v>
      </c>
      <c r="BW29" s="15">
        <v>2</v>
      </c>
      <c r="BX29" s="16">
        <v>2</v>
      </c>
      <c r="BZ29" s="18">
        <v>1</v>
      </c>
      <c r="CA29" s="15">
        <v>1</v>
      </c>
      <c r="CB29" s="15">
        <v>1</v>
      </c>
      <c r="CC29" s="16">
        <v>1</v>
      </c>
    </row>
    <row r="30" spans="2:81" ht="18" customHeight="1" x14ac:dyDescent="0.2">
      <c r="B30" s="8">
        <f>garage!B30</f>
        <v>30</v>
      </c>
      <c r="C30" s="8">
        <f>garage!C30</f>
        <v>1</v>
      </c>
      <c r="D30" s="8">
        <f>garage!D30</f>
        <v>29</v>
      </c>
      <c r="E30" s="8">
        <f>garage!E30</f>
        <v>13</v>
      </c>
      <c r="F30" s="8" t="str">
        <f>garage!F30</f>
        <v>C</v>
      </c>
      <c r="G30" s="8" t="str">
        <f>garage!G30</f>
        <v>O</v>
      </c>
      <c r="H30" s="8" t="str">
        <f>garage!H30</f>
        <v>O</v>
      </c>
      <c r="I30" s="8" t="str">
        <f>garage!I30</f>
        <v>N</v>
      </c>
      <c r="J30" s="8" t="str">
        <f>garage!J30</f>
        <v>N</v>
      </c>
      <c r="K30" s="8" t="str">
        <f>garage!K30</f>
        <v>D</v>
      </c>
      <c r="L30" s="9" t="str">
        <f>garage!L30</f>
        <v>Chevrolet</v>
      </c>
      <c r="M30" s="9" t="str">
        <f>garage!M30</f>
        <v>Corvette C7.R</v>
      </c>
      <c r="O30" s="17">
        <v>1</v>
      </c>
      <c r="P30" s="13">
        <v>1</v>
      </c>
      <c r="Q30" s="13">
        <v>1</v>
      </c>
      <c r="R30" s="14">
        <v>1</v>
      </c>
      <c r="S30" s="13">
        <v>1</v>
      </c>
      <c r="T30" s="13">
        <v>1</v>
      </c>
      <c r="U30" s="13">
        <v>1</v>
      </c>
      <c r="V30" s="14">
        <v>1</v>
      </c>
      <c r="W30" s="13">
        <v>1</v>
      </c>
      <c r="X30" s="13">
        <v>1</v>
      </c>
      <c r="Y30" s="13">
        <v>1</v>
      </c>
      <c r="Z30" s="14">
        <v>1</v>
      </c>
      <c r="AA30" s="13">
        <v>1</v>
      </c>
      <c r="AB30" s="13">
        <v>1</v>
      </c>
      <c r="AC30" s="13">
        <v>1</v>
      </c>
      <c r="AD30" s="14">
        <v>1</v>
      </c>
      <c r="AE30" s="13">
        <v>1</v>
      </c>
      <c r="AF30" s="13">
        <v>1</v>
      </c>
      <c r="AG30" s="13">
        <v>1</v>
      </c>
      <c r="AH30" s="14">
        <v>1</v>
      </c>
      <c r="AI30" s="13">
        <v>1</v>
      </c>
      <c r="AJ30" s="13">
        <v>1</v>
      </c>
      <c r="AK30" s="13">
        <v>1</v>
      </c>
      <c r="AL30" s="14">
        <v>1</v>
      </c>
      <c r="AM30" s="13">
        <v>1</v>
      </c>
      <c r="AN30" s="13">
        <v>1</v>
      </c>
      <c r="AO30" s="13">
        <v>1</v>
      </c>
      <c r="AP30" s="14">
        <v>1</v>
      </c>
      <c r="AQ30" s="13">
        <v>1</v>
      </c>
      <c r="AR30" s="13">
        <v>1</v>
      </c>
      <c r="AS30" s="13">
        <v>1</v>
      </c>
      <c r="AT30" s="14">
        <v>1</v>
      </c>
      <c r="AU30" s="13">
        <v>1</v>
      </c>
      <c r="AV30" s="13">
        <v>1</v>
      </c>
      <c r="AW30" s="13">
        <v>1</v>
      </c>
      <c r="AX30" s="14">
        <v>1</v>
      </c>
      <c r="AY30" s="13">
        <v>1</v>
      </c>
      <c r="AZ30" s="13">
        <v>1</v>
      </c>
      <c r="BA30" s="13">
        <v>1</v>
      </c>
      <c r="BB30" s="14">
        <v>1</v>
      </c>
      <c r="BC30" s="13">
        <v>1</v>
      </c>
      <c r="BD30" s="13">
        <v>1</v>
      </c>
      <c r="BE30" s="13">
        <v>1</v>
      </c>
      <c r="BF30" s="14">
        <v>1</v>
      </c>
      <c r="BG30" s="13">
        <v>1</v>
      </c>
      <c r="BH30" s="13">
        <v>1</v>
      </c>
      <c r="BI30" s="13">
        <v>1</v>
      </c>
      <c r="BJ30" s="14">
        <v>1</v>
      </c>
      <c r="BK30" s="13" t="s">
        <v>437</v>
      </c>
      <c r="BL30" s="13" t="s">
        <v>437</v>
      </c>
      <c r="BM30" s="13" t="s">
        <v>437</v>
      </c>
      <c r="BN30" s="14" t="s">
        <v>437</v>
      </c>
      <c r="BP30" s="17">
        <v>8</v>
      </c>
      <c r="BQ30" s="13">
        <v>8</v>
      </c>
      <c r="BR30" s="13">
        <v>8</v>
      </c>
      <c r="BS30" s="14">
        <v>8</v>
      </c>
      <c r="BU30" s="17">
        <v>4</v>
      </c>
      <c r="BV30" s="13">
        <v>4</v>
      </c>
      <c r="BW30" s="13">
        <v>4</v>
      </c>
      <c r="BX30" s="14">
        <v>4</v>
      </c>
      <c r="BZ30" s="17" t="s">
        <v>437</v>
      </c>
      <c r="CA30" s="13" t="s">
        <v>437</v>
      </c>
      <c r="CB30" s="13" t="s">
        <v>437</v>
      </c>
      <c r="CC30" s="14" t="s">
        <v>437</v>
      </c>
    </row>
    <row r="31" spans="2:81" ht="18" hidden="1" customHeight="1" x14ac:dyDescent="0.2">
      <c r="B31" s="10">
        <f>garage!B31</f>
        <v>31</v>
      </c>
      <c r="C31" s="10">
        <f>garage!C31</f>
        <v>1</v>
      </c>
      <c r="D31" s="10">
        <f>garage!D31</f>
        <v>30</v>
      </c>
      <c r="E31" s="10">
        <f>garage!E31</f>
        <v>16</v>
      </c>
      <c r="F31" s="10" t="str">
        <f>garage!F31</f>
        <v>L</v>
      </c>
      <c r="G31" s="10" t="str">
        <f>garage!G31</f>
        <v>N</v>
      </c>
      <c r="H31" s="10" t="str">
        <f>garage!H31</f>
        <v>N</v>
      </c>
      <c r="I31" s="10" t="str">
        <f>garage!I31</f>
        <v>N</v>
      </c>
      <c r="J31" s="10" t="str">
        <f>garage!J31</f>
        <v>N</v>
      </c>
      <c r="K31" s="10" t="str">
        <f>garage!K31</f>
        <v>D</v>
      </c>
      <c r="L31" s="11" t="str">
        <f>garage!L31</f>
        <v>Lamborghini</v>
      </c>
      <c r="M31" s="11" t="str">
        <f>garage!M31</f>
        <v>Huracan Super Trofeo Evo</v>
      </c>
      <c r="O31" s="18">
        <v>1</v>
      </c>
      <c r="P31" s="15">
        <v>1</v>
      </c>
      <c r="Q31" s="15">
        <v>1</v>
      </c>
      <c r="R31" s="16">
        <v>1</v>
      </c>
      <c r="S31" s="15" t="s">
        <v>437</v>
      </c>
      <c r="T31" s="15" t="s">
        <v>437</v>
      </c>
      <c r="U31" s="15" t="s">
        <v>437</v>
      </c>
      <c r="V31" s="16" t="s">
        <v>437</v>
      </c>
      <c r="W31" s="15" t="s">
        <v>437</v>
      </c>
      <c r="X31" s="15" t="s">
        <v>437</v>
      </c>
      <c r="Y31" s="15" t="s">
        <v>437</v>
      </c>
      <c r="Z31" s="16" t="s">
        <v>437</v>
      </c>
      <c r="AA31" s="15" t="s">
        <v>437</v>
      </c>
      <c r="AB31" s="15" t="s">
        <v>437</v>
      </c>
      <c r="AC31" s="15" t="s">
        <v>437</v>
      </c>
      <c r="AD31" s="16" t="s">
        <v>437</v>
      </c>
      <c r="AE31" s="15" t="s">
        <v>437</v>
      </c>
      <c r="AF31" s="15" t="s">
        <v>437</v>
      </c>
      <c r="AG31" s="15" t="s">
        <v>437</v>
      </c>
      <c r="AH31" s="16" t="s">
        <v>437</v>
      </c>
      <c r="AI31" s="15" t="s">
        <v>437</v>
      </c>
      <c r="AJ31" s="15" t="s">
        <v>437</v>
      </c>
      <c r="AK31" s="15" t="s">
        <v>437</v>
      </c>
      <c r="AL31" s="16" t="s">
        <v>437</v>
      </c>
      <c r="AM31" s="15" t="s">
        <v>437</v>
      </c>
      <c r="AN31" s="15" t="s">
        <v>437</v>
      </c>
      <c r="AO31" s="15" t="s">
        <v>437</v>
      </c>
      <c r="AP31" s="16" t="s">
        <v>437</v>
      </c>
      <c r="AQ31" s="15" t="s">
        <v>437</v>
      </c>
      <c r="AR31" s="15" t="s">
        <v>437</v>
      </c>
      <c r="AS31" s="15" t="s">
        <v>437</v>
      </c>
      <c r="AT31" s="16" t="s">
        <v>437</v>
      </c>
      <c r="AU31" s="15" t="s">
        <v>437</v>
      </c>
      <c r="AV31" s="15" t="s">
        <v>437</v>
      </c>
      <c r="AW31" s="15" t="s">
        <v>437</v>
      </c>
      <c r="AX31" s="16" t="s">
        <v>437</v>
      </c>
      <c r="AY31" s="15" t="s">
        <v>437</v>
      </c>
      <c r="AZ31" s="15" t="s">
        <v>437</v>
      </c>
      <c r="BA31" s="15" t="s">
        <v>437</v>
      </c>
      <c r="BB31" s="16" t="s">
        <v>437</v>
      </c>
      <c r="BC31" s="15" t="s">
        <v>437</v>
      </c>
      <c r="BD31" s="15" t="s">
        <v>437</v>
      </c>
      <c r="BE31" s="15" t="s">
        <v>437</v>
      </c>
      <c r="BF31" s="16" t="s">
        <v>437</v>
      </c>
      <c r="BG31" s="15" t="s">
        <v>437</v>
      </c>
      <c r="BH31" s="15" t="s">
        <v>437</v>
      </c>
      <c r="BI31" s="15" t="s">
        <v>437</v>
      </c>
      <c r="BJ31" s="16" t="s">
        <v>437</v>
      </c>
      <c r="BK31" s="15" t="s">
        <v>437</v>
      </c>
      <c r="BL31" s="15" t="s">
        <v>437</v>
      </c>
      <c r="BM31" s="15" t="s">
        <v>437</v>
      </c>
      <c r="BN31" s="16" t="s">
        <v>437</v>
      </c>
      <c r="BP31" s="18" t="s">
        <v>437</v>
      </c>
      <c r="BQ31" s="15" t="s">
        <v>437</v>
      </c>
      <c r="BR31" s="15" t="s">
        <v>437</v>
      </c>
      <c r="BS31" s="16" t="s">
        <v>437</v>
      </c>
      <c r="BU31" s="18" t="s">
        <v>437</v>
      </c>
      <c r="BV31" s="15" t="s">
        <v>437</v>
      </c>
      <c r="BW31" s="15" t="s">
        <v>437</v>
      </c>
      <c r="BX31" s="16" t="s">
        <v>437</v>
      </c>
      <c r="BZ31" s="18" t="s">
        <v>437</v>
      </c>
      <c r="CA31" s="15" t="s">
        <v>437</v>
      </c>
      <c r="CB31" s="15" t="s">
        <v>437</v>
      </c>
      <c r="CC31" s="16" t="s">
        <v>437</v>
      </c>
    </row>
    <row r="32" spans="2:81" ht="18" hidden="1" customHeight="1" x14ac:dyDescent="0.2">
      <c r="B32" s="8">
        <f>garage!B32</f>
        <v>32</v>
      </c>
      <c r="C32" s="8">
        <f>garage!C32</f>
        <v>1</v>
      </c>
      <c r="D32" s="8">
        <f>garage!D32</f>
        <v>31</v>
      </c>
      <c r="E32" s="8">
        <f>garage!E32</f>
        <v>21</v>
      </c>
      <c r="F32" s="8" t="str">
        <f>garage!F32</f>
        <v>--</v>
      </c>
      <c r="G32" s="8" t="str">
        <f>garage!G32</f>
        <v>N</v>
      </c>
      <c r="H32" s="8" t="str">
        <f>garage!H32</f>
        <v>N</v>
      </c>
      <c r="I32" s="8" t="str">
        <f>garage!I32</f>
        <v>N</v>
      </c>
      <c r="J32" s="8" t="str">
        <f>garage!J32</f>
        <v>N</v>
      </c>
      <c r="K32" s="8" t="str">
        <f>garage!K32</f>
        <v>D</v>
      </c>
      <c r="L32" s="9" t="str">
        <f>garage!L32</f>
        <v>Volkswagen</v>
      </c>
      <c r="M32" s="9" t="str">
        <f>garage!M32</f>
        <v>Electric R</v>
      </c>
      <c r="O32" s="17" t="s">
        <v>437</v>
      </c>
      <c r="P32" s="13" t="s">
        <v>437</v>
      </c>
      <c r="Q32" s="13" t="s">
        <v>437</v>
      </c>
      <c r="R32" s="14" t="s">
        <v>437</v>
      </c>
      <c r="S32" s="13" t="s">
        <v>437</v>
      </c>
      <c r="T32" s="13" t="s">
        <v>437</v>
      </c>
      <c r="U32" s="13" t="s">
        <v>437</v>
      </c>
      <c r="V32" s="14" t="s">
        <v>437</v>
      </c>
      <c r="W32" s="13" t="s">
        <v>437</v>
      </c>
      <c r="X32" s="13" t="s">
        <v>437</v>
      </c>
      <c r="Y32" s="13" t="s">
        <v>437</v>
      </c>
      <c r="Z32" s="14" t="s">
        <v>437</v>
      </c>
      <c r="AA32" s="13" t="s">
        <v>437</v>
      </c>
      <c r="AB32" s="13" t="s">
        <v>437</v>
      </c>
      <c r="AC32" s="13" t="s">
        <v>437</v>
      </c>
      <c r="AD32" s="14" t="s">
        <v>437</v>
      </c>
      <c r="AE32" s="13" t="s">
        <v>437</v>
      </c>
      <c r="AF32" s="13" t="s">
        <v>437</v>
      </c>
      <c r="AG32" s="13" t="s">
        <v>437</v>
      </c>
      <c r="AH32" s="14" t="s">
        <v>437</v>
      </c>
      <c r="AI32" s="13" t="s">
        <v>437</v>
      </c>
      <c r="AJ32" s="13" t="s">
        <v>437</v>
      </c>
      <c r="AK32" s="13" t="s">
        <v>437</v>
      </c>
      <c r="AL32" s="14" t="s">
        <v>437</v>
      </c>
      <c r="AM32" s="13" t="s">
        <v>437</v>
      </c>
      <c r="AN32" s="13" t="s">
        <v>437</v>
      </c>
      <c r="AO32" s="13" t="s">
        <v>437</v>
      </c>
      <c r="AP32" s="14" t="s">
        <v>437</v>
      </c>
      <c r="AQ32" s="13" t="s">
        <v>437</v>
      </c>
      <c r="AR32" s="13" t="s">
        <v>437</v>
      </c>
      <c r="AS32" s="13" t="s">
        <v>437</v>
      </c>
      <c r="AT32" s="14" t="s">
        <v>437</v>
      </c>
      <c r="AU32" s="13" t="s">
        <v>437</v>
      </c>
      <c r="AV32" s="13" t="s">
        <v>437</v>
      </c>
      <c r="AW32" s="13" t="s">
        <v>437</v>
      </c>
      <c r="AX32" s="14" t="s">
        <v>437</v>
      </c>
      <c r="AY32" s="13" t="s">
        <v>437</v>
      </c>
      <c r="AZ32" s="13" t="s">
        <v>437</v>
      </c>
      <c r="BA32" s="13" t="s">
        <v>437</v>
      </c>
      <c r="BB32" s="14" t="s">
        <v>437</v>
      </c>
      <c r="BC32" s="13" t="s">
        <v>437</v>
      </c>
      <c r="BD32" s="13" t="s">
        <v>437</v>
      </c>
      <c r="BE32" s="13" t="s">
        <v>437</v>
      </c>
      <c r="BF32" s="14" t="s">
        <v>437</v>
      </c>
      <c r="BG32" s="13" t="s">
        <v>437</v>
      </c>
      <c r="BH32" s="13" t="s">
        <v>437</v>
      </c>
      <c r="BI32" s="13" t="s">
        <v>437</v>
      </c>
      <c r="BJ32" s="14" t="s">
        <v>437</v>
      </c>
      <c r="BK32" s="13" t="s">
        <v>437</v>
      </c>
      <c r="BL32" s="13" t="s">
        <v>437</v>
      </c>
      <c r="BM32" s="13" t="s">
        <v>437</v>
      </c>
      <c r="BN32" s="14" t="s">
        <v>437</v>
      </c>
      <c r="BP32" s="17" t="s">
        <v>437</v>
      </c>
      <c r="BQ32" s="13" t="s">
        <v>437</v>
      </c>
      <c r="BR32" s="13" t="s">
        <v>437</v>
      </c>
      <c r="BS32" s="14" t="s">
        <v>437</v>
      </c>
      <c r="BU32" s="17" t="s">
        <v>437</v>
      </c>
      <c r="BV32" s="13" t="s">
        <v>437</v>
      </c>
      <c r="BW32" s="13" t="s">
        <v>437</v>
      </c>
      <c r="BX32" s="14" t="s">
        <v>437</v>
      </c>
      <c r="BZ32" s="17" t="s">
        <v>437</v>
      </c>
      <c r="CA32" s="13" t="s">
        <v>437</v>
      </c>
      <c r="CB32" s="13" t="s">
        <v>437</v>
      </c>
      <c r="CC32" s="14" t="s">
        <v>437</v>
      </c>
    </row>
    <row r="33" spans="2:81" ht="18" hidden="1" customHeight="1" x14ac:dyDescent="0.2">
      <c r="B33" s="10">
        <f>garage!B33</f>
        <v>33</v>
      </c>
      <c r="C33" s="10">
        <f>garage!C33</f>
        <v>1</v>
      </c>
      <c r="D33" s="10">
        <f>garage!D33</f>
        <v>32</v>
      </c>
      <c r="E33" s="10">
        <f>garage!E33</f>
        <v>27</v>
      </c>
      <c r="F33" s="10" t="str">
        <f>garage!F33</f>
        <v>--</v>
      </c>
      <c r="G33" s="10" t="str">
        <f>garage!G33</f>
        <v>N</v>
      </c>
      <c r="H33" s="10" t="str">
        <f>garage!H33</f>
        <v>N</v>
      </c>
      <c r="I33" s="10" t="str">
        <f>garage!I33</f>
        <v>N</v>
      </c>
      <c r="J33" s="10" t="str">
        <f>garage!J33</f>
        <v>N</v>
      </c>
      <c r="K33" s="10" t="str">
        <f>garage!K33</f>
        <v>D</v>
      </c>
      <c r="L33" s="11" t="str">
        <f>garage!L33</f>
        <v>Glickhaus</v>
      </c>
      <c r="M33" s="11" t="str">
        <f>garage!M33</f>
        <v>004C</v>
      </c>
      <c r="O33" s="18">
        <v>1</v>
      </c>
      <c r="P33" s="15">
        <v>1</v>
      </c>
      <c r="Q33" s="15">
        <v>1</v>
      </c>
      <c r="R33" s="16">
        <v>1</v>
      </c>
      <c r="S33" s="15">
        <v>1</v>
      </c>
      <c r="T33" s="15">
        <v>1</v>
      </c>
      <c r="U33" s="15">
        <v>1</v>
      </c>
      <c r="V33" s="16">
        <v>1</v>
      </c>
      <c r="W33" s="15">
        <v>1</v>
      </c>
      <c r="X33" s="15">
        <v>1</v>
      </c>
      <c r="Y33" s="15">
        <v>1</v>
      </c>
      <c r="Z33" s="16">
        <v>1</v>
      </c>
      <c r="AA33" s="15">
        <v>1</v>
      </c>
      <c r="AB33" s="15">
        <v>1</v>
      </c>
      <c r="AC33" s="15">
        <v>1</v>
      </c>
      <c r="AD33" s="16">
        <v>1</v>
      </c>
      <c r="AE33" s="15">
        <v>1</v>
      </c>
      <c r="AF33" s="15">
        <v>1</v>
      </c>
      <c r="AG33" s="15">
        <v>1</v>
      </c>
      <c r="AH33" s="16">
        <v>1</v>
      </c>
      <c r="AI33" s="15">
        <v>1</v>
      </c>
      <c r="AJ33" s="15">
        <v>1</v>
      </c>
      <c r="AK33" s="15">
        <v>1</v>
      </c>
      <c r="AL33" s="16">
        <v>1</v>
      </c>
      <c r="AM33" s="15" t="s">
        <v>437</v>
      </c>
      <c r="AN33" s="15" t="s">
        <v>437</v>
      </c>
      <c r="AO33" s="15" t="s">
        <v>437</v>
      </c>
      <c r="AP33" s="16" t="s">
        <v>437</v>
      </c>
      <c r="AQ33" s="15" t="s">
        <v>437</v>
      </c>
      <c r="AR33" s="15" t="s">
        <v>437</v>
      </c>
      <c r="AS33" s="15" t="s">
        <v>437</v>
      </c>
      <c r="AT33" s="16" t="s">
        <v>437</v>
      </c>
      <c r="AU33" s="15" t="s">
        <v>437</v>
      </c>
      <c r="AV33" s="15" t="s">
        <v>437</v>
      </c>
      <c r="AW33" s="15" t="s">
        <v>437</v>
      </c>
      <c r="AX33" s="16" t="s">
        <v>437</v>
      </c>
      <c r="AY33" s="15" t="s">
        <v>437</v>
      </c>
      <c r="AZ33" s="15" t="s">
        <v>437</v>
      </c>
      <c r="BA33" s="15" t="s">
        <v>437</v>
      </c>
      <c r="BB33" s="16" t="s">
        <v>437</v>
      </c>
      <c r="BC33" s="15" t="s">
        <v>437</v>
      </c>
      <c r="BD33" s="15" t="s">
        <v>437</v>
      </c>
      <c r="BE33" s="15" t="s">
        <v>437</v>
      </c>
      <c r="BF33" s="16" t="s">
        <v>437</v>
      </c>
      <c r="BG33" s="15" t="s">
        <v>437</v>
      </c>
      <c r="BH33" s="15" t="s">
        <v>437</v>
      </c>
      <c r="BI33" s="15" t="s">
        <v>437</v>
      </c>
      <c r="BJ33" s="16" t="s">
        <v>437</v>
      </c>
      <c r="BK33" s="15" t="s">
        <v>437</v>
      </c>
      <c r="BL33" s="15" t="s">
        <v>437</v>
      </c>
      <c r="BM33" s="15" t="s">
        <v>437</v>
      </c>
      <c r="BN33" s="16" t="s">
        <v>437</v>
      </c>
      <c r="BP33" s="18">
        <v>3</v>
      </c>
      <c r="BQ33" s="15">
        <v>3</v>
      </c>
      <c r="BR33" s="15">
        <v>3</v>
      </c>
      <c r="BS33" s="16">
        <v>3</v>
      </c>
      <c r="BU33" s="18" t="s">
        <v>437</v>
      </c>
      <c r="BV33" s="15" t="s">
        <v>437</v>
      </c>
      <c r="BW33" s="15" t="s">
        <v>437</v>
      </c>
      <c r="BX33" s="16" t="s">
        <v>437</v>
      </c>
      <c r="BZ33" s="18" t="s">
        <v>437</v>
      </c>
      <c r="CA33" s="15" t="s">
        <v>437</v>
      </c>
      <c r="CB33" s="15" t="s">
        <v>437</v>
      </c>
      <c r="CC33" s="16" t="s">
        <v>437</v>
      </c>
    </row>
    <row r="34" spans="2:81" ht="18" customHeight="1" x14ac:dyDescent="0.2">
      <c r="B34" s="8">
        <f>garage!B34</f>
        <v>34</v>
      </c>
      <c r="C34" s="8">
        <f>garage!C34</f>
        <v>2</v>
      </c>
      <c r="D34" s="8">
        <f>garage!D34</f>
        <v>1</v>
      </c>
      <c r="E34" s="8">
        <f>garage!E34</f>
        <v>0</v>
      </c>
      <c r="F34" s="8" t="str">
        <f>garage!F34</f>
        <v>--</v>
      </c>
      <c r="G34" s="8" t="str">
        <f>garage!G34</f>
        <v>O</v>
      </c>
      <c r="H34" s="8" t="str">
        <f>garage!H34</f>
        <v>O</v>
      </c>
      <c r="I34" s="8" t="str">
        <f>garage!I34</f>
        <v>O</v>
      </c>
      <c r="J34" s="8" t="str">
        <f>garage!J34</f>
        <v>N</v>
      </c>
      <c r="K34" s="8" t="str">
        <f>garage!K34</f>
        <v>C</v>
      </c>
      <c r="L34" s="9" t="str">
        <f>garage!L34</f>
        <v>Dodge</v>
      </c>
      <c r="M34" s="9" t="str">
        <f>garage!M34</f>
        <v>Challenger SRT8</v>
      </c>
      <c r="O34" s="17">
        <v>1</v>
      </c>
      <c r="P34" s="13">
        <v>1</v>
      </c>
      <c r="Q34" s="13">
        <v>1</v>
      </c>
      <c r="R34" s="14">
        <v>1</v>
      </c>
      <c r="S34" s="13">
        <v>1</v>
      </c>
      <c r="T34" s="13">
        <v>1</v>
      </c>
      <c r="U34" s="13">
        <v>1</v>
      </c>
      <c r="V34" s="14">
        <v>1</v>
      </c>
      <c r="W34" s="13">
        <v>1</v>
      </c>
      <c r="X34" s="13">
        <v>1</v>
      </c>
      <c r="Y34" s="13">
        <v>1</v>
      </c>
      <c r="Z34" s="14">
        <v>1</v>
      </c>
      <c r="AA34" s="13">
        <v>1</v>
      </c>
      <c r="AB34" s="13">
        <v>1</v>
      </c>
      <c r="AC34" s="13">
        <v>1</v>
      </c>
      <c r="AD34" s="14">
        <v>1</v>
      </c>
      <c r="AE34" s="13">
        <v>1</v>
      </c>
      <c r="AF34" s="13">
        <v>1</v>
      </c>
      <c r="AG34" s="13">
        <v>1</v>
      </c>
      <c r="AH34" s="14">
        <v>1</v>
      </c>
      <c r="AI34" s="13">
        <v>1</v>
      </c>
      <c r="AJ34" s="13">
        <v>1</v>
      </c>
      <c r="AK34" s="13">
        <v>1</v>
      </c>
      <c r="AL34" s="14">
        <v>1</v>
      </c>
      <c r="AM34" s="13">
        <v>1</v>
      </c>
      <c r="AN34" s="13">
        <v>1</v>
      </c>
      <c r="AO34" s="13">
        <v>1</v>
      </c>
      <c r="AP34" s="14">
        <v>1</v>
      </c>
      <c r="AQ34" s="13">
        <v>1</v>
      </c>
      <c r="AR34" s="13">
        <v>1</v>
      </c>
      <c r="AS34" s="13">
        <v>1</v>
      </c>
      <c r="AT34" s="14">
        <v>1</v>
      </c>
      <c r="AU34" s="13">
        <v>1</v>
      </c>
      <c r="AV34" s="13">
        <v>1</v>
      </c>
      <c r="AW34" s="13">
        <v>1</v>
      </c>
      <c r="AX34" s="14">
        <v>1</v>
      </c>
      <c r="AY34" s="13">
        <v>1</v>
      </c>
      <c r="AZ34" s="13">
        <v>1</v>
      </c>
      <c r="BA34" s="13">
        <v>1</v>
      </c>
      <c r="BB34" s="14">
        <v>1</v>
      </c>
      <c r="BC34" s="13" t="s">
        <v>437</v>
      </c>
      <c r="BD34" s="13" t="s">
        <v>437</v>
      </c>
      <c r="BE34" s="13" t="s">
        <v>437</v>
      </c>
      <c r="BF34" s="14" t="s">
        <v>437</v>
      </c>
      <c r="BG34" s="13" t="s">
        <v>437</v>
      </c>
      <c r="BH34" s="13" t="s">
        <v>437</v>
      </c>
      <c r="BI34" s="13" t="s">
        <v>437</v>
      </c>
      <c r="BJ34" s="14" t="s">
        <v>437</v>
      </c>
      <c r="BK34" s="13" t="s">
        <v>437</v>
      </c>
      <c r="BL34" s="13" t="s">
        <v>437</v>
      </c>
      <c r="BM34" s="13" t="s">
        <v>437</v>
      </c>
      <c r="BN34" s="14" t="s">
        <v>437</v>
      </c>
      <c r="BP34" s="17">
        <v>4</v>
      </c>
      <c r="BQ34" s="13">
        <v>4</v>
      </c>
      <c r="BR34" s="13">
        <v>4</v>
      </c>
      <c r="BS34" s="14">
        <v>4</v>
      </c>
      <c r="BU34" s="17">
        <v>1</v>
      </c>
      <c r="BV34" s="13">
        <v>1</v>
      </c>
      <c r="BW34" s="13">
        <v>1</v>
      </c>
      <c r="BX34" s="14">
        <v>1</v>
      </c>
      <c r="BZ34" s="17">
        <v>1</v>
      </c>
      <c r="CA34" s="13">
        <v>1</v>
      </c>
      <c r="CB34" s="13">
        <v>1</v>
      </c>
      <c r="CC34" s="14">
        <v>1</v>
      </c>
    </row>
    <row r="35" spans="2:81" ht="18" customHeight="1" x14ac:dyDescent="0.2">
      <c r="B35" s="10">
        <f>garage!B35</f>
        <v>35</v>
      </c>
      <c r="C35" s="10">
        <f>garage!C35</f>
        <v>2</v>
      </c>
      <c r="D35" s="10">
        <f>garage!D35</f>
        <v>2</v>
      </c>
      <c r="E35" s="10">
        <f>garage!E35</f>
        <v>0</v>
      </c>
      <c r="F35" s="10" t="str">
        <f>garage!F35</f>
        <v>--</v>
      </c>
      <c r="G35" s="10" t="str">
        <f>garage!G35</f>
        <v>O</v>
      </c>
      <c r="H35" s="10" t="str">
        <f>garage!H35</f>
        <v>O</v>
      </c>
      <c r="I35" s="10" t="str">
        <f>garage!I35</f>
        <v>O</v>
      </c>
      <c r="J35" s="10" t="str">
        <f>garage!J35</f>
        <v>N</v>
      </c>
      <c r="K35" s="10" t="str">
        <f>garage!K35</f>
        <v>C</v>
      </c>
      <c r="L35" s="11" t="str">
        <f>garage!L35</f>
        <v>BMW</v>
      </c>
      <c r="M35" s="11" t="str">
        <f>garage!M35</f>
        <v>3.0 CSL Hommage</v>
      </c>
      <c r="O35" s="18">
        <v>1</v>
      </c>
      <c r="P35" s="15">
        <v>1</v>
      </c>
      <c r="Q35" s="15">
        <v>1</v>
      </c>
      <c r="R35" s="16">
        <v>1</v>
      </c>
      <c r="S35" s="15">
        <v>1</v>
      </c>
      <c r="T35" s="15">
        <v>1</v>
      </c>
      <c r="U35" s="15">
        <v>1</v>
      </c>
      <c r="V35" s="16">
        <v>1</v>
      </c>
      <c r="W35" s="15">
        <v>1</v>
      </c>
      <c r="X35" s="15">
        <v>1</v>
      </c>
      <c r="Y35" s="15">
        <v>1</v>
      </c>
      <c r="Z35" s="16">
        <v>1</v>
      </c>
      <c r="AA35" s="15">
        <v>1</v>
      </c>
      <c r="AB35" s="15">
        <v>1</v>
      </c>
      <c r="AC35" s="15">
        <v>1</v>
      </c>
      <c r="AD35" s="16">
        <v>1</v>
      </c>
      <c r="AE35" s="15">
        <v>1</v>
      </c>
      <c r="AF35" s="15">
        <v>1</v>
      </c>
      <c r="AG35" s="15">
        <v>1</v>
      </c>
      <c r="AH35" s="16">
        <v>1</v>
      </c>
      <c r="AI35" s="15">
        <v>1</v>
      </c>
      <c r="AJ35" s="15">
        <v>1</v>
      </c>
      <c r="AK35" s="15">
        <v>1</v>
      </c>
      <c r="AL35" s="16">
        <v>1</v>
      </c>
      <c r="AM35" s="15">
        <v>1</v>
      </c>
      <c r="AN35" s="15">
        <v>1</v>
      </c>
      <c r="AO35" s="15">
        <v>1</v>
      </c>
      <c r="AP35" s="16">
        <v>1</v>
      </c>
      <c r="AQ35" s="15">
        <v>1</v>
      </c>
      <c r="AR35" s="15">
        <v>1</v>
      </c>
      <c r="AS35" s="15">
        <v>1</v>
      </c>
      <c r="AT35" s="16">
        <v>1</v>
      </c>
      <c r="AU35" s="15">
        <v>1</v>
      </c>
      <c r="AV35" s="15">
        <v>1</v>
      </c>
      <c r="AW35" s="15">
        <v>1</v>
      </c>
      <c r="AX35" s="16">
        <v>1</v>
      </c>
      <c r="AY35" s="15">
        <v>1</v>
      </c>
      <c r="AZ35" s="15">
        <v>1</v>
      </c>
      <c r="BA35" s="15">
        <v>1</v>
      </c>
      <c r="BB35" s="16">
        <v>1</v>
      </c>
      <c r="BC35" s="15" t="s">
        <v>437</v>
      </c>
      <c r="BD35" s="15" t="s">
        <v>437</v>
      </c>
      <c r="BE35" s="15" t="s">
        <v>437</v>
      </c>
      <c r="BF35" s="16" t="s">
        <v>437</v>
      </c>
      <c r="BG35" s="15" t="s">
        <v>437</v>
      </c>
      <c r="BH35" s="15" t="s">
        <v>437</v>
      </c>
      <c r="BI35" s="15" t="s">
        <v>437</v>
      </c>
      <c r="BJ35" s="16" t="s">
        <v>437</v>
      </c>
      <c r="BK35" s="15" t="s">
        <v>437</v>
      </c>
      <c r="BL35" s="15" t="s">
        <v>437</v>
      </c>
      <c r="BM35" s="15" t="s">
        <v>437</v>
      </c>
      <c r="BN35" s="16" t="s">
        <v>437</v>
      </c>
      <c r="BP35" s="18">
        <v>4</v>
      </c>
      <c r="BQ35" s="15">
        <v>4</v>
      </c>
      <c r="BR35" s="15">
        <v>4</v>
      </c>
      <c r="BS35" s="16">
        <v>4</v>
      </c>
      <c r="BU35" s="18">
        <v>1</v>
      </c>
      <c r="BV35" s="15">
        <v>1</v>
      </c>
      <c r="BW35" s="15">
        <v>1</v>
      </c>
      <c r="BX35" s="16">
        <v>1</v>
      </c>
      <c r="BZ35" s="18">
        <v>1</v>
      </c>
      <c r="CA35" s="15">
        <v>1</v>
      </c>
      <c r="CB35" s="15">
        <v>1</v>
      </c>
      <c r="CC35" s="16">
        <v>1</v>
      </c>
    </row>
    <row r="36" spans="2:81" ht="18" customHeight="1" x14ac:dyDescent="0.2">
      <c r="B36" s="8">
        <f>garage!B36</f>
        <v>36</v>
      </c>
      <c r="C36" s="8">
        <f>garage!C36</f>
        <v>2</v>
      </c>
      <c r="D36" s="8">
        <f>garage!D36</f>
        <v>3</v>
      </c>
      <c r="E36" s="8">
        <f>garage!E36</f>
        <v>28</v>
      </c>
      <c r="F36" s="8" t="str">
        <f>garage!F36</f>
        <v>P</v>
      </c>
      <c r="G36" s="8" t="str">
        <f>garage!G36</f>
        <v>O</v>
      </c>
      <c r="H36" s="8" t="str">
        <f>garage!H36</f>
        <v>O</v>
      </c>
      <c r="I36" s="8" t="str">
        <f>garage!I36</f>
        <v>N</v>
      </c>
      <c r="J36" s="8" t="str">
        <f>garage!J36</f>
        <v>N</v>
      </c>
      <c r="K36" s="8" t="str">
        <f>garage!K36</f>
        <v>C</v>
      </c>
      <c r="L36" s="9" t="str">
        <f>garage!L36</f>
        <v>Porsche</v>
      </c>
      <c r="M36" s="9" t="str">
        <f>garage!M36</f>
        <v>Boxster 25th</v>
      </c>
      <c r="O36" s="17" t="s">
        <v>437</v>
      </c>
      <c r="P36" s="13" t="s">
        <v>437</v>
      </c>
      <c r="Q36" s="13" t="s">
        <v>437</v>
      </c>
      <c r="R36" s="14" t="s">
        <v>437</v>
      </c>
      <c r="S36" s="13" t="s">
        <v>437</v>
      </c>
      <c r="T36" s="13" t="s">
        <v>437</v>
      </c>
      <c r="U36" s="13" t="s">
        <v>437</v>
      </c>
      <c r="V36" s="14" t="s">
        <v>437</v>
      </c>
      <c r="W36" s="13" t="s">
        <v>437</v>
      </c>
      <c r="X36" s="13" t="s">
        <v>437</v>
      </c>
      <c r="Y36" s="13" t="s">
        <v>437</v>
      </c>
      <c r="Z36" s="14" t="s">
        <v>437</v>
      </c>
      <c r="AA36" s="13" t="s">
        <v>437</v>
      </c>
      <c r="AB36" s="13" t="s">
        <v>437</v>
      </c>
      <c r="AC36" s="13" t="s">
        <v>437</v>
      </c>
      <c r="AD36" s="14" t="s">
        <v>437</v>
      </c>
      <c r="AE36" s="13" t="s">
        <v>437</v>
      </c>
      <c r="AF36" s="13" t="s">
        <v>437</v>
      </c>
      <c r="AG36" s="13" t="s">
        <v>437</v>
      </c>
      <c r="AH36" s="14" t="s">
        <v>437</v>
      </c>
      <c r="AI36" s="13" t="s">
        <v>437</v>
      </c>
      <c r="AJ36" s="13" t="s">
        <v>437</v>
      </c>
      <c r="AK36" s="13" t="s">
        <v>437</v>
      </c>
      <c r="AL36" s="14" t="s">
        <v>437</v>
      </c>
      <c r="AM36" s="13" t="s">
        <v>437</v>
      </c>
      <c r="AN36" s="13" t="s">
        <v>437</v>
      </c>
      <c r="AO36" s="13" t="s">
        <v>437</v>
      </c>
      <c r="AP36" s="14" t="s">
        <v>437</v>
      </c>
      <c r="AQ36" s="13" t="s">
        <v>437</v>
      </c>
      <c r="AR36" s="13" t="s">
        <v>437</v>
      </c>
      <c r="AS36" s="13" t="s">
        <v>437</v>
      </c>
      <c r="AT36" s="14" t="s">
        <v>437</v>
      </c>
      <c r="AU36" s="13" t="s">
        <v>437</v>
      </c>
      <c r="AV36" s="13" t="s">
        <v>437</v>
      </c>
      <c r="AW36" s="13" t="s">
        <v>437</v>
      </c>
      <c r="AX36" s="14" t="s">
        <v>437</v>
      </c>
      <c r="AY36" s="13" t="s">
        <v>437</v>
      </c>
      <c r="AZ36" s="13" t="s">
        <v>437</v>
      </c>
      <c r="BA36" s="13" t="s">
        <v>437</v>
      </c>
      <c r="BB36" s="14" t="s">
        <v>437</v>
      </c>
      <c r="BC36" s="13" t="s">
        <v>437</v>
      </c>
      <c r="BD36" s="13" t="s">
        <v>437</v>
      </c>
      <c r="BE36" s="13" t="s">
        <v>437</v>
      </c>
      <c r="BF36" s="14" t="s">
        <v>437</v>
      </c>
      <c r="BG36" s="13" t="s">
        <v>437</v>
      </c>
      <c r="BH36" s="13" t="s">
        <v>437</v>
      </c>
      <c r="BI36" s="13" t="s">
        <v>437</v>
      </c>
      <c r="BJ36" s="14" t="s">
        <v>437</v>
      </c>
      <c r="BK36" s="13" t="s">
        <v>437</v>
      </c>
      <c r="BL36" s="13" t="s">
        <v>437</v>
      </c>
      <c r="BM36" s="13" t="s">
        <v>437</v>
      </c>
      <c r="BN36" s="14" t="s">
        <v>437</v>
      </c>
      <c r="BP36" s="17" t="s">
        <v>437</v>
      </c>
      <c r="BQ36" s="13" t="s">
        <v>437</v>
      </c>
      <c r="BR36" s="13" t="s">
        <v>437</v>
      </c>
      <c r="BS36" s="14" t="s">
        <v>437</v>
      </c>
      <c r="BU36" s="17" t="s">
        <v>437</v>
      </c>
      <c r="BV36" s="13" t="s">
        <v>437</v>
      </c>
      <c r="BW36" s="13" t="s">
        <v>437</v>
      </c>
      <c r="BX36" s="14" t="s">
        <v>437</v>
      </c>
      <c r="BZ36" s="17" t="s">
        <v>437</v>
      </c>
      <c r="CA36" s="13" t="s">
        <v>437</v>
      </c>
      <c r="CB36" s="13" t="s">
        <v>437</v>
      </c>
      <c r="CC36" s="14" t="s">
        <v>437</v>
      </c>
    </row>
    <row r="37" spans="2:81" ht="18" customHeight="1" x14ac:dyDescent="0.2">
      <c r="B37" s="10">
        <f>garage!B37</f>
        <v>37</v>
      </c>
      <c r="C37" s="10">
        <f>garage!C37</f>
        <v>2</v>
      </c>
      <c r="D37" s="10">
        <f>garage!D37</f>
        <v>4</v>
      </c>
      <c r="E37" s="10">
        <f>garage!E37</f>
        <v>0</v>
      </c>
      <c r="F37" s="10" t="str">
        <f>garage!F37</f>
        <v>C</v>
      </c>
      <c r="G37" s="10" t="str">
        <f>garage!G37</f>
        <v>O</v>
      </c>
      <c r="H37" s="10" t="str">
        <f>garage!H37</f>
        <v>O</v>
      </c>
      <c r="I37" s="10" t="str">
        <f>garage!I37</f>
        <v>O</v>
      </c>
      <c r="J37" s="10" t="str">
        <f>garage!J37</f>
        <v>N</v>
      </c>
      <c r="K37" s="10" t="str">
        <f>garage!K37</f>
        <v>C</v>
      </c>
      <c r="L37" s="11" t="str">
        <f>garage!L37</f>
        <v>Chevrolet</v>
      </c>
      <c r="M37" s="11" t="str">
        <f>garage!M37</f>
        <v>Camaro ZL1 50th Edition</v>
      </c>
      <c r="O37" s="18">
        <v>1</v>
      </c>
      <c r="P37" s="15">
        <v>1</v>
      </c>
      <c r="Q37" s="15">
        <v>1</v>
      </c>
      <c r="R37" s="16">
        <v>1</v>
      </c>
      <c r="S37" s="15">
        <v>1</v>
      </c>
      <c r="T37" s="15">
        <v>1</v>
      </c>
      <c r="U37" s="15">
        <v>1</v>
      </c>
      <c r="V37" s="16">
        <v>1</v>
      </c>
      <c r="W37" s="15">
        <v>1</v>
      </c>
      <c r="X37" s="15">
        <v>1</v>
      </c>
      <c r="Y37" s="15">
        <v>1</v>
      </c>
      <c r="Z37" s="16">
        <v>1</v>
      </c>
      <c r="AA37" s="15">
        <v>1</v>
      </c>
      <c r="AB37" s="15">
        <v>1</v>
      </c>
      <c r="AC37" s="15">
        <v>1</v>
      </c>
      <c r="AD37" s="16">
        <v>1</v>
      </c>
      <c r="AE37" s="15">
        <v>1</v>
      </c>
      <c r="AF37" s="15">
        <v>1</v>
      </c>
      <c r="AG37" s="15">
        <v>1</v>
      </c>
      <c r="AH37" s="16">
        <v>1</v>
      </c>
      <c r="AI37" s="15">
        <v>1</v>
      </c>
      <c r="AJ37" s="15">
        <v>1</v>
      </c>
      <c r="AK37" s="15">
        <v>1</v>
      </c>
      <c r="AL37" s="16">
        <v>1</v>
      </c>
      <c r="AM37" s="15">
        <v>1</v>
      </c>
      <c r="AN37" s="15">
        <v>1</v>
      </c>
      <c r="AO37" s="15">
        <v>1</v>
      </c>
      <c r="AP37" s="16">
        <v>1</v>
      </c>
      <c r="AQ37" s="15">
        <v>1</v>
      </c>
      <c r="AR37" s="15">
        <v>1</v>
      </c>
      <c r="AS37" s="15">
        <v>1</v>
      </c>
      <c r="AT37" s="16">
        <v>1</v>
      </c>
      <c r="AU37" s="15">
        <v>1</v>
      </c>
      <c r="AV37" s="15">
        <v>1</v>
      </c>
      <c r="AW37" s="15">
        <v>1</v>
      </c>
      <c r="AX37" s="16">
        <v>1</v>
      </c>
      <c r="AY37" s="15">
        <v>1</v>
      </c>
      <c r="AZ37" s="15">
        <v>1</v>
      </c>
      <c r="BA37" s="15">
        <v>1</v>
      </c>
      <c r="BB37" s="16">
        <v>1</v>
      </c>
      <c r="BC37" s="15" t="s">
        <v>437</v>
      </c>
      <c r="BD37" s="15" t="s">
        <v>437</v>
      </c>
      <c r="BE37" s="15" t="s">
        <v>437</v>
      </c>
      <c r="BF37" s="16" t="s">
        <v>437</v>
      </c>
      <c r="BG37" s="15" t="s">
        <v>437</v>
      </c>
      <c r="BH37" s="15" t="s">
        <v>437</v>
      </c>
      <c r="BI37" s="15" t="s">
        <v>437</v>
      </c>
      <c r="BJ37" s="16" t="s">
        <v>437</v>
      </c>
      <c r="BK37" s="15" t="s">
        <v>437</v>
      </c>
      <c r="BL37" s="15" t="s">
        <v>437</v>
      </c>
      <c r="BM37" s="15" t="s">
        <v>437</v>
      </c>
      <c r="BN37" s="16" t="s">
        <v>437</v>
      </c>
      <c r="BP37" s="18">
        <v>4</v>
      </c>
      <c r="BQ37" s="15">
        <v>4</v>
      </c>
      <c r="BR37" s="15">
        <v>4</v>
      </c>
      <c r="BS37" s="16">
        <v>4</v>
      </c>
      <c r="BU37" s="18">
        <v>1</v>
      </c>
      <c r="BV37" s="15">
        <v>1</v>
      </c>
      <c r="BW37" s="15">
        <v>1</v>
      </c>
      <c r="BX37" s="16">
        <v>1</v>
      </c>
      <c r="BZ37" s="18">
        <v>1</v>
      </c>
      <c r="CA37" s="15">
        <v>1</v>
      </c>
      <c r="CB37" s="15">
        <v>1</v>
      </c>
      <c r="CC37" s="16">
        <v>1</v>
      </c>
    </row>
    <row r="38" spans="2:81" ht="18" customHeight="1" x14ac:dyDescent="0.2">
      <c r="B38" s="8">
        <f>garage!B38</f>
        <v>38</v>
      </c>
      <c r="C38" s="8">
        <f>garage!C38</f>
        <v>2</v>
      </c>
      <c r="D38" s="8">
        <f>garage!D38</f>
        <v>5</v>
      </c>
      <c r="E38" s="8">
        <f>garage!E38</f>
        <v>0</v>
      </c>
      <c r="F38" s="8" t="str">
        <f>garage!F38</f>
        <v>--</v>
      </c>
      <c r="G38" s="8" t="str">
        <f>garage!G38</f>
        <v>O</v>
      </c>
      <c r="H38" s="8" t="str">
        <f>garage!H38</f>
        <v>O</v>
      </c>
      <c r="I38" s="8" t="str">
        <f>garage!I38</f>
        <v>O</v>
      </c>
      <c r="J38" s="8" t="str">
        <f>garage!J38</f>
        <v>N</v>
      </c>
      <c r="K38" s="8" t="str">
        <f>garage!K38</f>
        <v>C</v>
      </c>
      <c r="L38" s="9" t="str">
        <f>garage!L38</f>
        <v>Lotus</v>
      </c>
      <c r="M38" s="9" t="str">
        <f>garage!M38</f>
        <v>Evora Sport 410</v>
      </c>
      <c r="O38" s="17">
        <v>1</v>
      </c>
      <c r="P38" s="13">
        <v>1</v>
      </c>
      <c r="Q38" s="13">
        <v>1</v>
      </c>
      <c r="R38" s="14">
        <v>1</v>
      </c>
      <c r="S38" s="13">
        <v>1</v>
      </c>
      <c r="T38" s="13">
        <v>1</v>
      </c>
      <c r="U38" s="13">
        <v>1</v>
      </c>
      <c r="V38" s="14">
        <v>1</v>
      </c>
      <c r="W38" s="13">
        <v>1</v>
      </c>
      <c r="X38" s="13">
        <v>1</v>
      </c>
      <c r="Y38" s="13">
        <v>1</v>
      </c>
      <c r="Z38" s="14">
        <v>1</v>
      </c>
      <c r="AA38" s="13">
        <v>1</v>
      </c>
      <c r="AB38" s="13">
        <v>1</v>
      </c>
      <c r="AC38" s="13">
        <v>1</v>
      </c>
      <c r="AD38" s="14">
        <v>1</v>
      </c>
      <c r="AE38" s="13">
        <v>1</v>
      </c>
      <c r="AF38" s="13">
        <v>1</v>
      </c>
      <c r="AG38" s="13">
        <v>1</v>
      </c>
      <c r="AH38" s="14">
        <v>1</v>
      </c>
      <c r="AI38" s="13">
        <v>1</v>
      </c>
      <c r="AJ38" s="13">
        <v>1</v>
      </c>
      <c r="AK38" s="13">
        <v>1</v>
      </c>
      <c r="AL38" s="14">
        <v>1</v>
      </c>
      <c r="AM38" s="13">
        <v>1</v>
      </c>
      <c r="AN38" s="13">
        <v>1</v>
      </c>
      <c r="AO38" s="13">
        <v>1</v>
      </c>
      <c r="AP38" s="14">
        <v>1</v>
      </c>
      <c r="AQ38" s="13">
        <v>1</v>
      </c>
      <c r="AR38" s="13">
        <v>1</v>
      </c>
      <c r="AS38" s="13">
        <v>1</v>
      </c>
      <c r="AT38" s="14">
        <v>1</v>
      </c>
      <c r="AU38" s="13">
        <v>1</v>
      </c>
      <c r="AV38" s="13">
        <v>1</v>
      </c>
      <c r="AW38" s="13">
        <v>1</v>
      </c>
      <c r="AX38" s="14">
        <v>1</v>
      </c>
      <c r="AY38" s="13">
        <v>1</v>
      </c>
      <c r="AZ38" s="13">
        <v>1</v>
      </c>
      <c r="BA38" s="13">
        <v>1</v>
      </c>
      <c r="BB38" s="14">
        <v>1</v>
      </c>
      <c r="BC38" s="13" t="s">
        <v>437</v>
      </c>
      <c r="BD38" s="13" t="s">
        <v>437</v>
      </c>
      <c r="BE38" s="13" t="s">
        <v>437</v>
      </c>
      <c r="BF38" s="14" t="s">
        <v>437</v>
      </c>
      <c r="BG38" s="13" t="s">
        <v>437</v>
      </c>
      <c r="BH38" s="13" t="s">
        <v>437</v>
      </c>
      <c r="BI38" s="13" t="s">
        <v>437</v>
      </c>
      <c r="BJ38" s="14" t="s">
        <v>437</v>
      </c>
      <c r="BK38" s="13" t="s">
        <v>437</v>
      </c>
      <c r="BL38" s="13" t="s">
        <v>437</v>
      </c>
      <c r="BM38" s="13" t="s">
        <v>437</v>
      </c>
      <c r="BN38" s="14" t="s">
        <v>437</v>
      </c>
      <c r="BP38" s="17">
        <v>4</v>
      </c>
      <c r="BQ38" s="13">
        <v>4</v>
      </c>
      <c r="BR38" s="13">
        <v>4</v>
      </c>
      <c r="BS38" s="14">
        <v>4</v>
      </c>
      <c r="BU38" s="17">
        <v>1</v>
      </c>
      <c r="BV38" s="13">
        <v>1</v>
      </c>
      <c r="BW38" s="13">
        <v>1</v>
      </c>
      <c r="BX38" s="14">
        <v>1</v>
      </c>
      <c r="BZ38" s="17">
        <v>1</v>
      </c>
      <c r="CA38" s="13">
        <v>1</v>
      </c>
      <c r="CB38" s="13">
        <v>1</v>
      </c>
      <c r="CC38" s="14">
        <v>1</v>
      </c>
    </row>
    <row r="39" spans="2:81" ht="18" customHeight="1" x14ac:dyDescent="0.2">
      <c r="B39" s="10">
        <f>garage!B39</f>
        <v>39</v>
      </c>
      <c r="C39" s="10">
        <f>garage!C39</f>
        <v>2</v>
      </c>
      <c r="D39" s="10">
        <f>garage!D39</f>
        <v>6</v>
      </c>
      <c r="E39" s="10">
        <f>garage!E39</f>
        <v>0</v>
      </c>
      <c r="F39" s="10" t="str">
        <f>garage!F39</f>
        <v>--</v>
      </c>
      <c r="G39" s="10" t="str">
        <f>garage!G39</f>
        <v>O</v>
      </c>
      <c r="H39" s="10" t="str">
        <f>garage!H39</f>
        <v>O</v>
      </c>
      <c r="I39" s="10" t="str">
        <f>garage!I39</f>
        <v>O</v>
      </c>
      <c r="J39" s="10" t="str">
        <f>garage!J39</f>
        <v>N</v>
      </c>
      <c r="K39" s="10" t="str">
        <f>garage!K39</f>
        <v>C</v>
      </c>
      <c r="L39" s="11" t="str">
        <f>garage!L39</f>
        <v>Mercedes-Benz</v>
      </c>
      <c r="M39" s="11" t="str">
        <f>garage!M39</f>
        <v>AMG GT S</v>
      </c>
      <c r="O39" s="18">
        <v>1</v>
      </c>
      <c r="P39" s="15">
        <v>1</v>
      </c>
      <c r="Q39" s="15">
        <v>1</v>
      </c>
      <c r="R39" s="16">
        <v>1</v>
      </c>
      <c r="S39" s="15">
        <v>1</v>
      </c>
      <c r="T39" s="15">
        <v>1</v>
      </c>
      <c r="U39" s="15">
        <v>1</v>
      </c>
      <c r="V39" s="16">
        <v>1</v>
      </c>
      <c r="W39" s="15">
        <v>1</v>
      </c>
      <c r="X39" s="15">
        <v>1</v>
      </c>
      <c r="Y39" s="15">
        <v>1</v>
      </c>
      <c r="Z39" s="16">
        <v>1</v>
      </c>
      <c r="AA39" s="15">
        <v>1</v>
      </c>
      <c r="AB39" s="15">
        <v>1</v>
      </c>
      <c r="AC39" s="15">
        <v>1</v>
      </c>
      <c r="AD39" s="16">
        <v>1</v>
      </c>
      <c r="AE39" s="15">
        <v>1</v>
      </c>
      <c r="AF39" s="15">
        <v>1</v>
      </c>
      <c r="AG39" s="15">
        <v>1</v>
      </c>
      <c r="AH39" s="16">
        <v>1</v>
      </c>
      <c r="AI39" s="15">
        <v>1</v>
      </c>
      <c r="AJ39" s="15">
        <v>1</v>
      </c>
      <c r="AK39" s="15">
        <v>1</v>
      </c>
      <c r="AL39" s="16">
        <v>1</v>
      </c>
      <c r="AM39" s="15">
        <v>1</v>
      </c>
      <c r="AN39" s="15">
        <v>1</v>
      </c>
      <c r="AO39" s="15">
        <v>1</v>
      </c>
      <c r="AP39" s="16">
        <v>1</v>
      </c>
      <c r="AQ39" s="15">
        <v>1</v>
      </c>
      <c r="AR39" s="15">
        <v>1</v>
      </c>
      <c r="AS39" s="15">
        <v>1</v>
      </c>
      <c r="AT39" s="16">
        <v>1</v>
      </c>
      <c r="AU39" s="15">
        <v>1</v>
      </c>
      <c r="AV39" s="15">
        <v>1</v>
      </c>
      <c r="AW39" s="15">
        <v>1</v>
      </c>
      <c r="AX39" s="16">
        <v>1</v>
      </c>
      <c r="AY39" s="15">
        <v>1</v>
      </c>
      <c r="AZ39" s="15">
        <v>1</v>
      </c>
      <c r="BA39" s="15">
        <v>1</v>
      </c>
      <c r="BB39" s="16">
        <v>1</v>
      </c>
      <c r="BC39" s="15" t="s">
        <v>437</v>
      </c>
      <c r="BD39" s="15" t="s">
        <v>437</v>
      </c>
      <c r="BE39" s="15" t="s">
        <v>437</v>
      </c>
      <c r="BF39" s="16" t="s">
        <v>437</v>
      </c>
      <c r="BG39" s="15" t="s">
        <v>437</v>
      </c>
      <c r="BH39" s="15" t="s">
        <v>437</v>
      </c>
      <c r="BI39" s="15" t="s">
        <v>437</v>
      </c>
      <c r="BJ39" s="16" t="s">
        <v>437</v>
      </c>
      <c r="BK39" s="15" t="s">
        <v>437</v>
      </c>
      <c r="BL39" s="15" t="s">
        <v>437</v>
      </c>
      <c r="BM39" s="15" t="s">
        <v>437</v>
      </c>
      <c r="BN39" s="16" t="s">
        <v>437</v>
      </c>
      <c r="BP39" s="18">
        <v>4</v>
      </c>
      <c r="BQ39" s="15">
        <v>4</v>
      </c>
      <c r="BR39" s="15">
        <v>4</v>
      </c>
      <c r="BS39" s="16">
        <v>4</v>
      </c>
      <c r="BU39" s="18">
        <v>1</v>
      </c>
      <c r="BV39" s="15">
        <v>1</v>
      </c>
      <c r="BW39" s="15">
        <v>1</v>
      </c>
      <c r="BX39" s="16">
        <v>1</v>
      </c>
      <c r="BZ39" s="18">
        <v>1</v>
      </c>
      <c r="CA39" s="15">
        <v>1</v>
      </c>
      <c r="CB39" s="15">
        <v>1</v>
      </c>
      <c r="CC39" s="16">
        <v>1</v>
      </c>
    </row>
    <row r="40" spans="2:81" ht="18" customHeight="1" x14ac:dyDescent="0.2">
      <c r="B40" s="8">
        <f>garage!B40</f>
        <v>40</v>
      </c>
      <c r="C40" s="8">
        <f>garage!C40</f>
        <v>2</v>
      </c>
      <c r="D40" s="8">
        <f>garage!D40</f>
        <v>7</v>
      </c>
      <c r="E40" s="8">
        <f>garage!E40</f>
        <v>0</v>
      </c>
      <c r="F40" s="8" t="str">
        <f>garage!F40</f>
        <v>--</v>
      </c>
      <c r="G40" s="8" t="str">
        <f>garage!G40</f>
        <v>O</v>
      </c>
      <c r="H40" s="8" t="str">
        <f>garage!H40</f>
        <v>O</v>
      </c>
      <c r="I40" s="8" t="str">
        <f>garage!I40</f>
        <v>O</v>
      </c>
      <c r="J40" s="8" t="str">
        <f>garage!J40</f>
        <v>N</v>
      </c>
      <c r="K40" s="8" t="str">
        <f>garage!K40</f>
        <v>C</v>
      </c>
      <c r="L40" s="9" t="str">
        <f>garage!L40</f>
        <v>BMW</v>
      </c>
      <c r="M40" s="9" t="str">
        <f>garage!M40</f>
        <v>M4 GTS</v>
      </c>
      <c r="O40" s="17">
        <v>1</v>
      </c>
      <c r="P40" s="13">
        <v>1</v>
      </c>
      <c r="Q40" s="13">
        <v>1</v>
      </c>
      <c r="R40" s="14">
        <v>1</v>
      </c>
      <c r="S40" s="13">
        <v>1</v>
      </c>
      <c r="T40" s="13">
        <v>1</v>
      </c>
      <c r="U40" s="13">
        <v>1</v>
      </c>
      <c r="V40" s="14">
        <v>1</v>
      </c>
      <c r="W40" s="13">
        <v>1</v>
      </c>
      <c r="X40" s="13">
        <v>1</v>
      </c>
      <c r="Y40" s="13">
        <v>1</v>
      </c>
      <c r="Z40" s="14">
        <v>1</v>
      </c>
      <c r="AA40" s="13">
        <v>1</v>
      </c>
      <c r="AB40" s="13">
        <v>1</v>
      </c>
      <c r="AC40" s="13">
        <v>1</v>
      </c>
      <c r="AD40" s="14">
        <v>1</v>
      </c>
      <c r="AE40" s="13">
        <v>1</v>
      </c>
      <c r="AF40" s="13">
        <v>1</v>
      </c>
      <c r="AG40" s="13">
        <v>1</v>
      </c>
      <c r="AH40" s="14">
        <v>1</v>
      </c>
      <c r="AI40" s="13">
        <v>1</v>
      </c>
      <c r="AJ40" s="13">
        <v>1</v>
      </c>
      <c r="AK40" s="13">
        <v>1</v>
      </c>
      <c r="AL40" s="14">
        <v>1</v>
      </c>
      <c r="AM40" s="13">
        <v>1</v>
      </c>
      <c r="AN40" s="13">
        <v>1</v>
      </c>
      <c r="AO40" s="13">
        <v>1</v>
      </c>
      <c r="AP40" s="14">
        <v>1</v>
      </c>
      <c r="AQ40" s="13">
        <v>1</v>
      </c>
      <c r="AR40" s="13">
        <v>1</v>
      </c>
      <c r="AS40" s="13">
        <v>1</v>
      </c>
      <c r="AT40" s="14">
        <v>1</v>
      </c>
      <c r="AU40" s="13">
        <v>1</v>
      </c>
      <c r="AV40" s="13">
        <v>1</v>
      </c>
      <c r="AW40" s="13">
        <v>1</v>
      </c>
      <c r="AX40" s="14">
        <v>1</v>
      </c>
      <c r="AY40" s="13">
        <v>1</v>
      </c>
      <c r="AZ40" s="13">
        <v>1</v>
      </c>
      <c r="BA40" s="13">
        <v>1</v>
      </c>
      <c r="BB40" s="14">
        <v>1</v>
      </c>
      <c r="BC40" s="13" t="s">
        <v>437</v>
      </c>
      <c r="BD40" s="13" t="s">
        <v>437</v>
      </c>
      <c r="BE40" s="13" t="s">
        <v>437</v>
      </c>
      <c r="BF40" s="14" t="s">
        <v>437</v>
      </c>
      <c r="BG40" s="13" t="s">
        <v>437</v>
      </c>
      <c r="BH40" s="13" t="s">
        <v>437</v>
      </c>
      <c r="BI40" s="13" t="s">
        <v>437</v>
      </c>
      <c r="BJ40" s="14" t="s">
        <v>437</v>
      </c>
      <c r="BK40" s="13" t="s">
        <v>437</v>
      </c>
      <c r="BL40" s="13" t="s">
        <v>437</v>
      </c>
      <c r="BM40" s="13" t="s">
        <v>437</v>
      </c>
      <c r="BN40" s="14" t="s">
        <v>437</v>
      </c>
      <c r="BP40" s="17">
        <v>4</v>
      </c>
      <c r="BQ40" s="13">
        <v>4</v>
      </c>
      <c r="BR40" s="13">
        <v>4</v>
      </c>
      <c r="BS40" s="14">
        <v>4</v>
      </c>
      <c r="BU40" s="17">
        <v>1</v>
      </c>
      <c r="BV40" s="13">
        <v>1</v>
      </c>
      <c r="BW40" s="13">
        <v>1</v>
      </c>
      <c r="BX40" s="14">
        <v>1</v>
      </c>
      <c r="BZ40" s="17">
        <v>1</v>
      </c>
      <c r="CA40" s="13">
        <v>1</v>
      </c>
      <c r="CB40" s="13">
        <v>1</v>
      </c>
      <c r="CC40" s="14">
        <v>1</v>
      </c>
    </row>
    <row r="41" spans="2:81" ht="18" customHeight="1" x14ac:dyDescent="0.2">
      <c r="B41" s="10">
        <f>garage!B41</f>
        <v>41</v>
      </c>
      <c r="C41" s="10">
        <f>garage!C41</f>
        <v>2</v>
      </c>
      <c r="D41" s="10">
        <f>garage!D41</f>
        <v>8</v>
      </c>
      <c r="E41" s="10">
        <f>garage!E41</f>
        <v>0</v>
      </c>
      <c r="F41" s="10" t="str">
        <f>garage!F41</f>
        <v>--</v>
      </c>
      <c r="G41" s="10" t="str">
        <f>garage!G41</f>
        <v>O</v>
      </c>
      <c r="H41" s="10" t="str">
        <f>garage!H41</f>
        <v>O</v>
      </c>
      <c r="I41" s="10" t="str">
        <f>garage!I41</f>
        <v>O</v>
      </c>
      <c r="J41" s="10" t="str">
        <f>garage!J41</f>
        <v>N</v>
      </c>
      <c r="K41" s="10" t="str">
        <f>garage!K41</f>
        <v>C</v>
      </c>
      <c r="L41" s="11" t="str">
        <f>garage!L41</f>
        <v>Rezvani</v>
      </c>
      <c r="M41" s="11" t="str">
        <f>garage!M41</f>
        <v>Beast X</v>
      </c>
      <c r="O41" s="18">
        <v>1</v>
      </c>
      <c r="P41" s="15">
        <v>1</v>
      </c>
      <c r="Q41" s="15">
        <v>1</v>
      </c>
      <c r="R41" s="16">
        <v>1</v>
      </c>
      <c r="S41" s="15">
        <v>1</v>
      </c>
      <c r="T41" s="15">
        <v>1</v>
      </c>
      <c r="U41" s="15">
        <v>1</v>
      </c>
      <c r="V41" s="16">
        <v>1</v>
      </c>
      <c r="W41" s="15">
        <v>1</v>
      </c>
      <c r="X41" s="15">
        <v>1</v>
      </c>
      <c r="Y41" s="15">
        <v>1</v>
      </c>
      <c r="Z41" s="16">
        <v>1</v>
      </c>
      <c r="AA41" s="15">
        <v>1</v>
      </c>
      <c r="AB41" s="15">
        <v>1</v>
      </c>
      <c r="AC41" s="15">
        <v>1</v>
      </c>
      <c r="AD41" s="16">
        <v>1</v>
      </c>
      <c r="AE41" s="15">
        <v>1</v>
      </c>
      <c r="AF41" s="15">
        <v>1</v>
      </c>
      <c r="AG41" s="15">
        <v>1</v>
      </c>
      <c r="AH41" s="16">
        <v>1</v>
      </c>
      <c r="AI41" s="15">
        <v>1</v>
      </c>
      <c r="AJ41" s="15">
        <v>1</v>
      </c>
      <c r="AK41" s="15">
        <v>1</v>
      </c>
      <c r="AL41" s="16">
        <v>1</v>
      </c>
      <c r="AM41" s="15">
        <v>1</v>
      </c>
      <c r="AN41" s="15">
        <v>1</v>
      </c>
      <c r="AO41" s="15">
        <v>1</v>
      </c>
      <c r="AP41" s="16">
        <v>1</v>
      </c>
      <c r="AQ41" s="15">
        <v>1</v>
      </c>
      <c r="AR41" s="15">
        <v>1</v>
      </c>
      <c r="AS41" s="15">
        <v>1</v>
      </c>
      <c r="AT41" s="16">
        <v>1</v>
      </c>
      <c r="AU41" s="15">
        <v>1</v>
      </c>
      <c r="AV41" s="15">
        <v>1</v>
      </c>
      <c r="AW41" s="15">
        <v>1</v>
      </c>
      <c r="AX41" s="16">
        <v>1</v>
      </c>
      <c r="AY41" s="15">
        <v>1</v>
      </c>
      <c r="AZ41" s="15">
        <v>1</v>
      </c>
      <c r="BA41" s="15">
        <v>1</v>
      </c>
      <c r="BB41" s="16">
        <v>1</v>
      </c>
      <c r="BC41" s="15">
        <v>1</v>
      </c>
      <c r="BD41" s="15">
        <v>1</v>
      </c>
      <c r="BE41" s="15">
        <v>1</v>
      </c>
      <c r="BF41" s="16">
        <v>1</v>
      </c>
      <c r="BG41" s="15" t="s">
        <v>437</v>
      </c>
      <c r="BH41" s="15" t="s">
        <v>437</v>
      </c>
      <c r="BI41" s="15" t="s">
        <v>437</v>
      </c>
      <c r="BJ41" s="16" t="s">
        <v>437</v>
      </c>
      <c r="BK41" s="15" t="s">
        <v>437</v>
      </c>
      <c r="BL41" s="15" t="s">
        <v>437</v>
      </c>
      <c r="BM41" s="15" t="s">
        <v>437</v>
      </c>
      <c r="BN41" s="16" t="s">
        <v>437</v>
      </c>
      <c r="BP41" s="18">
        <v>6</v>
      </c>
      <c r="BQ41" s="15">
        <v>6</v>
      </c>
      <c r="BR41" s="15">
        <v>6</v>
      </c>
      <c r="BS41" s="16">
        <v>6</v>
      </c>
      <c r="BU41" s="18">
        <v>3</v>
      </c>
      <c r="BV41" s="15">
        <v>3</v>
      </c>
      <c r="BW41" s="15">
        <v>3</v>
      </c>
      <c r="BX41" s="16">
        <v>3</v>
      </c>
      <c r="BZ41" s="18">
        <v>1</v>
      </c>
      <c r="CA41" s="15">
        <v>1</v>
      </c>
      <c r="CB41" s="15">
        <v>1</v>
      </c>
      <c r="CC41" s="16">
        <v>1</v>
      </c>
    </row>
    <row r="42" spans="2:81" ht="18" customHeight="1" x14ac:dyDescent="0.2">
      <c r="B42" s="8">
        <f>garage!B42</f>
        <v>42</v>
      </c>
      <c r="C42" s="8">
        <f>garage!C42</f>
        <v>2</v>
      </c>
      <c r="D42" s="8">
        <f>garage!D42</f>
        <v>9</v>
      </c>
      <c r="E42" s="8">
        <f>garage!E42</f>
        <v>20</v>
      </c>
      <c r="F42" s="8" t="str">
        <f>garage!F42</f>
        <v>AM</v>
      </c>
      <c r="G42" s="8" t="str">
        <f>garage!G42</f>
        <v>O</v>
      </c>
      <c r="H42" s="8" t="str">
        <f>garage!H42</f>
        <v>N</v>
      </c>
      <c r="I42" s="8" t="str">
        <f>garage!I42</f>
        <v>N</v>
      </c>
      <c r="J42" s="8" t="str">
        <f>garage!J42</f>
        <v>N</v>
      </c>
      <c r="K42" s="8" t="str">
        <f>garage!K42</f>
        <v>C</v>
      </c>
      <c r="L42" s="9" t="str">
        <f>garage!L42</f>
        <v>Aston Martin</v>
      </c>
      <c r="M42" s="9" t="str">
        <f>garage!M42</f>
        <v>V12 Speedster</v>
      </c>
      <c r="O42" s="17">
        <v>1</v>
      </c>
      <c r="P42" s="13">
        <v>1</v>
      </c>
      <c r="Q42" s="13">
        <v>1</v>
      </c>
      <c r="R42" s="14">
        <v>1</v>
      </c>
      <c r="S42" s="13">
        <v>1</v>
      </c>
      <c r="T42" s="13">
        <v>1</v>
      </c>
      <c r="U42" s="13">
        <v>1</v>
      </c>
      <c r="V42" s="14">
        <v>1</v>
      </c>
      <c r="W42" s="13">
        <v>1</v>
      </c>
      <c r="X42" s="13">
        <v>1</v>
      </c>
      <c r="Y42" s="13">
        <v>1</v>
      </c>
      <c r="Z42" s="14">
        <v>1</v>
      </c>
      <c r="AA42" s="13">
        <v>1</v>
      </c>
      <c r="AB42" s="13">
        <v>1</v>
      </c>
      <c r="AC42" s="13">
        <v>1</v>
      </c>
      <c r="AD42" s="14">
        <v>1</v>
      </c>
      <c r="AE42" s="13">
        <v>1</v>
      </c>
      <c r="AF42" s="13">
        <v>1</v>
      </c>
      <c r="AG42" s="13">
        <v>1</v>
      </c>
      <c r="AH42" s="14">
        <v>1</v>
      </c>
      <c r="AI42" s="13">
        <v>1</v>
      </c>
      <c r="AJ42" s="13">
        <v>1</v>
      </c>
      <c r="AK42" s="13">
        <v>1</v>
      </c>
      <c r="AL42" s="14">
        <v>1</v>
      </c>
      <c r="AM42" s="13">
        <v>1</v>
      </c>
      <c r="AN42" s="13">
        <v>1</v>
      </c>
      <c r="AO42" s="13">
        <v>1</v>
      </c>
      <c r="AP42" s="14">
        <v>1</v>
      </c>
      <c r="AQ42" s="13" t="s">
        <v>437</v>
      </c>
      <c r="AR42" s="13" t="s">
        <v>437</v>
      </c>
      <c r="AS42" s="13" t="s">
        <v>437</v>
      </c>
      <c r="AT42" s="14" t="s">
        <v>437</v>
      </c>
      <c r="AU42" s="13" t="s">
        <v>437</v>
      </c>
      <c r="AV42" s="13" t="s">
        <v>437</v>
      </c>
      <c r="AW42" s="13" t="s">
        <v>437</v>
      </c>
      <c r="AX42" s="14" t="s">
        <v>437</v>
      </c>
      <c r="AY42" s="13" t="s">
        <v>437</v>
      </c>
      <c r="AZ42" s="13" t="s">
        <v>437</v>
      </c>
      <c r="BA42" s="13" t="s">
        <v>437</v>
      </c>
      <c r="BB42" s="14" t="s">
        <v>437</v>
      </c>
      <c r="BC42" s="13" t="s">
        <v>437</v>
      </c>
      <c r="BD42" s="13" t="s">
        <v>437</v>
      </c>
      <c r="BE42" s="13" t="s">
        <v>437</v>
      </c>
      <c r="BF42" s="14" t="s">
        <v>437</v>
      </c>
      <c r="BG42" s="13" t="s">
        <v>437</v>
      </c>
      <c r="BH42" s="13" t="s">
        <v>437</v>
      </c>
      <c r="BI42" s="13" t="s">
        <v>437</v>
      </c>
      <c r="BJ42" s="14" t="s">
        <v>437</v>
      </c>
      <c r="BK42" s="13" t="s">
        <v>437</v>
      </c>
      <c r="BL42" s="13" t="s">
        <v>437</v>
      </c>
      <c r="BM42" s="13" t="s">
        <v>437</v>
      </c>
      <c r="BN42" s="14" t="s">
        <v>437</v>
      </c>
      <c r="BP42" s="17">
        <v>3</v>
      </c>
      <c r="BQ42" s="13">
        <v>5</v>
      </c>
      <c r="BR42" s="13">
        <v>5</v>
      </c>
      <c r="BS42" s="14">
        <v>3</v>
      </c>
      <c r="BU42" s="17">
        <v>1</v>
      </c>
      <c r="BV42" s="13" t="s">
        <v>437</v>
      </c>
      <c r="BW42" s="13" t="s">
        <v>437</v>
      </c>
      <c r="BX42" s="14">
        <v>1</v>
      </c>
      <c r="BZ42" s="17" t="s">
        <v>437</v>
      </c>
      <c r="CA42" s="13" t="s">
        <v>437</v>
      </c>
      <c r="CB42" s="13" t="s">
        <v>437</v>
      </c>
      <c r="CC42" s="14" t="s">
        <v>437</v>
      </c>
    </row>
    <row r="43" spans="2:81" ht="18" customHeight="1" x14ac:dyDescent="0.2">
      <c r="B43" s="10">
        <f>garage!B43</f>
        <v>43</v>
      </c>
      <c r="C43" s="10">
        <f>garage!C43</f>
        <v>2</v>
      </c>
      <c r="D43" s="10">
        <f>garage!D43</f>
        <v>10</v>
      </c>
      <c r="E43" s="10">
        <f>garage!E43</f>
        <v>29</v>
      </c>
      <c r="F43" s="10" t="str">
        <f>garage!F43</f>
        <v>--</v>
      </c>
      <c r="G43" s="10" t="str">
        <f>garage!G43</f>
        <v>O</v>
      </c>
      <c r="H43" s="10" t="str">
        <f>garage!H43</f>
        <v>N</v>
      </c>
      <c r="I43" s="10" t="str">
        <f>garage!I43</f>
        <v>N</v>
      </c>
      <c r="J43" s="10" t="str">
        <f>garage!J43</f>
        <v>N</v>
      </c>
      <c r="K43" s="10" t="str">
        <f>garage!K43</f>
        <v>C</v>
      </c>
      <c r="L43" s="11" t="str">
        <f>garage!L43</f>
        <v>Donkervoort</v>
      </c>
      <c r="M43" s="11" t="str">
        <f>garage!M43</f>
        <v>D8 GTO</v>
      </c>
      <c r="O43" s="18" t="s">
        <v>437</v>
      </c>
      <c r="P43" s="15" t="s">
        <v>437</v>
      </c>
      <c r="Q43" s="15" t="s">
        <v>437</v>
      </c>
      <c r="R43" s="16" t="s">
        <v>437</v>
      </c>
      <c r="S43" s="15" t="s">
        <v>437</v>
      </c>
      <c r="T43" s="15" t="s">
        <v>437</v>
      </c>
      <c r="U43" s="15" t="s">
        <v>437</v>
      </c>
      <c r="V43" s="16" t="s">
        <v>437</v>
      </c>
      <c r="W43" s="15" t="s">
        <v>437</v>
      </c>
      <c r="X43" s="15" t="s">
        <v>437</v>
      </c>
      <c r="Y43" s="15" t="s">
        <v>437</v>
      </c>
      <c r="Z43" s="16" t="s">
        <v>437</v>
      </c>
      <c r="AA43" s="15" t="s">
        <v>437</v>
      </c>
      <c r="AB43" s="15" t="s">
        <v>437</v>
      </c>
      <c r="AC43" s="15" t="s">
        <v>437</v>
      </c>
      <c r="AD43" s="16" t="s">
        <v>437</v>
      </c>
      <c r="AE43" s="15" t="s">
        <v>437</v>
      </c>
      <c r="AF43" s="15" t="s">
        <v>437</v>
      </c>
      <c r="AG43" s="15" t="s">
        <v>437</v>
      </c>
      <c r="AH43" s="16" t="s">
        <v>437</v>
      </c>
      <c r="AI43" s="15" t="s">
        <v>437</v>
      </c>
      <c r="AJ43" s="15" t="s">
        <v>437</v>
      </c>
      <c r="AK43" s="15" t="s">
        <v>437</v>
      </c>
      <c r="AL43" s="16" t="s">
        <v>437</v>
      </c>
      <c r="AM43" s="15" t="s">
        <v>437</v>
      </c>
      <c r="AN43" s="15" t="s">
        <v>437</v>
      </c>
      <c r="AO43" s="15" t="s">
        <v>437</v>
      </c>
      <c r="AP43" s="16" t="s">
        <v>437</v>
      </c>
      <c r="AQ43" s="15" t="s">
        <v>437</v>
      </c>
      <c r="AR43" s="15" t="s">
        <v>437</v>
      </c>
      <c r="AS43" s="15" t="s">
        <v>437</v>
      </c>
      <c r="AT43" s="16" t="s">
        <v>437</v>
      </c>
      <c r="AU43" s="15" t="s">
        <v>437</v>
      </c>
      <c r="AV43" s="15" t="s">
        <v>437</v>
      </c>
      <c r="AW43" s="15" t="s">
        <v>437</v>
      </c>
      <c r="AX43" s="16" t="s">
        <v>437</v>
      </c>
      <c r="AY43" s="15" t="s">
        <v>437</v>
      </c>
      <c r="AZ43" s="15" t="s">
        <v>437</v>
      </c>
      <c r="BA43" s="15" t="s">
        <v>437</v>
      </c>
      <c r="BB43" s="16" t="s">
        <v>437</v>
      </c>
      <c r="BC43" s="15" t="s">
        <v>437</v>
      </c>
      <c r="BD43" s="15" t="s">
        <v>437</v>
      </c>
      <c r="BE43" s="15" t="s">
        <v>437</v>
      </c>
      <c r="BF43" s="16" t="s">
        <v>437</v>
      </c>
      <c r="BG43" s="15" t="s">
        <v>437</v>
      </c>
      <c r="BH43" s="15" t="s">
        <v>437</v>
      </c>
      <c r="BI43" s="15" t="s">
        <v>437</v>
      </c>
      <c r="BJ43" s="16" t="s">
        <v>437</v>
      </c>
      <c r="BK43" s="15" t="s">
        <v>437</v>
      </c>
      <c r="BL43" s="15" t="s">
        <v>437</v>
      </c>
      <c r="BM43" s="15" t="s">
        <v>437</v>
      </c>
      <c r="BN43" s="16" t="s">
        <v>437</v>
      </c>
      <c r="BP43" s="18" t="s">
        <v>437</v>
      </c>
      <c r="BQ43" s="15" t="s">
        <v>437</v>
      </c>
      <c r="BR43" s="15" t="s">
        <v>437</v>
      </c>
      <c r="BS43" s="16" t="s">
        <v>437</v>
      </c>
      <c r="BU43" s="18" t="s">
        <v>437</v>
      </c>
      <c r="BV43" s="15" t="s">
        <v>437</v>
      </c>
      <c r="BW43" s="15" t="s">
        <v>437</v>
      </c>
      <c r="BX43" s="16" t="s">
        <v>437</v>
      </c>
      <c r="BZ43" s="18" t="s">
        <v>437</v>
      </c>
      <c r="CA43" s="15" t="s">
        <v>437</v>
      </c>
      <c r="CB43" s="15" t="s">
        <v>437</v>
      </c>
      <c r="CC43" s="16" t="s">
        <v>437</v>
      </c>
    </row>
    <row r="44" spans="2:81" ht="18" customHeight="1" x14ac:dyDescent="0.2">
      <c r="B44" s="8">
        <f>garage!B44</f>
        <v>44</v>
      </c>
      <c r="C44" s="8">
        <f>garage!C44</f>
        <v>2</v>
      </c>
      <c r="D44" s="8">
        <f>garage!D44</f>
        <v>11</v>
      </c>
      <c r="E44" s="8">
        <f>garage!E44</f>
        <v>0</v>
      </c>
      <c r="F44" s="8" t="str">
        <f>garage!F44</f>
        <v>--</v>
      </c>
      <c r="G44" s="8" t="str">
        <f>garage!G44</f>
        <v>O</v>
      </c>
      <c r="H44" s="8" t="str">
        <f>garage!H44</f>
        <v>O</v>
      </c>
      <c r="I44" s="8" t="str">
        <f>garage!I44</f>
        <v>O</v>
      </c>
      <c r="J44" s="8" t="str">
        <f>garage!J44</f>
        <v>N</v>
      </c>
      <c r="K44" s="8" t="str">
        <f>garage!K44</f>
        <v>C</v>
      </c>
      <c r="L44" s="9" t="str">
        <f>garage!L44</f>
        <v>Dodge</v>
      </c>
      <c r="M44" s="9" t="str">
        <f>garage!M44</f>
        <v>Viper ACR</v>
      </c>
      <c r="O44" s="17">
        <v>1</v>
      </c>
      <c r="P44" s="13">
        <v>1</v>
      </c>
      <c r="Q44" s="13">
        <v>1</v>
      </c>
      <c r="R44" s="14">
        <v>1</v>
      </c>
      <c r="S44" s="13">
        <v>1</v>
      </c>
      <c r="T44" s="13">
        <v>1</v>
      </c>
      <c r="U44" s="13">
        <v>1</v>
      </c>
      <c r="V44" s="14">
        <v>1</v>
      </c>
      <c r="W44" s="13">
        <v>1</v>
      </c>
      <c r="X44" s="13">
        <v>1</v>
      </c>
      <c r="Y44" s="13">
        <v>1</v>
      </c>
      <c r="Z44" s="14">
        <v>1</v>
      </c>
      <c r="AA44" s="13">
        <v>1</v>
      </c>
      <c r="AB44" s="13">
        <v>1</v>
      </c>
      <c r="AC44" s="13">
        <v>1</v>
      </c>
      <c r="AD44" s="14">
        <v>1</v>
      </c>
      <c r="AE44" s="13">
        <v>1</v>
      </c>
      <c r="AF44" s="13">
        <v>1</v>
      </c>
      <c r="AG44" s="13">
        <v>1</v>
      </c>
      <c r="AH44" s="14">
        <v>1</v>
      </c>
      <c r="AI44" s="13">
        <v>1</v>
      </c>
      <c r="AJ44" s="13">
        <v>1</v>
      </c>
      <c r="AK44" s="13">
        <v>1</v>
      </c>
      <c r="AL44" s="14">
        <v>1</v>
      </c>
      <c r="AM44" s="13">
        <v>1</v>
      </c>
      <c r="AN44" s="13">
        <v>1</v>
      </c>
      <c r="AO44" s="13">
        <v>1</v>
      </c>
      <c r="AP44" s="14">
        <v>1</v>
      </c>
      <c r="AQ44" s="13">
        <v>1</v>
      </c>
      <c r="AR44" s="13">
        <v>1</v>
      </c>
      <c r="AS44" s="13">
        <v>1</v>
      </c>
      <c r="AT44" s="14">
        <v>1</v>
      </c>
      <c r="AU44" s="13">
        <v>1</v>
      </c>
      <c r="AV44" s="13">
        <v>1</v>
      </c>
      <c r="AW44" s="13">
        <v>1</v>
      </c>
      <c r="AX44" s="14">
        <v>1</v>
      </c>
      <c r="AY44" s="13">
        <v>1</v>
      </c>
      <c r="AZ44" s="13">
        <v>1</v>
      </c>
      <c r="BA44" s="13">
        <v>1</v>
      </c>
      <c r="BB44" s="14">
        <v>1</v>
      </c>
      <c r="BC44" s="13">
        <v>1</v>
      </c>
      <c r="BD44" s="13">
        <v>1</v>
      </c>
      <c r="BE44" s="13">
        <v>1</v>
      </c>
      <c r="BF44" s="14">
        <v>1</v>
      </c>
      <c r="BG44" s="13" t="s">
        <v>437</v>
      </c>
      <c r="BH44" s="13" t="s">
        <v>437</v>
      </c>
      <c r="BI44" s="13" t="s">
        <v>437</v>
      </c>
      <c r="BJ44" s="14" t="s">
        <v>437</v>
      </c>
      <c r="BK44" s="13" t="s">
        <v>437</v>
      </c>
      <c r="BL44" s="13" t="s">
        <v>437</v>
      </c>
      <c r="BM44" s="13" t="s">
        <v>437</v>
      </c>
      <c r="BN44" s="14" t="s">
        <v>437</v>
      </c>
      <c r="BP44" s="17">
        <v>6</v>
      </c>
      <c r="BQ44" s="13">
        <v>6</v>
      </c>
      <c r="BR44" s="13">
        <v>6</v>
      </c>
      <c r="BS44" s="14">
        <v>6</v>
      </c>
      <c r="BU44" s="17">
        <v>3</v>
      </c>
      <c r="BV44" s="13">
        <v>3</v>
      </c>
      <c r="BW44" s="13">
        <v>3</v>
      </c>
      <c r="BX44" s="14">
        <v>3</v>
      </c>
      <c r="BZ44" s="17">
        <v>1</v>
      </c>
      <c r="CA44" s="13">
        <v>1</v>
      </c>
      <c r="CB44" s="13">
        <v>1</v>
      </c>
      <c r="CC44" s="14">
        <v>1</v>
      </c>
    </row>
    <row r="45" spans="2:81" ht="18" customHeight="1" x14ac:dyDescent="0.2">
      <c r="B45" s="10">
        <f>garage!B45</f>
        <v>45</v>
      </c>
      <c r="C45" s="10">
        <f>garage!C45</f>
        <v>2</v>
      </c>
      <c r="D45" s="10">
        <f>garage!D45</f>
        <v>12</v>
      </c>
      <c r="E45" s="10">
        <f>garage!E45</f>
        <v>24</v>
      </c>
      <c r="F45" s="10" t="str">
        <f>garage!F45</f>
        <v>--</v>
      </c>
      <c r="G45" s="10" t="str">
        <f>garage!G45</f>
        <v>O</v>
      </c>
      <c r="H45" s="10" t="str">
        <f>garage!H45</f>
        <v>N</v>
      </c>
      <c r="I45" s="10" t="str">
        <f>garage!I45</f>
        <v>N</v>
      </c>
      <c r="J45" s="10" t="str">
        <f>garage!J45</f>
        <v>O</v>
      </c>
      <c r="K45" s="10" t="str">
        <f>garage!K45</f>
        <v>C</v>
      </c>
      <c r="L45" s="11" t="str">
        <f>garage!L45</f>
        <v>Bolwell</v>
      </c>
      <c r="M45" s="11" t="str">
        <f>garage!M45</f>
        <v>MK X Nagari 500</v>
      </c>
      <c r="O45" s="18" t="s">
        <v>437</v>
      </c>
      <c r="P45" s="15" t="s">
        <v>437</v>
      </c>
      <c r="Q45" s="15" t="s">
        <v>437</v>
      </c>
      <c r="R45" s="16" t="s">
        <v>437</v>
      </c>
      <c r="S45" s="15" t="s">
        <v>437</v>
      </c>
      <c r="T45" s="15" t="s">
        <v>437</v>
      </c>
      <c r="U45" s="15" t="s">
        <v>437</v>
      </c>
      <c r="V45" s="16" t="s">
        <v>437</v>
      </c>
      <c r="W45" s="15" t="s">
        <v>437</v>
      </c>
      <c r="X45" s="15" t="s">
        <v>437</v>
      </c>
      <c r="Y45" s="15" t="s">
        <v>437</v>
      </c>
      <c r="Z45" s="16" t="s">
        <v>437</v>
      </c>
      <c r="AA45" s="15" t="s">
        <v>437</v>
      </c>
      <c r="AB45" s="15" t="s">
        <v>437</v>
      </c>
      <c r="AC45" s="15" t="s">
        <v>437</v>
      </c>
      <c r="AD45" s="16" t="s">
        <v>437</v>
      </c>
      <c r="AE45" s="15" t="s">
        <v>437</v>
      </c>
      <c r="AF45" s="15" t="s">
        <v>437</v>
      </c>
      <c r="AG45" s="15" t="s">
        <v>437</v>
      </c>
      <c r="AH45" s="16" t="s">
        <v>437</v>
      </c>
      <c r="AI45" s="15" t="s">
        <v>437</v>
      </c>
      <c r="AJ45" s="15" t="s">
        <v>437</v>
      </c>
      <c r="AK45" s="15" t="s">
        <v>437</v>
      </c>
      <c r="AL45" s="16" t="s">
        <v>437</v>
      </c>
      <c r="AM45" s="15" t="s">
        <v>437</v>
      </c>
      <c r="AN45" s="15" t="s">
        <v>437</v>
      </c>
      <c r="AO45" s="15" t="s">
        <v>437</v>
      </c>
      <c r="AP45" s="16" t="s">
        <v>437</v>
      </c>
      <c r="AQ45" s="15" t="s">
        <v>437</v>
      </c>
      <c r="AR45" s="15" t="s">
        <v>437</v>
      </c>
      <c r="AS45" s="15" t="s">
        <v>437</v>
      </c>
      <c r="AT45" s="16" t="s">
        <v>437</v>
      </c>
      <c r="AU45" s="15" t="s">
        <v>437</v>
      </c>
      <c r="AV45" s="15" t="s">
        <v>437</v>
      </c>
      <c r="AW45" s="15" t="s">
        <v>437</v>
      </c>
      <c r="AX45" s="16" t="s">
        <v>437</v>
      </c>
      <c r="AY45" s="15" t="s">
        <v>437</v>
      </c>
      <c r="AZ45" s="15" t="s">
        <v>437</v>
      </c>
      <c r="BA45" s="15" t="s">
        <v>437</v>
      </c>
      <c r="BB45" s="16" t="s">
        <v>437</v>
      </c>
      <c r="BC45" s="15" t="s">
        <v>437</v>
      </c>
      <c r="BD45" s="15" t="s">
        <v>437</v>
      </c>
      <c r="BE45" s="15" t="s">
        <v>437</v>
      </c>
      <c r="BF45" s="16" t="s">
        <v>437</v>
      </c>
      <c r="BG45" s="15" t="s">
        <v>437</v>
      </c>
      <c r="BH45" s="15" t="s">
        <v>437</v>
      </c>
      <c r="BI45" s="15" t="s">
        <v>437</v>
      </c>
      <c r="BJ45" s="16" t="s">
        <v>437</v>
      </c>
      <c r="BK45" s="15" t="s">
        <v>437</v>
      </c>
      <c r="BL45" s="15" t="s">
        <v>437</v>
      </c>
      <c r="BM45" s="15" t="s">
        <v>437</v>
      </c>
      <c r="BN45" s="16" t="s">
        <v>437</v>
      </c>
      <c r="BP45" s="18" t="s">
        <v>437</v>
      </c>
      <c r="BQ45" s="15" t="s">
        <v>437</v>
      </c>
      <c r="BR45" s="15" t="s">
        <v>437</v>
      </c>
      <c r="BS45" s="16" t="s">
        <v>437</v>
      </c>
      <c r="BU45" s="18" t="s">
        <v>437</v>
      </c>
      <c r="BV45" s="15" t="s">
        <v>437</v>
      </c>
      <c r="BW45" s="15" t="s">
        <v>437</v>
      </c>
      <c r="BX45" s="16" t="s">
        <v>437</v>
      </c>
      <c r="BZ45" s="18" t="s">
        <v>437</v>
      </c>
      <c r="CA45" s="15" t="s">
        <v>437</v>
      </c>
      <c r="CB45" s="15" t="s">
        <v>437</v>
      </c>
      <c r="CC45" s="16" t="s">
        <v>437</v>
      </c>
    </row>
    <row r="46" spans="2:81" ht="18" customHeight="1" x14ac:dyDescent="0.2">
      <c r="B46" s="8">
        <f>garage!B46</f>
        <v>46</v>
      </c>
      <c r="C46" s="8">
        <f>garage!C46</f>
        <v>2</v>
      </c>
      <c r="D46" s="8">
        <f>garage!D46</f>
        <v>13</v>
      </c>
      <c r="E46" s="8">
        <f>garage!E46</f>
        <v>0</v>
      </c>
      <c r="F46" s="8" t="str">
        <f>garage!F46</f>
        <v>--</v>
      </c>
      <c r="G46" s="8" t="str">
        <f>garage!G46</f>
        <v>O</v>
      </c>
      <c r="H46" s="8" t="str">
        <f>garage!H46</f>
        <v>O</v>
      </c>
      <c r="I46" s="8" t="str">
        <f>garage!I46</f>
        <v>O</v>
      </c>
      <c r="J46" s="8" t="str">
        <f>garage!J46</f>
        <v>N</v>
      </c>
      <c r="K46" s="8" t="str">
        <f>garage!K46</f>
        <v>C</v>
      </c>
      <c r="L46" s="9" t="str">
        <f>garage!L46</f>
        <v>Ford</v>
      </c>
      <c r="M46" s="9" t="str">
        <f>garage!M46</f>
        <v>Shelby GR-1</v>
      </c>
      <c r="O46" s="17">
        <v>1</v>
      </c>
      <c r="P46" s="13">
        <v>1</v>
      </c>
      <c r="Q46" s="13">
        <v>1</v>
      </c>
      <c r="R46" s="14">
        <v>1</v>
      </c>
      <c r="S46" s="13">
        <v>1</v>
      </c>
      <c r="T46" s="13">
        <v>1</v>
      </c>
      <c r="U46" s="13">
        <v>1</v>
      </c>
      <c r="V46" s="14">
        <v>1</v>
      </c>
      <c r="W46" s="13">
        <v>1</v>
      </c>
      <c r="X46" s="13">
        <v>1</v>
      </c>
      <c r="Y46" s="13">
        <v>1</v>
      </c>
      <c r="Z46" s="14">
        <v>1</v>
      </c>
      <c r="AA46" s="13">
        <v>1</v>
      </c>
      <c r="AB46" s="13">
        <v>1</v>
      </c>
      <c r="AC46" s="13">
        <v>1</v>
      </c>
      <c r="AD46" s="14">
        <v>1</v>
      </c>
      <c r="AE46" s="13">
        <v>1</v>
      </c>
      <c r="AF46" s="13">
        <v>1</v>
      </c>
      <c r="AG46" s="13">
        <v>1</v>
      </c>
      <c r="AH46" s="14">
        <v>1</v>
      </c>
      <c r="AI46" s="13">
        <v>1</v>
      </c>
      <c r="AJ46" s="13">
        <v>1</v>
      </c>
      <c r="AK46" s="13">
        <v>1</v>
      </c>
      <c r="AL46" s="14">
        <v>1</v>
      </c>
      <c r="AM46" s="13">
        <v>1</v>
      </c>
      <c r="AN46" s="13">
        <v>1</v>
      </c>
      <c r="AO46" s="13">
        <v>1</v>
      </c>
      <c r="AP46" s="14">
        <v>1</v>
      </c>
      <c r="AQ46" s="13">
        <v>1</v>
      </c>
      <c r="AR46" s="13">
        <v>1</v>
      </c>
      <c r="AS46" s="13">
        <v>1</v>
      </c>
      <c r="AT46" s="14">
        <v>1</v>
      </c>
      <c r="AU46" s="13">
        <v>1</v>
      </c>
      <c r="AV46" s="13">
        <v>1</v>
      </c>
      <c r="AW46" s="13">
        <v>1</v>
      </c>
      <c r="AX46" s="14">
        <v>1</v>
      </c>
      <c r="AY46" s="13">
        <v>1</v>
      </c>
      <c r="AZ46" s="13">
        <v>1</v>
      </c>
      <c r="BA46" s="13">
        <v>1</v>
      </c>
      <c r="BB46" s="14">
        <v>1</v>
      </c>
      <c r="BC46" s="13">
        <v>1</v>
      </c>
      <c r="BD46" s="13">
        <v>1</v>
      </c>
      <c r="BE46" s="13">
        <v>1</v>
      </c>
      <c r="BF46" s="14">
        <v>1</v>
      </c>
      <c r="BG46" s="13" t="s">
        <v>437</v>
      </c>
      <c r="BH46" s="13" t="s">
        <v>437</v>
      </c>
      <c r="BI46" s="13" t="s">
        <v>437</v>
      </c>
      <c r="BJ46" s="14" t="s">
        <v>437</v>
      </c>
      <c r="BK46" s="13" t="s">
        <v>437</v>
      </c>
      <c r="BL46" s="13" t="s">
        <v>437</v>
      </c>
      <c r="BM46" s="13" t="s">
        <v>437</v>
      </c>
      <c r="BN46" s="14" t="s">
        <v>437</v>
      </c>
      <c r="BP46" s="17">
        <v>6</v>
      </c>
      <c r="BQ46" s="13">
        <v>6</v>
      </c>
      <c r="BR46" s="13">
        <v>6</v>
      </c>
      <c r="BS46" s="14">
        <v>6</v>
      </c>
      <c r="BU46" s="17">
        <v>3</v>
      </c>
      <c r="BV46" s="13">
        <v>3</v>
      </c>
      <c r="BW46" s="13">
        <v>3</v>
      </c>
      <c r="BX46" s="14">
        <v>3</v>
      </c>
      <c r="BZ46" s="17">
        <v>1</v>
      </c>
      <c r="CA46" s="13">
        <v>1</v>
      </c>
      <c r="CB46" s="13">
        <v>1</v>
      </c>
      <c r="CC46" s="14">
        <v>1</v>
      </c>
    </row>
    <row r="47" spans="2:81" ht="18" customHeight="1" x14ac:dyDescent="0.2">
      <c r="B47" s="10">
        <f>garage!B47</f>
        <v>47</v>
      </c>
      <c r="C47" s="10">
        <f>garage!C47</f>
        <v>2</v>
      </c>
      <c r="D47" s="10">
        <f>garage!D47</f>
        <v>14</v>
      </c>
      <c r="E47" s="10">
        <f>garage!E47</f>
        <v>0</v>
      </c>
      <c r="F47" s="10" t="str">
        <f>garage!F47</f>
        <v>--</v>
      </c>
      <c r="G47" s="10" t="str">
        <f>garage!G47</f>
        <v>O</v>
      </c>
      <c r="H47" s="10" t="str">
        <f>garage!H47</f>
        <v>O</v>
      </c>
      <c r="I47" s="10" t="str">
        <f>garage!I47</f>
        <v>O</v>
      </c>
      <c r="J47" s="10" t="str">
        <f>garage!J47</f>
        <v>N</v>
      </c>
      <c r="K47" s="10" t="str">
        <f>garage!K47</f>
        <v>C</v>
      </c>
      <c r="L47" s="11" t="str">
        <f>garage!L47</f>
        <v>Pininfarina</v>
      </c>
      <c r="M47" s="11" t="str">
        <f>garage!M47</f>
        <v>H2 Speed</v>
      </c>
      <c r="O47" s="18">
        <v>1</v>
      </c>
      <c r="P47" s="15">
        <v>1</v>
      </c>
      <c r="Q47" s="15">
        <v>1</v>
      </c>
      <c r="R47" s="16">
        <v>1</v>
      </c>
      <c r="S47" s="15">
        <v>1</v>
      </c>
      <c r="T47" s="15">
        <v>1</v>
      </c>
      <c r="U47" s="15">
        <v>1</v>
      </c>
      <c r="V47" s="16">
        <v>1</v>
      </c>
      <c r="W47" s="15">
        <v>1</v>
      </c>
      <c r="X47" s="15">
        <v>1</v>
      </c>
      <c r="Y47" s="15">
        <v>1</v>
      </c>
      <c r="Z47" s="16">
        <v>1</v>
      </c>
      <c r="AA47" s="15">
        <v>1</v>
      </c>
      <c r="AB47" s="15">
        <v>1</v>
      </c>
      <c r="AC47" s="15">
        <v>1</v>
      </c>
      <c r="AD47" s="16">
        <v>1</v>
      </c>
      <c r="AE47" s="15">
        <v>1</v>
      </c>
      <c r="AF47" s="15">
        <v>1</v>
      </c>
      <c r="AG47" s="15">
        <v>1</v>
      </c>
      <c r="AH47" s="16">
        <v>1</v>
      </c>
      <c r="AI47" s="15">
        <v>1</v>
      </c>
      <c r="AJ47" s="15">
        <v>1</v>
      </c>
      <c r="AK47" s="15">
        <v>1</v>
      </c>
      <c r="AL47" s="16">
        <v>1</v>
      </c>
      <c r="AM47" s="15">
        <v>1</v>
      </c>
      <c r="AN47" s="15">
        <v>1</v>
      </c>
      <c r="AO47" s="15">
        <v>1</v>
      </c>
      <c r="AP47" s="16">
        <v>1</v>
      </c>
      <c r="AQ47" s="15">
        <v>1</v>
      </c>
      <c r="AR47" s="15">
        <v>1</v>
      </c>
      <c r="AS47" s="15">
        <v>1</v>
      </c>
      <c r="AT47" s="16">
        <v>1</v>
      </c>
      <c r="AU47" s="15">
        <v>1</v>
      </c>
      <c r="AV47" s="15">
        <v>1</v>
      </c>
      <c r="AW47" s="15">
        <v>1</v>
      </c>
      <c r="AX47" s="16">
        <v>1</v>
      </c>
      <c r="AY47" s="15">
        <v>1</v>
      </c>
      <c r="AZ47" s="15">
        <v>1</v>
      </c>
      <c r="BA47" s="15">
        <v>1</v>
      </c>
      <c r="BB47" s="16">
        <v>1</v>
      </c>
      <c r="BC47" s="15">
        <v>1</v>
      </c>
      <c r="BD47" s="15">
        <v>1</v>
      </c>
      <c r="BE47" s="15">
        <v>1</v>
      </c>
      <c r="BF47" s="16">
        <v>1</v>
      </c>
      <c r="BG47" s="15" t="s">
        <v>437</v>
      </c>
      <c r="BH47" s="15" t="s">
        <v>437</v>
      </c>
      <c r="BI47" s="15" t="s">
        <v>437</v>
      </c>
      <c r="BJ47" s="16" t="s">
        <v>437</v>
      </c>
      <c r="BK47" s="15" t="s">
        <v>437</v>
      </c>
      <c r="BL47" s="15" t="s">
        <v>437</v>
      </c>
      <c r="BM47" s="15" t="s">
        <v>437</v>
      </c>
      <c r="BN47" s="16" t="s">
        <v>437</v>
      </c>
      <c r="BP47" s="18">
        <v>6</v>
      </c>
      <c r="BQ47" s="15">
        <v>6</v>
      </c>
      <c r="BR47" s="15">
        <v>6</v>
      </c>
      <c r="BS47" s="16">
        <v>6</v>
      </c>
      <c r="BU47" s="18">
        <v>3</v>
      </c>
      <c r="BV47" s="15">
        <v>3</v>
      </c>
      <c r="BW47" s="15">
        <v>3</v>
      </c>
      <c r="BX47" s="16">
        <v>3</v>
      </c>
      <c r="BZ47" s="18">
        <v>1</v>
      </c>
      <c r="CA47" s="15">
        <v>1</v>
      </c>
      <c r="CB47" s="15">
        <v>1</v>
      </c>
      <c r="CC47" s="16">
        <v>1</v>
      </c>
    </row>
    <row r="48" spans="2:81" ht="18" customHeight="1" x14ac:dyDescent="0.2">
      <c r="B48" s="8">
        <f>garage!B48</f>
        <v>48</v>
      </c>
      <c r="C48" s="8">
        <f>garage!C48</f>
        <v>2</v>
      </c>
      <c r="D48" s="8">
        <f>garage!D48</f>
        <v>15</v>
      </c>
      <c r="E48" s="8">
        <f>garage!E48</f>
        <v>7</v>
      </c>
      <c r="F48" s="8" t="str">
        <f>garage!F48</f>
        <v>--</v>
      </c>
      <c r="G48" s="8" t="str">
        <f>garage!G48</f>
        <v>O</v>
      </c>
      <c r="H48" s="8" t="str">
        <f>garage!H48</f>
        <v>O</v>
      </c>
      <c r="I48" s="8" t="str">
        <f>garage!I48</f>
        <v>O</v>
      </c>
      <c r="J48" s="8" t="str">
        <f>garage!J48</f>
        <v>N</v>
      </c>
      <c r="K48" s="8" t="str">
        <f>garage!K48</f>
        <v>C</v>
      </c>
      <c r="L48" s="9" t="str">
        <f>garage!L48</f>
        <v>Artega</v>
      </c>
      <c r="M48" s="9" t="str">
        <f>garage!M48</f>
        <v>Scalo Superelletra</v>
      </c>
      <c r="O48" s="17">
        <v>1</v>
      </c>
      <c r="P48" s="13">
        <v>1</v>
      </c>
      <c r="Q48" s="13">
        <v>1</v>
      </c>
      <c r="R48" s="14">
        <v>1</v>
      </c>
      <c r="S48" s="13">
        <v>1</v>
      </c>
      <c r="T48" s="13">
        <v>1</v>
      </c>
      <c r="U48" s="13">
        <v>1</v>
      </c>
      <c r="V48" s="14">
        <v>1</v>
      </c>
      <c r="W48" s="13">
        <v>1</v>
      </c>
      <c r="X48" s="13">
        <v>1</v>
      </c>
      <c r="Y48" s="13">
        <v>1</v>
      </c>
      <c r="Z48" s="14">
        <v>1</v>
      </c>
      <c r="AA48" s="13">
        <v>1</v>
      </c>
      <c r="AB48" s="13">
        <v>1</v>
      </c>
      <c r="AC48" s="13">
        <v>1</v>
      </c>
      <c r="AD48" s="14">
        <v>1</v>
      </c>
      <c r="AE48" s="13">
        <v>1</v>
      </c>
      <c r="AF48" s="13">
        <v>1</v>
      </c>
      <c r="AG48" s="13">
        <v>1</v>
      </c>
      <c r="AH48" s="14">
        <v>1</v>
      </c>
      <c r="AI48" s="13">
        <v>1</v>
      </c>
      <c r="AJ48" s="13">
        <v>1</v>
      </c>
      <c r="AK48" s="13">
        <v>1</v>
      </c>
      <c r="AL48" s="14">
        <v>1</v>
      </c>
      <c r="AM48" s="13">
        <v>1</v>
      </c>
      <c r="AN48" s="13">
        <v>1</v>
      </c>
      <c r="AO48" s="13">
        <v>1</v>
      </c>
      <c r="AP48" s="14">
        <v>1</v>
      </c>
      <c r="AQ48" s="13">
        <v>1</v>
      </c>
      <c r="AR48" s="13">
        <v>1</v>
      </c>
      <c r="AS48" s="13">
        <v>1</v>
      </c>
      <c r="AT48" s="14">
        <v>1</v>
      </c>
      <c r="AU48" s="13">
        <v>1</v>
      </c>
      <c r="AV48" s="13">
        <v>1</v>
      </c>
      <c r="AW48" s="13">
        <v>1</v>
      </c>
      <c r="AX48" s="14">
        <v>1</v>
      </c>
      <c r="AY48" s="13">
        <v>1</v>
      </c>
      <c r="AZ48" s="13">
        <v>1</v>
      </c>
      <c r="BA48" s="13">
        <v>1</v>
      </c>
      <c r="BB48" s="14">
        <v>1</v>
      </c>
      <c r="BC48" s="13">
        <v>1</v>
      </c>
      <c r="BD48" s="13">
        <v>1</v>
      </c>
      <c r="BE48" s="13">
        <v>1</v>
      </c>
      <c r="BF48" s="14">
        <v>1</v>
      </c>
      <c r="BG48" s="13" t="s">
        <v>437</v>
      </c>
      <c r="BH48" s="13" t="s">
        <v>437</v>
      </c>
      <c r="BI48" s="13" t="s">
        <v>437</v>
      </c>
      <c r="BJ48" s="14" t="s">
        <v>437</v>
      </c>
      <c r="BK48" s="13" t="s">
        <v>437</v>
      </c>
      <c r="BL48" s="13" t="s">
        <v>437</v>
      </c>
      <c r="BM48" s="13" t="s">
        <v>437</v>
      </c>
      <c r="BN48" s="14" t="s">
        <v>437</v>
      </c>
      <c r="BP48" s="17">
        <v>6</v>
      </c>
      <c r="BQ48" s="13">
        <v>6</v>
      </c>
      <c r="BR48" s="13">
        <v>6</v>
      </c>
      <c r="BS48" s="14">
        <v>6</v>
      </c>
      <c r="BU48" s="17">
        <v>3</v>
      </c>
      <c r="BV48" s="13">
        <v>3</v>
      </c>
      <c r="BW48" s="13">
        <v>3</v>
      </c>
      <c r="BX48" s="14">
        <v>3</v>
      </c>
      <c r="BZ48" s="17">
        <v>1</v>
      </c>
      <c r="CA48" s="13">
        <v>1</v>
      </c>
      <c r="CB48" s="13">
        <v>1</v>
      </c>
      <c r="CC48" s="14">
        <v>1</v>
      </c>
    </row>
    <row r="49" spans="2:81" ht="18" customHeight="1" x14ac:dyDescent="0.2">
      <c r="B49" s="10">
        <f>garage!B49</f>
        <v>49</v>
      </c>
      <c r="C49" s="10">
        <f>garage!C49</f>
        <v>2</v>
      </c>
      <c r="D49" s="10">
        <f>garage!D49</f>
        <v>16</v>
      </c>
      <c r="E49" s="10">
        <f>garage!E49</f>
        <v>22</v>
      </c>
      <c r="F49" s="10" t="str">
        <f>garage!F49</f>
        <v>--</v>
      </c>
      <c r="G49" s="10" t="str">
        <f>garage!G49</f>
        <v>O</v>
      </c>
      <c r="H49" s="10" t="str">
        <f>garage!H49</f>
        <v>N</v>
      </c>
      <c r="I49" s="10" t="str">
        <f>garage!I49</f>
        <v>N</v>
      </c>
      <c r="J49" s="10" t="str">
        <f>garage!J49</f>
        <v>N</v>
      </c>
      <c r="K49" s="10" t="str">
        <f>garage!K49</f>
        <v>C</v>
      </c>
      <c r="L49" s="11" t="str">
        <f>garage!L49</f>
        <v>Saleen</v>
      </c>
      <c r="M49" s="11" t="str">
        <f>garage!M49</f>
        <v>S1</v>
      </c>
      <c r="O49" s="18">
        <v>1</v>
      </c>
      <c r="P49" s="15">
        <v>1</v>
      </c>
      <c r="Q49" s="15">
        <v>1</v>
      </c>
      <c r="R49" s="16">
        <v>1</v>
      </c>
      <c r="S49" s="15">
        <v>1</v>
      </c>
      <c r="T49" s="15">
        <v>1</v>
      </c>
      <c r="U49" s="15">
        <v>1</v>
      </c>
      <c r="V49" s="16">
        <v>1</v>
      </c>
      <c r="W49" s="15">
        <v>1</v>
      </c>
      <c r="X49" s="15">
        <v>1</v>
      </c>
      <c r="Y49" s="15">
        <v>1</v>
      </c>
      <c r="Z49" s="16">
        <v>1</v>
      </c>
      <c r="AA49" s="15">
        <v>1</v>
      </c>
      <c r="AB49" s="15">
        <v>1</v>
      </c>
      <c r="AC49" s="15">
        <v>1</v>
      </c>
      <c r="AD49" s="16">
        <v>1</v>
      </c>
      <c r="AE49" s="15">
        <v>1</v>
      </c>
      <c r="AF49" s="15">
        <v>1</v>
      </c>
      <c r="AG49" s="15">
        <v>1</v>
      </c>
      <c r="AH49" s="16">
        <v>1</v>
      </c>
      <c r="AI49" s="15">
        <v>1</v>
      </c>
      <c r="AJ49" s="15">
        <v>1</v>
      </c>
      <c r="AK49" s="15">
        <v>1</v>
      </c>
      <c r="AL49" s="16">
        <v>1</v>
      </c>
      <c r="AM49" s="15">
        <v>1</v>
      </c>
      <c r="AN49" s="15">
        <v>1</v>
      </c>
      <c r="AO49" s="15">
        <v>1</v>
      </c>
      <c r="AP49" s="16">
        <v>1</v>
      </c>
      <c r="AQ49" s="15" t="s">
        <v>437</v>
      </c>
      <c r="AR49" s="15" t="s">
        <v>437</v>
      </c>
      <c r="AS49" s="15" t="s">
        <v>437</v>
      </c>
      <c r="AT49" s="16" t="s">
        <v>437</v>
      </c>
      <c r="AU49" s="15" t="s">
        <v>437</v>
      </c>
      <c r="AV49" s="15" t="s">
        <v>437</v>
      </c>
      <c r="AW49" s="15" t="s">
        <v>437</v>
      </c>
      <c r="AX49" s="16" t="s">
        <v>437</v>
      </c>
      <c r="AY49" s="15" t="s">
        <v>437</v>
      </c>
      <c r="AZ49" s="15" t="s">
        <v>437</v>
      </c>
      <c r="BA49" s="15" t="s">
        <v>437</v>
      </c>
      <c r="BB49" s="16" t="s">
        <v>437</v>
      </c>
      <c r="BC49" s="15" t="s">
        <v>437</v>
      </c>
      <c r="BD49" s="15" t="s">
        <v>437</v>
      </c>
      <c r="BE49" s="15" t="s">
        <v>437</v>
      </c>
      <c r="BF49" s="16" t="s">
        <v>437</v>
      </c>
      <c r="BG49" s="15" t="s">
        <v>437</v>
      </c>
      <c r="BH49" s="15" t="s">
        <v>437</v>
      </c>
      <c r="BI49" s="15" t="s">
        <v>437</v>
      </c>
      <c r="BJ49" s="16" t="s">
        <v>437</v>
      </c>
      <c r="BK49" s="15" t="s">
        <v>437</v>
      </c>
      <c r="BL49" s="15" t="s">
        <v>437</v>
      </c>
      <c r="BM49" s="15" t="s">
        <v>437</v>
      </c>
      <c r="BN49" s="16" t="s">
        <v>437</v>
      </c>
      <c r="BP49" s="18">
        <v>5</v>
      </c>
      <c r="BQ49" s="15">
        <v>5</v>
      </c>
      <c r="BR49" s="15">
        <v>5</v>
      </c>
      <c r="BS49" s="16">
        <v>5</v>
      </c>
      <c r="BU49" s="18">
        <v>1</v>
      </c>
      <c r="BV49" s="15" t="s">
        <v>437</v>
      </c>
      <c r="BW49" s="15" t="s">
        <v>437</v>
      </c>
      <c r="BX49" s="16">
        <v>1</v>
      </c>
      <c r="BZ49" s="18" t="s">
        <v>437</v>
      </c>
      <c r="CA49" s="15" t="s">
        <v>437</v>
      </c>
      <c r="CB49" s="15" t="s">
        <v>437</v>
      </c>
      <c r="CC49" s="16" t="s">
        <v>437</v>
      </c>
    </row>
    <row r="50" spans="2:81" ht="18" customHeight="1" x14ac:dyDescent="0.2">
      <c r="B50" s="8">
        <f>garage!B50</f>
        <v>50</v>
      </c>
      <c r="C50" s="8">
        <f>garage!C50</f>
        <v>2</v>
      </c>
      <c r="D50" s="8">
        <f>garage!D50</f>
        <v>17</v>
      </c>
      <c r="E50" s="8">
        <f>garage!E50</f>
        <v>0</v>
      </c>
      <c r="F50" s="8" t="str">
        <f>garage!F50</f>
        <v>--</v>
      </c>
      <c r="G50" s="8" t="str">
        <f>garage!G50</f>
        <v>O</v>
      </c>
      <c r="H50" s="8" t="str">
        <f>garage!H50</f>
        <v>O</v>
      </c>
      <c r="I50" s="8" t="str">
        <f>garage!I50</f>
        <v>O</v>
      </c>
      <c r="J50" s="8" t="str">
        <f>garage!J50</f>
        <v>N</v>
      </c>
      <c r="K50" s="8" t="str">
        <f>garage!K50</f>
        <v>C</v>
      </c>
      <c r="L50" s="9" t="str">
        <f>garage!L50</f>
        <v>Acura</v>
      </c>
      <c r="M50" s="9" t="str">
        <f>garage!M50</f>
        <v>2017 NSX</v>
      </c>
      <c r="O50" s="17">
        <v>1</v>
      </c>
      <c r="P50" s="13">
        <v>1</v>
      </c>
      <c r="Q50" s="13">
        <v>1</v>
      </c>
      <c r="R50" s="14">
        <v>1</v>
      </c>
      <c r="S50" s="13">
        <v>1</v>
      </c>
      <c r="T50" s="13">
        <v>1</v>
      </c>
      <c r="U50" s="13">
        <v>1</v>
      </c>
      <c r="V50" s="14">
        <v>1</v>
      </c>
      <c r="W50" s="13">
        <v>1</v>
      </c>
      <c r="X50" s="13">
        <v>1</v>
      </c>
      <c r="Y50" s="13">
        <v>1</v>
      </c>
      <c r="Z50" s="14">
        <v>1</v>
      </c>
      <c r="AA50" s="13">
        <v>1</v>
      </c>
      <c r="AB50" s="13">
        <v>1</v>
      </c>
      <c r="AC50" s="13">
        <v>1</v>
      </c>
      <c r="AD50" s="14">
        <v>1</v>
      </c>
      <c r="AE50" s="13">
        <v>1</v>
      </c>
      <c r="AF50" s="13">
        <v>1</v>
      </c>
      <c r="AG50" s="13">
        <v>1</v>
      </c>
      <c r="AH50" s="14">
        <v>1</v>
      </c>
      <c r="AI50" s="13">
        <v>1</v>
      </c>
      <c r="AJ50" s="13">
        <v>1</v>
      </c>
      <c r="AK50" s="13">
        <v>1</v>
      </c>
      <c r="AL50" s="14">
        <v>1</v>
      </c>
      <c r="AM50" s="13">
        <v>1</v>
      </c>
      <c r="AN50" s="13">
        <v>1</v>
      </c>
      <c r="AO50" s="13">
        <v>1</v>
      </c>
      <c r="AP50" s="14">
        <v>1</v>
      </c>
      <c r="AQ50" s="13">
        <v>1</v>
      </c>
      <c r="AR50" s="13">
        <v>1</v>
      </c>
      <c r="AS50" s="13">
        <v>1</v>
      </c>
      <c r="AT50" s="14">
        <v>1</v>
      </c>
      <c r="AU50" s="13">
        <v>1</v>
      </c>
      <c r="AV50" s="13">
        <v>1</v>
      </c>
      <c r="AW50" s="13">
        <v>1</v>
      </c>
      <c r="AX50" s="14">
        <v>1</v>
      </c>
      <c r="AY50" s="13">
        <v>1</v>
      </c>
      <c r="AZ50" s="13">
        <v>1</v>
      </c>
      <c r="BA50" s="13">
        <v>1</v>
      </c>
      <c r="BB50" s="14">
        <v>1</v>
      </c>
      <c r="BC50" s="13">
        <v>1</v>
      </c>
      <c r="BD50" s="13">
        <v>1</v>
      </c>
      <c r="BE50" s="13">
        <v>1</v>
      </c>
      <c r="BF50" s="14">
        <v>1</v>
      </c>
      <c r="BG50" s="13" t="s">
        <v>437</v>
      </c>
      <c r="BH50" s="13" t="s">
        <v>437</v>
      </c>
      <c r="BI50" s="13" t="s">
        <v>437</v>
      </c>
      <c r="BJ50" s="14" t="s">
        <v>437</v>
      </c>
      <c r="BK50" s="13" t="s">
        <v>437</v>
      </c>
      <c r="BL50" s="13" t="s">
        <v>437</v>
      </c>
      <c r="BM50" s="13" t="s">
        <v>437</v>
      </c>
      <c r="BN50" s="14" t="s">
        <v>437</v>
      </c>
      <c r="BP50" s="17">
        <v>6</v>
      </c>
      <c r="BQ50" s="13">
        <v>6</v>
      </c>
      <c r="BR50" s="13">
        <v>6</v>
      </c>
      <c r="BS50" s="14">
        <v>6</v>
      </c>
      <c r="BU50" s="17">
        <v>3</v>
      </c>
      <c r="BV50" s="13">
        <v>3</v>
      </c>
      <c r="BW50" s="13">
        <v>3</v>
      </c>
      <c r="BX50" s="14">
        <v>3</v>
      </c>
      <c r="BZ50" s="17">
        <v>1</v>
      </c>
      <c r="CA50" s="13">
        <v>1</v>
      </c>
      <c r="CB50" s="13">
        <v>1</v>
      </c>
      <c r="CC50" s="14">
        <v>1</v>
      </c>
    </row>
    <row r="51" spans="2:81" ht="18" customHeight="1" x14ac:dyDescent="0.2">
      <c r="B51" s="10">
        <f>garage!B51</f>
        <v>51</v>
      </c>
      <c r="C51" s="10">
        <f>garage!C51</f>
        <v>2</v>
      </c>
      <c r="D51" s="10">
        <f>garage!D51</f>
        <v>18</v>
      </c>
      <c r="E51" s="10">
        <f>garage!E51</f>
        <v>0</v>
      </c>
      <c r="F51" s="10" t="str">
        <f>garage!F51</f>
        <v>--</v>
      </c>
      <c r="G51" s="10" t="str">
        <f>garage!G51</f>
        <v>O</v>
      </c>
      <c r="H51" s="10" t="str">
        <f>garage!H51</f>
        <v>O</v>
      </c>
      <c r="I51" s="10" t="str">
        <f>garage!I51</f>
        <v>O</v>
      </c>
      <c r="J51" s="10" t="str">
        <f>garage!J51</f>
        <v>N</v>
      </c>
      <c r="K51" s="10" t="str">
        <f>garage!K51</f>
        <v>C</v>
      </c>
      <c r="L51" s="11" t="str">
        <f>garage!L51</f>
        <v>Maserati</v>
      </c>
      <c r="M51" s="11" t="str">
        <f>garage!M51</f>
        <v>Alfieri</v>
      </c>
      <c r="O51" s="18">
        <v>1</v>
      </c>
      <c r="P51" s="15">
        <v>1</v>
      </c>
      <c r="Q51" s="15">
        <v>1</v>
      </c>
      <c r="R51" s="16">
        <v>1</v>
      </c>
      <c r="S51" s="15">
        <v>1</v>
      </c>
      <c r="T51" s="15">
        <v>1</v>
      </c>
      <c r="U51" s="15">
        <v>1</v>
      </c>
      <c r="V51" s="16">
        <v>1</v>
      </c>
      <c r="W51" s="15">
        <v>1</v>
      </c>
      <c r="X51" s="15">
        <v>1</v>
      </c>
      <c r="Y51" s="15">
        <v>1</v>
      </c>
      <c r="Z51" s="16">
        <v>1</v>
      </c>
      <c r="AA51" s="15">
        <v>1</v>
      </c>
      <c r="AB51" s="15">
        <v>1</v>
      </c>
      <c r="AC51" s="15">
        <v>1</v>
      </c>
      <c r="AD51" s="16">
        <v>1</v>
      </c>
      <c r="AE51" s="15">
        <v>1</v>
      </c>
      <c r="AF51" s="15">
        <v>1</v>
      </c>
      <c r="AG51" s="15">
        <v>1</v>
      </c>
      <c r="AH51" s="16">
        <v>1</v>
      </c>
      <c r="AI51" s="15">
        <v>1</v>
      </c>
      <c r="AJ51" s="15">
        <v>1</v>
      </c>
      <c r="AK51" s="15">
        <v>1</v>
      </c>
      <c r="AL51" s="16">
        <v>1</v>
      </c>
      <c r="AM51" s="15">
        <v>1</v>
      </c>
      <c r="AN51" s="15">
        <v>1</v>
      </c>
      <c r="AO51" s="15">
        <v>1</v>
      </c>
      <c r="AP51" s="16">
        <v>1</v>
      </c>
      <c r="AQ51" s="15">
        <v>1</v>
      </c>
      <c r="AR51" s="15">
        <v>1</v>
      </c>
      <c r="AS51" s="15">
        <v>1</v>
      </c>
      <c r="AT51" s="16">
        <v>1</v>
      </c>
      <c r="AU51" s="15">
        <v>1</v>
      </c>
      <c r="AV51" s="15">
        <v>1</v>
      </c>
      <c r="AW51" s="15">
        <v>1</v>
      </c>
      <c r="AX51" s="16">
        <v>1</v>
      </c>
      <c r="AY51" s="15">
        <v>1</v>
      </c>
      <c r="AZ51" s="15">
        <v>1</v>
      </c>
      <c r="BA51" s="15">
        <v>1</v>
      </c>
      <c r="BB51" s="16">
        <v>1</v>
      </c>
      <c r="BC51" s="15">
        <v>1</v>
      </c>
      <c r="BD51" s="15">
        <v>1</v>
      </c>
      <c r="BE51" s="15">
        <v>1</v>
      </c>
      <c r="BF51" s="16">
        <v>1</v>
      </c>
      <c r="BG51" s="15" t="s">
        <v>437</v>
      </c>
      <c r="BH51" s="15" t="s">
        <v>437</v>
      </c>
      <c r="BI51" s="15" t="s">
        <v>437</v>
      </c>
      <c r="BJ51" s="16" t="s">
        <v>437</v>
      </c>
      <c r="BK51" s="15" t="s">
        <v>437</v>
      </c>
      <c r="BL51" s="15" t="s">
        <v>437</v>
      </c>
      <c r="BM51" s="15" t="s">
        <v>437</v>
      </c>
      <c r="BN51" s="16" t="s">
        <v>437</v>
      </c>
      <c r="BP51" s="18">
        <v>6</v>
      </c>
      <c r="BQ51" s="15">
        <v>6</v>
      </c>
      <c r="BR51" s="15">
        <v>6</v>
      </c>
      <c r="BS51" s="16">
        <v>6</v>
      </c>
      <c r="BU51" s="18">
        <v>3</v>
      </c>
      <c r="BV51" s="15">
        <v>3</v>
      </c>
      <c r="BW51" s="15">
        <v>3</v>
      </c>
      <c r="BX51" s="16">
        <v>3</v>
      </c>
      <c r="BZ51" s="18">
        <v>1</v>
      </c>
      <c r="CA51" s="15">
        <v>1</v>
      </c>
      <c r="CB51" s="15">
        <v>1</v>
      </c>
      <c r="CC51" s="16">
        <v>1</v>
      </c>
    </row>
    <row r="52" spans="2:81" ht="18" customHeight="1" x14ac:dyDescent="0.2">
      <c r="B52" s="8">
        <f>garage!B52</f>
        <v>52</v>
      </c>
      <c r="C52" s="8">
        <f>garage!C52</f>
        <v>2</v>
      </c>
      <c r="D52" s="8">
        <f>garage!D52</f>
        <v>19</v>
      </c>
      <c r="E52" s="8">
        <f>garage!E52</f>
        <v>26</v>
      </c>
      <c r="F52" s="8" t="str">
        <f>garage!F52</f>
        <v>F</v>
      </c>
      <c r="G52" s="8" t="str">
        <f>garage!G52</f>
        <v>O</v>
      </c>
      <c r="H52" s="8" t="str">
        <f>garage!H52</f>
        <v>N</v>
      </c>
      <c r="I52" s="8" t="str">
        <f>garage!I52</f>
        <v>N</v>
      </c>
      <c r="J52" s="8" t="str">
        <f>garage!J52</f>
        <v>O</v>
      </c>
      <c r="K52" s="8" t="str">
        <f>garage!K52</f>
        <v>C</v>
      </c>
      <c r="L52" s="9" t="str">
        <f>garage!L52</f>
        <v>Ferrari</v>
      </c>
      <c r="M52" s="9" t="str">
        <f>garage!M52</f>
        <v>Monza SP1</v>
      </c>
      <c r="O52" s="17" t="s">
        <v>437</v>
      </c>
      <c r="P52" s="13" t="s">
        <v>437</v>
      </c>
      <c r="Q52" s="13" t="s">
        <v>437</v>
      </c>
      <c r="R52" s="14" t="s">
        <v>437</v>
      </c>
      <c r="S52" s="13" t="s">
        <v>437</v>
      </c>
      <c r="T52" s="13" t="s">
        <v>437</v>
      </c>
      <c r="U52" s="13" t="s">
        <v>437</v>
      </c>
      <c r="V52" s="14" t="s">
        <v>437</v>
      </c>
      <c r="W52" s="13" t="s">
        <v>437</v>
      </c>
      <c r="X52" s="13" t="s">
        <v>437</v>
      </c>
      <c r="Y52" s="13" t="s">
        <v>437</v>
      </c>
      <c r="Z52" s="14" t="s">
        <v>437</v>
      </c>
      <c r="AA52" s="13" t="s">
        <v>437</v>
      </c>
      <c r="AB52" s="13" t="s">
        <v>437</v>
      </c>
      <c r="AC52" s="13" t="s">
        <v>437</v>
      </c>
      <c r="AD52" s="14" t="s">
        <v>437</v>
      </c>
      <c r="AE52" s="13" t="s">
        <v>437</v>
      </c>
      <c r="AF52" s="13" t="s">
        <v>437</v>
      </c>
      <c r="AG52" s="13" t="s">
        <v>437</v>
      </c>
      <c r="AH52" s="14" t="s">
        <v>437</v>
      </c>
      <c r="AI52" s="13" t="s">
        <v>437</v>
      </c>
      <c r="AJ52" s="13" t="s">
        <v>437</v>
      </c>
      <c r="AK52" s="13" t="s">
        <v>437</v>
      </c>
      <c r="AL52" s="14" t="s">
        <v>437</v>
      </c>
      <c r="AM52" s="13" t="s">
        <v>437</v>
      </c>
      <c r="AN52" s="13" t="s">
        <v>437</v>
      </c>
      <c r="AO52" s="13" t="s">
        <v>437</v>
      </c>
      <c r="AP52" s="14" t="s">
        <v>437</v>
      </c>
      <c r="AQ52" s="13" t="s">
        <v>437</v>
      </c>
      <c r="AR52" s="13" t="s">
        <v>437</v>
      </c>
      <c r="AS52" s="13" t="s">
        <v>437</v>
      </c>
      <c r="AT52" s="14" t="s">
        <v>437</v>
      </c>
      <c r="AU52" s="13" t="s">
        <v>437</v>
      </c>
      <c r="AV52" s="13" t="s">
        <v>437</v>
      </c>
      <c r="AW52" s="13" t="s">
        <v>437</v>
      </c>
      <c r="AX52" s="14" t="s">
        <v>437</v>
      </c>
      <c r="AY52" s="13" t="s">
        <v>437</v>
      </c>
      <c r="AZ52" s="13" t="s">
        <v>437</v>
      </c>
      <c r="BA52" s="13" t="s">
        <v>437</v>
      </c>
      <c r="BB52" s="14" t="s">
        <v>437</v>
      </c>
      <c r="BC52" s="13" t="s">
        <v>437</v>
      </c>
      <c r="BD52" s="13" t="s">
        <v>437</v>
      </c>
      <c r="BE52" s="13" t="s">
        <v>437</v>
      </c>
      <c r="BF52" s="14" t="s">
        <v>437</v>
      </c>
      <c r="BG52" s="13" t="s">
        <v>437</v>
      </c>
      <c r="BH52" s="13" t="s">
        <v>437</v>
      </c>
      <c r="BI52" s="13" t="s">
        <v>437</v>
      </c>
      <c r="BJ52" s="14" t="s">
        <v>437</v>
      </c>
      <c r="BK52" s="13" t="s">
        <v>437</v>
      </c>
      <c r="BL52" s="13" t="s">
        <v>437</v>
      </c>
      <c r="BM52" s="13" t="s">
        <v>437</v>
      </c>
      <c r="BN52" s="14" t="s">
        <v>437</v>
      </c>
      <c r="BP52" s="17" t="s">
        <v>437</v>
      </c>
      <c r="BQ52" s="13" t="s">
        <v>437</v>
      </c>
      <c r="BR52" s="13" t="s">
        <v>437</v>
      </c>
      <c r="BS52" s="14" t="s">
        <v>437</v>
      </c>
      <c r="BU52" s="17" t="s">
        <v>437</v>
      </c>
      <c r="BV52" s="13" t="s">
        <v>437</v>
      </c>
      <c r="BW52" s="13" t="s">
        <v>437</v>
      </c>
      <c r="BX52" s="14" t="s">
        <v>437</v>
      </c>
      <c r="BZ52" s="17" t="s">
        <v>437</v>
      </c>
      <c r="CA52" s="13" t="s">
        <v>437</v>
      </c>
      <c r="CB52" s="13" t="s">
        <v>437</v>
      </c>
      <c r="CC52" s="14" t="s">
        <v>437</v>
      </c>
    </row>
    <row r="53" spans="2:81" ht="18" customHeight="1" x14ac:dyDescent="0.2">
      <c r="B53" s="10">
        <f>garage!B53</f>
        <v>53</v>
      </c>
      <c r="C53" s="10">
        <f>garage!C53</f>
        <v>2</v>
      </c>
      <c r="D53" s="10">
        <f>garage!D53</f>
        <v>20</v>
      </c>
      <c r="E53" s="10">
        <f>garage!E53</f>
        <v>18</v>
      </c>
      <c r="F53" s="10" t="str">
        <f>garage!F53</f>
        <v>--</v>
      </c>
      <c r="G53" s="10" t="str">
        <f>garage!G53</f>
        <v>O</v>
      </c>
      <c r="H53" s="10" t="str">
        <f>garage!H53</f>
        <v>O</v>
      </c>
      <c r="I53" s="10" t="str">
        <f>garage!I53</f>
        <v>N</v>
      </c>
      <c r="J53" s="10" t="str">
        <f>garage!J53</f>
        <v>N</v>
      </c>
      <c r="K53" s="10" t="str">
        <f>garage!K53</f>
        <v>C</v>
      </c>
      <c r="L53" s="11" t="str">
        <f>garage!L53</f>
        <v>ATS Automobili</v>
      </c>
      <c r="M53" s="11" t="str">
        <f>garage!M53</f>
        <v>Corsa RRTurbo</v>
      </c>
      <c r="O53" s="18">
        <v>1</v>
      </c>
      <c r="P53" s="15">
        <v>1</v>
      </c>
      <c r="Q53" s="15">
        <v>1</v>
      </c>
      <c r="R53" s="16">
        <v>1</v>
      </c>
      <c r="S53" s="15">
        <v>1</v>
      </c>
      <c r="T53" s="15">
        <v>1</v>
      </c>
      <c r="U53" s="15">
        <v>1</v>
      </c>
      <c r="V53" s="16">
        <v>1</v>
      </c>
      <c r="W53" s="15">
        <v>1</v>
      </c>
      <c r="X53" s="15">
        <v>1</v>
      </c>
      <c r="Y53" s="15">
        <v>1</v>
      </c>
      <c r="Z53" s="16">
        <v>1</v>
      </c>
      <c r="AA53" s="15">
        <v>1</v>
      </c>
      <c r="AB53" s="15">
        <v>1</v>
      </c>
      <c r="AC53" s="15">
        <v>1</v>
      </c>
      <c r="AD53" s="16">
        <v>1</v>
      </c>
      <c r="AE53" s="15">
        <v>1</v>
      </c>
      <c r="AF53" s="15">
        <v>1</v>
      </c>
      <c r="AG53" s="15">
        <v>1</v>
      </c>
      <c r="AH53" s="16">
        <v>1</v>
      </c>
      <c r="AI53" s="15">
        <v>1</v>
      </c>
      <c r="AJ53" s="15">
        <v>1</v>
      </c>
      <c r="AK53" s="15">
        <v>1</v>
      </c>
      <c r="AL53" s="16">
        <v>1</v>
      </c>
      <c r="AM53" s="15">
        <v>1</v>
      </c>
      <c r="AN53" s="15">
        <v>1</v>
      </c>
      <c r="AO53" s="15">
        <v>1</v>
      </c>
      <c r="AP53" s="16">
        <v>1</v>
      </c>
      <c r="AQ53" s="15">
        <v>1</v>
      </c>
      <c r="AR53" s="15">
        <v>1</v>
      </c>
      <c r="AS53" s="15">
        <v>1</v>
      </c>
      <c r="AT53" s="16">
        <v>1</v>
      </c>
      <c r="AU53" s="15">
        <v>1</v>
      </c>
      <c r="AV53" s="15">
        <v>1</v>
      </c>
      <c r="AW53" s="15">
        <v>1</v>
      </c>
      <c r="AX53" s="16">
        <v>1</v>
      </c>
      <c r="AY53" s="15">
        <v>1</v>
      </c>
      <c r="AZ53" s="15">
        <v>1</v>
      </c>
      <c r="BA53" s="15">
        <v>1</v>
      </c>
      <c r="BB53" s="16">
        <v>1</v>
      </c>
      <c r="BC53" s="15">
        <v>1</v>
      </c>
      <c r="BD53" s="15">
        <v>1</v>
      </c>
      <c r="BE53" s="15">
        <v>1</v>
      </c>
      <c r="BF53" s="16">
        <v>1</v>
      </c>
      <c r="BG53" s="15" t="s">
        <v>437</v>
      </c>
      <c r="BH53" s="15" t="s">
        <v>437</v>
      </c>
      <c r="BI53" s="15" t="s">
        <v>437</v>
      </c>
      <c r="BJ53" s="16" t="s">
        <v>437</v>
      </c>
      <c r="BK53" s="15" t="s">
        <v>437</v>
      </c>
      <c r="BL53" s="15" t="s">
        <v>437</v>
      </c>
      <c r="BM53" s="15" t="s">
        <v>437</v>
      </c>
      <c r="BN53" s="16" t="s">
        <v>437</v>
      </c>
      <c r="BP53" s="18">
        <v>6</v>
      </c>
      <c r="BQ53" s="15">
        <v>6</v>
      </c>
      <c r="BR53" s="15">
        <v>6</v>
      </c>
      <c r="BS53" s="16">
        <v>6</v>
      </c>
      <c r="BU53" s="18">
        <v>3</v>
      </c>
      <c r="BV53" s="15">
        <v>3</v>
      </c>
      <c r="BW53" s="15">
        <v>3</v>
      </c>
      <c r="BX53" s="16">
        <v>3</v>
      </c>
      <c r="BZ53" s="18" t="s">
        <v>437</v>
      </c>
      <c r="CA53" s="15" t="s">
        <v>437</v>
      </c>
      <c r="CB53" s="15" t="s">
        <v>437</v>
      </c>
      <c r="CC53" s="16" t="s">
        <v>437</v>
      </c>
    </row>
    <row r="54" spans="2:81" ht="18" hidden="1" customHeight="1" x14ac:dyDescent="0.2">
      <c r="B54" s="8">
        <f>garage!B54</f>
        <v>54</v>
      </c>
      <c r="C54" s="8">
        <f>garage!C54</f>
        <v>2</v>
      </c>
      <c r="D54" s="8">
        <f>garage!D54</f>
        <v>21</v>
      </c>
      <c r="E54" s="8">
        <f>garage!E54</f>
        <v>27</v>
      </c>
      <c r="F54" s="8" t="str">
        <f>garage!F54</f>
        <v>--</v>
      </c>
      <c r="G54" s="8" t="str">
        <f>garage!G54</f>
        <v>N</v>
      </c>
      <c r="H54" s="8" t="str">
        <f>garage!H54</f>
        <v>N</v>
      </c>
      <c r="I54" s="8" t="str">
        <f>garage!I54</f>
        <v>N</v>
      </c>
      <c r="J54" s="8" t="str">
        <f>garage!J54</f>
        <v>N</v>
      </c>
      <c r="K54" s="8" t="str">
        <f>garage!K54</f>
        <v>C</v>
      </c>
      <c r="L54" s="9" t="str">
        <f>garage!L54</f>
        <v>Jaguar</v>
      </c>
      <c r="M54" s="9" t="str">
        <f>garage!M54</f>
        <v>XE SV Project 8</v>
      </c>
      <c r="O54" s="17" t="s">
        <v>437</v>
      </c>
      <c r="P54" s="13" t="s">
        <v>437</v>
      </c>
      <c r="Q54" s="13" t="s">
        <v>437</v>
      </c>
      <c r="R54" s="14" t="s">
        <v>437</v>
      </c>
      <c r="S54" s="13" t="s">
        <v>437</v>
      </c>
      <c r="T54" s="13" t="s">
        <v>437</v>
      </c>
      <c r="U54" s="13" t="s">
        <v>437</v>
      </c>
      <c r="V54" s="14" t="s">
        <v>437</v>
      </c>
      <c r="W54" s="13" t="s">
        <v>437</v>
      </c>
      <c r="X54" s="13" t="s">
        <v>437</v>
      </c>
      <c r="Y54" s="13" t="s">
        <v>437</v>
      </c>
      <c r="Z54" s="14" t="s">
        <v>437</v>
      </c>
      <c r="AA54" s="13" t="s">
        <v>437</v>
      </c>
      <c r="AB54" s="13" t="s">
        <v>437</v>
      </c>
      <c r="AC54" s="13" t="s">
        <v>437</v>
      </c>
      <c r="AD54" s="14" t="s">
        <v>437</v>
      </c>
      <c r="AE54" s="13" t="s">
        <v>437</v>
      </c>
      <c r="AF54" s="13" t="s">
        <v>437</v>
      </c>
      <c r="AG54" s="13" t="s">
        <v>437</v>
      </c>
      <c r="AH54" s="14" t="s">
        <v>437</v>
      </c>
      <c r="AI54" s="13" t="s">
        <v>437</v>
      </c>
      <c r="AJ54" s="13" t="s">
        <v>437</v>
      </c>
      <c r="AK54" s="13" t="s">
        <v>437</v>
      </c>
      <c r="AL54" s="14" t="s">
        <v>437</v>
      </c>
      <c r="AM54" s="13" t="s">
        <v>437</v>
      </c>
      <c r="AN54" s="13" t="s">
        <v>437</v>
      </c>
      <c r="AO54" s="13" t="s">
        <v>437</v>
      </c>
      <c r="AP54" s="14" t="s">
        <v>437</v>
      </c>
      <c r="AQ54" s="13" t="s">
        <v>437</v>
      </c>
      <c r="AR54" s="13" t="s">
        <v>437</v>
      </c>
      <c r="AS54" s="13" t="s">
        <v>437</v>
      </c>
      <c r="AT54" s="14" t="s">
        <v>437</v>
      </c>
      <c r="AU54" s="13" t="s">
        <v>437</v>
      </c>
      <c r="AV54" s="13" t="s">
        <v>437</v>
      </c>
      <c r="AW54" s="13" t="s">
        <v>437</v>
      </c>
      <c r="AX54" s="14" t="s">
        <v>437</v>
      </c>
      <c r="AY54" s="13" t="s">
        <v>437</v>
      </c>
      <c r="AZ54" s="13" t="s">
        <v>437</v>
      </c>
      <c r="BA54" s="13" t="s">
        <v>437</v>
      </c>
      <c r="BB54" s="14" t="s">
        <v>437</v>
      </c>
      <c r="BC54" s="13" t="s">
        <v>437</v>
      </c>
      <c r="BD54" s="13" t="s">
        <v>437</v>
      </c>
      <c r="BE54" s="13" t="s">
        <v>437</v>
      </c>
      <c r="BF54" s="14" t="s">
        <v>437</v>
      </c>
      <c r="BG54" s="13" t="s">
        <v>437</v>
      </c>
      <c r="BH54" s="13" t="s">
        <v>437</v>
      </c>
      <c r="BI54" s="13" t="s">
        <v>437</v>
      </c>
      <c r="BJ54" s="14" t="s">
        <v>437</v>
      </c>
      <c r="BK54" s="13" t="s">
        <v>437</v>
      </c>
      <c r="BL54" s="13" t="s">
        <v>437</v>
      </c>
      <c r="BM54" s="13" t="s">
        <v>437</v>
      </c>
      <c r="BN54" s="14" t="s">
        <v>437</v>
      </c>
      <c r="BP54" s="17" t="s">
        <v>437</v>
      </c>
      <c r="BQ54" s="13" t="s">
        <v>437</v>
      </c>
      <c r="BR54" s="13" t="s">
        <v>437</v>
      </c>
      <c r="BS54" s="14" t="s">
        <v>437</v>
      </c>
      <c r="BU54" s="17" t="s">
        <v>437</v>
      </c>
      <c r="BV54" s="13" t="s">
        <v>437</v>
      </c>
      <c r="BW54" s="13" t="s">
        <v>437</v>
      </c>
      <c r="BX54" s="14" t="s">
        <v>437</v>
      </c>
      <c r="BZ54" s="17" t="s">
        <v>437</v>
      </c>
      <c r="CA54" s="13" t="s">
        <v>437</v>
      </c>
      <c r="CB54" s="13" t="s">
        <v>437</v>
      </c>
      <c r="CC54" s="14" t="s">
        <v>437</v>
      </c>
    </row>
    <row r="55" spans="2:81" ht="18" customHeight="1" x14ac:dyDescent="0.2">
      <c r="B55" s="10">
        <f>garage!B55</f>
        <v>55</v>
      </c>
      <c r="C55" s="10">
        <f>garage!C55</f>
        <v>2</v>
      </c>
      <c r="D55" s="10">
        <f>garage!D55</f>
        <v>22</v>
      </c>
      <c r="E55" s="10">
        <f>garage!E55</f>
        <v>15</v>
      </c>
      <c r="F55" s="10" t="str">
        <f>garage!F55</f>
        <v>F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garage!J55</f>
        <v>N</v>
      </c>
      <c r="K55" s="10" t="str">
        <f>garage!K55</f>
        <v>C</v>
      </c>
      <c r="L55" s="11" t="str">
        <f>garage!L55</f>
        <v>Ferrari</v>
      </c>
      <c r="M55" s="11" t="str">
        <f>garage!M55</f>
        <v>F40</v>
      </c>
      <c r="O55" s="18">
        <v>1</v>
      </c>
      <c r="P55" s="15">
        <v>1</v>
      </c>
      <c r="Q55" s="15">
        <v>1</v>
      </c>
      <c r="R55" s="16">
        <v>1</v>
      </c>
      <c r="S55" s="15">
        <v>1</v>
      </c>
      <c r="T55" s="15">
        <v>1</v>
      </c>
      <c r="U55" s="15">
        <v>1</v>
      </c>
      <c r="V55" s="16">
        <v>1</v>
      </c>
      <c r="W55" s="15">
        <v>1</v>
      </c>
      <c r="X55" s="15">
        <v>1</v>
      </c>
      <c r="Y55" s="15">
        <v>1</v>
      </c>
      <c r="Z55" s="16">
        <v>1</v>
      </c>
      <c r="AA55" s="15">
        <v>1</v>
      </c>
      <c r="AB55" s="15">
        <v>1</v>
      </c>
      <c r="AC55" s="15">
        <v>1</v>
      </c>
      <c r="AD55" s="16">
        <v>1</v>
      </c>
      <c r="AE55" s="15">
        <v>1</v>
      </c>
      <c r="AF55" s="15">
        <v>1</v>
      </c>
      <c r="AG55" s="15">
        <v>1</v>
      </c>
      <c r="AH55" s="16">
        <v>1</v>
      </c>
      <c r="AI55" s="15">
        <v>1</v>
      </c>
      <c r="AJ55" s="15">
        <v>1</v>
      </c>
      <c r="AK55" s="15">
        <v>1</v>
      </c>
      <c r="AL55" s="16">
        <v>1</v>
      </c>
      <c r="AM55" s="15">
        <v>1</v>
      </c>
      <c r="AN55" s="15">
        <v>1</v>
      </c>
      <c r="AO55" s="15">
        <v>1</v>
      </c>
      <c r="AP55" s="16">
        <v>1</v>
      </c>
      <c r="AQ55" s="15">
        <v>1</v>
      </c>
      <c r="AR55" s="15">
        <v>1</v>
      </c>
      <c r="AS55" s="15">
        <v>1</v>
      </c>
      <c r="AT55" s="16">
        <v>1</v>
      </c>
      <c r="AU55" s="15">
        <v>1</v>
      </c>
      <c r="AV55" s="15">
        <v>1</v>
      </c>
      <c r="AW55" s="15">
        <v>1</v>
      </c>
      <c r="AX55" s="16">
        <v>1</v>
      </c>
      <c r="AY55" s="15">
        <v>1</v>
      </c>
      <c r="AZ55" s="15">
        <v>1</v>
      </c>
      <c r="BA55" s="15">
        <v>1</v>
      </c>
      <c r="BB55" s="16">
        <v>1</v>
      </c>
      <c r="BC55" s="15">
        <v>1</v>
      </c>
      <c r="BD55" s="15">
        <v>1</v>
      </c>
      <c r="BE55" s="15">
        <v>1</v>
      </c>
      <c r="BF55" s="16">
        <v>1</v>
      </c>
      <c r="BG55" s="15">
        <v>1</v>
      </c>
      <c r="BH55" s="15">
        <v>1</v>
      </c>
      <c r="BI55" s="15">
        <v>1</v>
      </c>
      <c r="BJ55" s="16">
        <v>1</v>
      </c>
      <c r="BK55" s="15" t="s">
        <v>437</v>
      </c>
      <c r="BL55" s="15" t="s">
        <v>437</v>
      </c>
      <c r="BM55" s="15" t="s">
        <v>437</v>
      </c>
      <c r="BN55" s="16" t="s">
        <v>437</v>
      </c>
      <c r="BP55" s="18">
        <v>9</v>
      </c>
      <c r="BQ55" s="15">
        <v>9</v>
      </c>
      <c r="BR55" s="15">
        <v>9</v>
      </c>
      <c r="BS55" s="16">
        <v>9</v>
      </c>
      <c r="BU55" s="18">
        <v>4</v>
      </c>
      <c r="BV55" s="15">
        <v>4</v>
      </c>
      <c r="BW55" s="15">
        <v>4</v>
      </c>
      <c r="BX55" s="16">
        <v>4</v>
      </c>
      <c r="BZ55" s="18" t="s">
        <v>437</v>
      </c>
      <c r="CA55" s="15" t="s">
        <v>437</v>
      </c>
      <c r="CB55" s="15" t="s">
        <v>437</v>
      </c>
      <c r="CC55" s="16" t="s">
        <v>437</v>
      </c>
    </row>
    <row r="56" spans="2:81" ht="18" hidden="1" customHeight="1" x14ac:dyDescent="0.2">
      <c r="B56" s="8">
        <f>garage!B56</f>
        <v>56</v>
      </c>
      <c r="C56" s="8">
        <f>garage!C56</f>
        <v>2</v>
      </c>
      <c r="D56" s="8">
        <f>garage!D56</f>
        <v>23</v>
      </c>
      <c r="E56" s="8">
        <f>garage!E56</f>
        <v>19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garage!J56</f>
        <v>N</v>
      </c>
      <c r="K56" s="8" t="str">
        <f>garage!K56</f>
        <v>C</v>
      </c>
      <c r="L56" s="9" t="str">
        <f>garage!L56</f>
        <v>Renault</v>
      </c>
      <c r="M56" s="9" t="str">
        <f>garage!M56</f>
        <v>R.S. 01</v>
      </c>
      <c r="O56" s="17" t="s">
        <v>437</v>
      </c>
      <c r="P56" s="13" t="s">
        <v>437</v>
      </c>
      <c r="Q56" s="13" t="s">
        <v>437</v>
      </c>
      <c r="R56" s="14" t="s">
        <v>437</v>
      </c>
      <c r="S56" s="13" t="s">
        <v>437</v>
      </c>
      <c r="T56" s="13" t="s">
        <v>437</v>
      </c>
      <c r="U56" s="13" t="s">
        <v>437</v>
      </c>
      <c r="V56" s="14" t="s">
        <v>437</v>
      </c>
      <c r="W56" s="13" t="s">
        <v>437</v>
      </c>
      <c r="X56" s="13" t="s">
        <v>437</v>
      </c>
      <c r="Y56" s="13" t="s">
        <v>437</v>
      </c>
      <c r="Z56" s="14" t="s">
        <v>437</v>
      </c>
      <c r="AA56" s="13" t="s">
        <v>437</v>
      </c>
      <c r="AB56" s="13" t="s">
        <v>437</v>
      </c>
      <c r="AC56" s="13" t="s">
        <v>437</v>
      </c>
      <c r="AD56" s="14" t="s">
        <v>437</v>
      </c>
      <c r="AE56" s="13" t="s">
        <v>437</v>
      </c>
      <c r="AF56" s="13" t="s">
        <v>437</v>
      </c>
      <c r="AG56" s="13" t="s">
        <v>437</v>
      </c>
      <c r="AH56" s="14" t="s">
        <v>437</v>
      </c>
      <c r="AI56" s="13" t="s">
        <v>437</v>
      </c>
      <c r="AJ56" s="13" t="s">
        <v>437</v>
      </c>
      <c r="AK56" s="13" t="s">
        <v>437</v>
      </c>
      <c r="AL56" s="14" t="s">
        <v>437</v>
      </c>
      <c r="AM56" s="13" t="s">
        <v>437</v>
      </c>
      <c r="AN56" s="13" t="s">
        <v>437</v>
      </c>
      <c r="AO56" s="13" t="s">
        <v>437</v>
      </c>
      <c r="AP56" s="14" t="s">
        <v>437</v>
      </c>
      <c r="AQ56" s="13" t="s">
        <v>437</v>
      </c>
      <c r="AR56" s="13" t="s">
        <v>437</v>
      </c>
      <c r="AS56" s="13" t="s">
        <v>437</v>
      </c>
      <c r="AT56" s="14" t="s">
        <v>437</v>
      </c>
      <c r="AU56" s="13" t="s">
        <v>437</v>
      </c>
      <c r="AV56" s="13" t="s">
        <v>437</v>
      </c>
      <c r="AW56" s="13" t="s">
        <v>437</v>
      </c>
      <c r="AX56" s="14" t="s">
        <v>437</v>
      </c>
      <c r="AY56" s="13" t="s">
        <v>437</v>
      </c>
      <c r="AZ56" s="13" t="s">
        <v>437</v>
      </c>
      <c r="BA56" s="13" t="s">
        <v>437</v>
      </c>
      <c r="BB56" s="14" t="s">
        <v>437</v>
      </c>
      <c r="BC56" s="13" t="s">
        <v>437</v>
      </c>
      <c r="BD56" s="13" t="s">
        <v>437</v>
      </c>
      <c r="BE56" s="13" t="s">
        <v>437</v>
      </c>
      <c r="BF56" s="14" t="s">
        <v>437</v>
      </c>
      <c r="BG56" s="13" t="s">
        <v>437</v>
      </c>
      <c r="BH56" s="13" t="s">
        <v>437</v>
      </c>
      <c r="BI56" s="13" t="s">
        <v>437</v>
      </c>
      <c r="BJ56" s="14" t="s">
        <v>437</v>
      </c>
      <c r="BK56" s="13" t="s">
        <v>437</v>
      </c>
      <c r="BL56" s="13" t="s">
        <v>437</v>
      </c>
      <c r="BM56" s="13" t="s">
        <v>437</v>
      </c>
      <c r="BN56" s="14" t="s">
        <v>437</v>
      </c>
      <c r="BP56" s="17" t="s">
        <v>437</v>
      </c>
      <c r="BQ56" s="13" t="s">
        <v>437</v>
      </c>
      <c r="BR56" s="13" t="s">
        <v>437</v>
      </c>
      <c r="BS56" s="14" t="s">
        <v>437</v>
      </c>
      <c r="BU56" s="17" t="s">
        <v>437</v>
      </c>
      <c r="BV56" s="13" t="s">
        <v>437</v>
      </c>
      <c r="BW56" s="13" t="s">
        <v>437</v>
      </c>
      <c r="BX56" s="14" t="s">
        <v>437</v>
      </c>
      <c r="BZ56" s="17" t="s">
        <v>437</v>
      </c>
      <c r="CA56" s="13" t="s">
        <v>437</v>
      </c>
      <c r="CB56" s="13" t="s">
        <v>437</v>
      </c>
      <c r="CC56" s="14" t="s">
        <v>437</v>
      </c>
    </row>
    <row r="57" spans="2:81" ht="18" customHeight="1" x14ac:dyDescent="0.2">
      <c r="B57" s="10">
        <f>garage!B57</f>
        <v>57</v>
      </c>
      <c r="C57" s="10">
        <f>garage!C57</f>
        <v>2</v>
      </c>
      <c r="D57" s="10">
        <f>garage!D57</f>
        <v>24</v>
      </c>
      <c r="E57" s="10">
        <f>garage!E57</f>
        <v>17</v>
      </c>
      <c r="F57" s="10" t="str">
        <f>garage!F57</f>
        <v>--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garage!J57</f>
        <v>N</v>
      </c>
      <c r="K57" s="10" t="str">
        <f>garage!K57</f>
        <v>C</v>
      </c>
      <c r="L57" s="11" t="str">
        <f>garage!L57</f>
        <v>Acura</v>
      </c>
      <c r="M57" s="11" t="str">
        <f>garage!M57</f>
        <v>NSX GT3 EVO</v>
      </c>
      <c r="O57" s="18">
        <v>1</v>
      </c>
      <c r="P57" s="15">
        <v>1</v>
      </c>
      <c r="Q57" s="15">
        <v>1</v>
      </c>
      <c r="R57" s="16">
        <v>1</v>
      </c>
      <c r="S57" s="15">
        <v>1</v>
      </c>
      <c r="T57" s="15">
        <v>1</v>
      </c>
      <c r="U57" s="15">
        <v>1</v>
      </c>
      <c r="V57" s="16">
        <v>1</v>
      </c>
      <c r="W57" s="15">
        <v>1</v>
      </c>
      <c r="X57" s="15">
        <v>1</v>
      </c>
      <c r="Y57" s="15">
        <v>1</v>
      </c>
      <c r="Z57" s="16">
        <v>1</v>
      </c>
      <c r="AA57" s="15">
        <v>1</v>
      </c>
      <c r="AB57" s="15">
        <v>1</v>
      </c>
      <c r="AC57" s="15">
        <v>1</v>
      </c>
      <c r="AD57" s="16">
        <v>1</v>
      </c>
      <c r="AE57" s="15">
        <v>1</v>
      </c>
      <c r="AF57" s="15">
        <v>1</v>
      </c>
      <c r="AG57" s="15">
        <v>1</v>
      </c>
      <c r="AH57" s="16">
        <v>1</v>
      </c>
      <c r="AI57" s="15">
        <v>1</v>
      </c>
      <c r="AJ57" s="15">
        <v>1</v>
      </c>
      <c r="AK57" s="15">
        <v>1</v>
      </c>
      <c r="AL57" s="16">
        <v>1</v>
      </c>
      <c r="AM57" s="15">
        <v>1</v>
      </c>
      <c r="AN57" s="15">
        <v>1</v>
      </c>
      <c r="AO57" s="15">
        <v>1</v>
      </c>
      <c r="AP57" s="16">
        <v>1</v>
      </c>
      <c r="AQ57" s="15">
        <v>1</v>
      </c>
      <c r="AR57" s="15">
        <v>1</v>
      </c>
      <c r="AS57" s="15">
        <v>1</v>
      </c>
      <c r="AT57" s="16">
        <v>1</v>
      </c>
      <c r="AU57" s="15">
        <v>1</v>
      </c>
      <c r="AV57" s="15">
        <v>1</v>
      </c>
      <c r="AW57" s="15">
        <v>1</v>
      </c>
      <c r="AX57" s="16">
        <v>1</v>
      </c>
      <c r="AY57" s="15">
        <v>1</v>
      </c>
      <c r="AZ57" s="15">
        <v>1</v>
      </c>
      <c r="BA57" s="15">
        <v>1</v>
      </c>
      <c r="BB57" s="16">
        <v>1</v>
      </c>
      <c r="BC57" s="15">
        <v>1</v>
      </c>
      <c r="BD57" s="15">
        <v>1</v>
      </c>
      <c r="BE57" s="15">
        <v>1</v>
      </c>
      <c r="BF57" s="16">
        <v>1</v>
      </c>
      <c r="BG57" s="15">
        <v>1</v>
      </c>
      <c r="BH57" s="15">
        <v>1</v>
      </c>
      <c r="BI57" s="15">
        <v>1</v>
      </c>
      <c r="BJ57" s="16">
        <v>1</v>
      </c>
      <c r="BK57" s="15" t="s">
        <v>437</v>
      </c>
      <c r="BL57" s="15" t="s">
        <v>437</v>
      </c>
      <c r="BM57" s="15" t="s">
        <v>437</v>
      </c>
      <c r="BN57" s="16" t="s">
        <v>437</v>
      </c>
      <c r="BP57" s="18">
        <v>9</v>
      </c>
      <c r="BQ57" s="15">
        <v>9</v>
      </c>
      <c r="BR57" s="15">
        <v>9</v>
      </c>
      <c r="BS57" s="16">
        <v>9</v>
      </c>
      <c r="BU57" s="18">
        <v>4</v>
      </c>
      <c r="BV57" s="15">
        <v>4</v>
      </c>
      <c r="BW57" s="15">
        <v>4</v>
      </c>
      <c r="BX57" s="16">
        <v>4</v>
      </c>
      <c r="BZ57" s="18" t="s">
        <v>437</v>
      </c>
      <c r="CA57" s="15" t="s">
        <v>437</v>
      </c>
      <c r="CB57" s="15" t="s">
        <v>437</v>
      </c>
      <c r="CC57" s="16" t="s">
        <v>437</v>
      </c>
    </row>
    <row r="58" spans="2:81" ht="18" customHeight="1" x14ac:dyDescent="0.2">
      <c r="B58" s="8">
        <f>garage!B58</f>
        <v>58</v>
      </c>
      <c r="C58" s="8">
        <f>garage!C58</f>
        <v>2</v>
      </c>
      <c r="D58" s="8">
        <f>garage!D58</f>
        <v>25</v>
      </c>
      <c r="E58" s="8">
        <f>garage!E58</f>
        <v>0</v>
      </c>
      <c r="F58" s="8" t="str">
        <f>garage!F58</f>
        <v>--</v>
      </c>
      <c r="G58" s="8" t="str">
        <f>garage!G58</f>
        <v>O</v>
      </c>
      <c r="H58" s="8" t="str">
        <f>garage!H58</f>
        <v>O</v>
      </c>
      <c r="I58" s="8" t="str">
        <f>garage!I58</f>
        <v>O</v>
      </c>
      <c r="J58" s="8" t="str">
        <f>garage!J58</f>
        <v>N</v>
      </c>
      <c r="K58" s="8" t="str">
        <f>garage!K58</f>
        <v>C</v>
      </c>
      <c r="L58" s="9" t="str">
        <f>garage!L58</f>
        <v>Vencer</v>
      </c>
      <c r="M58" s="9" t="str">
        <f>garage!M58</f>
        <v>Sarthe</v>
      </c>
      <c r="O58" s="17">
        <v>1</v>
      </c>
      <c r="P58" s="13">
        <v>1</v>
      </c>
      <c r="Q58" s="13">
        <v>1</v>
      </c>
      <c r="R58" s="14">
        <v>1</v>
      </c>
      <c r="S58" s="13">
        <v>1</v>
      </c>
      <c r="T58" s="13">
        <v>1</v>
      </c>
      <c r="U58" s="13">
        <v>1</v>
      </c>
      <c r="V58" s="14">
        <v>1</v>
      </c>
      <c r="W58" s="13">
        <v>1</v>
      </c>
      <c r="X58" s="13">
        <v>1</v>
      </c>
      <c r="Y58" s="13">
        <v>1</v>
      </c>
      <c r="Z58" s="14">
        <v>1</v>
      </c>
      <c r="AA58" s="13">
        <v>1</v>
      </c>
      <c r="AB58" s="13">
        <v>1</v>
      </c>
      <c r="AC58" s="13">
        <v>1</v>
      </c>
      <c r="AD58" s="14">
        <v>1</v>
      </c>
      <c r="AE58" s="13">
        <v>1</v>
      </c>
      <c r="AF58" s="13">
        <v>1</v>
      </c>
      <c r="AG58" s="13">
        <v>1</v>
      </c>
      <c r="AH58" s="14">
        <v>1</v>
      </c>
      <c r="AI58" s="13">
        <v>1</v>
      </c>
      <c r="AJ58" s="13">
        <v>1</v>
      </c>
      <c r="AK58" s="13">
        <v>1</v>
      </c>
      <c r="AL58" s="14">
        <v>1</v>
      </c>
      <c r="AM58" s="13">
        <v>1</v>
      </c>
      <c r="AN58" s="13">
        <v>1</v>
      </c>
      <c r="AO58" s="13">
        <v>1</v>
      </c>
      <c r="AP58" s="14">
        <v>1</v>
      </c>
      <c r="AQ58" s="13">
        <v>1</v>
      </c>
      <c r="AR58" s="13">
        <v>1</v>
      </c>
      <c r="AS58" s="13">
        <v>1</v>
      </c>
      <c r="AT58" s="14">
        <v>1</v>
      </c>
      <c r="AU58" s="13">
        <v>1</v>
      </c>
      <c r="AV58" s="13">
        <v>1</v>
      </c>
      <c r="AW58" s="13">
        <v>1</v>
      </c>
      <c r="AX58" s="14">
        <v>1</v>
      </c>
      <c r="AY58" s="13">
        <v>1</v>
      </c>
      <c r="AZ58" s="13">
        <v>1</v>
      </c>
      <c r="BA58" s="13">
        <v>1</v>
      </c>
      <c r="BB58" s="14">
        <v>1</v>
      </c>
      <c r="BC58" s="13">
        <v>1</v>
      </c>
      <c r="BD58" s="13">
        <v>1</v>
      </c>
      <c r="BE58" s="13">
        <v>1</v>
      </c>
      <c r="BF58" s="14">
        <v>1</v>
      </c>
      <c r="BG58" s="13">
        <v>1</v>
      </c>
      <c r="BH58" s="13">
        <v>1</v>
      </c>
      <c r="BI58" s="13">
        <v>1</v>
      </c>
      <c r="BJ58" s="14">
        <v>1</v>
      </c>
      <c r="BK58" s="13" t="s">
        <v>437</v>
      </c>
      <c r="BL58" s="13" t="s">
        <v>437</v>
      </c>
      <c r="BM58" s="13" t="s">
        <v>437</v>
      </c>
      <c r="BN58" s="14" t="s">
        <v>437</v>
      </c>
      <c r="BP58" s="17">
        <v>9</v>
      </c>
      <c r="BQ58" s="13">
        <v>9</v>
      </c>
      <c r="BR58" s="13">
        <v>9</v>
      </c>
      <c r="BS58" s="14">
        <v>9</v>
      </c>
      <c r="BU58" s="17">
        <v>4</v>
      </c>
      <c r="BV58" s="13">
        <v>4</v>
      </c>
      <c r="BW58" s="13">
        <v>4</v>
      </c>
      <c r="BX58" s="14">
        <v>4</v>
      </c>
      <c r="BZ58" s="17">
        <v>2</v>
      </c>
      <c r="CA58" s="13">
        <v>2</v>
      </c>
      <c r="CB58" s="13">
        <v>2</v>
      </c>
      <c r="CC58" s="14">
        <v>2</v>
      </c>
    </row>
    <row r="59" spans="2:81" ht="18" hidden="1" customHeight="1" x14ac:dyDescent="0.2">
      <c r="B59" s="10">
        <f>garage!B59</f>
        <v>59</v>
      </c>
      <c r="C59" s="10">
        <f>garage!C59</f>
        <v>2</v>
      </c>
      <c r="D59" s="10">
        <f>garage!D59</f>
        <v>26</v>
      </c>
      <c r="E59" s="10">
        <f>garage!E59</f>
        <v>30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garage!J59</f>
        <v>N</v>
      </c>
      <c r="K59" s="10" t="str">
        <f>garage!K59</f>
        <v>C</v>
      </c>
      <c r="L59" s="11" t="str">
        <f>garage!L59</f>
        <v>Maserati</v>
      </c>
      <c r="M59" s="11" t="str">
        <f>garage!M59</f>
        <v>MC12</v>
      </c>
      <c r="O59" s="18" t="s">
        <v>437</v>
      </c>
      <c r="P59" s="15" t="s">
        <v>437</v>
      </c>
      <c r="Q59" s="15" t="s">
        <v>437</v>
      </c>
      <c r="R59" s="16" t="s">
        <v>437</v>
      </c>
      <c r="S59" s="15" t="s">
        <v>437</v>
      </c>
      <c r="T59" s="15" t="s">
        <v>437</v>
      </c>
      <c r="U59" s="15" t="s">
        <v>437</v>
      </c>
      <c r="V59" s="16" t="s">
        <v>437</v>
      </c>
      <c r="W59" s="15" t="s">
        <v>437</v>
      </c>
      <c r="X59" s="15" t="s">
        <v>437</v>
      </c>
      <c r="Y59" s="15" t="s">
        <v>437</v>
      </c>
      <c r="Z59" s="16" t="s">
        <v>437</v>
      </c>
      <c r="AA59" s="15" t="s">
        <v>437</v>
      </c>
      <c r="AB59" s="15" t="s">
        <v>437</v>
      </c>
      <c r="AC59" s="15" t="s">
        <v>437</v>
      </c>
      <c r="AD59" s="16" t="s">
        <v>437</v>
      </c>
      <c r="AE59" s="15" t="s">
        <v>437</v>
      </c>
      <c r="AF59" s="15" t="s">
        <v>437</v>
      </c>
      <c r="AG59" s="15" t="s">
        <v>437</v>
      </c>
      <c r="AH59" s="16" t="s">
        <v>437</v>
      </c>
      <c r="AI59" s="15" t="s">
        <v>437</v>
      </c>
      <c r="AJ59" s="15" t="s">
        <v>437</v>
      </c>
      <c r="AK59" s="15" t="s">
        <v>437</v>
      </c>
      <c r="AL59" s="16" t="s">
        <v>437</v>
      </c>
      <c r="AM59" s="15" t="s">
        <v>437</v>
      </c>
      <c r="AN59" s="15" t="s">
        <v>437</v>
      </c>
      <c r="AO59" s="15" t="s">
        <v>437</v>
      </c>
      <c r="AP59" s="16" t="s">
        <v>437</v>
      </c>
      <c r="AQ59" s="15" t="s">
        <v>437</v>
      </c>
      <c r="AR59" s="15" t="s">
        <v>437</v>
      </c>
      <c r="AS59" s="15" t="s">
        <v>437</v>
      </c>
      <c r="AT59" s="16" t="s">
        <v>437</v>
      </c>
      <c r="AU59" s="15" t="s">
        <v>437</v>
      </c>
      <c r="AV59" s="15" t="s">
        <v>437</v>
      </c>
      <c r="AW59" s="15" t="s">
        <v>437</v>
      </c>
      <c r="AX59" s="16" t="s">
        <v>437</v>
      </c>
      <c r="AY59" s="15" t="s">
        <v>437</v>
      </c>
      <c r="AZ59" s="15" t="s">
        <v>437</v>
      </c>
      <c r="BA59" s="15" t="s">
        <v>437</v>
      </c>
      <c r="BB59" s="16" t="s">
        <v>437</v>
      </c>
      <c r="BC59" s="15" t="s">
        <v>437</v>
      </c>
      <c r="BD59" s="15" t="s">
        <v>437</v>
      </c>
      <c r="BE59" s="15" t="s">
        <v>437</v>
      </c>
      <c r="BF59" s="16" t="s">
        <v>437</v>
      </c>
      <c r="BG59" s="15" t="s">
        <v>437</v>
      </c>
      <c r="BH59" s="15" t="s">
        <v>437</v>
      </c>
      <c r="BI59" s="15" t="s">
        <v>437</v>
      </c>
      <c r="BJ59" s="16" t="s">
        <v>437</v>
      </c>
      <c r="BK59" s="15" t="s">
        <v>437</v>
      </c>
      <c r="BL59" s="15" t="s">
        <v>437</v>
      </c>
      <c r="BM59" s="15" t="s">
        <v>437</v>
      </c>
      <c r="BN59" s="16" t="s">
        <v>437</v>
      </c>
      <c r="BP59" s="18" t="s">
        <v>437</v>
      </c>
      <c r="BQ59" s="15" t="s">
        <v>437</v>
      </c>
      <c r="BR59" s="15" t="s">
        <v>437</v>
      </c>
      <c r="BS59" s="16" t="s">
        <v>437</v>
      </c>
      <c r="BU59" s="18" t="s">
        <v>437</v>
      </c>
      <c r="BV59" s="15" t="s">
        <v>437</v>
      </c>
      <c r="BW59" s="15" t="s">
        <v>437</v>
      </c>
      <c r="BX59" s="16" t="s">
        <v>437</v>
      </c>
      <c r="BZ59" s="18" t="s">
        <v>437</v>
      </c>
      <c r="CA59" s="15" t="s">
        <v>437</v>
      </c>
      <c r="CB59" s="15" t="s">
        <v>437</v>
      </c>
      <c r="CC59" s="16" t="s">
        <v>437</v>
      </c>
    </row>
    <row r="60" spans="2:81" ht="18" customHeight="1" x14ac:dyDescent="0.2">
      <c r="B60" s="8">
        <f>garage!B60</f>
        <v>60</v>
      </c>
      <c r="C60" s="8">
        <f>garage!C60</f>
        <v>2</v>
      </c>
      <c r="D60" s="8">
        <f>garage!D60</f>
        <v>27</v>
      </c>
      <c r="E60" s="8">
        <f>garage!E60</f>
        <v>14</v>
      </c>
      <c r="F60" s="8" t="str">
        <f>garage!F60</f>
        <v>--</v>
      </c>
      <c r="G60" s="8" t="str">
        <f>garage!G60</f>
        <v>O</v>
      </c>
      <c r="H60" s="8" t="str">
        <f>garage!H60</f>
        <v>N</v>
      </c>
      <c r="I60" s="8" t="str">
        <f>garage!I60</f>
        <v>N</v>
      </c>
      <c r="J60" s="8" t="str">
        <f>garage!J60</f>
        <v>N</v>
      </c>
      <c r="K60" s="8" t="str">
        <f>garage!K60</f>
        <v>C</v>
      </c>
      <c r="L60" s="9" t="str">
        <f>garage!L60</f>
        <v>Bentley</v>
      </c>
      <c r="M60" s="9" t="str">
        <f>garage!M60</f>
        <v>Mulliner Bacalar</v>
      </c>
      <c r="O60" s="17">
        <v>1</v>
      </c>
      <c r="P60" s="13">
        <v>1</v>
      </c>
      <c r="Q60" s="13">
        <v>1</v>
      </c>
      <c r="R60" s="14">
        <v>1</v>
      </c>
      <c r="S60" s="13">
        <v>1</v>
      </c>
      <c r="T60" s="13">
        <v>1</v>
      </c>
      <c r="U60" s="13">
        <v>1</v>
      </c>
      <c r="V60" s="14">
        <v>1</v>
      </c>
      <c r="W60" s="13">
        <v>1</v>
      </c>
      <c r="X60" s="13">
        <v>1</v>
      </c>
      <c r="Y60" s="13">
        <v>1</v>
      </c>
      <c r="Z60" s="14">
        <v>1</v>
      </c>
      <c r="AA60" s="13">
        <v>1</v>
      </c>
      <c r="AB60" s="13">
        <v>1</v>
      </c>
      <c r="AC60" s="13">
        <v>1</v>
      </c>
      <c r="AD60" s="14">
        <v>1</v>
      </c>
      <c r="AE60" s="13">
        <v>1</v>
      </c>
      <c r="AF60" s="13">
        <v>1</v>
      </c>
      <c r="AG60" s="13">
        <v>1</v>
      </c>
      <c r="AH60" s="14">
        <v>1</v>
      </c>
      <c r="AI60" s="13">
        <v>1</v>
      </c>
      <c r="AJ60" s="13">
        <v>1</v>
      </c>
      <c r="AK60" s="13">
        <v>1</v>
      </c>
      <c r="AL60" s="14">
        <v>1</v>
      </c>
      <c r="AM60" s="13" t="s">
        <v>437</v>
      </c>
      <c r="AN60" s="13" t="s">
        <v>437</v>
      </c>
      <c r="AO60" s="13" t="s">
        <v>437</v>
      </c>
      <c r="AP60" s="14" t="s">
        <v>437</v>
      </c>
      <c r="AQ60" s="13" t="s">
        <v>437</v>
      </c>
      <c r="AR60" s="13" t="s">
        <v>437</v>
      </c>
      <c r="AS60" s="13" t="s">
        <v>437</v>
      </c>
      <c r="AT60" s="14" t="s">
        <v>437</v>
      </c>
      <c r="AU60" s="13" t="s">
        <v>437</v>
      </c>
      <c r="AV60" s="13" t="s">
        <v>437</v>
      </c>
      <c r="AW60" s="13" t="s">
        <v>437</v>
      </c>
      <c r="AX60" s="14" t="s">
        <v>437</v>
      </c>
      <c r="AY60" s="13" t="s">
        <v>437</v>
      </c>
      <c r="AZ60" s="13" t="s">
        <v>437</v>
      </c>
      <c r="BA60" s="13" t="s">
        <v>437</v>
      </c>
      <c r="BB60" s="14" t="s">
        <v>437</v>
      </c>
      <c r="BC60" s="13" t="s">
        <v>437</v>
      </c>
      <c r="BD60" s="13" t="s">
        <v>437</v>
      </c>
      <c r="BE60" s="13" t="s">
        <v>437</v>
      </c>
      <c r="BF60" s="14" t="s">
        <v>437</v>
      </c>
      <c r="BG60" s="13" t="s">
        <v>437</v>
      </c>
      <c r="BH60" s="13" t="s">
        <v>437</v>
      </c>
      <c r="BI60" s="13" t="s">
        <v>437</v>
      </c>
      <c r="BJ60" s="14" t="s">
        <v>437</v>
      </c>
      <c r="BK60" s="13" t="s">
        <v>437</v>
      </c>
      <c r="BL60" s="13" t="s">
        <v>437</v>
      </c>
      <c r="BM60" s="13" t="s">
        <v>437</v>
      </c>
      <c r="BN60" s="14" t="s">
        <v>437</v>
      </c>
      <c r="BP60" s="17">
        <v>5</v>
      </c>
      <c r="BQ60" s="13">
        <v>4</v>
      </c>
      <c r="BR60" s="13">
        <v>4</v>
      </c>
      <c r="BS60" s="14">
        <v>5</v>
      </c>
      <c r="BU60" s="17" t="s">
        <v>437</v>
      </c>
      <c r="BV60" s="13" t="s">
        <v>437</v>
      </c>
      <c r="BW60" s="13" t="s">
        <v>437</v>
      </c>
      <c r="BX60" s="14" t="s">
        <v>437</v>
      </c>
      <c r="BZ60" s="17" t="s">
        <v>437</v>
      </c>
      <c r="CA60" s="13" t="s">
        <v>437</v>
      </c>
      <c r="CB60" s="13" t="s">
        <v>437</v>
      </c>
      <c r="CC60" s="14" t="s">
        <v>437</v>
      </c>
    </row>
    <row r="61" spans="2:81" ht="18" hidden="1" customHeight="1" x14ac:dyDescent="0.2">
      <c r="B61" s="10">
        <f>garage!B61</f>
        <v>61</v>
      </c>
      <c r="C61" s="10">
        <f>garage!C61</f>
        <v>2</v>
      </c>
      <c r="D61" s="10">
        <f>garage!D61</f>
        <v>28</v>
      </c>
      <c r="E61" s="10">
        <f>garage!E61</f>
        <v>25</v>
      </c>
      <c r="F61" s="10" t="str">
        <f>garage!F61</f>
        <v>L</v>
      </c>
      <c r="G61" s="10" t="str">
        <f>garage!G61</f>
        <v>N</v>
      </c>
      <c r="H61" s="10" t="str">
        <f>garage!H61</f>
        <v>N</v>
      </c>
      <c r="I61" s="10" t="str">
        <f>garage!I61</f>
        <v>N</v>
      </c>
      <c r="J61" s="10" t="str">
        <f>garage!J61</f>
        <v>N</v>
      </c>
      <c r="K61" s="10" t="str">
        <f>garage!K61</f>
        <v>C</v>
      </c>
      <c r="L61" s="11" t="str">
        <f>garage!L61</f>
        <v>Lamborghini</v>
      </c>
      <c r="M61" s="11" t="str">
        <f>garage!M61</f>
        <v>Miura Concept</v>
      </c>
      <c r="O61" s="18" t="s">
        <v>437</v>
      </c>
      <c r="P61" s="15" t="s">
        <v>437</v>
      </c>
      <c r="Q61" s="15" t="s">
        <v>437</v>
      </c>
      <c r="R61" s="16" t="s">
        <v>437</v>
      </c>
      <c r="S61" s="15" t="s">
        <v>437</v>
      </c>
      <c r="T61" s="15" t="s">
        <v>437</v>
      </c>
      <c r="U61" s="15" t="s">
        <v>437</v>
      </c>
      <c r="V61" s="16" t="s">
        <v>437</v>
      </c>
      <c r="W61" s="15" t="s">
        <v>437</v>
      </c>
      <c r="X61" s="15" t="s">
        <v>437</v>
      </c>
      <c r="Y61" s="15" t="s">
        <v>437</v>
      </c>
      <c r="Z61" s="16" t="s">
        <v>437</v>
      </c>
      <c r="AA61" s="15" t="s">
        <v>437</v>
      </c>
      <c r="AB61" s="15" t="s">
        <v>437</v>
      </c>
      <c r="AC61" s="15" t="s">
        <v>437</v>
      </c>
      <c r="AD61" s="16" t="s">
        <v>437</v>
      </c>
      <c r="AE61" s="15" t="s">
        <v>437</v>
      </c>
      <c r="AF61" s="15" t="s">
        <v>437</v>
      </c>
      <c r="AG61" s="15" t="s">
        <v>437</v>
      </c>
      <c r="AH61" s="16" t="s">
        <v>437</v>
      </c>
      <c r="AI61" s="15" t="s">
        <v>437</v>
      </c>
      <c r="AJ61" s="15" t="s">
        <v>437</v>
      </c>
      <c r="AK61" s="15" t="s">
        <v>437</v>
      </c>
      <c r="AL61" s="16" t="s">
        <v>437</v>
      </c>
      <c r="AM61" s="15" t="s">
        <v>437</v>
      </c>
      <c r="AN61" s="15" t="s">
        <v>437</v>
      </c>
      <c r="AO61" s="15" t="s">
        <v>437</v>
      </c>
      <c r="AP61" s="16" t="s">
        <v>437</v>
      </c>
      <c r="AQ61" s="15" t="s">
        <v>437</v>
      </c>
      <c r="AR61" s="15" t="s">
        <v>437</v>
      </c>
      <c r="AS61" s="15" t="s">
        <v>437</v>
      </c>
      <c r="AT61" s="16" t="s">
        <v>437</v>
      </c>
      <c r="AU61" s="15" t="s">
        <v>437</v>
      </c>
      <c r="AV61" s="15" t="s">
        <v>437</v>
      </c>
      <c r="AW61" s="15" t="s">
        <v>437</v>
      </c>
      <c r="AX61" s="16" t="s">
        <v>437</v>
      </c>
      <c r="AY61" s="15" t="s">
        <v>437</v>
      </c>
      <c r="AZ61" s="15" t="s">
        <v>437</v>
      </c>
      <c r="BA61" s="15" t="s">
        <v>437</v>
      </c>
      <c r="BB61" s="16" t="s">
        <v>437</v>
      </c>
      <c r="BC61" s="15" t="s">
        <v>437</v>
      </c>
      <c r="BD61" s="15" t="s">
        <v>437</v>
      </c>
      <c r="BE61" s="15" t="s">
        <v>437</v>
      </c>
      <c r="BF61" s="16" t="s">
        <v>437</v>
      </c>
      <c r="BG61" s="15" t="s">
        <v>437</v>
      </c>
      <c r="BH61" s="15" t="s">
        <v>437</v>
      </c>
      <c r="BI61" s="15" t="s">
        <v>437</v>
      </c>
      <c r="BJ61" s="16" t="s">
        <v>437</v>
      </c>
      <c r="BK61" s="15" t="s">
        <v>437</v>
      </c>
      <c r="BL61" s="15" t="s">
        <v>437</v>
      </c>
      <c r="BM61" s="15" t="s">
        <v>437</v>
      </c>
      <c r="BN61" s="16" t="s">
        <v>437</v>
      </c>
      <c r="BP61" s="18" t="s">
        <v>437</v>
      </c>
      <c r="BQ61" s="15" t="s">
        <v>437</v>
      </c>
      <c r="BR61" s="15" t="s">
        <v>437</v>
      </c>
      <c r="BS61" s="16" t="s">
        <v>437</v>
      </c>
      <c r="BU61" s="18" t="s">
        <v>437</v>
      </c>
      <c r="BV61" s="15" t="s">
        <v>437</v>
      </c>
      <c r="BW61" s="15" t="s">
        <v>437</v>
      </c>
      <c r="BX61" s="16" t="s">
        <v>437</v>
      </c>
      <c r="BZ61" s="18" t="s">
        <v>437</v>
      </c>
      <c r="CA61" s="15" t="s">
        <v>437</v>
      </c>
      <c r="CB61" s="15" t="s">
        <v>437</v>
      </c>
      <c r="CC61" s="16" t="s">
        <v>437</v>
      </c>
    </row>
    <row r="62" spans="2:81" ht="18" customHeight="1" x14ac:dyDescent="0.2">
      <c r="B62" s="8">
        <f>garage!B62</f>
        <v>62</v>
      </c>
      <c r="C62" s="8">
        <f>garage!C62</f>
        <v>2</v>
      </c>
      <c r="D62" s="8">
        <f>garage!D62</f>
        <v>29</v>
      </c>
      <c r="E62" s="8">
        <f>garage!E62</f>
        <v>11</v>
      </c>
      <c r="F62" s="8" t="str">
        <f>garage!F62</f>
        <v>P</v>
      </c>
      <c r="G62" s="8" t="str">
        <f>garage!G62</f>
        <v>O</v>
      </c>
      <c r="H62" s="8" t="str">
        <f>garage!H62</f>
        <v>O</v>
      </c>
      <c r="I62" s="8" t="str">
        <f>garage!I62</f>
        <v>N</v>
      </c>
      <c r="J62" s="8" t="str">
        <f>garage!J62</f>
        <v>N</v>
      </c>
      <c r="K62" s="8" t="str">
        <f>garage!K62</f>
        <v>C</v>
      </c>
      <c r="L62" s="9" t="str">
        <f>garage!L62</f>
        <v>Porsche</v>
      </c>
      <c r="M62" s="9" t="str">
        <f>garage!M62</f>
        <v>718 Cayman GT4 Clubsport</v>
      </c>
      <c r="O62" s="17">
        <v>1</v>
      </c>
      <c r="P62" s="13">
        <v>1</v>
      </c>
      <c r="Q62" s="13">
        <v>1</v>
      </c>
      <c r="R62" s="14">
        <v>1</v>
      </c>
      <c r="S62" s="13">
        <v>1</v>
      </c>
      <c r="T62" s="13">
        <v>1</v>
      </c>
      <c r="U62" s="13">
        <v>1</v>
      </c>
      <c r="V62" s="14">
        <v>1</v>
      </c>
      <c r="W62" s="13">
        <v>1</v>
      </c>
      <c r="X62" s="13">
        <v>1</v>
      </c>
      <c r="Y62" s="13">
        <v>1</v>
      </c>
      <c r="Z62" s="14">
        <v>1</v>
      </c>
      <c r="AA62" s="13">
        <v>1</v>
      </c>
      <c r="AB62" s="13">
        <v>1</v>
      </c>
      <c r="AC62" s="13">
        <v>1</v>
      </c>
      <c r="AD62" s="14">
        <v>1</v>
      </c>
      <c r="AE62" s="13">
        <v>1</v>
      </c>
      <c r="AF62" s="13">
        <v>1</v>
      </c>
      <c r="AG62" s="13">
        <v>1</v>
      </c>
      <c r="AH62" s="14">
        <v>1</v>
      </c>
      <c r="AI62" s="13">
        <v>1</v>
      </c>
      <c r="AJ62" s="13">
        <v>1</v>
      </c>
      <c r="AK62" s="13">
        <v>1</v>
      </c>
      <c r="AL62" s="14">
        <v>1</v>
      </c>
      <c r="AM62" s="13">
        <v>1</v>
      </c>
      <c r="AN62" s="13">
        <v>1</v>
      </c>
      <c r="AO62" s="13">
        <v>1</v>
      </c>
      <c r="AP62" s="14">
        <v>1</v>
      </c>
      <c r="AQ62" s="13">
        <v>1</v>
      </c>
      <c r="AR62" s="13">
        <v>1</v>
      </c>
      <c r="AS62" s="13">
        <v>1</v>
      </c>
      <c r="AT62" s="14">
        <v>1</v>
      </c>
      <c r="AU62" s="13">
        <v>1</v>
      </c>
      <c r="AV62" s="13">
        <v>1</v>
      </c>
      <c r="AW62" s="13">
        <v>1</v>
      </c>
      <c r="AX62" s="14">
        <v>1</v>
      </c>
      <c r="AY62" s="13">
        <v>1</v>
      </c>
      <c r="AZ62" s="13">
        <v>1</v>
      </c>
      <c r="BA62" s="13">
        <v>1</v>
      </c>
      <c r="BB62" s="14">
        <v>1</v>
      </c>
      <c r="BC62" s="13">
        <v>1</v>
      </c>
      <c r="BD62" s="13">
        <v>1</v>
      </c>
      <c r="BE62" s="13">
        <v>1</v>
      </c>
      <c r="BF62" s="14">
        <v>1</v>
      </c>
      <c r="BG62" s="13">
        <v>1</v>
      </c>
      <c r="BH62" s="13">
        <v>1</v>
      </c>
      <c r="BI62" s="13">
        <v>1</v>
      </c>
      <c r="BJ62" s="14">
        <v>1</v>
      </c>
      <c r="BK62" s="13" t="s">
        <v>437</v>
      </c>
      <c r="BL62" s="13" t="s">
        <v>437</v>
      </c>
      <c r="BM62" s="13" t="s">
        <v>437</v>
      </c>
      <c r="BN62" s="14" t="s">
        <v>437</v>
      </c>
      <c r="BP62" s="17">
        <v>9</v>
      </c>
      <c r="BQ62" s="13">
        <v>9</v>
      </c>
      <c r="BR62" s="13">
        <v>9</v>
      </c>
      <c r="BS62" s="14">
        <v>9</v>
      </c>
      <c r="BU62" s="17">
        <v>4</v>
      </c>
      <c r="BV62" s="13">
        <v>4</v>
      </c>
      <c r="BW62" s="13">
        <v>4</v>
      </c>
      <c r="BX62" s="14">
        <v>4</v>
      </c>
      <c r="BZ62" s="17">
        <v>1</v>
      </c>
      <c r="CA62" s="13">
        <v>1</v>
      </c>
      <c r="CB62" s="13">
        <v>1</v>
      </c>
      <c r="CC62" s="14">
        <v>1</v>
      </c>
    </row>
    <row r="63" spans="2:81" ht="18" customHeight="1" x14ac:dyDescent="0.2">
      <c r="B63" s="10">
        <f>garage!B63</f>
        <v>63</v>
      </c>
      <c r="C63" s="10">
        <f>garage!C63</f>
        <v>2</v>
      </c>
      <c r="D63" s="10">
        <f>garage!D63</f>
        <v>30</v>
      </c>
      <c r="E63" s="10">
        <f>garage!E63</f>
        <v>13</v>
      </c>
      <c r="F63" s="10" t="str">
        <f>garage!F63</f>
        <v>C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garage!J63</f>
        <v>N</v>
      </c>
      <c r="K63" s="10" t="str">
        <f>garage!K63</f>
        <v>C</v>
      </c>
      <c r="L63" s="11" t="str">
        <f>garage!L63</f>
        <v>Chevrolet</v>
      </c>
      <c r="M63" s="11" t="str">
        <f>garage!M63</f>
        <v>Corvette Stingray</v>
      </c>
      <c r="O63" s="18" t="s">
        <v>437</v>
      </c>
      <c r="P63" s="15" t="s">
        <v>437</v>
      </c>
      <c r="Q63" s="15" t="s">
        <v>437</v>
      </c>
      <c r="R63" s="16" t="s">
        <v>437</v>
      </c>
      <c r="S63" s="15" t="s">
        <v>437</v>
      </c>
      <c r="T63" s="15" t="s">
        <v>437</v>
      </c>
      <c r="U63" s="15" t="s">
        <v>437</v>
      </c>
      <c r="V63" s="16" t="s">
        <v>437</v>
      </c>
      <c r="W63" s="15" t="s">
        <v>437</v>
      </c>
      <c r="X63" s="15" t="s">
        <v>437</v>
      </c>
      <c r="Y63" s="15" t="s">
        <v>437</v>
      </c>
      <c r="Z63" s="16" t="s">
        <v>437</v>
      </c>
      <c r="AA63" s="15" t="s">
        <v>437</v>
      </c>
      <c r="AB63" s="15" t="s">
        <v>437</v>
      </c>
      <c r="AC63" s="15" t="s">
        <v>437</v>
      </c>
      <c r="AD63" s="16" t="s">
        <v>437</v>
      </c>
      <c r="AE63" s="15" t="s">
        <v>437</v>
      </c>
      <c r="AF63" s="15" t="s">
        <v>437</v>
      </c>
      <c r="AG63" s="15" t="s">
        <v>437</v>
      </c>
      <c r="AH63" s="16" t="s">
        <v>437</v>
      </c>
      <c r="AI63" s="15" t="s">
        <v>437</v>
      </c>
      <c r="AJ63" s="15" t="s">
        <v>437</v>
      </c>
      <c r="AK63" s="15" t="s">
        <v>437</v>
      </c>
      <c r="AL63" s="16" t="s">
        <v>437</v>
      </c>
      <c r="AM63" s="15" t="s">
        <v>437</v>
      </c>
      <c r="AN63" s="15" t="s">
        <v>437</v>
      </c>
      <c r="AO63" s="15" t="s">
        <v>437</v>
      </c>
      <c r="AP63" s="16" t="s">
        <v>437</v>
      </c>
      <c r="AQ63" s="15" t="s">
        <v>437</v>
      </c>
      <c r="AR63" s="15" t="s">
        <v>437</v>
      </c>
      <c r="AS63" s="15" t="s">
        <v>437</v>
      </c>
      <c r="AT63" s="16" t="s">
        <v>437</v>
      </c>
      <c r="AU63" s="15" t="s">
        <v>437</v>
      </c>
      <c r="AV63" s="15" t="s">
        <v>437</v>
      </c>
      <c r="AW63" s="15" t="s">
        <v>437</v>
      </c>
      <c r="AX63" s="16" t="s">
        <v>437</v>
      </c>
      <c r="AY63" s="15" t="s">
        <v>437</v>
      </c>
      <c r="AZ63" s="15" t="s">
        <v>437</v>
      </c>
      <c r="BA63" s="15" t="s">
        <v>437</v>
      </c>
      <c r="BB63" s="16" t="s">
        <v>437</v>
      </c>
      <c r="BC63" s="15" t="s">
        <v>437</v>
      </c>
      <c r="BD63" s="15" t="s">
        <v>437</v>
      </c>
      <c r="BE63" s="15" t="s">
        <v>437</v>
      </c>
      <c r="BF63" s="16" t="s">
        <v>437</v>
      </c>
      <c r="BG63" s="15" t="s">
        <v>437</v>
      </c>
      <c r="BH63" s="15" t="s">
        <v>437</v>
      </c>
      <c r="BI63" s="15" t="s">
        <v>437</v>
      </c>
      <c r="BJ63" s="16" t="s">
        <v>437</v>
      </c>
      <c r="BK63" s="15" t="s">
        <v>437</v>
      </c>
      <c r="BL63" s="15" t="s">
        <v>437</v>
      </c>
      <c r="BM63" s="15" t="s">
        <v>437</v>
      </c>
      <c r="BN63" s="16" t="s">
        <v>437</v>
      </c>
      <c r="BP63" s="18" t="s">
        <v>437</v>
      </c>
      <c r="BQ63" s="15" t="s">
        <v>437</v>
      </c>
      <c r="BR63" s="15" t="s">
        <v>437</v>
      </c>
      <c r="BS63" s="16" t="s">
        <v>437</v>
      </c>
      <c r="BU63" s="18" t="s">
        <v>437</v>
      </c>
      <c r="BV63" s="15" t="s">
        <v>437</v>
      </c>
      <c r="BW63" s="15" t="s">
        <v>437</v>
      </c>
      <c r="BX63" s="16" t="s">
        <v>437</v>
      </c>
      <c r="BZ63" s="18" t="s">
        <v>437</v>
      </c>
      <c r="CA63" s="15" t="s">
        <v>437</v>
      </c>
      <c r="CB63" s="15" t="s">
        <v>437</v>
      </c>
      <c r="CC63" s="16" t="s">
        <v>437</v>
      </c>
    </row>
    <row r="64" spans="2:81" ht="18" hidden="1" customHeight="1" x14ac:dyDescent="0.2">
      <c r="B64" s="8">
        <f>garage!B64</f>
        <v>64</v>
      </c>
      <c r="C64" s="8">
        <f>garage!C64</f>
        <v>2</v>
      </c>
      <c r="D64" s="8">
        <f>garage!D64</f>
        <v>31</v>
      </c>
      <c r="E64" s="8">
        <f>garage!E64</f>
        <v>24</v>
      </c>
      <c r="F64" s="8" t="str">
        <f>garage!F64</f>
        <v>--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garage!J64</f>
        <v>O</v>
      </c>
      <c r="K64" s="8" t="str">
        <f>garage!K64</f>
        <v>C</v>
      </c>
      <c r="L64" s="9" t="str">
        <f>garage!L64</f>
        <v>Brabham</v>
      </c>
      <c r="M64" s="9" t="str">
        <f>garage!M64</f>
        <v>BT62</v>
      </c>
      <c r="O64" s="17" t="s">
        <v>437</v>
      </c>
      <c r="P64" s="13" t="s">
        <v>437</v>
      </c>
      <c r="Q64" s="13" t="s">
        <v>437</v>
      </c>
      <c r="R64" s="14" t="s">
        <v>437</v>
      </c>
      <c r="S64" s="13" t="s">
        <v>437</v>
      </c>
      <c r="T64" s="13" t="s">
        <v>437</v>
      </c>
      <c r="U64" s="13" t="s">
        <v>437</v>
      </c>
      <c r="V64" s="14" t="s">
        <v>437</v>
      </c>
      <c r="W64" s="13" t="s">
        <v>437</v>
      </c>
      <c r="X64" s="13" t="s">
        <v>437</v>
      </c>
      <c r="Y64" s="13" t="s">
        <v>437</v>
      </c>
      <c r="Z64" s="14" t="s">
        <v>437</v>
      </c>
      <c r="AA64" s="13" t="s">
        <v>437</v>
      </c>
      <c r="AB64" s="13" t="s">
        <v>437</v>
      </c>
      <c r="AC64" s="13" t="s">
        <v>437</v>
      </c>
      <c r="AD64" s="14" t="s">
        <v>437</v>
      </c>
      <c r="AE64" s="13" t="s">
        <v>437</v>
      </c>
      <c r="AF64" s="13" t="s">
        <v>437</v>
      </c>
      <c r="AG64" s="13" t="s">
        <v>437</v>
      </c>
      <c r="AH64" s="14" t="s">
        <v>437</v>
      </c>
      <c r="AI64" s="13" t="s">
        <v>437</v>
      </c>
      <c r="AJ64" s="13" t="s">
        <v>437</v>
      </c>
      <c r="AK64" s="13" t="s">
        <v>437</v>
      </c>
      <c r="AL64" s="14" t="s">
        <v>437</v>
      </c>
      <c r="AM64" s="13" t="s">
        <v>437</v>
      </c>
      <c r="AN64" s="13" t="s">
        <v>437</v>
      </c>
      <c r="AO64" s="13" t="s">
        <v>437</v>
      </c>
      <c r="AP64" s="14" t="s">
        <v>437</v>
      </c>
      <c r="AQ64" s="13" t="s">
        <v>437</v>
      </c>
      <c r="AR64" s="13" t="s">
        <v>437</v>
      </c>
      <c r="AS64" s="13" t="s">
        <v>437</v>
      </c>
      <c r="AT64" s="14" t="s">
        <v>437</v>
      </c>
      <c r="AU64" s="13" t="s">
        <v>437</v>
      </c>
      <c r="AV64" s="13" t="s">
        <v>437</v>
      </c>
      <c r="AW64" s="13" t="s">
        <v>437</v>
      </c>
      <c r="AX64" s="14" t="s">
        <v>437</v>
      </c>
      <c r="AY64" s="13" t="s">
        <v>437</v>
      </c>
      <c r="AZ64" s="13" t="s">
        <v>437</v>
      </c>
      <c r="BA64" s="13" t="s">
        <v>437</v>
      </c>
      <c r="BB64" s="14" t="s">
        <v>437</v>
      </c>
      <c r="BC64" s="13" t="s">
        <v>437</v>
      </c>
      <c r="BD64" s="13" t="s">
        <v>437</v>
      </c>
      <c r="BE64" s="13" t="s">
        <v>437</v>
      </c>
      <c r="BF64" s="14" t="s">
        <v>437</v>
      </c>
      <c r="BG64" s="13" t="s">
        <v>437</v>
      </c>
      <c r="BH64" s="13" t="s">
        <v>437</v>
      </c>
      <c r="BI64" s="13" t="s">
        <v>437</v>
      </c>
      <c r="BJ64" s="14" t="s">
        <v>437</v>
      </c>
      <c r="BK64" s="13" t="s">
        <v>437</v>
      </c>
      <c r="BL64" s="13" t="s">
        <v>437</v>
      </c>
      <c r="BM64" s="13" t="s">
        <v>437</v>
      </c>
      <c r="BN64" s="14" t="s">
        <v>437</v>
      </c>
      <c r="BP64" s="17" t="s">
        <v>437</v>
      </c>
      <c r="BQ64" s="13" t="s">
        <v>437</v>
      </c>
      <c r="BR64" s="13" t="s">
        <v>437</v>
      </c>
      <c r="BS64" s="14" t="s">
        <v>437</v>
      </c>
      <c r="BU64" s="17" t="s">
        <v>437</v>
      </c>
      <c r="BV64" s="13" t="s">
        <v>437</v>
      </c>
      <c r="BW64" s="13" t="s">
        <v>437</v>
      </c>
      <c r="BX64" s="14" t="s">
        <v>437</v>
      </c>
      <c r="BZ64" s="17" t="s">
        <v>437</v>
      </c>
      <c r="CA64" s="13" t="s">
        <v>437</v>
      </c>
      <c r="CB64" s="13" t="s">
        <v>437</v>
      </c>
      <c r="CC64" s="14" t="s">
        <v>437</v>
      </c>
    </row>
    <row r="65" spans="2:81" ht="18" customHeight="1" x14ac:dyDescent="0.2">
      <c r="B65" s="10">
        <f>garage!B65</f>
        <v>65</v>
      </c>
      <c r="C65" s="10">
        <f>garage!C65</f>
        <v>2</v>
      </c>
      <c r="D65" s="10">
        <f>garage!D65</f>
        <v>32</v>
      </c>
      <c r="E65" s="10">
        <f>garage!E65</f>
        <v>15</v>
      </c>
      <c r="F65" s="10" t="str">
        <f>garage!F65</f>
        <v>F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garage!J65</f>
        <v>N</v>
      </c>
      <c r="K65" s="10" t="str">
        <f>garage!K65</f>
        <v>C</v>
      </c>
      <c r="L65" s="11" t="str">
        <f>garage!L65</f>
        <v>Ferrari</v>
      </c>
      <c r="M65" s="11" t="str">
        <f>garage!M65</f>
        <v>599XX EVO</v>
      </c>
      <c r="O65" s="18">
        <v>1</v>
      </c>
      <c r="P65" s="15">
        <v>1</v>
      </c>
      <c r="Q65" s="15">
        <v>1</v>
      </c>
      <c r="R65" s="16">
        <v>1</v>
      </c>
      <c r="S65" s="15">
        <v>1</v>
      </c>
      <c r="T65" s="15">
        <v>1</v>
      </c>
      <c r="U65" s="15">
        <v>1</v>
      </c>
      <c r="V65" s="16">
        <v>1</v>
      </c>
      <c r="W65" s="15">
        <v>1</v>
      </c>
      <c r="X65" s="15">
        <v>1</v>
      </c>
      <c r="Y65" s="15">
        <v>1</v>
      </c>
      <c r="Z65" s="16">
        <v>1</v>
      </c>
      <c r="AA65" s="15">
        <v>1</v>
      </c>
      <c r="AB65" s="15">
        <v>1</v>
      </c>
      <c r="AC65" s="15">
        <v>1</v>
      </c>
      <c r="AD65" s="16">
        <v>1</v>
      </c>
      <c r="AE65" s="15">
        <v>1</v>
      </c>
      <c r="AF65" s="15">
        <v>1</v>
      </c>
      <c r="AG65" s="15">
        <v>1</v>
      </c>
      <c r="AH65" s="16">
        <v>1</v>
      </c>
      <c r="AI65" s="15">
        <v>1</v>
      </c>
      <c r="AJ65" s="15">
        <v>1</v>
      </c>
      <c r="AK65" s="15">
        <v>1</v>
      </c>
      <c r="AL65" s="16">
        <v>1</v>
      </c>
      <c r="AM65" s="15">
        <v>1</v>
      </c>
      <c r="AN65" s="15">
        <v>1</v>
      </c>
      <c r="AO65" s="15">
        <v>1</v>
      </c>
      <c r="AP65" s="16">
        <v>1</v>
      </c>
      <c r="AQ65" s="15">
        <v>1</v>
      </c>
      <c r="AR65" s="15">
        <v>1</v>
      </c>
      <c r="AS65" s="15">
        <v>1</v>
      </c>
      <c r="AT65" s="16">
        <v>1</v>
      </c>
      <c r="AU65" s="15">
        <v>1</v>
      </c>
      <c r="AV65" s="15">
        <v>1</v>
      </c>
      <c r="AW65" s="15">
        <v>1</v>
      </c>
      <c r="AX65" s="16">
        <v>1</v>
      </c>
      <c r="AY65" s="15">
        <v>1</v>
      </c>
      <c r="AZ65" s="15">
        <v>1</v>
      </c>
      <c r="BA65" s="15">
        <v>1</v>
      </c>
      <c r="BB65" s="16">
        <v>1</v>
      </c>
      <c r="BC65" s="15">
        <v>1</v>
      </c>
      <c r="BD65" s="15">
        <v>1</v>
      </c>
      <c r="BE65" s="15">
        <v>1</v>
      </c>
      <c r="BF65" s="16">
        <v>1</v>
      </c>
      <c r="BG65" s="15">
        <v>1</v>
      </c>
      <c r="BH65" s="15">
        <v>1</v>
      </c>
      <c r="BI65" s="15">
        <v>1</v>
      </c>
      <c r="BJ65" s="16">
        <v>1</v>
      </c>
      <c r="BK65" s="15" t="s">
        <v>437</v>
      </c>
      <c r="BL65" s="15" t="s">
        <v>437</v>
      </c>
      <c r="BM65" s="15" t="s">
        <v>437</v>
      </c>
      <c r="BN65" s="16" t="s">
        <v>437</v>
      </c>
      <c r="BP65" s="18">
        <v>9</v>
      </c>
      <c r="BQ65" s="15">
        <v>9</v>
      </c>
      <c r="BR65" s="15">
        <v>9</v>
      </c>
      <c r="BS65" s="16">
        <v>9</v>
      </c>
      <c r="BU65" s="18">
        <v>4</v>
      </c>
      <c r="BV65" s="15">
        <v>4</v>
      </c>
      <c r="BW65" s="15">
        <v>4</v>
      </c>
      <c r="BX65" s="16">
        <v>4</v>
      </c>
      <c r="BZ65" s="18" t="s">
        <v>437</v>
      </c>
      <c r="CA65" s="15" t="s">
        <v>437</v>
      </c>
      <c r="CB65" s="15" t="s">
        <v>437</v>
      </c>
      <c r="CC65" s="16" t="s">
        <v>437</v>
      </c>
    </row>
    <row r="66" spans="2:81" ht="18" customHeight="1" x14ac:dyDescent="0.2">
      <c r="B66" s="8">
        <f>garage!B66</f>
        <v>66</v>
      </c>
      <c r="C66" s="8">
        <f>garage!C66</f>
        <v>2</v>
      </c>
      <c r="D66" s="8">
        <f>garage!D66</f>
        <v>33</v>
      </c>
      <c r="E66" s="8">
        <f>garage!E66</f>
        <v>28</v>
      </c>
      <c r="F66" s="8" t="str">
        <f>garage!F66</f>
        <v>--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garage!J66</f>
        <v>N</v>
      </c>
      <c r="K66" s="8" t="str">
        <f>garage!K66</f>
        <v>C</v>
      </c>
      <c r="L66" s="9" t="str">
        <f>garage!L66</f>
        <v>Ares</v>
      </c>
      <c r="M66" s="9" t="str">
        <f>garage!M66</f>
        <v>S1</v>
      </c>
      <c r="O66" s="17">
        <v>1</v>
      </c>
      <c r="P66" s="13">
        <v>1</v>
      </c>
      <c r="Q66" s="13">
        <v>1</v>
      </c>
      <c r="R66" s="14">
        <v>1</v>
      </c>
      <c r="S66" s="13">
        <v>1</v>
      </c>
      <c r="T66" s="13">
        <v>1</v>
      </c>
      <c r="U66" s="13">
        <v>1</v>
      </c>
      <c r="V66" s="14">
        <v>1</v>
      </c>
      <c r="W66" s="13">
        <v>1</v>
      </c>
      <c r="X66" s="13">
        <v>1</v>
      </c>
      <c r="Y66" s="13">
        <v>1</v>
      </c>
      <c r="Z66" s="14">
        <v>1</v>
      </c>
      <c r="AA66" s="13">
        <v>1</v>
      </c>
      <c r="AB66" s="13">
        <v>1</v>
      </c>
      <c r="AC66" s="13">
        <v>1</v>
      </c>
      <c r="AD66" s="14">
        <v>1</v>
      </c>
      <c r="AE66" s="13">
        <v>1</v>
      </c>
      <c r="AF66" s="13">
        <v>1</v>
      </c>
      <c r="AG66" s="13">
        <v>1</v>
      </c>
      <c r="AH66" s="14">
        <v>1</v>
      </c>
      <c r="AI66" s="13">
        <v>1</v>
      </c>
      <c r="AJ66" s="13">
        <v>1</v>
      </c>
      <c r="AK66" s="13">
        <v>1</v>
      </c>
      <c r="AL66" s="14">
        <v>1</v>
      </c>
      <c r="AM66" s="13">
        <v>1</v>
      </c>
      <c r="AN66" s="13">
        <v>1</v>
      </c>
      <c r="AO66" s="13">
        <v>1</v>
      </c>
      <c r="AP66" s="14">
        <v>1</v>
      </c>
      <c r="AQ66" s="13">
        <v>1</v>
      </c>
      <c r="AR66" s="13">
        <v>1</v>
      </c>
      <c r="AS66" s="13">
        <v>1</v>
      </c>
      <c r="AT66" s="14">
        <v>1</v>
      </c>
      <c r="AU66" s="13" t="s">
        <v>437</v>
      </c>
      <c r="AV66" s="13" t="s">
        <v>437</v>
      </c>
      <c r="AW66" s="13" t="s">
        <v>437</v>
      </c>
      <c r="AX66" s="14" t="s">
        <v>437</v>
      </c>
      <c r="AY66" s="13" t="s">
        <v>437</v>
      </c>
      <c r="AZ66" s="13" t="s">
        <v>437</v>
      </c>
      <c r="BA66" s="13" t="s">
        <v>437</v>
      </c>
      <c r="BB66" s="14" t="s">
        <v>437</v>
      </c>
      <c r="BC66" s="13" t="s">
        <v>437</v>
      </c>
      <c r="BD66" s="13" t="s">
        <v>437</v>
      </c>
      <c r="BE66" s="13" t="s">
        <v>437</v>
      </c>
      <c r="BF66" s="14" t="s">
        <v>437</v>
      </c>
      <c r="BG66" s="13" t="s">
        <v>437</v>
      </c>
      <c r="BH66" s="13" t="s">
        <v>437</v>
      </c>
      <c r="BI66" s="13" t="s">
        <v>437</v>
      </c>
      <c r="BJ66" s="14" t="s">
        <v>437</v>
      </c>
      <c r="BK66" s="13" t="s">
        <v>437</v>
      </c>
      <c r="BL66" s="13" t="s">
        <v>437</v>
      </c>
      <c r="BM66" s="13" t="s">
        <v>437</v>
      </c>
      <c r="BN66" s="14" t="s">
        <v>437</v>
      </c>
      <c r="BP66" s="17">
        <v>6</v>
      </c>
      <c r="BQ66" s="13">
        <v>6</v>
      </c>
      <c r="BR66" s="13">
        <v>6</v>
      </c>
      <c r="BS66" s="14">
        <v>6</v>
      </c>
      <c r="BU66" s="17">
        <v>1</v>
      </c>
      <c r="BV66" s="13">
        <v>0</v>
      </c>
      <c r="BW66" s="13">
        <v>0</v>
      </c>
      <c r="BX66" s="14">
        <v>1</v>
      </c>
      <c r="BZ66" s="17">
        <v>0</v>
      </c>
      <c r="CA66" s="13">
        <v>0</v>
      </c>
      <c r="CB66" s="13">
        <v>0</v>
      </c>
      <c r="CC66" s="14">
        <v>0</v>
      </c>
    </row>
    <row r="67" spans="2:81" ht="18" hidden="1" customHeight="1" x14ac:dyDescent="0.2">
      <c r="B67" s="10">
        <f>garage!B67</f>
        <v>67</v>
      </c>
      <c r="C67" s="10">
        <f>garage!C67</f>
        <v>2</v>
      </c>
      <c r="D67" s="10">
        <f>garage!D67</f>
        <v>34</v>
      </c>
      <c r="E67" s="10">
        <f>garage!E67</f>
        <v>25</v>
      </c>
      <c r="F67" s="10" t="str">
        <f>garage!F67</f>
        <v>L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garage!J67</f>
        <v>N</v>
      </c>
      <c r="K67" s="10" t="str">
        <f>garage!K67</f>
        <v>C</v>
      </c>
      <c r="L67" s="11" t="str">
        <f>garage!L67</f>
        <v>Lamborghini</v>
      </c>
      <c r="M67" s="11" t="str">
        <f>garage!M67</f>
        <v>Diablo GT</v>
      </c>
      <c r="O67" s="18" t="s">
        <v>437</v>
      </c>
      <c r="P67" s="15" t="s">
        <v>437</v>
      </c>
      <c r="Q67" s="15" t="s">
        <v>437</v>
      </c>
      <c r="R67" s="16" t="s">
        <v>437</v>
      </c>
      <c r="S67" s="15" t="s">
        <v>437</v>
      </c>
      <c r="T67" s="15" t="s">
        <v>437</v>
      </c>
      <c r="U67" s="15" t="s">
        <v>437</v>
      </c>
      <c r="V67" s="16" t="s">
        <v>437</v>
      </c>
      <c r="W67" s="15" t="s">
        <v>437</v>
      </c>
      <c r="X67" s="15" t="s">
        <v>437</v>
      </c>
      <c r="Y67" s="15" t="s">
        <v>437</v>
      </c>
      <c r="Z67" s="16" t="s">
        <v>437</v>
      </c>
      <c r="AA67" s="15" t="s">
        <v>437</v>
      </c>
      <c r="AB67" s="15" t="s">
        <v>437</v>
      </c>
      <c r="AC67" s="15" t="s">
        <v>437</v>
      </c>
      <c r="AD67" s="16" t="s">
        <v>437</v>
      </c>
      <c r="AE67" s="15" t="s">
        <v>437</v>
      </c>
      <c r="AF67" s="15" t="s">
        <v>437</v>
      </c>
      <c r="AG67" s="15" t="s">
        <v>437</v>
      </c>
      <c r="AH67" s="16" t="s">
        <v>437</v>
      </c>
      <c r="AI67" s="15" t="s">
        <v>437</v>
      </c>
      <c r="AJ67" s="15" t="s">
        <v>437</v>
      </c>
      <c r="AK67" s="15" t="s">
        <v>437</v>
      </c>
      <c r="AL67" s="16" t="s">
        <v>437</v>
      </c>
      <c r="AM67" s="15" t="s">
        <v>437</v>
      </c>
      <c r="AN67" s="15" t="s">
        <v>437</v>
      </c>
      <c r="AO67" s="15" t="s">
        <v>437</v>
      </c>
      <c r="AP67" s="16" t="s">
        <v>437</v>
      </c>
      <c r="AQ67" s="15" t="s">
        <v>437</v>
      </c>
      <c r="AR67" s="15" t="s">
        <v>437</v>
      </c>
      <c r="AS67" s="15" t="s">
        <v>437</v>
      </c>
      <c r="AT67" s="16" t="s">
        <v>437</v>
      </c>
      <c r="AU67" s="15" t="s">
        <v>437</v>
      </c>
      <c r="AV67" s="15" t="s">
        <v>437</v>
      </c>
      <c r="AW67" s="15" t="s">
        <v>437</v>
      </c>
      <c r="AX67" s="16" t="s">
        <v>437</v>
      </c>
      <c r="AY67" s="15" t="s">
        <v>437</v>
      </c>
      <c r="AZ67" s="15" t="s">
        <v>437</v>
      </c>
      <c r="BA67" s="15" t="s">
        <v>437</v>
      </c>
      <c r="BB67" s="16" t="s">
        <v>437</v>
      </c>
      <c r="BC67" s="15" t="s">
        <v>437</v>
      </c>
      <c r="BD67" s="15" t="s">
        <v>437</v>
      </c>
      <c r="BE67" s="15" t="s">
        <v>437</v>
      </c>
      <c r="BF67" s="16" t="s">
        <v>437</v>
      </c>
      <c r="BG67" s="15" t="s">
        <v>437</v>
      </c>
      <c r="BH67" s="15" t="s">
        <v>437</v>
      </c>
      <c r="BI67" s="15" t="s">
        <v>437</v>
      </c>
      <c r="BJ67" s="16" t="s">
        <v>437</v>
      </c>
      <c r="BK67" s="15" t="s">
        <v>437</v>
      </c>
      <c r="BL67" s="15" t="s">
        <v>437</v>
      </c>
      <c r="BM67" s="15" t="s">
        <v>437</v>
      </c>
      <c r="BN67" s="16" t="s">
        <v>437</v>
      </c>
      <c r="BP67" s="18" t="s">
        <v>437</v>
      </c>
      <c r="BQ67" s="15" t="s">
        <v>437</v>
      </c>
      <c r="BR67" s="15" t="s">
        <v>437</v>
      </c>
      <c r="BS67" s="16" t="s">
        <v>437</v>
      </c>
      <c r="BU67" s="18" t="s">
        <v>437</v>
      </c>
      <c r="BV67" s="15" t="s">
        <v>437</v>
      </c>
      <c r="BW67" s="15" t="s">
        <v>437</v>
      </c>
      <c r="BX67" s="16" t="s">
        <v>437</v>
      </c>
      <c r="BZ67" s="18" t="s">
        <v>437</v>
      </c>
      <c r="CA67" s="15" t="s">
        <v>437</v>
      </c>
      <c r="CB67" s="15" t="s">
        <v>437</v>
      </c>
      <c r="CC67" s="16" t="s">
        <v>437</v>
      </c>
    </row>
    <row r="68" spans="2:81" ht="18" customHeight="1" x14ac:dyDescent="0.2">
      <c r="B68" s="8">
        <f>garage!B68</f>
        <v>68</v>
      </c>
      <c r="C68" s="8">
        <f>garage!C68</f>
        <v>2</v>
      </c>
      <c r="D68" s="8">
        <f>garage!D68</f>
        <v>35</v>
      </c>
      <c r="E68" s="8">
        <f>garage!E68</f>
        <v>7</v>
      </c>
      <c r="F68" s="8" t="str">
        <f>garage!F68</f>
        <v>--</v>
      </c>
      <c r="G68" s="8" t="str">
        <f>garage!G68</f>
        <v>O</v>
      </c>
      <c r="H68" s="8" t="str">
        <f>garage!H68</f>
        <v>O</v>
      </c>
      <c r="I68" s="8" t="str">
        <f>garage!I68</f>
        <v>O</v>
      </c>
      <c r="J68" s="8" t="str">
        <f>garage!J68</f>
        <v>N</v>
      </c>
      <c r="K68" s="8" t="str">
        <f>garage!K68</f>
        <v>C</v>
      </c>
      <c r="L68" s="9" t="str">
        <f>garage!L68</f>
        <v>Arrinera</v>
      </c>
      <c r="M68" s="9" t="str">
        <f>garage!M68</f>
        <v>Hussarya 33</v>
      </c>
      <c r="O68" s="17">
        <v>1</v>
      </c>
      <c r="P68" s="13">
        <v>1</v>
      </c>
      <c r="Q68" s="13">
        <v>1</v>
      </c>
      <c r="R68" s="14">
        <v>1</v>
      </c>
      <c r="S68" s="13">
        <v>1</v>
      </c>
      <c r="T68" s="13">
        <v>1</v>
      </c>
      <c r="U68" s="13">
        <v>1</v>
      </c>
      <c r="V68" s="14">
        <v>1</v>
      </c>
      <c r="W68" s="13">
        <v>1</v>
      </c>
      <c r="X68" s="13">
        <v>1</v>
      </c>
      <c r="Y68" s="13">
        <v>1</v>
      </c>
      <c r="Z68" s="14">
        <v>1</v>
      </c>
      <c r="AA68" s="13">
        <v>1</v>
      </c>
      <c r="AB68" s="13">
        <v>1</v>
      </c>
      <c r="AC68" s="13">
        <v>1</v>
      </c>
      <c r="AD68" s="14">
        <v>1</v>
      </c>
      <c r="AE68" s="13">
        <v>1</v>
      </c>
      <c r="AF68" s="13">
        <v>1</v>
      </c>
      <c r="AG68" s="13">
        <v>1</v>
      </c>
      <c r="AH68" s="14">
        <v>1</v>
      </c>
      <c r="AI68" s="13">
        <v>1</v>
      </c>
      <c r="AJ68" s="13">
        <v>1</v>
      </c>
      <c r="AK68" s="13">
        <v>1</v>
      </c>
      <c r="AL68" s="14">
        <v>1</v>
      </c>
      <c r="AM68" s="13">
        <v>1</v>
      </c>
      <c r="AN68" s="13">
        <v>1</v>
      </c>
      <c r="AO68" s="13">
        <v>1</v>
      </c>
      <c r="AP68" s="14">
        <v>1</v>
      </c>
      <c r="AQ68" s="13">
        <v>1</v>
      </c>
      <c r="AR68" s="13">
        <v>1</v>
      </c>
      <c r="AS68" s="13">
        <v>1</v>
      </c>
      <c r="AT68" s="14">
        <v>1</v>
      </c>
      <c r="AU68" s="13">
        <v>1</v>
      </c>
      <c r="AV68" s="13">
        <v>1</v>
      </c>
      <c r="AW68" s="13">
        <v>1</v>
      </c>
      <c r="AX68" s="14">
        <v>1</v>
      </c>
      <c r="AY68" s="13">
        <v>1</v>
      </c>
      <c r="AZ68" s="13">
        <v>1</v>
      </c>
      <c r="BA68" s="13">
        <v>1</v>
      </c>
      <c r="BB68" s="14">
        <v>1</v>
      </c>
      <c r="BC68" s="13">
        <v>1</v>
      </c>
      <c r="BD68" s="13">
        <v>1</v>
      </c>
      <c r="BE68" s="13">
        <v>1</v>
      </c>
      <c r="BF68" s="14">
        <v>1</v>
      </c>
      <c r="BG68" s="13">
        <v>1</v>
      </c>
      <c r="BH68" s="13">
        <v>1</v>
      </c>
      <c r="BI68" s="13">
        <v>1</v>
      </c>
      <c r="BJ68" s="14">
        <v>1</v>
      </c>
      <c r="BK68" s="13" t="s">
        <v>437</v>
      </c>
      <c r="BL68" s="13" t="s">
        <v>437</v>
      </c>
      <c r="BM68" s="13" t="s">
        <v>437</v>
      </c>
      <c r="BN68" s="14" t="s">
        <v>437</v>
      </c>
      <c r="BP68" s="17">
        <v>9</v>
      </c>
      <c r="BQ68" s="13">
        <v>9</v>
      </c>
      <c r="BR68" s="13">
        <v>9</v>
      </c>
      <c r="BS68" s="14">
        <v>9</v>
      </c>
      <c r="BU68" s="17">
        <v>4</v>
      </c>
      <c r="BV68" s="13">
        <v>4</v>
      </c>
      <c r="BW68" s="13">
        <v>4</v>
      </c>
      <c r="BX68" s="14">
        <v>4</v>
      </c>
      <c r="BZ68" s="17">
        <v>2</v>
      </c>
      <c r="CA68" s="13">
        <v>2</v>
      </c>
      <c r="CB68" s="13">
        <v>2</v>
      </c>
      <c r="CC68" s="14">
        <v>2</v>
      </c>
    </row>
    <row r="69" spans="2:81" ht="18" customHeight="1" x14ac:dyDescent="0.2">
      <c r="B69" s="10">
        <f>garage!B69</f>
        <v>69</v>
      </c>
      <c r="C69" s="10">
        <f>garage!C69</f>
        <v>2</v>
      </c>
      <c r="D69" s="10">
        <f>garage!D69</f>
        <v>36</v>
      </c>
      <c r="E69" s="10">
        <f>garage!E69</f>
        <v>26</v>
      </c>
      <c r="F69" s="10" t="str">
        <f>garage!F69</f>
        <v>B</v>
      </c>
      <c r="G69" s="10" t="str">
        <f>garage!G69</f>
        <v>O</v>
      </c>
      <c r="H69" s="10" t="str">
        <f>garage!H69</f>
        <v>O</v>
      </c>
      <c r="I69" s="10" t="str">
        <f>garage!I69</f>
        <v>N</v>
      </c>
      <c r="J69" s="10" t="str">
        <f>garage!J69</f>
        <v>N</v>
      </c>
      <c r="K69" s="10" t="str">
        <f>garage!K69</f>
        <v>C</v>
      </c>
      <c r="L69" s="11" t="str">
        <f>garage!L69</f>
        <v>Bugatti</v>
      </c>
      <c r="M69" s="11" t="str">
        <f>garage!M69</f>
        <v>EB110</v>
      </c>
      <c r="O69" s="18">
        <v>1</v>
      </c>
      <c r="P69" s="15">
        <v>1</v>
      </c>
      <c r="Q69" s="15">
        <v>1</v>
      </c>
      <c r="R69" s="16">
        <v>1</v>
      </c>
      <c r="S69" s="15">
        <v>1</v>
      </c>
      <c r="T69" s="15">
        <v>1</v>
      </c>
      <c r="U69" s="15">
        <v>1</v>
      </c>
      <c r="V69" s="16">
        <v>1</v>
      </c>
      <c r="W69" s="15">
        <v>1</v>
      </c>
      <c r="X69" s="15">
        <v>1</v>
      </c>
      <c r="Y69" s="15">
        <v>1</v>
      </c>
      <c r="Z69" s="16">
        <v>1</v>
      </c>
      <c r="AA69" s="15">
        <v>1</v>
      </c>
      <c r="AB69" s="15">
        <v>1</v>
      </c>
      <c r="AC69" s="15">
        <v>1</v>
      </c>
      <c r="AD69" s="16">
        <v>1</v>
      </c>
      <c r="AE69" s="15">
        <v>1</v>
      </c>
      <c r="AF69" s="15">
        <v>1</v>
      </c>
      <c r="AG69" s="15">
        <v>1</v>
      </c>
      <c r="AH69" s="16">
        <v>1</v>
      </c>
      <c r="AI69" s="15">
        <v>1</v>
      </c>
      <c r="AJ69" s="15">
        <v>1</v>
      </c>
      <c r="AK69" s="15">
        <v>1</v>
      </c>
      <c r="AL69" s="16">
        <v>1</v>
      </c>
      <c r="AM69" s="15" t="s">
        <v>437</v>
      </c>
      <c r="AN69" s="15" t="s">
        <v>437</v>
      </c>
      <c r="AO69" s="15" t="s">
        <v>437</v>
      </c>
      <c r="AP69" s="16" t="s">
        <v>437</v>
      </c>
      <c r="AQ69" s="15" t="s">
        <v>437</v>
      </c>
      <c r="AR69" s="15" t="s">
        <v>437</v>
      </c>
      <c r="AS69" s="15" t="s">
        <v>437</v>
      </c>
      <c r="AT69" s="16" t="s">
        <v>437</v>
      </c>
      <c r="AU69" s="15" t="s">
        <v>437</v>
      </c>
      <c r="AV69" s="15" t="s">
        <v>437</v>
      </c>
      <c r="AW69" s="15" t="s">
        <v>437</v>
      </c>
      <c r="AX69" s="16" t="s">
        <v>437</v>
      </c>
      <c r="AY69" s="15" t="s">
        <v>437</v>
      </c>
      <c r="AZ69" s="15" t="s">
        <v>437</v>
      </c>
      <c r="BA69" s="15" t="s">
        <v>437</v>
      </c>
      <c r="BB69" s="16" t="s">
        <v>437</v>
      </c>
      <c r="BC69" s="15" t="s">
        <v>437</v>
      </c>
      <c r="BD69" s="15" t="s">
        <v>437</v>
      </c>
      <c r="BE69" s="15" t="s">
        <v>437</v>
      </c>
      <c r="BF69" s="16" t="s">
        <v>437</v>
      </c>
      <c r="BG69" s="15" t="s">
        <v>437</v>
      </c>
      <c r="BH69" s="15" t="s">
        <v>437</v>
      </c>
      <c r="BI69" s="15" t="s">
        <v>437</v>
      </c>
      <c r="BJ69" s="16" t="s">
        <v>437</v>
      </c>
      <c r="BK69" s="15" t="s">
        <v>437</v>
      </c>
      <c r="BL69" s="15" t="s">
        <v>437</v>
      </c>
      <c r="BM69" s="15" t="s">
        <v>437</v>
      </c>
      <c r="BN69" s="16" t="s">
        <v>437</v>
      </c>
      <c r="BP69" s="18" t="s">
        <v>437</v>
      </c>
      <c r="BQ69" s="15" t="s">
        <v>437</v>
      </c>
      <c r="BR69" s="15" t="s">
        <v>437</v>
      </c>
      <c r="BS69" s="16" t="s">
        <v>437</v>
      </c>
      <c r="BU69" s="18" t="s">
        <v>437</v>
      </c>
      <c r="BV69" s="15" t="s">
        <v>437</v>
      </c>
      <c r="BW69" s="15" t="s">
        <v>437</v>
      </c>
      <c r="BX69" s="16" t="s">
        <v>437</v>
      </c>
      <c r="BZ69" s="18" t="s">
        <v>437</v>
      </c>
      <c r="CA69" s="15" t="s">
        <v>437</v>
      </c>
      <c r="CB69" s="15" t="s">
        <v>437</v>
      </c>
      <c r="CC69" s="16" t="s">
        <v>437</v>
      </c>
    </row>
    <row r="70" spans="2:81" ht="18" customHeight="1" x14ac:dyDescent="0.2">
      <c r="B70" s="8">
        <f>garage!B70</f>
        <v>70</v>
      </c>
      <c r="C70" s="8">
        <f>garage!C70</f>
        <v>2</v>
      </c>
      <c r="D70" s="8">
        <f>garage!D70</f>
        <v>37</v>
      </c>
      <c r="E70" s="8">
        <f>garage!E70</f>
        <v>12</v>
      </c>
      <c r="F70" s="8" t="str">
        <f>garage!F70</f>
        <v>L</v>
      </c>
      <c r="G70" s="8" t="str">
        <f>garage!G70</f>
        <v>O</v>
      </c>
      <c r="H70" s="8" t="str">
        <f>garage!H70</f>
        <v>N</v>
      </c>
      <c r="I70" s="8" t="str">
        <f>garage!I70</f>
        <v>N</v>
      </c>
      <c r="J70" s="8" t="str">
        <f>garage!J70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Gallardo LP560-4</v>
      </c>
      <c r="O70" s="17">
        <v>1</v>
      </c>
      <c r="P70" s="13">
        <v>1</v>
      </c>
      <c r="Q70" s="13">
        <v>1</v>
      </c>
      <c r="R70" s="14">
        <v>1</v>
      </c>
      <c r="S70" s="13">
        <v>1</v>
      </c>
      <c r="T70" s="13">
        <v>1</v>
      </c>
      <c r="U70" s="13">
        <v>1</v>
      </c>
      <c r="V70" s="14">
        <v>1</v>
      </c>
      <c r="W70" s="13">
        <v>1</v>
      </c>
      <c r="X70" s="13">
        <v>1</v>
      </c>
      <c r="Y70" s="13">
        <v>1</v>
      </c>
      <c r="Z70" s="14">
        <v>1</v>
      </c>
      <c r="AA70" s="13">
        <v>1</v>
      </c>
      <c r="AB70" s="13">
        <v>1</v>
      </c>
      <c r="AC70" s="13">
        <v>1</v>
      </c>
      <c r="AD70" s="14">
        <v>1</v>
      </c>
      <c r="AE70" s="13">
        <v>1</v>
      </c>
      <c r="AF70" s="13">
        <v>1</v>
      </c>
      <c r="AG70" s="13">
        <v>1</v>
      </c>
      <c r="AH70" s="14">
        <v>1</v>
      </c>
      <c r="AI70" s="13">
        <v>1</v>
      </c>
      <c r="AJ70" s="13">
        <v>1</v>
      </c>
      <c r="AK70" s="13">
        <v>1</v>
      </c>
      <c r="AL70" s="14">
        <v>1</v>
      </c>
      <c r="AM70" s="13">
        <v>1</v>
      </c>
      <c r="AN70" s="13">
        <v>1</v>
      </c>
      <c r="AO70" s="13">
        <v>1</v>
      </c>
      <c r="AP70" s="14">
        <v>1</v>
      </c>
      <c r="AQ70" s="13">
        <v>1</v>
      </c>
      <c r="AR70" s="13">
        <v>1</v>
      </c>
      <c r="AS70" s="13">
        <v>1</v>
      </c>
      <c r="AT70" s="14">
        <v>1</v>
      </c>
      <c r="AU70" s="13" t="s">
        <v>437</v>
      </c>
      <c r="AV70" s="13" t="s">
        <v>437</v>
      </c>
      <c r="AW70" s="13" t="s">
        <v>437</v>
      </c>
      <c r="AX70" s="14" t="s">
        <v>437</v>
      </c>
      <c r="AY70" s="13" t="s">
        <v>437</v>
      </c>
      <c r="AZ70" s="13" t="s">
        <v>437</v>
      </c>
      <c r="BA70" s="13" t="s">
        <v>437</v>
      </c>
      <c r="BB70" s="14" t="s">
        <v>437</v>
      </c>
      <c r="BC70" s="13" t="s">
        <v>437</v>
      </c>
      <c r="BD70" s="13" t="s">
        <v>437</v>
      </c>
      <c r="BE70" s="13" t="s">
        <v>437</v>
      </c>
      <c r="BF70" s="14" t="s">
        <v>437</v>
      </c>
      <c r="BG70" s="13" t="s">
        <v>437</v>
      </c>
      <c r="BH70" s="13" t="s">
        <v>437</v>
      </c>
      <c r="BI70" s="13" t="s">
        <v>437</v>
      </c>
      <c r="BJ70" s="14" t="s">
        <v>437</v>
      </c>
      <c r="BK70" s="13" t="s">
        <v>437</v>
      </c>
      <c r="BL70" s="13" t="s">
        <v>437</v>
      </c>
      <c r="BM70" s="13" t="s">
        <v>437</v>
      </c>
      <c r="BN70" s="14" t="s">
        <v>437</v>
      </c>
      <c r="BP70" s="17">
        <v>6</v>
      </c>
      <c r="BQ70" s="13">
        <v>6</v>
      </c>
      <c r="BR70" s="13">
        <v>6</v>
      </c>
      <c r="BS70" s="14">
        <v>6</v>
      </c>
      <c r="BU70" s="17">
        <v>1</v>
      </c>
      <c r="BV70" s="13" t="s">
        <v>437</v>
      </c>
      <c r="BW70" s="13" t="s">
        <v>437</v>
      </c>
      <c r="BX70" s="14">
        <v>1</v>
      </c>
      <c r="BZ70" s="17" t="s">
        <v>437</v>
      </c>
      <c r="CA70" s="13" t="s">
        <v>437</v>
      </c>
      <c r="CB70" s="13" t="s">
        <v>437</v>
      </c>
      <c r="CC70" s="14" t="s">
        <v>437</v>
      </c>
    </row>
    <row r="71" spans="2:81" ht="18" customHeight="1" x14ac:dyDescent="0.2">
      <c r="B71" s="10">
        <f>garage!B71</f>
        <v>71</v>
      </c>
      <c r="C71" s="10">
        <f>garage!C71</f>
        <v>2</v>
      </c>
      <c r="D71" s="10">
        <f>garage!D71</f>
        <v>38</v>
      </c>
      <c r="E71" s="10">
        <f>garage!E71</f>
        <v>23</v>
      </c>
      <c r="F71" s="10" t="str">
        <f>garage!F71</f>
        <v>M</v>
      </c>
      <c r="G71" s="10" t="str">
        <f>garage!G71</f>
        <v>O</v>
      </c>
      <c r="H71" s="10" t="str">
        <f>garage!H71</f>
        <v>N</v>
      </c>
      <c r="I71" s="10" t="str">
        <f>garage!I71</f>
        <v>N</v>
      </c>
      <c r="J71" s="10" t="str">
        <f>garage!J71</f>
        <v>N</v>
      </c>
      <c r="K71" s="10" t="str">
        <f>garage!K71</f>
        <v>C</v>
      </c>
      <c r="L71" s="11" t="str">
        <f>garage!L71</f>
        <v>McLaren</v>
      </c>
      <c r="M71" s="11" t="str">
        <f>garage!M71</f>
        <v>GT</v>
      </c>
      <c r="O71" s="18">
        <v>1</v>
      </c>
      <c r="P71" s="15">
        <v>1</v>
      </c>
      <c r="Q71" s="15">
        <v>1</v>
      </c>
      <c r="R71" s="16">
        <v>1</v>
      </c>
      <c r="S71" s="15">
        <v>1</v>
      </c>
      <c r="T71" s="15">
        <v>1</v>
      </c>
      <c r="U71" s="15">
        <v>1</v>
      </c>
      <c r="V71" s="16">
        <v>1</v>
      </c>
      <c r="W71" s="15">
        <v>1</v>
      </c>
      <c r="X71" s="15">
        <v>1</v>
      </c>
      <c r="Y71" s="15">
        <v>1</v>
      </c>
      <c r="Z71" s="16">
        <v>1</v>
      </c>
      <c r="AA71" s="15">
        <v>1</v>
      </c>
      <c r="AB71" s="15">
        <v>1</v>
      </c>
      <c r="AC71" s="15">
        <v>1</v>
      </c>
      <c r="AD71" s="16">
        <v>1</v>
      </c>
      <c r="AE71" s="15">
        <v>1</v>
      </c>
      <c r="AF71" s="15">
        <v>1</v>
      </c>
      <c r="AG71" s="15">
        <v>1</v>
      </c>
      <c r="AH71" s="16">
        <v>1</v>
      </c>
      <c r="AI71" s="15">
        <v>1</v>
      </c>
      <c r="AJ71" s="15">
        <v>1</v>
      </c>
      <c r="AK71" s="15">
        <v>1</v>
      </c>
      <c r="AL71" s="16">
        <v>1</v>
      </c>
      <c r="AM71" s="15">
        <v>1</v>
      </c>
      <c r="AN71" s="15">
        <v>1</v>
      </c>
      <c r="AO71" s="15">
        <v>1</v>
      </c>
      <c r="AP71" s="16">
        <v>1</v>
      </c>
      <c r="AQ71" s="15">
        <v>1</v>
      </c>
      <c r="AR71" s="15">
        <v>1</v>
      </c>
      <c r="AS71" s="15">
        <v>1</v>
      </c>
      <c r="AT71" s="16">
        <v>1</v>
      </c>
      <c r="AU71" s="15">
        <v>1</v>
      </c>
      <c r="AV71" s="15">
        <v>1</v>
      </c>
      <c r="AW71" s="15">
        <v>1</v>
      </c>
      <c r="AX71" s="16">
        <v>1</v>
      </c>
      <c r="AY71" s="15">
        <v>1</v>
      </c>
      <c r="AZ71" s="15">
        <v>1</v>
      </c>
      <c r="BA71" s="15">
        <v>1</v>
      </c>
      <c r="BB71" s="16">
        <v>1</v>
      </c>
      <c r="BC71" s="15" t="s">
        <v>437</v>
      </c>
      <c r="BD71" s="15" t="s">
        <v>437</v>
      </c>
      <c r="BE71" s="15" t="s">
        <v>437</v>
      </c>
      <c r="BF71" s="16" t="s">
        <v>437</v>
      </c>
      <c r="BG71" s="15" t="s">
        <v>437</v>
      </c>
      <c r="BH71" s="15" t="s">
        <v>437</v>
      </c>
      <c r="BI71" s="15" t="s">
        <v>437</v>
      </c>
      <c r="BJ71" s="16" t="s">
        <v>437</v>
      </c>
      <c r="BK71" s="15" t="s">
        <v>437</v>
      </c>
      <c r="BL71" s="15" t="s">
        <v>437</v>
      </c>
      <c r="BM71" s="15" t="s">
        <v>437</v>
      </c>
      <c r="BN71" s="16" t="s">
        <v>437</v>
      </c>
      <c r="BP71" s="18">
        <v>6</v>
      </c>
      <c r="BQ71" s="15">
        <v>8</v>
      </c>
      <c r="BR71" s="15">
        <v>5</v>
      </c>
      <c r="BS71" s="16">
        <v>6</v>
      </c>
      <c r="BU71" s="18">
        <v>2</v>
      </c>
      <c r="BV71" s="15">
        <v>2</v>
      </c>
      <c r="BW71" s="15">
        <v>1</v>
      </c>
      <c r="BX71" s="16">
        <v>1</v>
      </c>
      <c r="BZ71" s="18" t="s">
        <v>437</v>
      </c>
      <c r="CA71" s="15" t="s">
        <v>437</v>
      </c>
      <c r="CB71" s="15" t="s">
        <v>437</v>
      </c>
      <c r="CC71" s="16" t="s">
        <v>437</v>
      </c>
    </row>
    <row r="72" spans="2:81" ht="18" customHeight="1" x14ac:dyDescent="0.2">
      <c r="B72" s="8">
        <f>garage!B72</f>
        <v>72</v>
      </c>
      <c r="C72" s="8">
        <f>garage!C72</f>
        <v>2</v>
      </c>
      <c r="D72" s="8">
        <f>garage!D72</f>
        <v>39</v>
      </c>
      <c r="E72" s="8">
        <f>garage!E72</f>
        <v>29</v>
      </c>
      <c r="F72" s="8" t="str">
        <f>garage!F72</f>
        <v>--</v>
      </c>
      <c r="G72" s="8" t="str">
        <f>garage!G72</f>
        <v>O</v>
      </c>
      <c r="H72" s="8" t="str">
        <f>garage!H72</f>
        <v>N</v>
      </c>
      <c r="I72" s="8" t="str">
        <f>garage!I72</f>
        <v>N</v>
      </c>
      <c r="J72" s="8" t="str">
        <f>garage!J72</f>
        <v>N</v>
      </c>
      <c r="K72" s="8" t="str">
        <f>garage!K72</f>
        <v>C</v>
      </c>
      <c r="L72" s="9" t="str">
        <f>garage!L72</f>
        <v>Mercedes-Benz</v>
      </c>
      <c r="M72" s="9" t="str">
        <f>garage!M72</f>
        <v>AMG GT Black Series</v>
      </c>
      <c r="O72" s="17" t="s">
        <v>437</v>
      </c>
      <c r="P72" s="13" t="s">
        <v>437</v>
      </c>
      <c r="Q72" s="13" t="s">
        <v>437</v>
      </c>
      <c r="R72" s="14" t="s">
        <v>437</v>
      </c>
      <c r="S72" s="13" t="s">
        <v>437</v>
      </c>
      <c r="T72" s="13" t="s">
        <v>437</v>
      </c>
      <c r="U72" s="13" t="s">
        <v>437</v>
      </c>
      <c r="V72" s="14" t="s">
        <v>437</v>
      </c>
      <c r="W72" s="13" t="s">
        <v>437</v>
      </c>
      <c r="X72" s="13" t="s">
        <v>437</v>
      </c>
      <c r="Y72" s="13" t="s">
        <v>437</v>
      </c>
      <c r="Z72" s="14" t="s">
        <v>437</v>
      </c>
      <c r="AA72" s="13" t="s">
        <v>437</v>
      </c>
      <c r="AB72" s="13" t="s">
        <v>437</v>
      </c>
      <c r="AC72" s="13" t="s">
        <v>437</v>
      </c>
      <c r="AD72" s="14" t="s">
        <v>437</v>
      </c>
      <c r="AE72" s="13" t="s">
        <v>437</v>
      </c>
      <c r="AF72" s="13" t="s">
        <v>437</v>
      </c>
      <c r="AG72" s="13" t="s">
        <v>437</v>
      </c>
      <c r="AH72" s="14" t="s">
        <v>437</v>
      </c>
      <c r="AI72" s="13" t="s">
        <v>437</v>
      </c>
      <c r="AJ72" s="13" t="s">
        <v>437</v>
      </c>
      <c r="AK72" s="13" t="s">
        <v>437</v>
      </c>
      <c r="AL72" s="14" t="s">
        <v>437</v>
      </c>
      <c r="AM72" s="13" t="s">
        <v>437</v>
      </c>
      <c r="AN72" s="13" t="s">
        <v>437</v>
      </c>
      <c r="AO72" s="13" t="s">
        <v>437</v>
      </c>
      <c r="AP72" s="14" t="s">
        <v>437</v>
      </c>
      <c r="AQ72" s="13" t="s">
        <v>437</v>
      </c>
      <c r="AR72" s="13" t="s">
        <v>437</v>
      </c>
      <c r="AS72" s="13" t="s">
        <v>437</v>
      </c>
      <c r="AT72" s="14" t="s">
        <v>437</v>
      </c>
      <c r="AU72" s="13" t="s">
        <v>437</v>
      </c>
      <c r="AV72" s="13" t="s">
        <v>437</v>
      </c>
      <c r="AW72" s="13" t="s">
        <v>437</v>
      </c>
      <c r="AX72" s="14" t="s">
        <v>437</v>
      </c>
      <c r="AY72" s="13" t="s">
        <v>437</v>
      </c>
      <c r="AZ72" s="13" t="s">
        <v>437</v>
      </c>
      <c r="BA72" s="13" t="s">
        <v>437</v>
      </c>
      <c r="BB72" s="14" t="s">
        <v>437</v>
      </c>
      <c r="BC72" s="13" t="s">
        <v>437</v>
      </c>
      <c r="BD72" s="13" t="s">
        <v>437</v>
      </c>
      <c r="BE72" s="13" t="s">
        <v>437</v>
      </c>
      <c r="BF72" s="14" t="s">
        <v>437</v>
      </c>
      <c r="BG72" s="13" t="s">
        <v>437</v>
      </c>
      <c r="BH72" s="13" t="s">
        <v>437</v>
      </c>
      <c r="BI72" s="13" t="s">
        <v>437</v>
      </c>
      <c r="BJ72" s="14" t="s">
        <v>437</v>
      </c>
      <c r="BK72" s="13" t="s">
        <v>437</v>
      </c>
      <c r="BL72" s="13" t="s">
        <v>437</v>
      </c>
      <c r="BM72" s="13" t="s">
        <v>437</v>
      </c>
      <c r="BN72" s="14" t="s">
        <v>437</v>
      </c>
      <c r="BP72" s="17" t="s">
        <v>437</v>
      </c>
      <c r="BQ72" s="13" t="s">
        <v>437</v>
      </c>
      <c r="BR72" s="13" t="s">
        <v>437</v>
      </c>
      <c r="BS72" s="14" t="s">
        <v>437</v>
      </c>
      <c r="BU72" s="17" t="s">
        <v>437</v>
      </c>
      <c r="BV72" s="13" t="s">
        <v>437</v>
      </c>
      <c r="BW72" s="13" t="s">
        <v>437</v>
      </c>
      <c r="BX72" s="14" t="s">
        <v>437</v>
      </c>
      <c r="BZ72" s="17" t="s">
        <v>437</v>
      </c>
      <c r="CA72" s="13" t="s">
        <v>437</v>
      </c>
      <c r="CB72" s="13" t="s">
        <v>437</v>
      </c>
      <c r="CC72" s="14" t="s">
        <v>437</v>
      </c>
    </row>
    <row r="73" spans="2:81" ht="18" customHeight="1" x14ac:dyDescent="0.2">
      <c r="B73" s="10">
        <f>garage!B73</f>
        <v>73</v>
      </c>
      <c r="C73" s="10">
        <f>garage!C73</f>
        <v>3</v>
      </c>
      <c r="D73" s="10">
        <f>garage!D73</f>
        <v>1</v>
      </c>
      <c r="E73" s="10">
        <f>garage!E73</f>
        <v>0</v>
      </c>
      <c r="F73" s="10" t="str">
        <f>garage!F73</f>
        <v>P</v>
      </c>
      <c r="G73" s="10" t="str">
        <f>garage!G73</f>
        <v>O</v>
      </c>
      <c r="H73" s="10" t="str">
        <f>garage!H73</f>
        <v>O</v>
      </c>
      <c r="I73" s="10" t="str">
        <f>garage!I73</f>
        <v>O</v>
      </c>
      <c r="J73" s="10" t="str">
        <f>garage!J73</f>
        <v>N</v>
      </c>
      <c r="K73" s="10" t="str">
        <f>garage!K73</f>
        <v>B</v>
      </c>
      <c r="L73" s="11" t="str">
        <f>garage!L73</f>
        <v>Porsche</v>
      </c>
      <c r="M73" s="11" t="str">
        <f>garage!M73</f>
        <v>911 GTS Coupé</v>
      </c>
      <c r="O73" s="18">
        <v>1</v>
      </c>
      <c r="P73" s="15">
        <v>1</v>
      </c>
      <c r="Q73" s="15">
        <v>1</v>
      </c>
      <c r="R73" s="16">
        <v>1</v>
      </c>
      <c r="S73" s="15">
        <v>1</v>
      </c>
      <c r="T73" s="15">
        <v>1</v>
      </c>
      <c r="U73" s="15">
        <v>1</v>
      </c>
      <c r="V73" s="16">
        <v>1</v>
      </c>
      <c r="W73" s="15">
        <v>1</v>
      </c>
      <c r="X73" s="15">
        <v>1</v>
      </c>
      <c r="Y73" s="15">
        <v>1</v>
      </c>
      <c r="Z73" s="16">
        <v>1</v>
      </c>
      <c r="AA73" s="15">
        <v>1</v>
      </c>
      <c r="AB73" s="15">
        <v>1</v>
      </c>
      <c r="AC73" s="15">
        <v>1</v>
      </c>
      <c r="AD73" s="16">
        <v>1</v>
      </c>
      <c r="AE73" s="15">
        <v>1</v>
      </c>
      <c r="AF73" s="15">
        <v>1</v>
      </c>
      <c r="AG73" s="15">
        <v>1</v>
      </c>
      <c r="AH73" s="16">
        <v>1</v>
      </c>
      <c r="AI73" s="15">
        <v>1</v>
      </c>
      <c r="AJ73" s="15">
        <v>1</v>
      </c>
      <c r="AK73" s="15">
        <v>1</v>
      </c>
      <c r="AL73" s="16">
        <v>1</v>
      </c>
      <c r="AM73" s="15">
        <v>1</v>
      </c>
      <c r="AN73" s="15">
        <v>1</v>
      </c>
      <c r="AO73" s="15">
        <v>1</v>
      </c>
      <c r="AP73" s="16">
        <v>1</v>
      </c>
      <c r="AQ73" s="15">
        <v>1</v>
      </c>
      <c r="AR73" s="15">
        <v>1</v>
      </c>
      <c r="AS73" s="15">
        <v>1</v>
      </c>
      <c r="AT73" s="16">
        <v>1</v>
      </c>
      <c r="AU73" s="15">
        <v>1</v>
      </c>
      <c r="AV73" s="15">
        <v>1</v>
      </c>
      <c r="AW73" s="15">
        <v>1</v>
      </c>
      <c r="AX73" s="16">
        <v>1</v>
      </c>
      <c r="AY73" s="15">
        <v>1</v>
      </c>
      <c r="AZ73" s="15">
        <v>1</v>
      </c>
      <c r="BA73" s="15">
        <v>1</v>
      </c>
      <c r="BB73" s="16">
        <v>1</v>
      </c>
      <c r="BC73" s="15" t="s">
        <v>437</v>
      </c>
      <c r="BD73" s="15" t="s">
        <v>437</v>
      </c>
      <c r="BE73" s="15" t="s">
        <v>437</v>
      </c>
      <c r="BF73" s="16" t="s">
        <v>437</v>
      </c>
      <c r="BG73" s="15" t="s">
        <v>437</v>
      </c>
      <c r="BH73" s="15" t="s">
        <v>437</v>
      </c>
      <c r="BI73" s="15" t="s">
        <v>437</v>
      </c>
      <c r="BJ73" s="16" t="s">
        <v>437</v>
      </c>
      <c r="BK73" s="15" t="s">
        <v>437</v>
      </c>
      <c r="BL73" s="15" t="s">
        <v>437</v>
      </c>
      <c r="BM73" s="15" t="s">
        <v>437</v>
      </c>
      <c r="BN73" s="16" t="s">
        <v>437</v>
      </c>
      <c r="BP73" s="18">
        <v>6</v>
      </c>
      <c r="BQ73" s="15">
        <v>6</v>
      </c>
      <c r="BR73" s="15">
        <v>6</v>
      </c>
      <c r="BS73" s="16">
        <v>6</v>
      </c>
      <c r="BU73" s="18">
        <v>1</v>
      </c>
      <c r="BV73" s="15">
        <v>1</v>
      </c>
      <c r="BW73" s="15">
        <v>1</v>
      </c>
      <c r="BX73" s="16">
        <v>1</v>
      </c>
      <c r="BZ73" s="18">
        <v>1</v>
      </c>
      <c r="CA73" s="15">
        <v>1</v>
      </c>
      <c r="CB73" s="15">
        <v>1</v>
      </c>
      <c r="CC73" s="16">
        <v>1</v>
      </c>
    </row>
    <row r="74" spans="2:81" ht="18" customHeight="1" x14ac:dyDescent="0.2">
      <c r="B74" s="8">
        <f>garage!B74</f>
        <v>74</v>
      </c>
      <c r="C74" s="8">
        <f>garage!C74</f>
        <v>3</v>
      </c>
      <c r="D74" s="8">
        <f>garage!D74</f>
        <v>2</v>
      </c>
      <c r="E74" s="8">
        <f>garage!E74</f>
        <v>0</v>
      </c>
      <c r="F74" s="8" t="str">
        <f>garage!F74</f>
        <v>AM</v>
      </c>
      <c r="G74" s="8" t="str">
        <f>garage!G74</f>
        <v>O</v>
      </c>
      <c r="H74" s="8" t="str">
        <f>garage!H74</f>
        <v>O</v>
      </c>
      <c r="I74" s="8" t="str">
        <f>garage!I74</f>
        <v>O</v>
      </c>
      <c r="J74" s="8" t="str">
        <f>garage!J74</f>
        <v>N</v>
      </c>
      <c r="K74" s="8" t="str">
        <f>garage!K74</f>
        <v>B</v>
      </c>
      <c r="L74" s="9" t="str">
        <f>garage!L74</f>
        <v>Aston Martin</v>
      </c>
      <c r="M74" s="9" t="str">
        <f>garage!M74</f>
        <v>DB11</v>
      </c>
      <c r="O74" s="17">
        <v>1</v>
      </c>
      <c r="P74" s="13">
        <v>1</v>
      </c>
      <c r="Q74" s="13">
        <v>1</v>
      </c>
      <c r="R74" s="14">
        <v>1</v>
      </c>
      <c r="S74" s="13">
        <v>1</v>
      </c>
      <c r="T74" s="13">
        <v>1</v>
      </c>
      <c r="U74" s="13">
        <v>1</v>
      </c>
      <c r="V74" s="14">
        <v>1</v>
      </c>
      <c r="W74" s="13">
        <v>1</v>
      </c>
      <c r="X74" s="13">
        <v>1</v>
      </c>
      <c r="Y74" s="13">
        <v>1</v>
      </c>
      <c r="Z74" s="14">
        <v>1</v>
      </c>
      <c r="AA74" s="13">
        <v>1</v>
      </c>
      <c r="AB74" s="13">
        <v>1</v>
      </c>
      <c r="AC74" s="13">
        <v>1</v>
      </c>
      <c r="AD74" s="14">
        <v>1</v>
      </c>
      <c r="AE74" s="13">
        <v>1</v>
      </c>
      <c r="AF74" s="13">
        <v>1</v>
      </c>
      <c r="AG74" s="13">
        <v>1</v>
      </c>
      <c r="AH74" s="14">
        <v>1</v>
      </c>
      <c r="AI74" s="13">
        <v>1</v>
      </c>
      <c r="AJ74" s="13">
        <v>1</v>
      </c>
      <c r="AK74" s="13">
        <v>1</v>
      </c>
      <c r="AL74" s="14">
        <v>1</v>
      </c>
      <c r="AM74" s="13">
        <v>1</v>
      </c>
      <c r="AN74" s="13">
        <v>1</v>
      </c>
      <c r="AO74" s="13">
        <v>1</v>
      </c>
      <c r="AP74" s="14">
        <v>1</v>
      </c>
      <c r="AQ74" s="13">
        <v>1</v>
      </c>
      <c r="AR74" s="13">
        <v>1</v>
      </c>
      <c r="AS74" s="13">
        <v>1</v>
      </c>
      <c r="AT74" s="14">
        <v>1</v>
      </c>
      <c r="AU74" s="13">
        <v>1</v>
      </c>
      <c r="AV74" s="13">
        <v>1</v>
      </c>
      <c r="AW74" s="13">
        <v>1</v>
      </c>
      <c r="AX74" s="14">
        <v>1</v>
      </c>
      <c r="AY74" s="13">
        <v>1</v>
      </c>
      <c r="AZ74" s="13">
        <v>1</v>
      </c>
      <c r="BA74" s="13">
        <v>1</v>
      </c>
      <c r="BB74" s="14">
        <v>1</v>
      </c>
      <c r="BC74" s="13" t="s">
        <v>437</v>
      </c>
      <c r="BD74" s="13" t="s">
        <v>437</v>
      </c>
      <c r="BE74" s="13" t="s">
        <v>437</v>
      </c>
      <c r="BF74" s="14" t="s">
        <v>437</v>
      </c>
      <c r="BG74" s="13" t="s">
        <v>437</v>
      </c>
      <c r="BH74" s="13" t="s">
        <v>437</v>
      </c>
      <c r="BI74" s="13" t="s">
        <v>437</v>
      </c>
      <c r="BJ74" s="14" t="s">
        <v>437</v>
      </c>
      <c r="BK74" s="13" t="s">
        <v>437</v>
      </c>
      <c r="BL74" s="13" t="s">
        <v>437</v>
      </c>
      <c r="BM74" s="13" t="s">
        <v>437</v>
      </c>
      <c r="BN74" s="14" t="s">
        <v>437</v>
      </c>
      <c r="BP74" s="17">
        <v>6</v>
      </c>
      <c r="BQ74" s="13">
        <v>6</v>
      </c>
      <c r="BR74" s="13">
        <v>6</v>
      </c>
      <c r="BS74" s="14">
        <v>6</v>
      </c>
      <c r="BU74" s="17">
        <v>1</v>
      </c>
      <c r="BV74" s="13">
        <v>1</v>
      </c>
      <c r="BW74" s="13">
        <v>1</v>
      </c>
      <c r="BX74" s="14">
        <v>1</v>
      </c>
      <c r="BZ74" s="17">
        <v>1</v>
      </c>
      <c r="CA74" s="13">
        <v>1</v>
      </c>
      <c r="CB74" s="13">
        <v>1</v>
      </c>
      <c r="CC74" s="14">
        <v>1</v>
      </c>
    </row>
    <row r="75" spans="2:81" ht="18" customHeight="1" x14ac:dyDescent="0.2">
      <c r="B75" s="10">
        <f>garage!B75</f>
        <v>75</v>
      </c>
      <c r="C75" s="10">
        <f>garage!C75</f>
        <v>3</v>
      </c>
      <c r="D75" s="10">
        <f>garage!D75</f>
        <v>3</v>
      </c>
      <c r="E75" s="10">
        <f>garage!E75</f>
        <v>0</v>
      </c>
      <c r="F75" s="10" t="str">
        <f>garage!F75</f>
        <v>--</v>
      </c>
      <c r="G75" s="10" t="str">
        <f>garage!G75</f>
        <v>O</v>
      </c>
      <c r="H75" s="10" t="str">
        <f>garage!H75</f>
        <v>O</v>
      </c>
      <c r="I75" s="10" t="str">
        <f>garage!I75</f>
        <v>O</v>
      </c>
      <c r="J75" s="10" t="str">
        <f>garage!J75</f>
        <v>N</v>
      </c>
      <c r="K75" s="10" t="str">
        <f>garage!K75</f>
        <v>B</v>
      </c>
      <c r="L75" s="11" t="str">
        <f>garage!L75</f>
        <v>Jaguar</v>
      </c>
      <c r="M75" s="11" t="str">
        <f>garage!M75</f>
        <v>F-Type SVR</v>
      </c>
      <c r="O75" s="18">
        <v>1</v>
      </c>
      <c r="P75" s="15">
        <v>1</v>
      </c>
      <c r="Q75" s="15">
        <v>1</v>
      </c>
      <c r="R75" s="16">
        <v>1</v>
      </c>
      <c r="S75" s="15">
        <v>1</v>
      </c>
      <c r="T75" s="15">
        <v>1</v>
      </c>
      <c r="U75" s="15">
        <v>1</v>
      </c>
      <c r="V75" s="16">
        <v>1</v>
      </c>
      <c r="W75" s="15">
        <v>1</v>
      </c>
      <c r="X75" s="15">
        <v>1</v>
      </c>
      <c r="Y75" s="15">
        <v>1</v>
      </c>
      <c r="Z75" s="16">
        <v>1</v>
      </c>
      <c r="AA75" s="15">
        <v>1</v>
      </c>
      <c r="AB75" s="15">
        <v>1</v>
      </c>
      <c r="AC75" s="15">
        <v>1</v>
      </c>
      <c r="AD75" s="16">
        <v>1</v>
      </c>
      <c r="AE75" s="15">
        <v>1</v>
      </c>
      <c r="AF75" s="15">
        <v>1</v>
      </c>
      <c r="AG75" s="15">
        <v>1</v>
      </c>
      <c r="AH75" s="16">
        <v>1</v>
      </c>
      <c r="AI75" s="15">
        <v>1</v>
      </c>
      <c r="AJ75" s="15">
        <v>1</v>
      </c>
      <c r="AK75" s="15">
        <v>1</v>
      </c>
      <c r="AL75" s="16">
        <v>1</v>
      </c>
      <c r="AM75" s="15">
        <v>1</v>
      </c>
      <c r="AN75" s="15">
        <v>1</v>
      </c>
      <c r="AO75" s="15">
        <v>1</v>
      </c>
      <c r="AP75" s="16">
        <v>1</v>
      </c>
      <c r="AQ75" s="15">
        <v>1</v>
      </c>
      <c r="AR75" s="15">
        <v>1</v>
      </c>
      <c r="AS75" s="15">
        <v>1</v>
      </c>
      <c r="AT75" s="16">
        <v>1</v>
      </c>
      <c r="AU75" s="15">
        <v>1</v>
      </c>
      <c r="AV75" s="15">
        <v>1</v>
      </c>
      <c r="AW75" s="15">
        <v>1</v>
      </c>
      <c r="AX75" s="16">
        <v>1</v>
      </c>
      <c r="AY75" s="15">
        <v>1</v>
      </c>
      <c r="AZ75" s="15">
        <v>1</v>
      </c>
      <c r="BA75" s="15">
        <v>1</v>
      </c>
      <c r="BB75" s="16">
        <v>1</v>
      </c>
      <c r="BC75" s="15" t="s">
        <v>437</v>
      </c>
      <c r="BD75" s="15" t="s">
        <v>437</v>
      </c>
      <c r="BE75" s="15" t="s">
        <v>437</v>
      </c>
      <c r="BF75" s="16" t="s">
        <v>437</v>
      </c>
      <c r="BG75" s="15" t="s">
        <v>437</v>
      </c>
      <c r="BH75" s="15" t="s">
        <v>437</v>
      </c>
      <c r="BI75" s="15" t="s">
        <v>437</v>
      </c>
      <c r="BJ75" s="16" t="s">
        <v>437</v>
      </c>
      <c r="BK75" s="15" t="s">
        <v>437</v>
      </c>
      <c r="BL75" s="15" t="s">
        <v>437</v>
      </c>
      <c r="BM75" s="15" t="s">
        <v>437</v>
      </c>
      <c r="BN75" s="16" t="s">
        <v>437</v>
      </c>
      <c r="BP75" s="18">
        <v>6</v>
      </c>
      <c r="BQ75" s="15">
        <v>6</v>
      </c>
      <c r="BR75" s="15">
        <v>6</v>
      </c>
      <c r="BS75" s="16">
        <v>6</v>
      </c>
      <c r="BU75" s="18">
        <v>1</v>
      </c>
      <c r="BV75" s="15">
        <v>1</v>
      </c>
      <c r="BW75" s="15">
        <v>1</v>
      </c>
      <c r="BX75" s="16">
        <v>1</v>
      </c>
      <c r="BZ75" s="18">
        <v>2</v>
      </c>
      <c r="CA75" s="15">
        <v>2</v>
      </c>
      <c r="CB75" s="15">
        <v>2</v>
      </c>
      <c r="CC75" s="16">
        <v>2</v>
      </c>
    </row>
    <row r="76" spans="2:81" ht="18" customHeight="1" x14ac:dyDescent="0.2">
      <c r="B76" s="8">
        <f>garage!B76</f>
        <v>76</v>
      </c>
      <c r="C76" s="8">
        <f>garage!C76</f>
        <v>3</v>
      </c>
      <c r="D76" s="8">
        <f>garage!D76</f>
        <v>4</v>
      </c>
      <c r="E76" s="8">
        <f>garage!E76</f>
        <v>29</v>
      </c>
      <c r="F76" s="8" t="str">
        <f>garage!F76</f>
        <v>F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garage!J76</f>
        <v>N</v>
      </c>
      <c r="K76" s="8" t="str">
        <f>garage!K76</f>
        <v>B</v>
      </c>
      <c r="L76" s="9" t="str">
        <f>garage!L76</f>
        <v>Ferrari</v>
      </c>
      <c r="M76" s="9" t="str">
        <f>garage!M76</f>
        <v>F50</v>
      </c>
      <c r="O76" s="17" t="s">
        <v>437</v>
      </c>
      <c r="P76" s="13" t="s">
        <v>437</v>
      </c>
      <c r="Q76" s="13" t="s">
        <v>437</v>
      </c>
      <c r="R76" s="14" t="s">
        <v>437</v>
      </c>
      <c r="S76" s="13" t="s">
        <v>437</v>
      </c>
      <c r="T76" s="13" t="s">
        <v>437</v>
      </c>
      <c r="U76" s="13" t="s">
        <v>437</v>
      </c>
      <c r="V76" s="14" t="s">
        <v>437</v>
      </c>
      <c r="W76" s="13" t="s">
        <v>437</v>
      </c>
      <c r="X76" s="13" t="s">
        <v>437</v>
      </c>
      <c r="Y76" s="13" t="s">
        <v>437</v>
      </c>
      <c r="Z76" s="14" t="s">
        <v>437</v>
      </c>
      <c r="AA76" s="13" t="s">
        <v>437</v>
      </c>
      <c r="AB76" s="13" t="s">
        <v>437</v>
      </c>
      <c r="AC76" s="13" t="s">
        <v>437</v>
      </c>
      <c r="AD76" s="14" t="s">
        <v>437</v>
      </c>
      <c r="AE76" s="13" t="s">
        <v>437</v>
      </c>
      <c r="AF76" s="13" t="s">
        <v>437</v>
      </c>
      <c r="AG76" s="13" t="s">
        <v>437</v>
      </c>
      <c r="AH76" s="14" t="s">
        <v>437</v>
      </c>
      <c r="AI76" s="13" t="s">
        <v>437</v>
      </c>
      <c r="AJ76" s="13" t="s">
        <v>437</v>
      </c>
      <c r="AK76" s="13" t="s">
        <v>437</v>
      </c>
      <c r="AL76" s="14" t="s">
        <v>437</v>
      </c>
      <c r="AM76" s="13" t="s">
        <v>437</v>
      </c>
      <c r="AN76" s="13" t="s">
        <v>437</v>
      </c>
      <c r="AO76" s="13" t="s">
        <v>437</v>
      </c>
      <c r="AP76" s="14" t="s">
        <v>437</v>
      </c>
      <c r="AQ76" s="13" t="s">
        <v>437</v>
      </c>
      <c r="AR76" s="13" t="s">
        <v>437</v>
      </c>
      <c r="AS76" s="13" t="s">
        <v>437</v>
      </c>
      <c r="AT76" s="14" t="s">
        <v>437</v>
      </c>
      <c r="AU76" s="13" t="s">
        <v>437</v>
      </c>
      <c r="AV76" s="13" t="s">
        <v>437</v>
      </c>
      <c r="AW76" s="13" t="s">
        <v>437</v>
      </c>
      <c r="AX76" s="14" t="s">
        <v>437</v>
      </c>
      <c r="AY76" s="13" t="s">
        <v>437</v>
      </c>
      <c r="AZ76" s="13" t="s">
        <v>437</v>
      </c>
      <c r="BA76" s="13" t="s">
        <v>437</v>
      </c>
      <c r="BB76" s="14" t="s">
        <v>437</v>
      </c>
      <c r="BC76" s="13" t="s">
        <v>437</v>
      </c>
      <c r="BD76" s="13" t="s">
        <v>437</v>
      </c>
      <c r="BE76" s="13" t="s">
        <v>437</v>
      </c>
      <c r="BF76" s="14" t="s">
        <v>437</v>
      </c>
      <c r="BG76" s="13" t="s">
        <v>437</v>
      </c>
      <c r="BH76" s="13" t="s">
        <v>437</v>
      </c>
      <c r="BI76" s="13" t="s">
        <v>437</v>
      </c>
      <c r="BJ76" s="14" t="s">
        <v>437</v>
      </c>
      <c r="BK76" s="13" t="s">
        <v>437</v>
      </c>
      <c r="BL76" s="13" t="s">
        <v>437</v>
      </c>
      <c r="BM76" s="13" t="s">
        <v>437</v>
      </c>
      <c r="BN76" s="14" t="s">
        <v>437</v>
      </c>
      <c r="BP76" s="17" t="s">
        <v>437</v>
      </c>
      <c r="BQ76" s="13" t="s">
        <v>437</v>
      </c>
      <c r="BR76" s="13" t="s">
        <v>437</v>
      </c>
      <c r="BS76" s="14" t="s">
        <v>437</v>
      </c>
      <c r="BU76" s="17" t="s">
        <v>437</v>
      </c>
      <c r="BV76" s="13" t="s">
        <v>437</v>
      </c>
      <c r="BW76" s="13" t="s">
        <v>437</v>
      </c>
      <c r="BX76" s="14" t="s">
        <v>437</v>
      </c>
      <c r="BZ76" s="17" t="s">
        <v>437</v>
      </c>
      <c r="CA76" s="13" t="s">
        <v>437</v>
      </c>
      <c r="CB76" s="13" t="s">
        <v>437</v>
      </c>
      <c r="CC76" s="14" t="s">
        <v>437</v>
      </c>
    </row>
    <row r="77" spans="2:81" ht="18" customHeight="1" x14ac:dyDescent="0.2">
      <c r="B77" s="10">
        <f>garage!B77</f>
        <v>77</v>
      </c>
      <c r="C77" s="10">
        <f>garage!C77</f>
        <v>3</v>
      </c>
      <c r="D77" s="10">
        <f>garage!D77</f>
        <v>5</v>
      </c>
      <c r="E77" s="10">
        <f>garage!E77</f>
        <v>0</v>
      </c>
      <c r="F77" s="10" t="str">
        <f>garage!F77</f>
        <v>--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garage!J77</f>
        <v>N</v>
      </c>
      <c r="K77" s="10" t="str">
        <f>garage!K77</f>
        <v>B</v>
      </c>
      <c r="L77" s="11" t="str">
        <f>garage!L77</f>
        <v>Exotic Rides</v>
      </c>
      <c r="M77" s="11" t="str">
        <f>garage!M77</f>
        <v>W70</v>
      </c>
      <c r="O77" s="18">
        <v>1</v>
      </c>
      <c r="P77" s="15">
        <v>1</v>
      </c>
      <c r="Q77" s="15">
        <v>1</v>
      </c>
      <c r="R77" s="16">
        <v>1</v>
      </c>
      <c r="S77" s="15">
        <v>1</v>
      </c>
      <c r="T77" s="15">
        <v>1</v>
      </c>
      <c r="U77" s="15">
        <v>1</v>
      </c>
      <c r="V77" s="16">
        <v>1</v>
      </c>
      <c r="W77" s="15">
        <v>1</v>
      </c>
      <c r="X77" s="15">
        <v>1</v>
      </c>
      <c r="Y77" s="15">
        <v>1</v>
      </c>
      <c r="Z77" s="16">
        <v>1</v>
      </c>
      <c r="AA77" s="15">
        <v>1</v>
      </c>
      <c r="AB77" s="15">
        <v>1</v>
      </c>
      <c r="AC77" s="15">
        <v>1</v>
      </c>
      <c r="AD77" s="16">
        <v>1</v>
      </c>
      <c r="AE77" s="15">
        <v>1</v>
      </c>
      <c r="AF77" s="15">
        <v>1</v>
      </c>
      <c r="AG77" s="15">
        <v>1</v>
      </c>
      <c r="AH77" s="16">
        <v>1</v>
      </c>
      <c r="AI77" s="15">
        <v>1</v>
      </c>
      <c r="AJ77" s="15">
        <v>1</v>
      </c>
      <c r="AK77" s="15">
        <v>1</v>
      </c>
      <c r="AL77" s="16">
        <v>1</v>
      </c>
      <c r="AM77" s="15">
        <v>1</v>
      </c>
      <c r="AN77" s="15">
        <v>1</v>
      </c>
      <c r="AO77" s="15">
        <v>1</v>
      </c>
      <c r="AP77" s="16">
        <v>1</v>
      </c>
      <c r="AQ77" s="15">
        <v>1</v>
      </c>
      <c r="AR77" s="15">
        <v>1</v>
      </c>
      <c r="AS77" s="15">
        <v>1</v>
      </c>
      <c r="AT77" s="16">
        <v>1</v>
      </c>
      <c r="AU77" s="15">
        <v>1</v>
      </c>
      <c r="AV77" s="15">
        <v>1</v>
      </c>
      <c r="AW77" s="15">
        <v>1</v>
      </c>
      <c r="AX77" s="16">
        <v>1</v>
      </c>
      <c r="AY77" s="15">
        <v>1</v>
      </c>
      <c r="AZ77" s="15">
        <v>1</v>
      </c>
      <c r="BA77" s="15">
        <v>1</v>
      </c>
      <c r="BB77" s="16">
        <v>1</v>
      </c>
      <c r="BC77" s="15">
        <v>1</v>
      </c>
      <c r="BD77" s="15">
        <v>1</v>
      </c>
      <c r="BE77" s="15">
        <v>1</v>
      </c>
      <c r="BF77" s="16">
        <v>1</v>
      </c>
      <c r="BG77" s="15" t="s">
        <v>437</v>
      </c>
      <c r="BH77" s="15" t="s">
        <v>437</v>
      </c>
      <c r="BI77" s="15" t="s">
        <v>437</v>
      </c>
      <c r="BJ77" s="16" t="s">
        <v>437</v>
      </c>
      <c r="BK77" s="15" t="s">
        <v>437</v>
      </c>
      <c r="BL77" s="15" t="s">
        <v>437</v>
      </c>
      <c r="BM77" s="15" t="s">
        <v>437</v>
      </c>
      <c r="BN77" s="16" t="s">
        <v>437</v>
      </c>
      <c r="BP77" s="18">
        <v>6</v>
      </c>
      <c r="BQ77" s="15">
        <v>6</v>
      </c>
      <c r="BR77" s="15">
        <v>6</v>
      </c>
      <c r="BS77" s="16">
        <v>6</v>
      </c>
      <c r="BU77" s="18">
        <v>4</v>
      </c>
      <c r="BV77" s="15">
        <v>4</v>
      </c>
      <c r="BW77" s="15">
        <v>4</v>
      </c>
      <c r="BX77" s="16">
        <v>4</v>
      </c>
      <c r="BZ77" s="18">
        <v>1</v>
      </c>
      <c r="CA77" s="15">
        <v>1</v>
      </c>
      <c r="CB77" s="15">
        <v>1</v>
      </c>
      <c r="CC77" s="16">
        <v>1</v>
      </c>
    </row>
    <row r="78" spans="2:81" ht="18" customHeight="1" x14ac:dyDescent="0.2">
      <c r="B78" s="8">
        <f>garage!B78</f>
        <v>78</v>
      </c>
      <c r="C78" s="8">
        <f>garage!C78</f>
        <v>3</v>
      </c>
      <c r="D78" s="8">
        <f>garage!D78</f>
        <v>6</v>
      </c>
      <c r="E78" s="8">
        <f>garage!E78</f>
        <v>11</v>
      </c>
      <c r="F78" s="8" t="str">
        <f>garage!F78</f>
        <v>P</v>
      </c>
      <c r="G78" s="8" t="str">
        <f>garage!G78</f>
        <v>O</v>
      </c>
      <c r="H78" s="8" t="str">
        <f>garage!H78</f>
        <v>O</v>
      </c>
      <c r="I78" s="8" t="str">
        <f>garage!I78</f>
        <v>N</v>
      </c>
      <c r="J78" s="8" t="str">
        <f>garage!J78</f>
        <v>N</v>
      </c>
      <c r="K78" s="8" t="str">
        <f>garage!K78</f>
        <v>B</v>
      </c>
      <c r="L78" s="9" t="str">
        <f>garage!L78</f>
        <v>Porsche</v>
      </c>
      <c r="M78" s="9" t="str">
        <f>garage!M78</f>
        <v>911 GT1 Evolution</v>
      </c>
      <c r="O78" s="17">
        <v>1</v>
      </c>
      <c r="P78" s="13">
        <v>1</v>
      </c>
      <c r="Q78" s="13">
        <v>1</v>
      </c>
      <c r="R78" s="14">
        <v>1</v>
      </c>
      <c r="S78" s="13">
        <v>1</v>
      </c>
      <c r="T78" s="13">
        <v>1</v>
      </c>
      <c r="U78" s="13">
        <v>1</v>
      </c>
      <c r="V78" s="14">
        <v>1</v>
      </c>
      <c r="W78" s="13">
        <v>1</v>
      </c>
      <c r="X78" s="13">
        <v>1</v>
      </c>
      <c r="Y78" s="13">
        <v>1</v>
      </c>
      <c r="Z78" s="14">
        <v>1</v>
      </c>
      <c r="AA78" s="13">
        <v>1</v>
      </c>
      <c r="AB78" s="13">
        <v>1</v>
      </c>
      <c r="AC78" s="13">
        <v>1</v>
      </c>
      <c r="AD78" s="14">
        <v>1</v>
      </c>
      <c r="AE78" s="13">
        <v>1</v>
      </c>
      <c r="AF78" s="13">
        <v>1</v>
      </c>
      <c r="AG78" s="13">
        <v>1</v>
      </c>
      <c r="AH78" s="14">
        <v>1</v>
      </c>
      <c r="AI78" s="13">
        <v>1</v>
      </c>
      <c r="AJ78" s="13">
        <v>1</v>
      </c>
      <c r="AK78" s="13">
        <v>1</v>
      </c>
      <c r="AL78" s="14">
        <v>1</v>
      </c>
      <c r="AM78" s="13">
        <v>1</v>
      </c>
      <c r="AN78" s="13">
        <v>1</v>
      </c>
      <c r="AO78" s="13">
        <v>1</v>
      </c>
      <c r="AP78" s="14">
        <v>1</v>
      </c>
      <c r="AQ78" s="13">
        <v>1</v>
      </c>
      <c r="AR78" s="13">
        <v>1</v>
      </c>
      <c r="AS78" s="13">
        <v>1</v>
      </c>
      <c r="AT78" s="14">
        <v>1</v>
      </c>
      <c r="AU78" s="13">
        <v>1</v>
      </c>
      <c r="AV78" s="13">
        <v>1</v>
      </c>
      <c r="AW78" s="13">
        <v>1</v>
      </c>
      <c r="AX78" s="14">
        <v>1</v>
      </c>
      <c r="AY78" s="13">
        <v>1</v>
      </c>
      <c r="AZ78" s="13">
        <v>1</v>
      </c>
      <c r="BA78" s="13">
        <v>1</v>
      </c>
      <c r="BB78" s="14">
        <v>1</v>
      </c>
      <c r="BC78" s="13">
        <v>1</v>
      </c>
      <c r="BD78" s="13">
        <v>1</v>
      </c>
      <c r="BE78" s="13">
        <v>1</v>
      </c>
      <c r="BF78" s="14">
        <v>1</v>
      </c>
      <c r="BG78" s="13" t="s">
        <v>437</v>
      </c>
      <c r="BH78" s="13" t="s">
        <v>437</v>
      </c>
      <c r="BI78" s="13" t="s">
        <v>437</v>
      </c>
      <c r="BJ78" s="14" t="s">
        <v>437</v>
      </c>
      <c r="BK78" s="13" t="s">
        <v>437</v>
      </c>
      <c r="BL78" s="13" t="s">
        <v>437</v>
      </c>
      <c r="BM78" s="13" t="s">
        <v>437</v>
      </c>
      <c r="BN78" s="14" t="s">
        <v>437</v>
      </c>
      <c r="BP78" s="17">
        <v>6</v>
      </c>
      <c r="BQ78" s="13">
        <v>6</v>
      </c>
      <c r="BR78" s="13">
        <v>6</v>
      </c>
      <c r="BS78" s="14">
        <v>6</v>
      </c>
      <c r="BU78" s="17">
        <v>1</v>
      </c>
      <c r="BV78" s="13">
        <v>1</v>
      </c>
      <c r="BW78" s="13">
        <v>4</v>
      </c>
      <c r="BX78" s="14">
        <v>4</v>
      </c>
      <c r="BZ78" s="17" t="s">
        <v>437</v>
      </c>
      <c r="CA78" s="13" t="s">
        <v>437</v>
      </c>
      <c r="CB78" s="13" t="s">
        <v>437</v>
      </c>
      <c r="CC78" s="14" t="s">
        <v>437</v>
      </c>
    </row>
    <row r="79" spans="2:81" ht="18" customHeight="1" x14ac:dyDescent="0.2">
      <c r="B79" s="10">
        <f>garage!B79</f>
        <v>79</v>
      </c>
      <c r="C79" s="10">
        <f>garage!C79</f>
        <v>3</v>
      </c>
      <c r="D79" s="10">
        <f>garage!D79</f>
        <v>7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garage!J79</f>
        <v>N</v>
      </c>
      <c r="K79" s="10" t="str">
        <f>garage!K79</f>
        <v>B</v>
      </c>
      <c r="L79" s="11" t="str">
        <f>garage!L79</f>
        <v>Ford</v>
      </c>
      <c r="M79" s="11" t="str">
        <f>garage!M79</f>
        <v>GT</v>
      </c>
      <c r="O79" s="18">
        <v>1</v>
      </c>
      <c r="P79" s="15">
        <v>1</v>
      </c>
      <c r="Q79" s="15">
        <v>1</v>
      </c>
      <c r="R79" s="16">
        <v>1</v>
      </c>
      <c r="S79" s="15">
        <v>1</v>
      </c>
      <c r="T79" s="15">
        <v>1</v>
      </c>
      <c r="U79" s="15">
        <v>1</v>
      </c>
      <c r="V79" s="16">
        <v>1</v>
      </c>
      <c r="W79" s="15">
        <v>1</v>
      </c>
      <c r="X79" s="15">
        <v>1</v>
      </c>
      <c r="Y79" s="15">
        <v>1</v>
      </c>
      <c r="Z79" s="16">
        <v>1</v>
      </c>
      <c r="AA79" s="15">
        <v>1</v>
      </c>
      <c r="AB79" s="15">
        <v>1</v>
      </c>
      <c r="AC79" s="15">
        <v>1</v>
      </c>
      <c r="AD79" s="16">
        <v>1</v>
      </c>
      <c r="AE79" s="15">
        <v>1</v>
      </c>
      <c r="AF79" s="15">
        <v>1</v>
      </c>
      <c r="AG79" s="15">
        <v>1</v>
      </c>
      <c r="AH79" s="16">
        <v>1</v>
      </c>
      <c r="AI79" s="15">
        <v>1</v>
      </c>
      <c r="AJ79" s="15">
        <v>1</v>
      </c>
      <c r="AK79" s="15">
        <v>1</v>
      </c>
      <c r="AL79" s="16">
        <v>1</v>
      </c>
      <c r="AM79" s="15">
        <v>1</v>
      </c>
      <c r="AN79" s="15">
        <v>1</v>
      </c>
      <c r="AO79" s="15">
        <v>1</v>
      </c>
      <c r="AP79" s="16">
        <v>1</v>
      </c>
      <c r="AQ79" s="15">
        <v>1</v>
      </c>
      <c r="AR79" s="15">
        <v>1</v>
      </c>
      <c r="AS79" s="15">
        <v>1</v>
      </c>
      <c r="AT79" s="16">
        <v>1</v>
      </c>
      <c r="AU79" s="15">
        <v>1</v>
      </c>
      <c r="AV79" s="15">
        <v>1</v>
      </c>
      <c r="AW79" s="15">
        <v>1</v>
      </c>
      <c r="AX79" s="16">
        <v>1</v>
      </c>
      <c r="AY79" s="15">
        <v>1</v>
      </c>
      <c r="AZ79" s="15">
        <v>1</v>
      </c>
      <c r="BA79" s="15">
        <v>1</v>
      </c>
      <c r="BB79" s="16">
        <v>1</v>
      </c>
      <c r="BC79" s="15">
        <v>1</v>
      </c>
      <c r="BD79" s="15">
        <v>1</v>
      </c>
      <c r="BE79" s="15">
        <v>1</v>
      </c>
      <c r="BF79" s="16">
        <v>1</v>
      </c>
      <c r="BG79" s="15" t="s">
        <v>437</v>
      </c>
      <c r="BH79" s="15" t="s">
        <v>437</v>
      </c>
      <c r="BI79" s="15" t="s">
        <v>437</v>
      </c>
      <c r="BJ79" s="16" t="s">
        <v>437</v>
      </c>
      <c r="BK79" s="15" t="s">
        <v>437</v>
      </c>
      <c r="BL79" s="15" t="s">
        <v>437</v>
      </c>
      <c r="BM79" s="15" t="s">
        <v>437</v>
      </c>
      <c r="BN79" s="16" t="s">
        <v>437</v>
      </c>
      <c r="BP79" s="18">
        <v>6</v>
      </c>
      <c r="BQ79" s="15">
        <v>6</v>
      </c>
      <c r="BR79" s="15">
        <v>6</v>
      </c>
      <c r="BS79" s="16">
        <v>6</v>
      </c>
      <c r="BU79" s="18">
        <v>4</v>
      </c>
      <c r="BV79" s="15">
        <v>4</v>
      </c>
      <c r="BW79" s="15">
        <v>4</v>
      </c>
      <c r="BX79" s="16">
        <v>4</v>
      </c>
      <c r="BZ79" s="18">
        <v>2</v>
      </c>
      <c r="CA79" s="15">
        <v>2</v>
      </c>
      <c r="CB79" s="15">
        <v>2</v>
      </c>
      <c r="CC79" s="16">
        <v>2</v>
      </c>
    </row>
    <row r="80" spans="2:81" ht="18" customHeight="1" x14ac:dyDescent="0.2">
      <c r="B80" s="8">
        <f>garage!B80</f>
        <v>80</v>
      </c>
      <c r="C80" s="8">
        <f>garage!C80</f>
        <v>3</v>
      </c>
      <c r="D80" s="8">
        <f>garage!D80</f>
        <v>8</v>
      </c>
      <c r="E80" s="8">
        <f>garage!E80</f>
        <v>0</v>
      </c>
      <c r="F80" s="8" t="str">
        <f>garage!F80</f>
        <v>L</v>
      </c>
      <c r="G80" s="8" t="str">
        <f>garage!G80</f>
        <v>O</v>
      </c>
      <c r="H80" s="8" t="str">
        <f>garage!H80</f>
        <v>O</v>
      </c>
      <c r="I80" s="8" t="str">
        <f>garage!I80</f>
        <v>N</v>
      </c>
      <c r="J80" s="8" t="str">
        <f>garage!J80</f>
        <v>N</v>
      </c>
      <c r="K80" s="8" t="str">
        <f>garage!K80</f>
        <v>B</v>
      </c>
      <c r="L80" s="9" t="str">
        <f>garage!L80</f>
        <v>Lamborghini</v>
      </c>
      <c r="M80" s="9" t="str">
        <f>garage!M80</f>
        <v>Asterion</v>
      </c>
      <c r="O80" s="17">
        <v>1</v>
      </c>
      <c r="P80" s="13">
        <v>1</v>
      </c>
      <c r="Q80" s="13">
        <v>1</v>
      </c>
      <c r="R80" s="14">
        <v>1</v>
      </c>
      <c r="S80" s="13">
        <v>1</v>
      </c>
      <c r="T80" s="13">
        <v>1</v>
      </c>
      <c r="U80" s="13">
        <v>1</v>
      </c>
      <c r="V80" s="14">
        <v>1</v>
      </c>
      <c r="W80" s="13">
        <v>1</v>
      </c>
      <c r="X80" s="13">
        <v>1</v>
      </c>
      <c r="Y80" s="13">
        <v>1</v>
      </c>
      <c r="Z80" s="14">
        <v>1</v>
      </c>
      <c r="AA80" s="13">
        <v>1</v>
      </c>
      <c r="AB80" s="13">
        <v>1</v>
      </c>
      <c r="AC80" s="13">
        <v>1</v>
      </c>
      <c r="AD80" s="14">
        <v>1</v>
      </c>
      <c r="AE80" s="13">
        <v>1</v>
      </c>
      <c r="AF80" s="13">
        <v>1</v>
      </c>
      <c r="AG80" s="13">
        <v>1</v>
      </c>
      <c r="AH80" s="14">
        <v>1</v>
      </c>
      <c r="AI80" s="13">
        <v>1</v>
      </c>
      <c r="AJ80" s="13">
        <v>1</v>
      </c>
      <c r="AK80" s="13">
        <v>1</v>
      </c>
      <c r="AL80" s="14">
        <v>1</v>
      </c>
      <c r="AM80" s="13">
        <v>1</v>
      </c>
      <c r="AN80" s="13">
        <v>1</v>
      </c>
      <c r="AO80" s="13">
        <v>1</v>
      </c>
      <c r="AP80" s="14">
        <v>1</v>
      </c>
      <c r="AQ80" s="13">
        <v>1</v>
      </c>
      <c r="AR80" s="13">
        <v>1</v>
      </c>
      <c r="AS80" s="13">
        <v>1</v>
      </c>
      <c r="AT80" s="14">
        <v>1</v>
      </c>
      <c r="AU80" s="13">
        <v>1</v>
      </c>
      <c r="AV80" s="13">
        <v>1</v>
      </c>
      <c r="AW80" s="13">
        <v>1</v>
      </c>
      <c r="AX80" s="14">
        <v>1</v>
      </c>
      <c r="AY80" s="13">
        <v>1</v>
      </c>
      <c r="AZ80" s="13">
        <v>1</v>
      </c>
      <c r="BA80" s="13">
        <v>1</v>
      </c>
      <c r="BB80" s="14">
        <v>1</v>
      </c>
      <c r="BC80" s="13">
        <v>1</v>
      </c>
      <c r="BD80" s="13">
        <v>1</v>
      </c>
      <c r="BE80" s="13">
        <v>1</v>
      </c>
      <c r="BF80" s="14">
        <v>1</v>
      </c>
      <c r="BG80" s="13" t="s">
        <v>437</v>
      </c>
      <c r="BH80" s="13" t="s">
        <v>437</v>
      </c>
      <c r="BI80" s="13" t="s">
        <v>437</v>
      </c>
      <c r="BJ80" s="14" t="s">
        <v>437</v>
      </c>
      <c r="BK80" s="13" t="s">
        <v>437</v>
      </c>
      <c r="BL80" s="13" t="s">
        <v>437</v>
      </c>
      <c r="BM80" s="13" t="s">
        <v>437</v>
      </c>
      <c r="BN80" s="14" t="s">
        <v>437</v>
      </c>
      <c r="BP80" s="17">
        <v>6</v>
      </c>
      <c r="BQ80" s="13">
        <v>6</v>
      </c>
      <c r="BR80" s="13">
        <v>6</v>
      </c>
      <c r="BS80" s="14">
        <v>6</v>
      </c>
      <c r="BU80" s="17">
        <v>4</v>
      </c>
      <c r="BV80" s="13">
        <v>4</v>
      </c>
      <c r="BW80" s="13">
        <v>4</v>
      </c>
      <c r="BX80" s="14">
        <v>4</v>
      </c>
      <c r="BZ80" s="17" t="s">
        <v>437</v>
      </c>
      <c r="CA80" s="13">
        <v>1</v>
      </c>
      <c r="CB80" s="13" t="s">
        <v>437</v>
      </c>
      <c r="CC80" s="14">
        <v>2</v>
      </c>
    </row>
    <row r="81" spans="2:81" ht="18" customHeight="1" x14ac:dyDescent="0.2">
      <c r="B81" s="10">
        <f>garage!B81</f>
        <v>81</v>
      </c>
      <c r="C81" s="10">
        <f>garage!C81</f>
        <v>3</v>
      </c>
      <c r="D81" s="10">
        <f>garage!D81</f>
        <v>9</v>
      </c>
      <c r="E81" s="10">
        <f>garage!E81</f>
        <v>18</v>
      </c>
      <c r="F81" s="10" t="str">
        <f>garage!F81</f>
        <v>F</v>
      </c>
      <c r="G81" s="10" t="str">
        <f>garage!G81</f>
        <v>O</v>
      </c>
      <c r="H81" s="10" t="str">
        <f>garage!H81</f>
        <v>O</v>
      </c>
      <c r="I81" s="10" t="str">
        <f>garage!I81</f>
        <v>N</v>
      </c>
      <c r="J81" s="10" t="str">
        <f>garage!J81</f>
        <v>N</v>
      </c>
      <c r="K81" s="10" t="str">
        <f>garage!K81</f>
        <v>B</v>
      </c>
      <c r="L81" s="11" t="str">
        <f>garage!L81</f>
        <v>Ferrari</v>
      </c>
      <c r="M81" s="11" t="str">
        <f>garage!M81</f>
        <v>Roma</v>
      </c>
      <c r="O81" s="18">
        <v>1</v>
      </c>
      <c r="P81" s="15">
        <v>1</v>
      </c>
      <c r="Q81" s="15">
        <v>1</v>
      </c>
      <c r="R81" s="16">
        <v>1</v>
      </c>
      <c r="S81" s="15">
        <v>1</v>
      </c>
      <c r="T81" s="15">
        <v>1</v>
      </c>
      <c r="U81" s="15">
        <v>1</v>
      </c>
      <c r="V81" s="16">
        <v>1</v>
      </c>
      <c r="W81" s="15">
        <v>1</v>
      </c>
      <c r="X81" s="15">
        <v>1</v>
      </c>
      <c r="Y81" s="15">
        <v>1</v>
      </c>
      <c r="Z81" s="16">
        <v>1</v>
      </c>
      <c r="AA81" s="15">
        <v>1</v>
      </c>
      <c r="AB81" s="15">
        <v>1</v>
      </c>
      <c r="AC81" s="15">
        <v>1</v>
      </c>
      <c r="AD81" s="16">
        <v>1</v>
      </c>
      <c r="AE81" s="15">
        <v>1</v>
      </c>
      <c r="AF81" s="15">
        <v>1</v>
      </c>
      <c r="AG81" s="15">
        <v>1</v>
      </c>
      <c r="AH81" s="16">
        <v>1</v>
      </c>
      <c r="AI81" s="15">
        <v>1</v>
      </c>
      <c r="AJ81" s="15">
        <v>1</v>
      </c>
      <c r="AK81" s="15">
        <v>1</v>
      </c>
      <c r="AL81" s="16">
        <v>1</v>
      </c>
      <c r="AM81" s="15">
        <v>1</v>
      </c>
      <c r="AN81" s="15">
        <v>1</v>
      </c>
      <c r="AO81" s="15">
        <v>1</v>
      </c>
      <c r="AP81" s="16">
        <v>1</v>
      </c>
      <c r="AQ81" s="15" t="s">
        <v>437</v>
      </c>
      <c r="AR81" s="15" t="s">
        <v>437</v>
      </c>
      <c r="AS81" s="15" t="s">
        <v>437</v>
      </c>
      <c r="AT81" s="16" t="s">
        <v>437</v>
      </c>
      <c r="AU81" s="15" t="s">
        <v>437</v>
      </c>
      <c r="AV81" s="15" t="s">
        <v>437</v>
      </c>
      <c r="AW81" s="15" t="s">
        <v>437</v>
      </c>
      <c r="AX81" s="16" t="s">
        <v>437</v>
      </c>
      <c r="AY81" s="15" t="s">
        <v>437</v>
      </c>
      <c r="AZ81" s="15" t="s">
        <v>437</v>
      </c>
      <c r="BA81" s="15" t="s">
        <v>437</v>
      </c>
      <c r="BB81" s="16" t="s">
        <v>437</v>
      </c>
      <c r="BC81" s="15" t="s">
        <v>437</v>
      </c>
      <c r="BD81" s="15" t="s">
        <v>437</v>
      </c>
      <c r="BE81" s="15" t="s">
        <v>437</v>
      </c>
      <c r="BF81" s="16" t="s">
        <v>437</v>
      </c>
      <c r="BG81" s="15" t="s">
        <v>437</v>
      </c>
      <c r="BH81" s="15" t="s">
        <v>437</v>
      </c>
      <c r="BI81" s="15" t="s">
        <v>437</v>
      </c>
      <c r="BJ81" s="16" t="s">
        <v>437</v>
      </c>
      <c r="BK81" s="15" t="s">
        <v>437</v>
      </c>
      <c r="BL81" s="15" t="s">
        <v>437</v>
      </c>
      <c r="BM81" s="15" t="s">
        <v>437</v>
      </c>
      <c r="BN81" s="16" t="s">
        <v>437</v>
      </c>
      <c r="BP81" s="18">
        <v>5</v>
      </c>
      <c r="BQ81" s="15">
        <v>4</v>
      </c>
      <c r="BR81" s="15">
        <v>5</v>
      </c>
      <c r="BS81" s="16">
        <v>3</v>
      </c>
      <c r="BU81" s="18" t="s">
        <v>437</v>
      </c>
      <c r="BV81" s="15" t="s">
        <v>437</v>
      </c>
      <c r="BW81" s="15" t="s">
        <v>437</v>
      </c>
      <c r="BX81" s="16" t="s">
        <v>437</v>
      </c>
      <c r="BZ81" s="18" t="s">
        <v>437</v>
      </c>
      <c r="CA81" s="15" t="s">
        <v>437</v>
      </c>
      <c r="CB81" s="15" t="s">
        <v>437</v>
      </c>
      <c r="CC81" s="16" t="s">
        <v>437</v>
      </c>
    </row>
    <row r="82" spans="2:81" ht="18" customHeight="1" x14ac:dyDescent="0.2">
      <c r="B82" s="8">
        <f>garage!B82</f>
        <v>82</v>
      </c>
      <c r="C82" s="8">
        <f>garage!C82</f>
        <v>3</v>
      </c>
      <c r="D82" s="8">
        <f>garage!D82</f>
        <v>10</v>
      </c>
      <c r="E82" s="8">
        <f>garage!E82</f>
        <v>22</v>
      </c>
      <c r="F82" s="8" t="str">
        <f>garage!F82</f>
        <v>--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garage!J82</f>
        <v>N</v>
      </c>
      <c r="K82" s="8" t="str">
        <f>garage!K82</f>
        <v>B</v>
      </c>
      <c r="L82" s="9" t="str">
        <f>garage!L82</f>
        <v>Arash</v>
      </c>
      <c r="M82" s="9" t="str">
        <f>garage!M82</f>
        <v>AF10</v>
      </c>
      <c r="O82" s="17" t="s">
        <v>437</v>
      </c>
      <c r="P82" s="13" t="s">
        <v>437</v>
      </c>
      <c r="Q82" s="13" t="s">
        <v>437</v>
      </c>
      <c r="R82" s="14" t="s">
        <v>437</v>
      </c>
      <c r="S82" s="13" t="s">
        <v>437</v>
      </c>
      <c r="T82" s="13" t="s">
        <v>437</v>
      </c>
      <c r="U82" s="13" t="s">
        <v>437</v>
      </c>
      <c r="V82" s="14" t="s">
        <v>437</v>
      </c>
      <c r="W82" s="13" t="s">
        <v>437</v>
      </c>
      <c r="X82" s="13" t="s">
        <v>437</v>
      </c>
      <c r="Y82" s="13" t="s">
        <v>437</v>
      </c>
      <c r="Z82" s="14" t="s">
        <v>437</v>
      </c>
      <c r="AA82" s="13" t="s">
        <v>437</v>
      </c>
      <c r="AB82" s="13" t="s">
        <v>437</v>
      </c>
      <c r="AC82" s="13" t="s">
        <v>437</v>
      </c>
      <c r="AD82" s="14" t="s">
        <v>437</v>
      </c>
      <c r="AE82" s="13" t="s">
        <v>437</v>
      </c>
      <c r="AF82" s="13" t="s">
        <v>437</v>
      </c>
      <c r="AG82" s="13" t="s">
        <v>437</v>
      </c>
      <c r="AH82" s="14" t="s">
        <v>437</v>
      </c>
      <c r="AI82" s="13" t="s">
        <v>437</v>
      </c>
      <c r="AJ82" s="13" t="s">
        <v>437</v>
      </c>
      <c r="AK82" s="13" t="s">
        <v>437</v>
      </c>
      <c r="AL82" s="14" t="s">
        <v>437</v>
      </c>
      <c r="AM82" s="13" t="s">
        <v>437</v>
      </c>
      <c r="AN82" s="13" t="s">
        <v>437</v>
      </c>
      <c r="AO82" s="13" t="s">
        <v>437</v>
      </c>
      <c r="AP82" s="14" t="s">
        <v>437</v>
      </c>
      <c r="AQ82" s="13" t="s">
        <v>437</v>
      </c>
      <c r="AR82" s="13" t="s">
        <v>437</v>
      </c>
      <c r="AS82" s="13" t="s">
        <v>437</v>
      </c>
      <c r="AT82" s="14" t="s">
        <v>437</v>
      </c>
      <c r="AU82" s="13" t="s">
        <v>437</v>
      </c>
      <c r="AV82" s="13" t="s">
        <v>437</v>
      </c>
      <c r="AW82" s="13" t="s">
        <v>437</v>
      </c>
      <c r="AX82" s="14" t="s">
        <v>437</v>
      </c>
      <c r="AY82" s="13" t="s">
        <v>437</v>
      </c>
      <c r="AZ82" s="13" t="s">
        <v>437</v>
      </c>
      <c r="BA82" s="13" t="s">
        <v>437</v>
      </c>
      <c r="BB82" s="14" t="s">
        <v>437</v>
      </c>
      <c r="BC82" s="13" t="s">
        <v>437</v>
      </c>
      <c r="BD82" s="13" t="s">
        <v>437</v>
      </c>
      <c r="BE82" s="13" t="s">
        <v>437</v>
      </c>
      <c r="BF82" s="14" t="s">
        <v>437</v>
      </c>
      <c r="BG82" s="13" t="s">
        <v>437</v>
      </c>
      <c r="BH82" s="13" t="s">
        <v>437</v>
      </c>
      <c r="BI82" s="13" t="s">
        <v>437</v>
      </c>
      <c r="BJ82" s="14" t="s">
        <v>437</v>
      </c>
      <c r="BK82" s="13" t="s">
        <v>437</v>
      </c>
      <c r="BL82" s="13" t="s">
        <v>437</v>
      </c>
      <c r="BM82" s="13" t="s">
        <v>437</v>
      </c>
      <c r="BN82" s="14" t="s">
        <v>437</v>
      </c>
      <c r="BP82" s="17" t="s">
        <v>437</v>
      </c>
      <c r="BQ82" s="13" t="s">
        <v>437</v>
      </c>
      <c r="BR82" s="13" t="s">
        <v>437</v>
      </c>
      <c r="BS82" s="14" t="s">
        <v>437</v>
      </c>
      <c r="BU82" s="17" t="s">
        <v>437</v>
      </c>
      <c r="BV82" s="13" t="s">
        <v>437</v>
      </c>
      <c r="BW82" s="13" t="s">
        <v>437</v>
      </c>
      <c r="BX82" s="14" t="s">
        <v>437</v>
      </c>
      <c r="BZ82" s="17" t="s">
        <v>437</v>
      </c>
      <c r="CA82" s="13" t="s">
        <v>437</v>
      </c>
      <c r="CB82" s="13" t="s">
        <v>437</v>
      </c>
      <c r="CC82" s="14" t="s">
        <v>437</v>
      </c>
    </row>
    <row r="83" spans="2:81" ht="18" customHeight="1" x14ac:dyDescent="0.2">
      <c r="B83" s="10">
        <f>garage!B83</f>
        <v>83</v>
      </c>
      <c r="C83" s="10">
        <f>garage!C83</f>
        <v>3</v>
      </c>
      <c r="D83" s="10">
        <f>garage!D83</f>
        <v>11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garage!J83</f>
        <v>N</v>
      </c>
      <c r="K83" s="10" t="str">
        <f>garage!K83</f>
        <v>B</v>
      </c>
      <c r="L83" s="11" t="str">
        <f>garage!L83</f>
        <v>Cadillac</v>
      </c>
      <c r="M83" s="11" t="str">
        <f>garage!M83</f>
        <v>Cien Concept</v>
      </c>
      <c r="O83" s="18">
        <v>1</v>
      </c>
      <c r="P83" s="15">
        <v>1</v>
      </c>
      <c r="Q83" s="15">
        <v>1</v>
      </c>
      <c r="R83" s="16">
        <v>1</v>
      </c>
      <c r="S83" s="15">
        <v>1</v>
      </c>
      <c r="T83" s="15">
        <v>1</v>
      </c>
      <c r="U83" s="15">
        <v>1</v>
      </c>
      <c r="V83" s="16">
        <v>1</v>
      </c>
      <c r="W83" s="15">
        <v>1</v>
      </c>
      <c r="X83" s="15">
        <v>1</v>
      </c>
      <c r="Y83" s="15">
        <v>1</v>
      </c>
      <c r="Z83" s="16">
        <v>1</v>
      </c>
      <c r="AA83" s="15">
        <v>1</v>
      </c>
      <c r="AB83" s="15">
        <v>1</v>
      </c>
      <c r="AC83" s="15">
        <v>1</v>
      </c>
      <c r="AD83" s="16">
        <v>1</v>
      </c>
      <c r="AE83" s="15">
        <v>1</v>
      </c>
      <c r="AF83" s="15">
        <v>1</v>
      </c>
      <c r="AG83" s="15">
        <v>1</v>
      </c>
      <c r="AH83" s="16">
        <v>1</v>
      </c>
      <c r="AI83" s="15">
        <v>1</v>
      </c>
      <c r="AJ83" s="15">
        <v>1</v>
      </c>
      <c r="AK83" s="15">
        <v>1</v>
      </c>
      <c r="AL83" s="16">
        <v>1</v>
      </c>
      <c r="AM83" s="15">
        <v>1</v>
      </c>
      <c r="AN83" s="15">
        <v>1</v>
      </c>
      <c r="AO83" s="15">
        <v>1</v>
      </c>
      <c r="AP83" s="16">
        <v>1</v>
      </c>
      <c r="AQ83" s="15">
        <v>1</v>
      </c>
      <c r="AR83" s="15">
        <v>1</v>
      </c>
      <c r="AS83" s="15">
        <v>1</v>
      </c>
      <c r="AT83" s="16">
        <v>1</v>
      </c>
      <c r="AU83" s="15">
        <v>1</v>
      </c>
      <c r="AV83" s="15">
        <v>1</v>
      </c>
      <c r="AW83" s="15">
        <v>1</v>
      </c>
      <c r="AX83" s="16">
        <v>1</v>
      </c>
      <c r="AY83" s="15">
        <v>1</v>
      </c>
      <c r="AZ83" s="15">
        <v>1</v>
      </c>
      <c r="BA83" s="15">
        <v>1</v>
      </c>
      <c r="BB83" s="16">
        <v>1</v>
      </c>
      <c r="BC83" s="15">
        <v>1</v>
      </c>
      <c r="BD83" s="15">
        <v>1</v>
      </c>
      <c r="BE83" s="15">
        <v>1</v>
      </c>
      <c r="BF83" s="16">
        <v>1</v>
      </c>
      <c r="BG83" s="15" t="s">
        <v>437</v>
      </c>
      <c r="BH83" s="15" t="s">
        <v>437</v>
      </c>
      <c r="BI83" s="15" t="s">
        <v>437</v>
      </c>
      <c r="BJ83" s="16" t="s">
        <v>437</v>
      </c>
      <c r="BK83" s="15" t="s">
        <v>437</v>
      </c>
      <c r="BL83" s="15" t="s">
        <v>437</v>
      </c>
      <c r="BM83" s="15" t="s">
        <v>437</v>
      </c>
      <c r="BN83" s="16" t="s">
        <v>437</v>
      </c>
      <c r="BP83" s="18">
        <v>6</v>
      </c>
      <c r="BQ83" s="15">
        <v>6</v>
      </c>
      <c r="BR83" s="15">
        <v>6</v>
      </c>
      <c r="BS83" s="16">
        <v>6</v>
      </c>
      <c r="BU83" s="18">
        <v>4</v>
      </c>
      <c r="BV83" s="15">
        <v>4</v>
      </c>
      <c r="BW83" s="15">
        <v>4</v>
      </c>
      <c r="BX83" s="16">
        <v>4</v>
      </c>
      <c r="BZ83" s="18">
        <v>2</v>
      </c>
      <c r="CA83" s="15">
        <v>2</v>
      </c>
      <c r="CB83" s="15">
        <v>2</v>
      </c>
      <c r="CC83" s="16">
        <v>2</v>
      </c>
    </row>
    <row r="84" spans="2:81" ht="18" customHeight="1" x14ac:dyDescent="0.2">
      <c r="B84" s="8">
        <f>garage!B84</f>
        <v>84</v>
      </c>
      <c r="C84" s="8">
        <f>garage!C84</f>
        <v>3</v>
      </c>
      <c r="D84" s="8">
        <f>garage!D84</f>
        <v>12</v>
      </c>
      <c r="E84" s="8">
        <f>garage!E84</f>
        <v>13</v>
      </c>
      <c r="F84" s="8" t="str">
        <f>garage!F84</f>
        <v>--</v>
      </c>
      <c r="G84" s="8" t="str">
        <f>garage!G84</f>
        <v>O</v>
      </c>
      <c r="H84" s="8" t="str">
        <f>garage!H84</f>
        <v>N</v>
      </c>
      <c r="I84" s="8" t="str">
        <f>garage!I84</f>
        <v>N</v>
      </c>
      <c r="J84" s="8" t="str">
        <f>garage!J84</f>
        <v>N</v>
      </c>
      <c r="K84" s="8" t="str">
        <f>garage!K84</f>
        <v>B</v>
      </c>
      <c r="L84" s="9" t="str">
        <f>garage!L84</f>
        <v>Ford</v>
      </c>
      <c r="M84" s="9" t="str">
        <f>garage!M84</f>
        <v>GT MK II</v>
      </c>
      <c r="O84" s="17">
        <v>1</v>
      </c>
      <c r="P84" s="13">
        <v>1</v>
      </c>
      <c r="Q84" s="13">
        <v>1</v>
      </c>
      <c r="R84" s="14">
        <v>1</v>
      </c>
      <c r="S84" s="13">
        <v>1</v>
      </c>
      <c r="T84" s="13">
        <v>1</v>
      </c>
      <c r="U84" s="13">
        <v>1</v>
      </c>
      <c r="V84" s="14">
        <v>1</v>
      </c>
      <c r="W84" s="13">
        <v>1</v>
      </c>
      <c r="X84" s="13">
        <v>1</v>
      </c>
      <c r="Y84" s="13">
        <v>1</v>
      </c>
      <c r="Z84" s="14">
        <v>1</v>
      </c>
      <c r="AA84" s="13">
        <v>1</v>
      </c>
      <c r="AB84" s="13">
        <v>1</v>
      </c>
      <c r="AC84" s="13">
        <v>1</v>
      </c>
      <c r="AD84" s="14">
        <v>1</v>
      </c>
      <c r="AE84" s="13">
        <v>1</v>
      </c>
      <c r="AF84" s="13">
        <v>1</v>
      </c>
      <c r="AG84" s="13">
        <v>1</v>
      </c>
      <c r="AH84" s="14">
        <v>1</v>
      </c>
      <c r="AI84" s="13">
        <v>1</v>
      </c>
      <c r="AJ84" s="13">
        <v>1</v>
      </c>
      <c r="AK84" s="13">
        <v>1</v>
      </c>
      <c r="AL84" s="14">
        <v>1</v>
      </c>
      <c r="AM84" s="13">
        <v>1</v>
      </c>
      <c r="AN84" s="13">
        <v>1</v>
      </c>
      <c r="AO84" s="13">
        <v>1</v>
      </c>
      <c r="AP84" s="14">
        <v>1</v>
      </c>
      <c r="AQ84" s="13" t="s">
        <v>437</v>
      </c>
      <c r="AR84" s="13" t="s">
        <v>437</v>
      </c>
      <c r="AS84" s="13" t="s">
        <v>437</v>
      </c>
      <c r="AT84" s="14" t="s">
        <v>437</v>
      </c>
      <c r="AU84" s="13" t="s">
        <v>437</v>
      </c>
      <c r="AV84" s="13" t="s">
        <v>437</v>
      </c>
      <c r="AW84" s="13" t="s">
        <v>437</v>
      </c>
      <c r="AX84" s="14" t="s">
        <v>437</v>
      </c>
      <c r="AY84" s="13" t="s">
        <v>437</v>
      </c>
      <c r="AZ84" s="13" t="s">
        <v>437</v>
      </c>
      <c r="BA84" s="13" t="s">
        <v>437</v>
      </c>
      <c r="BB84" s="14" t="s">
        <v>437</v>
      </c>
      <c r="BC84" s="13" t="s">
        <v>437</v>
      </c>
      <c r="BD84" s="13" t="s">
        <v>437</v>
      </c>
      <c r="BE84" s="13" t="s">
        <v>437</v>
      </c>
      <c r="BF84" s="14" t="s">
        <v>437</v>
      </c>
      <c r="BG84" s="13" t="s">
        <v>437</v>
      </c>
      <c r="BH84" s="13" t="s">
        <v>437</v>
      </c>
      <c r="BI84" s="13" t="s">
        <v>437</v>
      </c>
      <c r="BJ84" s="14" t="s">
        <v>437</v>
      </c>
      <c r="BK84" s="13" t="s">
        <v>437</v>
      </c>
      <c r="BL84" s="13" t="s">
        <v>437</v>
      </c>
      <c r="BM84" s="13" t="s">
        <v>437</v>
      </c>
      <c r="BN84" s="14" t="s">
        <v>437</v>
      </c>
      <c r="BP84" s="17">
        <v>5</v>
      </c>
      <c r="BQ84" s="13">
        <v>5</v>
      </c>
      <c r="BR84" s="13">
        <v>5</v>
      </c>
      <c r="BS84" s="14">
        <v>5</v>
      </c>
      <c r="BU84" s="17">
        <v>1</v>
      </c>
      <c r="BV84" s="13">
        <v>1</v>
      </c>
      <c r="BW84" s="13">
        <v>1</v>
      </c>
      <c r="BX84" s="14">
        <v>1</v>
      </c>
      <c r="BZ84" s="17" t="s">
        <v>437</v>
      </c>
      <c r="CA84" s="13" t="s">
        <v>437</v>
      </c>
      <c r="CB84" s="13" t="s">
        <v>437</v>
      </c>
      <c r="CC84" s="14" t="s">
        <v>437</v>
      </c>
    </row>
    <row r="85" spans="2:81" ht="18" customHeight="1" x14ac:dyDescent="0.2">
      <c r="B85" s="10">
        <f>garage!B85</f>
        <v>85</v>
      </c>
      <c r="C85" s="10">
        <f>garage!C85</f>
        <v>3</v>
      </c>
      <c r="D85" s="10">
        <f>garage!D85</f>
        <v>13</v>
      </c>
      <c r="E85" s="10">
        <f>garage!E85</f>
        <v>0</v>
      </c>
      <c r="F85" s="10" t="str">
        <f>garage!F85</f>
        <v>--</v>
      </c>
      <c r="G85" s="10" t="str">
        <f>garage!G85</f>
        <v>O</v>
      </c>
      <c r="H85" s="10" t="str">
        <f>garage!H85</f>
        <v>O</v>
      </c>
      <c r="I85" s="10" t="str">
        <f>garage!I85</f>
        <v>O</v>
      </c>
      <c r="J85" s="10" t="str">
        <f>garage!J85</f>
        <v>N</v>
      </c>
      <c r="K85" s="10" t="str">
        <f>garage!K85</f>
        <v>B</v>
      </c>
      <c r="L85" s="11" t="str">
        <f>garage!L85</f>
        <v>Italdesign</v>
      </c>
      <c r="M85" s="11" t="str">
        <f>garage!M85</f>
        <v>Zerouno</v>
      </c>
      <c r="O85" s="18">
        <v>1</v>
      </c>
      <c r="P85" s="15">
        <v>1</v>
      </c>
      <c r="Q85" s="15">
        <v>1</v>
      </c>
      <c r="R85" s="16">
        <v>1</v>
      </c>
      <c r="S85" s="15">
        <v>1</v>
      </c>
      <c r="T85" s="15">
        <v>1</v>
      </c>
      <c r="U85" s="15">
        <v>1</v>
      </c>
      <c r="V85" s="16">
        <v>1</v>
      </c>
      <c r="W85" s="15">
        <v>1</v>
      </c>
      <c r="X85" s="15">
        <v>1</v>
      </c>
      <c r="Y85" s="15">
        <v>1</v>
      </c>
      <c r="Z85" s="16">
        <v>1</v>
      </c>
      <c r="AA85" s="15">
        <v>1</v>
      </c>
      <c r="AB85" s="15">
        <v>1</v>
      </c>
      <c r="AC85" s="15">
        <v>1</v>
      </c>
      <c r="AD85" s="16">
        <v>1</v>
      </c>
      <c r="AE85" s="15">
        <v>1</v>
      </c>
      <c r="AF85" s="15">
        <v>1</v>
      </c>
      <c r="AG85" s="15">
        <v>1</v>
      </c>
      <c r="AH85" s="16">
        <v>1</v>
      </c>
      <c r="AI85" s="15">
        <v>1</v>
      </c>
      <c r="AJ85" s="15">
        <v>1</v>
      </c>
      <c r="AK85" s="15">
        <v>1</v>
      </c>
      <c r="AL85" s="16">
        <v>1</v>
      </c>
      <c r="AM85" s="15">
        <v>1</v>
      </c>
      <c r="AN85" s="15">
        <v>1</v>
      </c>
      <c r="AO85" s="15">
        <v>1</v>
      </c>
      <c r="AP85" s="16">
        <v>1</v>
      </c>
      <c r="AQ85" s="15">
        <v>1</v>
      </c>
      <c r="AR85" s="15">
        <v>1</v>
      </c>
      <c r="AS85" s="15">
        <v>1</v>
      </c>
      <c r="AT85" s="16">
        <v>1</v>
      </c>
      <c r="AU85" s="15">
        <v>1</v>
      </c>
      <c r="AV85" s="15">
        <v>1</v>
      </c>
      <c r="AW85" s="15">
        <v>1</v>
      </c>
      <c r="AX85" s="16">
        <v>1</v>
      </c>
      <c r="AY85" s="15">
        <v>1</v>
      </c>
      <c r="AZ85" s="15">
        <v>1</v>
      </c>
      <c r="BA85" s="15">
        <v>1</v>
      </c>
      <c r="BB85" s="16">
        <v>1</v>
      </c>
      <c r="BC85" s="15">
        <v>1</v>
      </c>
      <c r="BD85" s="15">
        <v>1</v>
      </c>
      <c r="BE85" s="15">
        <v>1</v>
      </c>
      <c r="BF85" s="16">
        <v>1</v>
      </c>
      <c r="BG85" s="15" t="s">
        <v>437</v>
      </c>
      <c r="BH85" s="15" t="s">
        <v>437</v>
      </c>
      <c r="BI85" s="15" t="s">
        <v>437</v>
      </c>
      <c r="BJ85" s="16" t="s">
        <v>437</v>
      </c>
      <c r="BK85" s="15" t="s">
        <v>437</v>
      </c>
      <c r="BL85" s="15" t="s">
        <v>437</v>
      </c>
      <c r="BM85" s="15" t="s">
        <v>437</v>
      </c>
      <c r="BN85" s="16" t="s">
        <v>437</v>
      </c>
      <c r="BP85" s="18">
        <v>6</v>
      </c>
      <c r="BQ85" s="15">
        <v>6</v>
      </c>
      <c r="BR85" s="15">
        <v>6</v>
      </c>
      <c r="BS85" s="16">
        <v>6</v>
      </c>
      <c r="BU85" s="18">
        <v>4</v>
      </c>
      <c r="BV85" s="15">
        <v>4</v>
      </c>
      <c r="BW85" s="15">
        <v>4</v>
      </c>
      <c r="BX85" s="16">
        <v>4</v>
      </c>
      <c r="BZ85" s="18">
        <v>2</v>
      </c>
      <c r="CA85" s="15">
        <v>2</v>
      </c>
      <c r="CB85" s="15">
        <v>2</v>
      </c>
      <c r="CC85" s="16">
        <v>2</v>
      </c>
    </row>
    <row r="86" spans="2:81" ht="18" hidden="1" customHeight="1" x14ac:dyDescent="0.2">
      <c r="B86" s="8">
        <f>garage!B86</f>
        <v>86</v>
      </c>
      <c r="C86" s="8">
        <f>garage!C86</f>
        <v>3</v>
      </c>
      <c r="D86" s="8">
        <f>garage!D86</f>
        <v>14</v>
      </c>
      <c r="E86" s="8">
        <f>garage!E86</f>
        <v>24</v>
      </c>
      <c r="F86" s="8" t="str">
        <f>garage!F86</f>
        <v>--</v>
      </c>
      <c r="G86" s="8" t="str">
        <f>garage!G86</f>
        <v>N</v>
      </c>
      <c r="H86" s="8" t="str">
        <f>garage!H86</f>
        <v>N</v>
      </c>
      <c r="I86" s="8" t="str">
        <f>garage!I86</f>
        <v>N</v>
      </c>
      <c r="J86" s="8" t="str">
        <f>garage!J86</f>
        <v>O</v>
      </c>
      <c r="K86" s="8" t="str">
        <f>garage!K86</f>
        <v>B</v>
      </c>
      <c r="L86" s="9" t="str">
        <f>garage!L86</f>
        <v>Arash</v>
      </c>
      <c r="M86" s="9" t="str">
        <f>garage!M86</f>
        <v>AF8 Falcon Edition</v>
      </c>
      <c r="O86" s="17" t="s">
        <v>437</v>
      </c>
      <c r="P86" s="13" t="s">
        <v>437</v>
      </c>
      <c r="Q86" s="13" t="s">
        <v>437</v>
      </c>
      <c r="R86" s="14" t="s">
        <v>437</v>
      </c>
      <c r="S86" s="13" t="s">
        <v>437</v>
      </c>
      <c r="T86" s="13" t="s">
        <v>437</v>
      </c>
      <c r="U86" s="13" t="s">
        <v>437</v>
      </c>
      <c r="V86" s="14" t="s">
        <v>437</v>
      </c>
      <c r="W86" s="13" t="s">
        <v>437</v>
      </c>
      <c r="X86" s="13" t="s">
        <v>437</v>
      </c>
      <c r="Y86" s="13" t="s">
        <v>437</v>
      </c>
      <c r="Z86" s="14" t="s">
        <v>437</v>
      </c>
      <c r="AA86" s="13" t="s">
        <v>437</v>
      </c>
      <c r="AB86" s="13" t="s">
        <v>437</v>
      </c>
      <c r="AC86" s="13" t="s">
        <v>437</v>
      </c>
      <c r="AD86" s="14" t="s">
        <v>437</v>
      </c>
      <c r="AE86" s="13" t="s">
        <v>437</v>
      </c>
      <c r="AF86" s="13" t="s">
        <v>437</v>
      </c>
      <c r="AG86" s="13" t="s">
        <v>437</v>
      </c>
      <c r="AH86" s="14" t="s">
        <v>437</v>
      </c>
      <c r="AI86" s="13" t="s">
        <v>437</v>
      </c>
      <c r="AJ86" s="13" t="s">
        <v>437</v>
      </c>
      <c r="AK86" s="13" t="s">
        <v>437</v>
      </c>
      <c r="AL86" s="14" t="s">
        <v>437</v>
      </c>
      <c r="AM86" s="13" t="s">
        <v>437</v>
      </c>
      <c r="AN86" s="13" t="s">
        <v>437</v>
      </c>
      <c r="AO86" s="13" t="s">
        <v>437</v>
      </c>
      <c r="AP86" s="14" t="s">
        <v>437</v>
      </c>
      <c r="AQ86" s="13" t="s">
        <v>437</v>
      </c>
      <c r="AR86" s="13" t="s">
        <v>437</v>
      </c>
      <c r="AS86" s="13" t="s">
        <v>437</v>
      </c>
      <c r="AT86" s="14" t="s">
        <v>437</v>
      </c>
      <c r="AU86" s="13" t="s">
        <v>437</v>
      </c>
      <c r="AV86" s="13" t="s">
        <v>437</v>
      </c>
      <c r="AW86" s="13" t="s">
        <v>437</v>
      </c>
      <c r="AX86" s="14" t="s">
        <v>437</v>
      </c>
      <c r="AY86" s="13" t="s">
        <v>437</v>
      </c>
      <c r="AZ86" s="13" t="s">
        <v>437</v>
      </c>
      <c r="BA86" s="13" t="s">
        <v>437</v>
      </c>
      <c r="BB86" s="14" t="s">
        <v>437</v>
      </c>
      <c r="BC86" s="13" t="s">
        <v>437</v>
      </c>
      <c r="BD86" s="13" t="s">
        <v>437</v>
      </c>
      <c r="BE86" s="13" t="s">
        <v>437</v>
      </c>
      <c r="BF86" s="14" t="s">
        <v>437</v>
      </c>
      <c r="BG86" s="13" t="s">
        <v>437</v>
      </c>
      <c r="BH86" s="13" t="s">
        <v>437</v>
      </c>
      <c r="BI86" s="13" t="s">
        <v>437</v>
      </c>
      <c r="BJ86" s="14" t="s">
        <v>437</v>
      </c>
      <c r="BK86" s="13" t="s">
        <v>437</v>
      </c>
      <c r="BL86" s="13" t="s">
        <v>437</v>
      </c>
      <c r="BM86" s="13" t="s">
        <v>437</v>
      </c>
      <c r="BN86" s="14" t="s">
        <v>437</v>
      </c>
      <c r="BP86" s="17" t="s">
        <v>437</v>
      </c>
      <c r="BQ86" s="13" t="s">
        <v>437</v>
      </c>
      <c r="BR86" s="13" t="s">
        <v>437</v>
      </c>
      <c r="BS86" s="14" t="s">
        <v>437</v>
      </c>
      <c r="BU86" s="17" t="s">
        <v>437</v>
      </c>
      <c r="BV86" s="13" t="s">
        <v>437</v>
      </c>
      <c r="BW86" s="13" t="s">
        <v>437</v>
      </c>
      <c r="BX86" s="14" t="s">
        <v>437</v>
      </c>
      <c r="BZ86" s="17" t="s">
        <v>437</v>
      </c>
      <c r="CA86" s="13" t="s">
        <v>437</v>
      </c>
      <c r="CB86" s="13" t="s">
        <v>437</v>
      </c>
      <c r="CC86" s="14" t="s">
        <v>437</v>
      </c>
    </row>
    <row r="87" spans="2:81" ht="18" customHeight="1" x14ac:dyDescent="0.2">
      <c r="B87" s="10">
        <f>garage!B87</f>
        <v>87</v>
      </c>
      <c r="C87" s="10">
        <f>garage!C87</f>
        <v>3</v>
      </c>
      <c r="D87" s="10">
        <f>garage!D87</f>
        <v>15</v>
      </c>
      <c r="E87" s="10">
        <f>garage!E87</f>
        <v>0</v>
      </c>
      <c r="F87" s="10" t="str">
        <f>garage!F87</f>
        <v>F</v>
      </c>
      <c r="G87" s="10" t="str">
        <f>garage!G87</f>
        <v>O</v>
      </c>
      <c r="H87" s="10" t="str">
        <f>garage!H87</f>
        <v>O</v>
      </c>
      <c r="I87" s="10" t="str">
        <f>garage!I87</f>
        <v>O</v>
      </c>
      <c r="J87" s="10" t="str">
        <f>garage!J87</f>
        <v>N</v>
      </c>
      <c r="K87" s="10" t="str">
        <f>garage!K87</f>
        <v>B</v>
      </c>
      <c r="L87" s="11" t="str">
        <f>garage!L87</f>
        <v>Ferrari</v>
      </c>
      <c r="M87" s="11" t="str">
        <f>garage!M87</f>
        <v>488 GTB</v>
      </c>
      <c r="O87" s="18">
        <v>1</v>
      </c>
      <c r="P87" s="15">
        <v>1</v>
      </c>
      <c r="Q87" s="15">
        <v>1</v>
      </c>
      <c r="R87" s="16">
        <v>1</v>
      </c>
      <c r="S87" s="15">
        <v>1</v>
      </c>
      <c r="T87" s="15">
        <v>1</v>
      </c>
      <c r="U87" s="15">
        <v>1</v>
      </c>
      <c r="V87" s="16">
        <v>1</v>
      </c>
      <c r="W87" s="15">
        <v>1</v>
      </c>
      <c r="X87" s="15">
        <v>1</v>
      </c>
      <c r="Y87" s="15">
        <v>1</v>
      </c>
      <c r="Z87" s="16">
        <v>1</v>
      </c>
      <c r="AA87" s="15">
        <v>1</v>
      </c>
      <c r="AB87" s="15">
        <v>1</v>
      </c>
      <c r="AC87" s="15">
        <v>1</v>
      </c>
      <c r="AD87" s="16">
        <v>1</v>
      </c>
      <c r="AE87" s="15">
        <v>1</v>
      </c>
      <c r="AF87" s="15">
        <v>1</v>
      </c>
      <c r="AG87" s="15">
        <v>1</v>
      </c>
      <c r="AH87" s="16">
        <v>1</v>
      </c>
      <c r="AI87" s="15">
        <v>1</v>
      </c>
      <c r="AJ87" s="15">
        <v>1</v>
      </c>
      <c r="AK87" s="15">
        <v>1</v>
      </c>
      <c r="AL87" s="16">
        <v>1</v>
      </c>
      <c r="AM87" s="15">
        <v>1</v>
      </c>
      <c r="AN87" s="15">
        <v>1</v>
      </c>
      <c r="AO87" s="15">
        <v>1</v>
      </c>
      <c r="AP87" s="16">
        <v>1</v>
      </c>
      <c r="AQ87" s="15">
        <v>1</v>
      </c>
      <c r="AR87" s="15">
        <v>1</v>
      </c>
      <c r="AS87" s="15">
        <v>1</v>
      </c>
      <c r="AT87" s="16">
        <v>1</v>
      </c>
      <c r="AU87" s="15">
        <v>1</v>
      </c>
      <c r="AV87" s="15">
        <v>1</v>
      </c>
      <c r="AW87" s="15">
        <v>1</v>
      </c>
      <c r="AX87" s="16">
        <v>1</v>
      </c>
      <c r="AY87" s="15">
        <v>1</v>
      </c>
      <c r="AZ87" s="15">
        <v>1</v>
      </c>
      <c r="BA87" s="15">
        <v>1</v>
      </c>
      <c r="BB87" s="16">
        <v>1</v>
      </c>
      <c r="BC87" s="15">
        <v>1</v>
      </c>
      <c r="BD87" s="15">
        <v>1</v>
      </c>
      <c r="BE87" s="15">
        <v>1</v>
      </c>
      <c r="BF87" s="16">
        <v>1</v>
      </c>
      <c r="BG87" s="15" t="s">
        <v>437</v>
      </c>
      <c r="BH87" s="15" t="s">
        <v>437</v>
      </c>
      <c r="BI87" s="15" t="s">
        <v>437</v>
      </c>
      <c r="BJ87" s="16" t="s">
        <v>437</v>
      </c>
      <c r="BK87" s="15" t="s">
        <v>437</v>
      </c>
      <c r="BL87" s="15" t="s">
        <v>437</v>
      </c>
      <c r="BM87" s="15" t="s">
        <v>437</v>
      </c>
      <c r="BN87" s="16" t="s">
        <v>437</v>
      </c>
      <c r="BP87" s="18">
        <v>6</v>
      </c>
      <c r="BQ87" s="15">
        <v>6</v>
      </c>
      <c r="BR87" s="15">
        <v>6</v>
      </c>
      <c r="BS87" s="16">
        <v>6</v>
      </c>
      <c r="BU87" s="18">
        <v>4</v>
      </c>
      <c r="BV87" s="15">
        <v>4</v>
      </c>
      <c r="BW87" s="15">
        <v>4</v>
      </c>
      <c r="BX87" s="16">
        <v>4</v>
      </c>
      <c r="BZ87" s="18">
        <v>2</v>
      </c>
      <c r="CA87" s="15">
        <v>2</v>
      </c>
      <c r="CB87" s="15">
        <v>2</v>
      </c>
      <c r="CC87" s="16">
        <v>2</v>
      </c>
    </row>
    <row r="88" spans="2:81" ht="18" hidden="1" customHeight="1" x14ac:dyDescent="0.2">
      <c r="B88" s="8">
        <f>garage!B88</f>
        <v>88</v>
      </c>
      <c r="C88" s="8">
        <f>garage!C88</f>
        <v>3</v>
      </c>
      <c r="D88" s="8">
        <f>garage!D88</f>
        <v>16</v>
      </c>
      <c r="E88" s="8">
        <f>garage!E88</f>
        <v>30</v>
      </c>
      <c r="F88" s="8" t="str">
        <f>garage!F88</f>
        <v>--</v>
      </c>
      <c r="G88" s="8" t="str">
        <f>garage!G88</f>
        <v>N</v>
      </c>
      <c r="H88" s="8" t="str">
        <f>garage!H88</f>
        <v>O</v>
      </c>
      <c r="I88" s="8" t="str">
        <f>garage!I88</f>
        <v>N</v>
      </c>
      <c r="J88" s="8" t="str">
        <f>garage!J88</f>
        <v>N</v>
      </c>
      <c r="K88" s="8" t="str">
        <f>garage!K88</f>
        <v>B</v>
      </c>
      <c r="L88" s="9" t="str">
        <f>garage!L88</f>
        <v>Kepler</v>
      </c>
      <c r="M88" s="9" t="str">
        <f>garage!M88</f>
        <v>Motion</v>
      </c>
      <c r="O88" s="17" t="s">
        <v>437</v>
      </c>
      <c r="P88" s="13" t="s">
        <v>437</v>
      </c>
      <c r="Q88" s="13" t="s">
        <v>437</v>
      </c>
      <c r="R88" s="14" t="s">
        <v>437</v>
      </c>
      <c r="S88" s="13" t="s">
        <v>437</v>
      </c>
      <c r="T88" s="13" t="s">
        <v>437</v>
      </c>
      <c r="U88" s="13" t="s">
        <v>437</v>
      </c>
      <c r="V88" s="14" t="s">
        <v>437</v>
      </c>
      <c r="W88" s="13" t="s">
        <v>437</v>
      </c>
      <c r="X88" s="13" t="s">
        <v>437</v>
      </c>
      <c r="Y88" s="13" t="s">
        <v>437</v>
      </c>
      <c r="Z88" s="14" t="s">
        <v>437</v>
      </c>
      <c r="AA88" s="13" t="s">
        <v>437</v>
      </c>
      <c r="AB88" s="13" t="s">
        <v>437</v>
      </c>
      <c r="AC88" s="13" t="s">
        <v>437</v>
      </c>
      <c r="AD88" s="14" t="s">
        <v>437</v>
      </c>
      <c r="AE88" s="13" t="s">
        <v>437</v>
      </c>
      <c r="AF88" s="13" t="s">
        <v>437</v>
      </c>
      <c r="AG88" s="13" t="s">
        <v>437</v>
      </c>
      <c r="AH88" s="14" t="s">
        <v>437</v>
      </c>
      <c r="AI88" s="13" t="s">
        <v>437</v>
      </c>
      <c r="AJ88" s="13" t="s">
        <v>437</v>
      </c>
      <c r="AK88" s="13" t="s">
        <v>437</v>
      </c>
      <c r="AL88" s="14" t="s">
        <v>437</v>
      </c>
      <c r="AM88" s="13" t="s">
        <v>437</v>
      </c>
      <c r="AN88" s="13" t="s">
        <v>437</v>
      </c>
      <c r="AO88" s="13" t="s">
        <v>437</v>
      </c>
      <c r="AP88" s="14" t="s">
        <v>437</v>
      </c>
      <c r="AQ88" s="13" t="s">
        <v>437</v>
      </c>
      <c r="AR88" s="13" t="s">
        <v>437</v>
      </c>
      <c r="AS88" s="13" t="s">
        <v>437</v>
      </c>
      <c r="AT88" s="14" t="s">
        <v>437</v>
      </c>
      <c r="AU88" s="13" t="s">
        <v>437</v>
      </c>
      <c r="AV88" s="13" t="s">
        <v>437</v>
      </c>
      <c r="AW88" s="13" t="s">
        <v>437</v>
      </c>
      <c r="AX88" s="14" t="s">
        <v>437</v>
      </c>
      <c r="AY88" s="13" t="s">
        <v>437</v>
      </c>
      <c r="AZ88" s="13" t="s">
        <v>437</v>
      </c>
      <c r="BA88" s="13" t="s">
        <v>437</v>
      </c>
      <c r="BB88" s="14" t="s">
        <v>437</v>
      </c>
      <c r="BC88" s="13" t="s">
        <v>437</v>
      </c>
      <c r="BD88" s="13" t="s">
        <v>437</v>
      </c>
      <c r="BE88" s="13" t="s">
        <v>437</v>
      </c>
      <c r="BF88" s="14" t="s">
        <v>437</v>
      </c>
      <c r="BG88" s="13" t="s">
        <v>437</v>
      </c>
      <c r="BH88" s="13" t="s">
        <v>437</v>
      </c>
      <c r="BI88" s="13" t="s">
        <v>437</v>
      </c>
      <c r="BJ88" s="14" t="s">
        <v>437</v>
      </c>
      <c r="BK88" s="13" t="s">
        <v>437</v>
      </c>
      <c r="BL88" s="13" t="s">
        <v>437</v>
      </c>
      <c r="BM88" s="13" t="s">
        <v>437</v>
      </c>
      <c r="BN88" s="14" t="s">
        <v>437</v>
      </c>
      <c r="BP88" s="17" t="s">
        <v>437</v>
      </c>
      <c r="BQ88" s="13" t="s">
        <v>437</v>
      </c>
      <c r="BR88" s="13" t="s">
        <v>437</v>
      </c>
      <c r="BS88" s="14" t="s">
        <v>437</v>
      </c>
      <c r="BU88" s="17" t="s">
        <v>437</v>
      </c>
      <c r="BV88" s="13" t="s">
        <v>437</v>
      </c>
      <c r="BW88" s="13" t="s">
        <v>437</v>
      </c>
      <c r="BX88" s="14" t="s">
        <v>437</v>
      </c>
      <c r="BZ88" s="17" t="s">
        <v>437</v>
      </c>
      <c r="CA88" s="13" t="s">
        <v>437</v>
      </c>
      <c r="CB88" s="13" t="s">
        <v>437</v>
      </c>
      <c r="CC88" s="14" t="s">
        <v>437</v>
      </c>
    </row>
    <row r="89" spans="2:81" ht="18" customHeight="1" x14ac:dyDescent="0.2">
      <c r="B89" s="10">
        <f>garage!B89</f>
        <v>89</v>
      </c>
      <c r="C89" s="10">
        <f>garage!C89</f>
        <v>3</v>
      </c>
      <c r="D89" s="10">
        <f>garage!D89</f>
        <v>17</v>
      </c>
      <c r="E89" s="10">
        <f>garage!E89</f>
        <v>21</v>
      </c>
      <c r="F89" s="10" t="str">
        <f>garage!F89</f>
        <v>--</v>
      </c>
      <c r="G89" s="10" t="str">
        <f>garage!G89</f>
        <v>O</v>
      </c>
      <c r="H89" s="10" t="str">
        <f>garage!H89</f>
        <v>N</v>
      </c>
      <c r="I89" s="10" t="str">
        <f>garage!I89</f>
        <v>N</v>
      </c>
      <c r="J89" s="10" t="str">
        <f>garage!J89</f>
        <v>O</v>
      </c>
      <c r="K89" s="10" t="str">
        <f>garage!K89</f>
        <v>B</v>
      </c>
      <c r="L89" s="11" t="str">
        <f>garage!L89</f>
        <v>Drako</v>
      </c>
      <c r="M89" s="11" t="str">
        <f>garage!M89</f>
        <v>GTE</v>
      </c>
      <c r="O89" s="18" t="s">
        <v>437</v>
      </c>
      <c r="P89" s="15" t="s">
        <v>437</v>
      </c>
      <c r="Q89" s="15" t="s">
        <v>437</v>
      </c>
      <c r="R89" s="16" t="s">
        <v>437</v>
      </c>
      <c r="S89" s="15" t="s">
        <v>437</v>
      </c>
      <c r="T89" s="15" t="s">
        <v>437</v>
      </c>
      <c r="U89" s="15" t="s">
        <v>437</v>
      </c>
      <c r="V89" s="16" t="s">
        <v>437</v>
      </c>
      <c r="W89" s="15" t="s">
        <v>437</v>
      </c>
      <c r="X89" s="15" t="s">
        <v>437</v>
      </c>
      <c r="Y89" s="15" t="s">
        <v>437</v>
      </c>
      <c r="Z89" s="16" t="s">
        <v>437</v>
      </c>
      <c r="AA89" s="15" t="s">
        <v>437</v>
      </c>
      <c r="AB89" s="15" t="s">
        <v>437</v>
      </c>
      <c r="AC89" s="15" t="s">
        <v>437</v>
      </c>
      <c r="AD89" s="16" t="s">
        <v>437</v>
      </c>
      <c r="AE89" s="15" t="s">
        <v>437</v>
      </c>
      <c r="AF89" s="15" t="s">
        <v>437</v>
      </c>
      <c r="AG89" s="15" t="s">
        <v>437</v>
      </c>
      <c r="AH89" s="16" t="s">
        <v>437</v>
      </c>
      <c r="AI89" s="15" t="s">
        <v>437</v>
      </c>
      <c r="AJ89" s="15" t="s">
        <v>437</v>
      </c>
      <c r="AK89" s="15" t="s">
        <v>437</v>
      </c>
      <c r="AL89" s="16" t="s">
        <v>437</v>
      </c>
      <c r="AM89" s="15" t="s">
        <v>437</v>
      </c>
      <c r="AN89" s="15" t="s">
        <v>437</v>
      </c>
      <c r="AO89" s="15" t="s">
        <v>437</v>
      </c>
      <c r="AP89" s="16" t="s">
        <v>437</v>
      </c>
      <c r="AQ89" s="15" t="s">
        <v>437</v>
      </c>
      <c r="AR89" s="15" t="s">
        <v>437</v>
      </c>
      <c r="AS89" s="15" t="s">
        <v>437</v>
      </c>
      <c r="AT89" s="16" t="s">
        <v>437</v>
      </c>
      <c r="AU89" s="15" t="s">
        <v>437</v>
      </c>
      <c r="AV89" s="15" t="s">
        <v>437</v>
      </c>
      <c r="AW89" s="15" t="s">
        <v>437</v>
      </c>
      <c r="AX89" s="16" t="s">
        <v>437</v>
      </c>
      <c r="AY89" s="15" t="s">
        <v>437</v>
      </c>
      <c r="AZ89" s="15" t="s">
        <v>437</v>
      </c>
      <c r="BA89" s="15" t="s">
        <v>437</v>
      </c>
      <c r="BB89" s="16" t="s">
        <v>437</v>
      </c>
      <c r="BC89" s="15" t="s">
        <v>437</v>
      </c>
      <c r="BD89" s="15" t="s">
        <v>437</v>
      </c>
      <c r="BE89" s="15" t="s">
        <v>437</v>
      </c>
      <c r="BF89" s="16" t="s">
        <v>437</v>
      </c>
      <c r="BG89" s="15" t="s">
        <v>437</v>
      </c>
      <c r="BH89" s="15" t="s">
        <v>437</v>
      </c>
      <c r="BI89" s="15" t="s">
        <v>437</v>
      </c>
      <c r="BJ89" s="16" t="s">
        <v>437</v>
      </c>
      <c r="BK89" s="15" t="s">
        <v>437</v>
      </c>
      <c r="BL89" s="15" t="s">
        <v>437</v>
      </c>
      <c r="BM89" s="15" t="s">
        <v>437</v>
      </c>
      <c r="BN89" s="16" t="s">
        <v>437</v>
      </c>
      <c r="BP89" s="18" t="s">
        <v>437</v>
      </c>
      <c r="BQ89" s="15" t="s">
        <v>437</v>
      </c>
      <c r="BR89" s="15" t="s">
        <v>437</v>
      </c>
      <c r="BS89" s="16" t="s">
        <v>437</v>
      </c>
      <c r="BU89" s="18" t="s">
        <v>437</v>
      </c>
      <c r="BV89" s="15" t="s">
        <v>437</v>
      </c>
      <c r="BW89" s="15" t="s">
        <v>437</v>
      </c>
      <c r="BX89" s="16" t="s">
        <v>437</v>
      </c>
      <c r="BZ89" s="18" t="s">
        <v>437</v>
      </c>
      <c r="CA89" s="15" t="s">
        <v>437</v>
      </c>
      <c r="CB89" s="15" t="s">
        <v>437</v>
      </c>
      <c r="CC89" s="16" t="s">
        <v>437</v>
      </c>
    </row>
    <row r="90" spans="2:81" ht="18" customHeight="1" x14ac:dyDescent="0.2">
      <c r="B90" s="8">
        <f>garage!B90</f>
        <v>90</v>
      </c>
      <c r="C90" s="8">
        <f>garage!C90</f>
        <v>3</v>
      </c>
      <c r="D90" s="8">
        <f>garage!D90</f>
        <v>18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garage!J90</f>
        <v>N</v>
      </c>
      <c r="K90" s="8" t="str">
        <f>garage!K90</f>
        <v>B</v>
      </c>
      <c r="L90" s="9" t="str">
        <f>garage!L90</f>
        <v>Glickhaus</v>
      </c>
      <c r="M90" s="9" t="str">
        <f>garage!M90</f>
        <v>003S</v>
      </c>
      <c r="O90" s="17">
        <v>1</v>
      </c>
      <c r="P90" s="13">
        <v>1</v>
      </c>
      <c r="Q90" s="13">
        <v>1</v>
      </c>
      <c r="R90" s="14">
        <v>1</v>
      </c>
      <c r="S90" s="13">
        <v>1</v>
      </c>
      <c r="T90" s="13">
        <v>1</v>
      </c>
      <c r="U90" s="13">
        <v>1</v>
      </c>
      <c r="V90" s="14">
        <v>1</v>
      </c>
      <c r="W90" s="13">
        <v>1</v>
      </c>
      <c r="X90" s="13">
        <v>1</v>
      </c>
      <c r="Y90" s="13">
        <v>1</v>
      </c>
      <c r="Z90" s="14">
        <v>1</v>
      </c>
      <c r="AA90" s="13">
        <v>1</v>
      </c>
      <c r="AB90" s="13">
        <v>1</v>
      </c>
      <c r="AC90" s="13">
        <v>1</v>
      </c>
      <c r="AD90" s="14">
        <v>1</v>
      </c>
      <c r="AE90" s="13">
        <v>1</v>
      </c>
      <c r="AF90" s="13">
        <v>1</v>
      </c>
      <c r="AG90" s="13">
        <v>1</v>
      </c>
      <c r="AH90" s="14">
        <v>1</v>
      </c>
      <c r="AI90" s="13">
        <v>1</v>
      </c>
      <c r="AJ90" s="13">
        <v>1</v>
      </c>
      <c r="AK90" s="13">
        <v>1</v>
      </c>
      <c r="AL90" s="14">
        <v>1</v>
      </c>
      <c r="AM90" s="13">
        <v>1</v>
      </c>
      <c r="AN90" s="13">
        <v>1</v>
      </c>
      <c r="AO90" s="13">
        <v>1</v>
      </c>
      <c r="AP90" s="14">
        <v>1</v>
      </c>
      <c r="AQ90" s="13">
        <v>1</v>
      </c>
      <c r="AR90" s="13">
        <v>1</v>
      </c>
      <c r="AS90" s="13">
        <v>1</v>
      </c>
      <c r="AT90" s="14">
        <v>1</v>
      </c>
      <c r="AU90" s="13">
        <v>1</v>
      </c>
      <c r="AV90" s="13">
        <v>1</v>
      </c>
      <c r="AW90" s="13">
        <v>1</v>
      </c>
      <c r="AX90" s="14">
        <v>1</v>
      </c>
      <c r="AY90" s="13">
        <v>1</v>
      </c>
      <c r="AZ90" s="13">
        <v>1</v>
      </c>
      <c r="BA90" s="13">
        <v>1</v>
      </c>
      <c r="BB90" s="14">
        <v>1</v>
      </c>
      <c r="BC90" s="13">
        <v>1</v>
      </c>
      <c r="BD90" s="13">
        <v>1</v>
      </c>
      <c r="BE90" s="13">
        <v>1</v>
      </c>
      <c r="BF90" s="14">
        <v>1</v>
      </c>
      <c r="BG90" s="13" t="s">
        <v>437</v>
      </c>
      <c r="BH90" s="13" t="s">
        <v>437</v>
      </c>
      <c r="BI90" s="13" t="s">
        <v>437</v>
      </c>
      <c r="BJ90" s="14" t="s">
        <v>437</v>
      </c>
      <c r="BK90" s="13" t="s">
        <v>437</v>
      </c>
      <c r="BL90" s="13" t="s">
        <v>437</v>
      </c>
      <c r="BM90" s="13" t="s">
        <v>437</v>
      </c>
      <c r="BN90" s="14" t="s">
        <v>437</v>
      </c>
      <c r="BP90" s="17">
        <v>6</v>
      </c>
      <c r="BQ90" s="13">
        <v>6</v>
      </c>
      <c r="BR90" s="13">
        <v>6</v>
      </c>
      <c r="BS90" s="14">
        <v>6</v>
      </c>
      <c r="BU90" s="17">
        <v>4</v>
      </c>
      <c r="BV90" s="13">
        <v>4</v>
      </c>
      <c r="BW90" s="13">
        <v>4</v>
      </c>
      <c r="BX90" s="14">
        <v>4</v>
      </c>
      <c r="BZ90" s="17">
        <v>2</v>
      </c>
      <c r="CA90" s="13">
        <v>2</v>
      </c>
      <c r="CB90" s="13">
        <v>2</v>
      </c>
      <c r="CC90" s="14">
        <v>2</v>
      </c>
    </row>
    <row r="91" spans="2:81" ht="18" customHeight="1" x14ac:dyDescent="0.2">
      <c r="B91" s="10">
        <f>garage!B91</f>
        <v>91</v>
      </c>
      <c r="C91" s="10">
        <f>garage!C91</f>
        <v>3</v>
      </c>
      <c r="D91" s="10">
        <f>garage!D91</f>
        <v>19</v>
      </c>
      <c r="E91" s="10">
        <f>garage!E91</f>
        <v>20</v>
      </c>
      <c r="F91" s="10" t="str">
        <f>garage!F91</f>
        <v>M</v>
      </c>
      <c r="G91" s="10" t="str">
        <f>garage!G91</f>
        <v>O</v>
      </c>
      <c r="H91" s="10" t="str">
        <f>garage!H91</f>
        <v>N</v>
      </c>
      <c r="I91" s="10" t="str">
        <f>garage!I91</f>
        <v>N</v>
      </c>
      <c r="J91" s="10" t="str">
        <f>garage!J91</f>
        <v>N</v>
      </c>
      <c r="K91" s="10" t="str">
        <f>garage!K91</f>
        <v>B</v>
      </c>
      <c r="L91" s="11" t="str">
        <f>garage!L91</f>
        <v>McLaren</v>
      </c>
      <c r="M91" s="11" t="str">
        <f>garage!M91</f>
        <v>Elva</v>
      </c>
      <c r="O91" s="18">
        <v>1</v>
      </c>
      <c r="P91" s="15">
        <v>1</v>
      </c>
      <c r="Q91" s="15">
        <v>1</v>
      </c>
      <c r="R91" s="16">
        <v>1</v>
      </c>
      <c r="S91" s="15">
        <v>1</v>
      </c>
      <c r="T91" s="15">
        <v>1</v>
      </c>
      <c r="U91" s="15">
        <v>1</v>
      </c>
      <c r="V91" s="16">
        <v>1</v>
      </c>
      <c r="W91" s="15" t="s">
        <v>437</v>
      </c>
      <c r="X91" s="15" t="s">
        <v>437</v>
      </c>
      <c r="Y91" s="15" t="s">
        <v>437</v>
      </c>
      <c r="Z91" s="16">
        <v>1</v>
      </c>
      <c r="AA91" s="15" t="s">
        <v>437</v>
      </c>
      <c r="AB91" s="15" t="s">
        <v>437</v>
      </c>
      <c r="AC91" s="15" t="s">
        <v>437</v>
      </c>
      <c r="AD91" s="16" t="s">
        <v>437</v>
      </c>
      <c r="AE91" s="15" t="s">
        <v>437</v>
      </c>
      <c r="AF91" s="15" t="s">
        <v>437</v>
      </c>
      <c r="AG91" s="15" t="s">
        <v>437</v>
      </c>
      <c r="AH91" s="16" t="s">
        <v>437</v>
      </c>
      <c r="AI91" s="15" t="s">
        <v>437</v>
      </c>
      <c r="AJ91" s="15" t="s">
        <v>437</v>
      </c>
      <c r="AK91" s="15" t="s">
        <v>437</v>
      </c>
      <c r="AL91" s="16" t="s">
        <v>437</v>
      </c>
      <c r="AM91" s="15" t="s">
        <v>437</v>
      </c>
      <c r="AN91" s="15" t="s">
        <v>437</v>
      </c>
      <c r="AO91" s="15" t="s">
        <v>437</v>
      </c>
      <c r="AP91" s="16" t="s">
        <v>437</v>
      </c>
      <c r="AQ91" s="15" t="s">
        <v>437</v>
      </c>
      <c r="AR91" s="15" t="s">
        <v>437</v>
      </c>
      <c r="AS91" s="15" t="s">
        <v>437</v>
      </c>
      <c r="AT91" s="16" t="s">
        <v>437</v>
      </c>
      <c r="AU91" s="15" t="s">
        <v>437</v>
      </c>
      <c r="AV91" s="15" t="s">
        <v>437</v>
      </c>
      <c r="AW91" s="15" t="s">
        <v>437</v>
      </c>
      <c r="AX91" s="16" t="s">
        <v>437</v>
      </c>
      <c r="AY91" s="15" t="s">
        <v>437</v>
      </c>
      <c r="AZ91" s="15" t="s">
        <v>437</v>
      </c>
      <c r="BA91" s="15" t="s">
        <v>437</v>
      </c>
      <c r="BB91" s="16" t="s">
        <v>437</v>
      </c>
      <c r="BC91" s="15" t="s">
        <v>437</v>
      </c>
      <c r="BD91" s="15" t="s">
        <v>437</v>
      </c>
      <c r="BE91" s="15" t="s">
        <v>437</v>
      </c>
      <c r="BF91" s="16" t="s">
        <v>437</v>
      </c>
      <c r="BG91" s="15" t="s">
        <v>437</v>
      </c>
      <c r="BH91" s="15" t="s">
        <v>437</v>
      </c>
      <c r="BI91" s="15" t="s">
        <v>437</v>
      </c>
      <c r="BJ91" s="16" t="s">
        <v>437</v>
      </c>
      <c r="BK91" s="15" t="s">
        <v>437</v>
      </c>
      <c r="BL91" s="15" t="s">
        <v>437</v>
      </c>
      <c r="BM91" s="15" t="s">
        <v>437</v>
      </c>
      <c r="BN91" s="16" t="s">
        <v>437</v>
      </c>
      <c r="BP91" s="18" t="s">
        <v>437</v>
      </c>
      <c r="BQ91" s="15" t="s">
        <v>437</v>
      </c>
      <c r="BR91" s="15" t="s">
        <v>437</v>
      </c>
      <c r="BS91" s="16" t="s">
        <v>437</v>
      </c>
      <c r="BU91" s="18" t="s">
        <v>437</v>
      </c>
      <c r="BV91" s="15" t="s">
        <v>437</v>
      </c>
      <c r="BW91" s="15" t="s">
        <v>437</v>
      </c>
      <c r="BX91" s="16" t="s">
        <v>437</v>
      </c>
      <c r="BZ91" s="18" t="s">
        <v>437</v>
      </c>
      <c r="CA91" s="15" t="s">
        <v>437</v>
      </c>
      <c r="CB91" s="15" t="s">
        <v>437</v>
      </c>
      <c r="CC91" s="16" t="s">
        <v>437</v>
      </c>
    </row>
    <row r="92" spans="2:81" ht="18" customHeight="1" x14ac:dyDescent="0.2">
      <c r="B92" s="8">
        <f>garage!B92</f>
        <v>92</v>
      </c>
      <c r="C92" s="8">
        <f>garage!C92</f>
        <v>3</v>
      </c>
      <c r="D92" s="8">
        <f>garage!D92</f>
        <v>20</v>
      </c>
      <c r="E92" s="8">
        <f>garage!E92</f>
        <v>27</v>
      </c>
      <c r="F92" s="8" t="str">
        <f>garage!F92</f>
        <v>--</v>
      </c>
      <c r="G92" s="8" t="str">
        <f>garage!G92</f>
        <v>O</v>
      </c>
      <c r="H92" s="8" t="str">
        <f>garage!H92</f>
        <v>N</v>
      </c>
      <c r="I92" s="8" t="str">
        <f>garage!I92</f>
        <v>N</v>
      </c>
      <c r="J92" s="8" t="str">
        <f>garage!J92</f>
        <v>N</v>
      </c>
      <c r="K92" s="8" t="str">
        <f>garage!K92</f>
        <v>B</v>
      </c>
      <c r="L92" s="9" t="str">
        <f>garage!L92</f>
        <v>Nissan</v>
      </c>
      <c r="M92" s="9" t="str">
        <f>garage!M92</f>
        <v>R390 GT1</v>
      </c>
      <c r="O92" s="17">
        <v>1</v>
      </c>
      <c r="P92" s="13">
        <v>1</v>
      </c>
      <c r="Q92" s="13">
        <v>1</v>
      </c>
      <c r="R92" s="14">
        <v>1</v>
      </c>
      <c r="S92" s="13">
        <v>1</v>
      </c>
      <c r="T92" s="13">
        <v>1</v>
      </c>
      <c r="U92" s="13">
        <v>1</v>
      </c>
      <c r="V92" s="14">
        <v>1</v>
      </c>
      <c r="W92" s="13">
        <v>1</v>
      </c>
      <c r="X92" s="13">
        <v>1</v>
      </c>
      <c r="Y92" s="13">
        <v>1</v>
      </c>
      <c r="Z92" s="14">
        <v>1</v>
      </c>
      <c r="AA92" s="13">
        <v>1</v>
      </c>
      <c r="AB92" s="13">
        <v>1</v>
      </c>
      <c r="AC92" s="13">
        <v>1</v>
      </c>
      <c r="AD92" s="14">
        <v>1</v>
      </c>
      <c r="AE92" s="13">
        <v>1</v>
      </c>
      <c r="AF92" s="13">
        <v>1</v>
      </c>
      <c r="AG92" s="13">
        <v>1</v>
      </c>
      <c r="AH92" s="14">
        <v>1</v>
      </c>
      <c r="AI92" s="13">
        <v>1</v>
      </c>
      <c r="AJ92" s="13">
        <v>1</v>
      </c>
      <c r="AK92" s="13">
        <v>1</v>
      </c>
      <c r="AL92" s="14">
        <v>1</v>
      </c>
      <c r="AM92" s="13" t="s">
        <v>437</v>
      </c>
      <c r="AN92" s="13" t="s">
        <v>437</v>
      </c>
      <c r="AO92" s="13" t="s">
        <v>437</v>
      </c>
      <c r="AP92" s="14" t="s">
        <v>437</v>
      </c>
      <c r="AQ92" s="13" t="s">
        <v>437</v>
      </c>
      <c r="AR92" s="13" t="s">
        <v>437</v>
      </c>
      <c r="AS92" s="13" t="s">
        <v>437</v>
      </c>
      <c r="AT92" s="14" t="s">
        <v>437</v>
      </c>
      <c r="AU92" s="13" t="s">
        <v>437</v>
      </c>
      <c r="AV92" s="13" t="s">
        <v>437</v>
      </c>
      <c r="AW92" s="13" t="s">
        <v>437</v>
      </c>
      <c r="AX92" s="14" t="s">
        <v>437</v>
      </c>
      <c r="AY92" s="13" t="s">
        <v>437</v>
      </c>
      <c r="AZ92" s="13" t="s">
        <v>437</v>
      </c>
      <c r="BA92" s="13" t="s">
        <v>437</v>
      </c>
      <c r="BB92" s="14" t="s">
        <v>437</v>
      </c>
      <c r="BC92" s="13" t="s">
        <v>437</v>
      </c>
      <c r="BD92" s="13" t="s">
        <v>437</v>
      </c>
      <c r="BE92" s="13" t="s">
        <v>437</v>
      </c>
      <c r="BF92" s="14" t="s">
        <v>437</v>
      </c>
      <c r="BG92" s="13" t="s">
        <v>437</v>
      </c>
      <c r="BH92" s="13" t="s">
        <v>437</v>
      </c>
      <c r="BI92" s="13" t="s">
        <v>437</v>
      </c>
      <c r="BJ92" s="14" t="s">
        <v>437</v>
      </c>
      <c r="BK92" s="13" t="s">
        <v>437</v>
      </c>
      <c r="BL92" s="13" t="s">
        <v>437</v>
      </c>
      <c r="BM92" s="13" t="s">
        <v>437</v>
      </c>
      <c r="BN92" s="14" t="s">
        <v>437</v>
      </c>
      <c r="BP92" s="17">
        <v>6</v>
      </c>
      <c r="BQ92" s="13">
        <v>4</v>
      </c>
      <c r="BR92" s="13">
        <v>4</v>
      </c>
      <c r="BS92" s="14">
        <v>6</v>
      </c>
      <c r="BU92" s="17" t="s">
        <v>437</v>
      </c>
      <c r="BV92" s="13">
        <v>1</v>
      </c>
      <c r="BW92" s="13">
        <v>1</v>
      </c>
      <c r="BX92" s="14" t="s">
        <v>437</v>
      </c>
      <c r="BZ92" s="17" t="s">
        <v>437</v>
      </c>
      <c r="CA92" s="13" t="s">
        <v>437</v>
      </c>
      <c r="CB92" s="13" t="s">
        <v>437</v>
      </c>
      <c r="CC92" s="14" t="s">
        <v>437</v>
      </c>
    </row>
    <row r="93" spans="2:81" ht="18" customHeight="1" x14ac:dyDescent="0.2">
      <c r="B93" s="10">
        <f>garage!B93</f>
        <v>93</v>
      </c>
      <c r="C93" s="10">
        <f>garage!C93</f>
        <v>3</v>
      </c>
      <c r="D93" s="10">
        <f>garage!D93</f>
        <v>21</v>
      </c>
      <c r="E93" s="10">
        <f>garage!E93</f>
        <v>0</v>
      </c>
      <c r="F93" s="10" t="str">
        <f>garage!F93</f>
        <v>F</v>
      </c>
      <c r="G93" s="10" t="str">
        <f>garage!G93</f>
        <v>O</v>
      </c>
      <c r="H93" s="10" t="str">
        <f>garage!H93</f>
        <v>O</v>
      </c>
      <c r="I93" s="10" t="str">
        <f>garage!I93</f>
        <v>O</v>
      </c>
      <c r="J93" s="10" t="str">
        <f>garage!J93</f>
        <v>N</v>
      </c>
      <c r="K93" s="10" t="str">
        <f>garage!K93</f>
        <v>B</v>
      </c>
      <c r="L93" s="11" t="str">
        <f>garage!L93</f>
        <v>Ferrari</v>
      </c>
      <c r="M93" s="11" t="str">
        <f>garage!M93</f>
        <v>F12TDF</v>
      </c>
      <c r="O93" s="18">
        <v>1</v>
      </c>
      <c r="P93" s="15">
        <v>1</v>
      </c>
      <c r="Q93" s="15">
        <v>1</v>
      </c>
      <c r="R93" s="16">
        <v>1</v>
      </c>
      <c r="S93" s="15">
        <v>1</v>
      </c>
      <c r="T93" s="15">
        <v>1</v>
      </c>
      <c r="U93" s="15">
        <v>1</v>
      </c>
      <c r="V93" s="16">
        <v>1</v>
      </c>
      <c r="W93" s="15">
        <v>1</v>
      </c>
      <c r="X93" s="15">
        <v>1</v>
      </c>
      <c r="Y93" s="15">
        <v>1</v>
      </c>
      <c r="Z93" s="16">
        <v>1</v>
      </c>
      <c r="AA93" s="15">
        <v>1</v>
      </c>
      <c r="AB93" s="15">
        <v>1</v>
      </c>
      <c r="AC93" s="15">
        <v>1</v>
      </c>
      <c r="AD93" s="16">
        <v>1</v>
      </c>
      <c r="AE93" s="15">
        <v>1</v>
      </c>
      <c r="AF93" s="15">
        <v>1</v>
      </c>
      <c r="AG93" s="15">
        <v>1</v>
      </c>
      <c r="AH93" s="16">
        <v>1</v>
      </c>
      <c r="AI93" s="15">
        <v>1</v>
      </c>
      <c r="AJ93" s="15">
        <v>1</v>
      </c>
      <c r="AK93" s="15">
        <v>1</v>
      </c>
      <c r="AL93" s="16">
        <v>1</v>
      </c>
      <c r="AM93" s="15">
        <v>1</v>
      </c>
      <c r="AN93" s="15">
        <v>1</v>
      </c>
      <c r="AO93" s="15">
        <v>1</v>
      </c>
      <c r="AP93" s="16">
        <v>1</v>
      </c>
      <c r="AQ93" s="15">
        <v>1</v>
      </c>
      <c r="AR93" s="15">
        <v>1</v>
      </c>
      <c r="AS93" s="15">
        <v>1</v>
      </c>
      <c r="AT93" s="16">
        <v>1</v>
      </c>
      <c r="AU93" s="15">
        <v>1</v>
      </c>
      <c r="AV93" s="15">
        <v>1</v>
      </c>
      <c r="AW93" s="15">
        <v>1</v>
      </c>
      <c r="AX93" s="16">
        <v>1</v>
      </c>
      <c r="AY93" s="15">
        <v>1</v>
      </c>
      <c r="AZ93" s="15">
        <v>1</v>
      </c>
      <c r="BA93" s="15">
        <v>1</v>
      </c>
      <c r="BB93" s="16">
        <v>1</v>
      </c>
      <c r="BC93" s="15">
        <v>1</v>
      </c>
      <c r="BD93" s="15">
        <v>1</v>
      </c>
      <c r="BE93" s="15">
        <v>1</v>
      </c>
      <c r="BF93" s="16">
        <v>1</v>
      </c>
      <c r="BG93" s="15">
        <v>1</v>
      </c>
      <c r="BH93" s="15">
        <v>1</v>
      </c>
      <c r="BI93" s="15">
        <v>1</v>
      </c>
      <c r="BJ93" s="16">
        <v>1</v>
      </c>
      <c r="BK93" s="15" t="s">
        <v>437</v>
      </c>
      <c r="BL93" s="15" t="s">
        <v>437</v>
      </c>
      <c r="BM93" s="15" t="s">
        <v>437</v>
      </c>
      <c r="BN93" s="16" t="s">
        <v>437</v>
      </c>
      <c r="BP93" s="18">
        <v>8</v>
      </c>
      <c r="BQ93" s="15">
        <v>8</v>
      </c>
      <c r="BR93" s="15">
        <v>8</v>
      </c>
      <c r="BS93" s="16">
        <v>8</v>
      </c>
      <c r="BU93" s="18">
        <v>5</v>
      </c>
      <c r="BV93" s="15">
        <v>5</v>
      </c>
      <c r="BW93" s="15">
        <v>5</v>
      </c>
      <c r="BX93" s="16">
        <v>5</v>
      </c>
      <c r="BZ93" s="18">
        <v>2</v>
      </c>
      <c r="CA93" s="15">
        <v>2</v>
      </c>
      <c r="CB93" s="15">
        <v>2</v>
      </c>
      <c r="CC93" s="16">
        <v>2</v>
      </c>
    </row>
    <row r="94" spans="2:81" ht="18" customHeight="1" x14ac:dyDescent="0.2">
      <c r="B94" s="8">
        <f>garage!B94</f>
        <v>94</v>
      </c>
      <c r="C94" s="8">
        <f>garage!C94</f>
        <v>3</v>
      </c>
      <c r="D94" s="8">
        <f>garage!D94</f>
        <v>22</v>
      </c>
      <c r="E94" s="8">
        <f>garage!E94</f>
        <v>18</v>
      </c>
      <c r="F94" s="8" t="str">
        <f>garage!F94</f>
        <v>L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garage!J94</f>
        <v>N</v>
      </c>
      <c r="K94" s="8" t="str">
        <f>garage!K94</f>
        <v>B</v>
      </c>
      <c r="L94" s="9" t="str">
        <f>garage!L94</f>
        <v>Lamborghini</v>
      </c>
      <c r="M94" s="9" t="str">
        <f>garage!M94</f>
        <v>Murcielago LP 640 Roadster</v>
      </c>
      <c r="O94" s="17">
        <v>1</v>
      </c>
      <c r="P94" s="13">
        <v>1</v>
      </c>
      <c r="Q94" s="13">
        <v>1</v>
      </c>
      <c r="R94" s="14">
        <v>1</v>
      </c>
      <c r="S94" s="13">
        <v>1</v>
      </c>
      <c r="T94" s="13">
        <v>1</v>
      </c>
      <c r="U94" s="13">
        <v>1</v>
      </c>
      <c r="V94" s="14">
        <v>1</v>
      </c>
      <c r="W94" s="13">
        <v>1</v>
      </c>
      <c r="X94" s="13">
        <v>1</v>
      </c>
      <c r="Y94" s="13">
        <v>1</v>
      </c>
      <c r="Z94" s="14">
        <v>1</v>
      </c>
      <c r="AA94" s="13">
        <v>1</v>
      </c>
      <c r="AB94" s="13">
        <v>1</v>
      </c>
      <c r="AC94" s="13">
        <v>1</v>
      </c>
      <c r="AD94" s="14">
        <v>1</v>
      </c>
      <c r="AE94" s="13">
        <v>1</v>
      </c>
      <c r="AF94" s="13">
        <v>1</v>
      </c>
      <c r="AG94" s="13">
        <v>1</v>
      </c>
      <c r="AH94" s="14">
        <v>1</v>
      </c>
      <c r="AI94" s="13">
        <v>1</v>
      </c>
      <c r="AJ94" s="13">
        <v>1</v>
      </c>
      <c r="AK94" s="13">
        <v>1</v>
      </c>
      <c r="AL94" s="14" t="s">
        <v>437</v>
      </c>
      <c r="AM94" s="13">
        <v>1</v>
      </c>
      <c r="AN94" s="13" t="s">
        <v>437</v>
      </c>
      <c r="AO94" s="13" t="s">
        <v>437</v>
      </c>
      <c r="AP94" s="14" t="s">
        <v>437</v>
      </c>
      <c r="AQ94" s="13">
        <v>1</v>
      </c>
      <c r="AR94" s="13" t="s">
        <v>437</v>
      </c>
      <c r="AS94" s="13" t="s">
        <v>437</v>
      </c>
      <c r="AT94" s="14" t="s">
        <v>437</v>
      </c>
      <c r="AU94" s="13" t="s">
        <v>437</v>
      </c>
      <c r="AV94" s="13" t="s">
        <v>437</v>
      </c>
      <c r="AW94" s="13" t="s">
        <v>437</v>
      </c>
      <c r="AX94" s="14" t="s">
        <v>437</v>
      </c>
      <c r="AY94" s="13" t="s">
        <v>437</v>
      </c>
      <c r="AZ94" s="13" t="s">
        <v>437</v>
      </c>
      <c r="BA94" s="13" t="s">
        <v>437</v>
      </c>
      <c r="BB94" s="14" t="s">
        <v>437</v>
      </c>
      <c r="BC94" s="13" t="s">
        <v>437</v>
      </c>
      <c r="BD94" s="13" t="s">
        <v>437</v>
      </c>
      <c r="BE94" s="13" t="s">
        <v>437</v>
      </c>
      <c r="BF94" s="14" t="s">
        <v>437</v>
      </c>
      <c r="BG94" s="13" t="s">
        <v>437</v>
      </c>
      <c r="BH94" s="13" t="s">
        <v>437</v>
      </c>
      <c r="BI94" s="13" t="s">
        <v>437</v>
      </c>
      <c r="BJ94" s="14" t="s">
        <v>437</v>
      </c>
      <c r="BK94" s="13" t="s">
        <v>437</v>
      </c>
      <c r="BL94" s="13" t="s">
        <v>437</v>
      </c>
      <c r="BM94" s="13" t="s">
        <v>437</v>
      </c>
      <c r="BN94" s="14" t="s">
        <v>437</v>
      </c>
      <c r="BP94" s="17">
        <v>7</v>
      </c>
      <c r="BQ94" s="13">
        <v>3</v>
      </c>
      <c r="BR94" s="13">
        <v>2</v>
      </c>
      <c r="BS94" s="14">
        <v>3</v>
      </c>
      <c r="BU94" s="17">
        <v>1</v>
      </c>
      <c r="BV94" s="13">
        <v>1</v>
      </c>
      <c r="BW94" s="13" t="s">
        <v>437</v>
      </c>
      <c r="BX94" s="14" t="s">
        <v>437</v>
      </c>
      <c r="BZ94" s="17" t="s">
        <v>437</v>
      </c>
      <c r="CA94" s="13" t="s">
        <v>437</v>
      </c>
      <c r="CB94" s="13" t="s">
        <v>437</v>
      </c>
      <c r="CC94" s="14" t="s">
        <v>437</v>
      </c>
    </row>
    <row r="95" spans="2:81" ht="18" customHeight="1" x14ac:dyDescent="0.2">
      <c r="B95" s="10">
        <f>garage!B95</f>
        <v>95</v>
      </c>
      <c r="C95" s="10">
        <f>garage!C95</f>
        <v>3</v>
      </c>
      <c r="D95" s="10">
        <f>garage!D95</f>
        <v>23</v>
      </c>
      <c r="E95" s="10">
        <f>garage!E95</f>
        <v>26</v>
      </c>
      <c r="F95" s="10" t="str">
        <f>garage!F95</f>
        <v>M</v>
      </c>
      <c r="G95" s="10" t="str">
        <f>garage!G95</f>
        <v>O</v>
      </c>
      <c r="H95" s="10" t="str">
        <f>garage!H95</f>
        <v>N</v>
      </c>
      <c r="I95" s="10" t="str">
        <f>garage!I95</f>
        <v>N</v>
      </c>
      <c r="J95" s="10" t="str">
        <f>garage!J95</f>
        <v>N</v>
      </c>
      <c r="K95" s="10" t="str">
        <f>garage!K95</f>
        <v>B</v>
      </c>
      <c r="L95" s="11" t="str">
        <f>garage!L95</f>
        <v>McLaren</v>
      </c>
      <c r="M95" s="11" t="str">
        <f>garage!M95</f>
        <v>765LT</v>
      </c>
      <c r="O95" s="18">
        <v>1</v>
      </c>
      <c r="P95" s="15">
        <v>1</v>
      </c>
      <c r="Q95" s="15">
        <v>1</v>
      </c>
      <c r="R95" s="16">
        <v>1</v>
      </c>
      <c r="S95" s="15">
        <v>1</v>
      </c>
      <c r="T95" s="15">
        <v>1</v>
      </c>
      <c r="U95" s="15">
        <v>1</v>
      </c>
      <c r="V95" s="16">
        <v>1</v>
      </c>
      <c r="W95" s="15">
        <v>1</v>
      </c>
      <c r="X95" s="15">
        <v>1</v>
      </c>
      <c r="Y95" s="15">
        <v>1</v>
      </c>
      <c r="Z95" s="16">
        <v>1</v>
      </c>
      <c r="AA95" s="15" t="s">
        <v>437</v>
      </c>
      <c r="AB95" s="15" t="s">
        <v>437</v>
      </c>
      <c r="AC95" s="15" t="s">
        <v>437</v>
      </c>
      <c r="AD95" s="16" t="s">
        <v>437</v>
      </c>
      <c r="AE95" s="15" t="s">
        <v>437</v>
      </c>
      <c r="AF95" s="15" t="s">
        <v>437</v>
      </c>
      <c r="AG95" s="15" t="s">
        <v>437</v>
      </c>
      <c r="AH95" s="16" t="s">
        <v>437</v>
      </c>
      <c r="AI95" s="15" t="s">
        <v>437</v>
      </c>
      <c r="AJ95" s="15" t="s">
        <v>437</v>
      </c>
      <c r="AK95" s="15" t="s">
        <v>437</v>
      </c>
      <c r="AL95" s="16" t="s">
        <v>437</v>
      </c>
      <c r="AM95" s="15" t="s">
        <v>437</v>
      </c>
      <c r="AN95" s="15" t="s">
        <v>437</v>
      </c>
      <c r="AO95" s="15" t="s">
        <v>437</v>
      </c>
      <c r="AP95" s="16" t="s">
        <v>437</v>
      </c>
      <c r="AQ95" s="15" t="s">
        <v>437</v>
      </c>
      <c r="AR95" s="15" t="s">
        <v>437</v>
      </c>
      <c r="AS95" s="15" t="s">
        <v>437</v>
      </c>
      <c r="AT95" s="16" t="s">
        <v>437</v>
      </c>
      <c r="AU95" s="15" t="s">
        <v>437</v>
      </c>
      <c r="AV95" s="15" t="s">
        <v>437</v>
      </c>
      <c r="AW95" s="15" t="s">
        <v>437</v>
      </c>
      <c r="AX95" s="16" t="s">
        <v>437</v>
      </c>
      <c r="AY95" s="15" t="s">
        <v>437</v>
      </c>
      <c r="AZ95" s="15" t="s">
        <v>437</v>
      </c>
      <c r="BA95" s="15" t="s">
        <v>437</v>
      </c>
      <c r="BB95" s="16" t="s">
        <v>437</v>
      </c>
      <c r="BC95" s="15" t="s">
        <v>437</v>
      </c>
      <c r="BD95" s="15" t="s">
        <v>437</v>
      </c>
      <c r="BE95" s="15" t="s">
        <v>437</v>
      </c>
      <c r="BF95" s="16" t="s">
        <v>437</v>
      </c>
      <c r="BG95" s="15" t="s">
        <v>437</v>
      </c>
      <c r="BH95" s="15" t="s">
        <v>437</v>
      </c>
      <c r="BI95" s="15" t="s">
        <v>437</v>
      </c>
      <c r="BJ95" s="16" t="s">
        <v>437</v>
      </c>
      <c r="BK95" s="15" t="s">
        <v>437</v>
      </c>
      <c r="BL95" s="15" t="s">
        <v>437</v>
      </c>
      <c r="BM95" s="15" t="s">
        <v>437</v>
      </c>
      <c r="BN95" s="16" t="s">
        <v>437</v>
      </c>
      <c r="BP95" s="18">
        <v>3</v>
      </c>
      <c r="BQ95" s="15">
        <v>2</v>
      </c>
      <c r="BR95" s="15">
        <v>2</v>
      </c>
      <c r="BS95" s="16">
        <v>3</v>
      </c>
      <c r="BU95" s="18" t="s">
        <v>437</v>
      </c>
      <c r="BV95" s="15" t="s">
        <v>437</v>
      </c>
      <c r="BW95" s="15" t="s">
        <v>437</v>
      </c>
      <c r="BX95" s="16" t="s">
        <v>437</v>
      </c>
      <c r="BZ95" s="18" t="s">
        <v>437</v>
      </c>
      <c r="CA95" s="15" t="s">
        <v>437</v>
      </c>
      <c r="CB95" s="15" t="s">
        <v>437</v>
      </c>
      <c r="CC95" s="16" t="s">
        <v>437</v>
      </c>
    </row>
    <row r="96" spans="2:81" ht="18" customHeight="1" x14ac:dyDescent="0.2">
      <c r="B96" s="8">
        <f>garage!B96</f>
        <v>96</v>
      </c>
      <c r="C96" s="8">
        <f>garage!C96</f>
        <v>3</v>
      </c>
      <c r="D96" s="8">
        <f>garage!D96</f>
        <v>24</v>
      </c>
      <c r="E96" s="8">
        <f>garage!E96</f>
        <v>0</v>
      </c>
      <c r="F96" s="8" t="str">
        <f>garage!F96</f>
        <v>C</v>
      </c>
      <c r="G96" s="8" t="str">
        <f>garage!G96</f>
        <v>O</v>
      </c>
      <c r="H96" s="8" t="str">
        <f>garage!H96</f>
        <v>O</v>
      </c>
      <c r="I96" s="8" t="str">
        <f>garage!I96</f>
        <v>O</v>
      </c>
      <c r="J96" s="8" t="str">
        <f>garage!J96</f>
        <v>N</v>
      </c>
      <c r="K96" s="8" t="str">
        <f>garage!K96</f>
        <v>B</v>
      </c>
      <c r="L96" s="9" t="str">
        <f>garage!L96</f>
        <v>Chevrolet</v>
      </c>
      <c r="M96" s="9" t="str">
        <f>garage!M96</f>
        <v>Corvette Grand Sport</v>
      </c>
      <c r="O96" s="17">
        <v>1</v>
      </c>
      <c r="P96" s="13">
        <v>1</v>
      </c>
      <c r="Q96" s="13">
        <v>1</v>
      </c>
      <c r="R96" s="14">
        <v>1</v>
      </c>
      <c r="S96" s="13">
        <v>1</v>
      </c>
      <c r="T96" s="13">
        <v>1</v>
      </c>
      <c r="U96" s="13">
        <v>1</v>
      </c>
      <c r="V96" s="14">
        <v>1</v>
      </c>
      <c r="W96" s="13">
        <v>1</v>
      </c>
      <c r="X96" s="13">
        <v>1</v>
      </c>
      <c r="Y96" s="13">
        <v>1</v>
      </c>
      <c r="Z96" s="14">
        <v>1</v>
      </c>
      <c r="AA96" s="13">
        <v>1</v>
      </c>
      <c r="AB96" s="13">
        <v>1</v>
      </c>
      <c r="AC96" s="13">
        <v>1</v>
      </c>
      <c r="AD96" s="14">
        <v>1</v>
      </c>
      <c r="AE96" s="13">
        <v>1</v>
      </c>
      <c r="AF96" s="13">
        <v>1</v>
      </c>
      <c r="AG96" s="13">
        <v>1</v>
      </c>
      <c r="AH96" s="14">
        <v>1</v>
      </c>
      <c r="AI96" s="13">
        <v>1</v>
      </c>
      <c r="AJ96" s="13">
        <v>1</v>
      </c>
      <c r="AK96" s="13">
        <v>1</v>
      </c>
      <c r="AL96" s="14">
        <v>1</v>
      </c>
      <c r="AM96" s="13">
        <v>1</v>
      </c>
      <c r="AN96" s="13">
        <v>1</v>
      </c>
      <c r="AO96" s="13">
        <v>1</v>
      </c>
      <c r="AP96" s="14">
        <v>1</v>
      </c>
      <c r="AQ96" s="13">
        <v>1</v>
      </c>
      <c r="AR96" s="13">
        <v>1</v>
      </c>
      <c r="AS96" s="13">
        <v>1</v>
      </c>
      <c r="AT96" s="14">
        <v>1</v>
      </c>
      <c r="AU96" s="13">
        <v>1</v>
      </c>
      <c r="AV96" s="13">
        <v>1</v>
      </c>
      <c r="AW96" s="13">
        <v>1</v>
      </c>
      <c r="AX96" s="14">
        <v>1</v>
      </c>
      <c r="AY96" s="13">
        <v>1</v>
      </c>
      <c r="AZ96" s="13">
        <v>1</v>
      </c>
      <c r="BA96" s="13">
        <v>1</v>
      </c>
      <c r="BB96" s="14">
        <v>1</v>
      </c>
      <c r="BC96" s="13">
        <v>1</v>
      </c>
      <c r="BD96" s="13">
        <v>1</v>
      </c>
      <c r="BE96" s="13">
        <v>1</v>
      </c>
      <c r="BF96" s="14">
        <v>1</v>
      </c>
      <c r="BG96" s="13">
        <v>1</v>
      </c>
      <c r="BH96" s="13">
        <v>1</v>
      </c>
      <c r="BI96" s="13">
        <v>1</v>
      </c>
      <c r="BJ96" s="14">
        <v>1</v>
      </c>
      <c r="BK96" s="13" t="s">
        <v>437</v>
      </c>
      <c r="BL96" s="13" t="s">
        <v>437</v>
      </c>
      <c r="BM96" s="13" t="s">
        <v>437</v>
      </c>
      <c r="BN96" s="14" t="s">
        <v>437</v>
      </c>
      <c r="BP96" s="17">
        <v>8</v>
      </c>
      <c r="BQ96" s="13">
        <v>8</v>
      </c>
      <c r="BR96" s="13">
        <v>8</v>
      </c>
      <c r="BS96" s="14">
        <v>8</v>
      </c>
      <c r="BU96" s="17">
        <v>5</v>
      </c>
      <c r="BV96" s="13">
        <v>5</v>
      </c>
      <c r="BW96" s="13">
        <v>5</v>
      </c>
      <c r="BX96" s="14">
        <v>5</v>
      </c>
      <c r="BZ96" s="17">
        <v>2</v>
      </c>
      <c r="CA96" s="13">
        <v>2</v>
      </c>
      <c r="CB96" s="13">
        <v>2</v>
      </c>
      <c r="CC96" s="14">
        <v>2</v>
      </c>
    </row>
    <row r="97" spans="2:81" ht="18" customHeight="1" x14ac:dyDescent="0.2">
      <c r="B97" s="10">
        <f>garage!B97</f>
        <v>97</v>
      </c>
      <c r="C97" s="10">
        <f>garage!C97</f>
        <v>3</v>
      </c>
      <c r="D97" s="10">
        <f>garage!D97</f>
        <v>25</v>
      </c>
      <c r="E97" s="10">
        <f>garage!E97</f>
        <v>7</v>
      </c>
      <c r="F97" s="10" t="str">
        <f>garage!F97</f>
        <v>AM</v>
      </c>
      <c r="G97" s="10" t="str">
        <f>garage!G97</f>
        <v>O</v>
      </c>
      <c r="H97" s="10" t="str">
        <f>garage!H97</f>
        <v>O</v>
      </c>
      <c r="I97" s="10" t="str">
        <f>garage!I97</f>
        <v>O</v>
      </c>
      <c r="J97" s="10" t="str">
        <f>garage!J97</f>
        <v>N</v>
      </c>
      <c r="K97" s="10" t="str">
        <f>garage!K97</f>
        <v>B</v>
      </c>
      <c r="L97" s="11" t="str">
        <f>garage!L97</f>
        <v>Aston Martin</v>
      </c>
      <c r="M97" s="11" t="str">
        <f>garage!M97</f>
        <v>Vantage GT12</v>
      </c>
      <c r="O97" s="18">
        <v>1</v>
      </c>
      <c r="P97" s="15">
        <v>1</v>
      </c>
      <c r="Q97" s="15">
        <v>1</v>
      </c>
      <c r="R97" s="16">
        <v>1</v>
      </c>
      <c r="S97" s="15">
        <v>1</v>
      </c>
      <c r="T97" s="15">
        <v>1</v>
      </c>
      <c r="U97" s="15">
        <v>1</v>
      </c>
      <c r="V97" s="16">
        <v>1</v>
      </c>
      <c r="W97" s="15">
        <v>1</v>
      </c>
      <c r="X97" s="15">
        <v>1</v>
      </c>
      <c r="Y97" s="15">
        <v>1</v>
      </c>
      <c r="Z97" s="16">
        <v>1</v>
      </c>
      <c r="AA97" s="15">
        <v>1</v>
      </c>
      <c r="AB97" s="15">
        <v>1</v>
      </c>
      <c r="AC97" s="15">
        <v>1</v>
      </c>
      <c r="AD97" s="16">
        <v>1</v>
      </c>
      <c r="AE97" s="15">
        <v>1</v>
      </c>
      <c r="AF97" s="15">
        <v>1</v>
      </c>
      <c r="AG97" s="15">
        <v>1</v>
      </c>
      <c r="AH97" s="16">
        <v>1</v>
      </c>
      <c r="AI97" s="15">
        <v>1</v>
      </c>
      <c r="AJ97" s="15">
        <v>1</v>
      </c>
      <c r="AK97" s="15">
        <v>1</v>
      </c>
      <c r="AL97" s="16">
        <v>1</v>
      </c>
      <c r="AM97" s="15">
        <v>1</v>
      </c>
      <c r="AN97" s="15">
        <v>1</v>
      </c>
      <c r="AO97" s="15">
        <v>1</v>
      </c>
      <c r="AP97" s="16">
        <v>1</v>
      </c>
      <c r="AQ97" s="15">
        <v>1</v>
      </c>
      <c r="AR97" s="15">
        <v>1</v>
      </c>
      <c r="AS97" s="15">
        <v>1</v>
      </c>
      <c r="AT97" s="16">
        <v>1</v>
      </c>
      <c r="AU97" s="15">
        <v>1</v>
      </c>
      <c r="AV97" s="15">
        <v>1</v>
      </c>
      <c r="AW97" s="15">
        <v>1</v>
      </c>
      <c r="AX97" s="16">
        <v>1</v>
      </c>
      <c r="AY97" s="15">
        <v>1</v>
      </c>
      <c r="AZ97" s="15">
        <v>1</v>
      </c>
      <c r="BA97" s="15">
        <v>1</v>
      </c>
      <c r="BB97" s="16">
        <v>1</v>
      </c>
      <c r="BC97" s="15">
        <v>1</v>
      </c>
      <c r="BD97" s="15">
        <v>1</v>
      </c>
      <c r="BE97" s="15">
        <v>1</v>
      </c>
      <c r="BF97" s="16">
        <v>1</v>
      </c>
      <c r="BG97" s="15">
        <v>1</v>
      </c>
      <c r="BH97" s="15">
        <v>1</v>
      </c>
      <c r="BI97" s="15">
        <v>1</v>
      </c>
      <c r="BJ97" s="16">
        <v>1</v>
      </c>
      <c r="BK97" s="15" t="s">
        <v>437</v>
      </c>
      <c r="BL97" s="15" t="s">
        <v>437</v>
      </c>
      <c r="BM97" s="15" t="s">
        <v>437</v>
      </c>
      <c r="BN97" s="16" t="s">
        <v>437</v>
      </c>
      <c r="BP97" s="18">
        <v>8</v>
      </c>
      <c r="BQ97" s="15">
        <v>8</v>
      </c>
      <c r="BR97" s="15">
        <v>8</v>
      </c>
      <c r="BS97" s="16">
        <v>8</v>
      </c>
      <c r="BU97" s="18">
        <v>5</v>
      </c>
      <c r="BV97" s="15">
        <v>5</v>
      </c>
      <c r="BW97" s="15">
        <v>5</v>
      </c>
      <c r="BX97" s="16">
        <v>5</v>
      </c>
      <c r="BZ97" s="18">
        <v>2</v>
      </c>
      <c r="CA97" s="15">
        <v>2</v>
      </c>
      <c r="CB97" s="15">
        <v>2</v>
      </c>
      <c r="CC97" s="16">
        <v>2</v>
      </c>
    </row>
    <row r="98" spans="2:81" ht="18" customHeight="1" x14ac:dyDescent="0.2">
      <c r="B98" s="8">
        <f>garage!B98</f>
        <v>98</v>
      </c>
      <c r="C98" s="8">
        <f>garage!C98</f>
        <v>3</v>
      </c>
      <c r="D98" s="8">
        <f>garage!D98</f>
        <v>26</v>
      </c>
      <c r="E98" s="8">
        <f>garage!E98</f>
        <v>14</v>
      </c>
      <c r="F98" s="8" t="str">
        <f>garage!F98</f>
        <v>--</v>
      </c>
      <c r="G98" s="8" t="str">
        <f>garage!G98</f>
        <v>O</v>
      </c>
      <c r="H98" s="8" t="str">
        <f>garage!H98</f>
        <v>O</v>
      </c>
      <c r="I98" s="8" t="str">
        <f>garage!I98</f>
        <v>N</v>
      </c>
      <c r="J98" s="8" t="str">
        <f>garage!J98</f>
        <v>N</v>
      </c>
      <c r="K98" s="8" t="str">
        <f>garage!K98</f>
        <v>B</v>
      </c>
      <c r="L98" s="9" t="str">
        <f>garage!L98</f>
        <v>Apex</v>
      </c>
      <c r="M98" s="9" t="str">
        <f>garage!M98</f>
        <v>AP-0</v>
      </c>
      <c r="O98" s="17">
        <v>1</v>
      </c>
      <c r="P98" s="13">
        <v>1</v>
      </c>
      <c r="Q98" s="13">
        <v>1</v>
      </c>
      <c r="R98" s="14">
        <v>1</v>
      </c>
      <c r="S98" s="13">
        <v>1</v>
      </c>
      <c r="T98" s="13">
        <v>1</v>
      </c>
      <c r="U98" s="13">
        <v>1</v>
      </c>
      <c r="V98" s="14">
        <v>1</v>
      </c>
      <c r="W98" s="13">
        <v>1</v>
      </c>
      <c r="X98" s="13">
        <v>1</v>
      </c>
      <c r="Y98" s="13">
        <v>1</v>
      </c>
      <c r="Z98" s="14">
        <v>1</v>
      </c>
      <c r="AA98" s="13">
        <v>1</v>
      </c>
      <c r="AB98" s="13">
        <v>1</v>
      </c>
      <c r="AC98" s="13">
        <v>1</v>
      </c>
      <c r="AD98" s="14">
        <v>1</v>
      </c>
      <c r="AE98" s="13">
        <v>1</v>
      </c>
      <c r="AF98" s="13">
        <v>1</v>
      </c>
      <c r="AG98" s="13">
        <v>1</v>
      </c>
      <c r="AH98" s="14">
        <v>1</v>
      </c>
      <c r="AI98" s="13">
        <v>1</v>
      </c>
      <c r="AJ98" s="13">
        <v>1</v>
      </c>
      <c r="AK98" s="13">
        <v>1</v>
      </c>
      <c r="AL98" s="14">
        <v>1</v>
      </c>
      <c r="AM98" s="13">
        <v>1</v>
      </c>
      <c r="AN98" s="13">
        <v>1</v>
      </c>
      <c r="AO98" s="13">
        <v>1</v>
      </c>
      <c r="AP98" s="14">
        <v>1</v>
      </c>
      <c r="AQ98" s="13">
        <v>1</v>
      </c>
      <c r="AR98" s="13">
        <v>1</v>
      </c>
      <c r="AS98" s="13">
        <v>1</v>
      </c>
      <c r="AT98" s="14">
        <v>1</v>
      </c>
      <c r="AU98" s="13">
        <v>1</v>
      </c>
      <c r="AV98" s="13">
        <v>1</v>
      </c>
      <c r="AW98" s="13">
        <v>1</v>
      </c>
      <c r="AX98" s="14">
        <v>1</v>
      </c>
      <c r="AY98" s="13">
        <v>1</v>
      </c>
      <c r="AZ98" s="13">
        <v>1</v>
      </c>
      <c r="BA98" s="13">
        <v>1</v>
      </c>
      <c r="BB98" s="14">
        <v>1</v>
      </c>
      <c r="BC98" s="13">
        <v>1</v>
      </c>
      <c r="BD98" s="13">
        <v>1</v>
      </c>
      <c r="BE98" s="13">
        <v>1</v>
      </c>
      <c r="BF98" s="14">
        <v>1</v>
      </c>
      <c r="BG98" s="13">
        <v>1</v>
      </c>
      <c r="BH98" s="13">
        <v>1</v>
      </c>
      <c r="BI98" s="13">
        <v>1</v>
      </c>
      <c r="BJ98" s="14">
        <v>1</v>
      </c>
      <c r="BK98" s="13" t="s">
        <v>437</v>
      </c>
      <c r="BL98" s="13" t="s">
        <v>437</v>
      </c>
      <c r="BM98" s="13" t="s">
        <v>437</v>
      </c>
      <c r="BN98" s="14" t="s">
        <v>437</v>
      </c>
      <c r="BP98" s="17">
        <v>8</v>
      </c>
      <c r="BQ98" s="13">
        <v>8</v>
      </c>
      <c r="BR98" s="13">
        <v>8</v>
      </c>
      <c r="BS98" s="14">
        <v>8</v>
      </c>
      <c r="BU98" s="17">
        <v>5</v>
      </c>
      <c r="BV98" s="13">
        <v>5</v>
      </c>
      <c r="BW98" s="13">
        <v>5</v>
      </c>
      <c r="BX98" s="14">
        <v>5</v>
      </c>
      <c r="BZ98" s="17" t="s">
        <v>437</v>
      </c>
      <c r="CA98" s="13" t="s">
        <v>437</v>
      </c>
      <c r="CB98" s="13" t="s">
        <v>437</v>
      </c>
      <c r="CC98" s="14" t="s">
        <v>437</v>
      </c>
    </row>
    <row r="99" spans="2:81" ht="18" customHeight="1" x14ac:dyDescent="0.2">
      <c r="B99" s="10">
        <f>garage!B99</f>
        <v>99</v>
      </c>
      <c r="C99" s="10">
        <f>garage!C99</f>
        <v>3</v>
      </c>
      <c r="D99" s="10">
        <f>garage!D99</f>
        <v>27</v>
      </c>
      <c r="E99" s="10">
        <f>garage!E99</f>
        <v>16</v>
      </c>
      <c r="F99" s="10" t="str">
        <f>garage!F99</f>
        <v>--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garage!J99</f>
        <v>N</v>
      </c>
      <c r="K99" s="10" t="str">
        <f>garage!K99</f>
        <v>B</v>
      </c>
      <c r="L99" s="11" t="str">
        <f>garage!L99</f>
        <v>Apollo</v>
      </c>
      <c r="M99" s="11" t="str">
        <f>garage!M99</f>
        <v>IE</v>
      </c>
      <c r="O99" s="18" t="s">
        <v>437</v>
      </c>
      <c r="P99" s="15" t="s">
        <v>437</v>
      </c>
      <c r="Q99" s="15" t="s">
        <v>437</v>
      </c>
      <c r="R99" s="16" t="s">
        <v>437</v>
      </c>
      <c r="S99" s="15" t="s">
        <v>437</v>
      </c>
      <c r="T99" s="15" t="s">
        <v>437</v>
      </c>
      <c r="U99" s="15" t="s">
        <v>437</v>
      </c>
      <c r="V99" s="16" t="s">
        <v>437</v>
      </c>
      <c r="W99" s="15" t="s">
        <v>437</v>
      </c>
      <c r="X99" s="15" t="s">
        <v>437</v>
      </c>
      <c r="Y99" s="15" t="s">
        <v>437</v>
      </c>
      <c r="Z99" s="16" t="s">
        <v>437</v>
      </c>
      <c r="AA99" s="15" t="s">
        <v>437</v>
      </c>
      <c r="AB99" s="15" t="s">
        <v>437</v>
      </c>
      <c r="AC99" s="15" t="s">
        <v>437</v>
      </c>
      <c r="AD99" s="16" t="s">
        <v>437</v>
      </c>
      <c r="AE99" s="15" t="s">
        <v>437</v>
      </c>
      <c r="AF99" s="15" t="s">
        <v>437</v>
      </c>
      <c r="AG99" s="15" t="s">
        <v>437</v>
      </c>
      <c r="AH99" s="16" t="s">
        <v>437</v>
      </c>
      <c r="AI99" s="15" t="s">
        <v>437</v>
      </c>
      <c r="AJ99" s="15" t="s">
        <v>437</v>
      </c>
      <c r="AK99" s="15" t="s">
        <v>437</v>
      </c>
      <c r="AL99" s="16" t="s">
        <v>437</v>
      </c>
      <c r="AM99" s="15" t="s">
        <v>437</v>
      </c>
      <c r="AN99" s="15" t="s">
        <v>437</v>
      </c>
      <c r="AO99" s="15" t="s">
        <v>437</v>
      </c>
      <c r="AP99" s="16" t="s">
        <v>437</v>
      </c>
      <c r="AQ99" s="15" t="s">
        <v>437</v>
      </c>
      <c r="AR99" s="15" t="s">
        <v>437</v>
      </c>
      <c r="AS99" s="15" t="s">
        <v>437</v>
      </c>
      <c r="AT99" s="16" t="s">
        <v>437</v>
      </c>
      <c r="AU99" s="15" t="s">
        <v>437</v>
      </c>
      <c r="AV99" s="15" t="s">
        <v>437</v>
      </c>
      <c r="AW99" s="15" t="s">
        <v>437</v>
      </c>
      <c r="AX99" s="16" t="s">
        <v>437</v>
      </c>
      <c r="AY99" s="15" t="s">
        <v>437</v>
      </c>
      <c r="AZ99" s="15" t="s">
        <v>437</v>
      </c>
      <c r="BA99" s="15" t="s">
        <v>437</v>
      </c>
      <c r="BB99" s="16" t="s">
        <v>437</v>
      </c>
      <c r="BC99" s="15" t="s">
        <v>437</v>
      </c>
      <c r="BD99" s="15" t="s">
        <v>437</v>
      </c>
      <c r="BE99" s="15" t="s">
        <v>437</v>
      </c>
      <c r="BF99" s="16" t="s">
        <v>437</v>
      </c>
      <c r="BG99" s="15" t="s">
        <v>437</v>
      </c>
      <c r="BH99" s="15" t="s">
        <v>437</v>
      </c>
      <c r="BI99" s="15" t="s">
        <v>437</v>
      </c>
      <c r="BJ99" s="16" t="s">
        <v>437</v>
      </c>
      <c r="BK99" s="15" t="s">
        <v>437</v>
      </c>
      <c r="BL99" s="15" t="s">
        <v>437</v>
      </c>
      <c r="BM99" s="15" t="s">
        <v>437</v>
      </c>
      <c r="BN99" s="16" t="s">
        <v>437</v>
      </c>
      <c r="BP99" s="18" t="s">
        <v>437</v>
      </c>
      <c r="BQ99" s="15" t="s">
        <v>437</v>
      </c>
      <c r="BR99" s="15" t="s">
        <v>437</v>
      </c>
      <c r="BS99" s="16" t="s">
        <v>437</v>
      </c>
      <c r="BU99" s="18" t="s">
        <v>437</v>
      </c>
      <c r="BV99" s="15" t="s">
        <v>437</v>
      </c>
      <c r="BW99" s="15" t="s">
        <v>437</v>
      </c>
      <c r="BX99" s="16" t="s">
        <v>437</v>
      </c>
      <c r="BZ99" s="18" t="s">
        <v>437</v>
      </c>
      <c r="CA99" s="15" t="s">
        <v>437</v>
      </c>
      <c r="CB99" s="15" t="s">
        <v>437</v>
      </c>
      <c r="CC99" s="16" t="s">
        <v>437</v>
      </c>
    </row>
    <row r="100" spans="2:81" ht="18" customHeight="1" x14ac:dyDescent="0.2">
      <c r="B100" s="8">
        <f>garage!B100</f>
        <v>100</v>
      </c>
      <c r="C100" s="8">
        <f>garage!C100</f>
        <v>3</v>
      </c>
      <c r="D100" s="8">
        <f>garage!D100</f>
        <v>28</v>
      </c>
      <c r="E100" s="8">
        <f>garage!E100</f>
        <v>0</v>
      </c>
      <c r="F100" s="8" t="str">
        <f>garage!F100</f>
        <v>--</v>
      </c>
      <c r="G100" s="8" t="str">
        <f>garage!G100</f>
        <v>O</v>
      </c>
      <c r="H100" s="8" t="str">
        <f>garage!H100</f>
        <v>O</v>
      </c>
      <c r="I100" s="8" t="str">
        <f>garage!I100</f>
        <v>O</v>
      </c>
      <c r="J100" s="8" t="str">
        <f>garage!J100</f>
        <v>N</v>
      </c>
      <c r="K100" s="8" t="str">
        <f>garage!K100</f>
        <v>B</v>
      </c>
      <c r="L100" s="9" t="str">
        <f>garage!L100</f>
        <v>Sin</v>
      </c>
      <c r="M100" s="9" t="str">
        <f>garage!M100</f>
        <v>R1 550</v>
      </c>
      <c r="O100" s="17">
        <v>1</v>
      </c>
      <c r="P100" s="13">
        <v>1</v>
      </c>
      <c r="Q100" s="13">
        <v>1</v>
      </c>
      <c r="R100" s="14">
        <v>1</v>
      </c>
      <c r="S100" s="13">
        <v>1</v>
      </c>
      <c r="T100" s="13">
        <v>1</v>
      </c>
      <c r="U100" s="13">
        <v>1</v>
      </c>
      <c r="V100" s="14">
        <v>1</v>
      </c>
      <c r="W100" s="13">
        <v>1</v>
      </c>
      <c r="X100" s="13">
        <v>1</v>
      </c>
      <c r="Y100" s="13">
        <v>1</v>
      </c>
      <c r="Z100" s="14">
        <v>1</v>
      </c>
      <c r="AA100" s="13">
        <v>1</v>
      </c>
      <c r="AB100" s="13">
        <v>1</v>
      </c>
      <c r="AC100" s="13">
        <v>1</v>
      </c>
      <c r="AD100" s="14">
        <v>1</v>
      </c>
      <c r="AE100" s="13">
        <v>1</v>
      </c>
      <c r="AF100" s="13">
        <v>1</v>
      </c>
      <c r="AG100" s="13">
        <v>1</v>
      </c>
      <c r="AH100" s="14">
        <v>1</v>
      </c>
      <c r="AI100" s="13">
        <v>1</v>
      </c>
      <c r="AJ100" s="13">
        <v>1</v>
      </c>
      <c r="AK100" s="13">
        <v>1</v>
      </c>
      <c r="AL100" s="14">
        <v>1</v>
      </c>
      <c r="AM100" s="13">
        <v>1</v>
      </c>
      <c r="AN100" s="13">
        <v>1</v>
      </c>
      <c r="AO100" s="13">
        <v>1</v>
      </c>
      <c r="AP100" s="14">
        <v>1</v>
      </c>
      <c r="AQ100" s="13">
        <v>1</v>
      </c>
      <c r="AR100" s="13">
        <v>1</v>
      </c>
      <c r="AS100" s="13">
        <v>1</v>
      </c>
      <c r="AT100" s="14">
        <v>1</v>
      </c>
      <c r="AU100" s="13">
        <v>1</v>
      </c>
      <c r="AV100" s="13">
        <v>1</v>
      </c>
      <c r="AW100" s="13">
        <v>1</v>
      </c>
      <c r="AX100" s="14">
        <v>1</v>
      </c>
      <c r="AY100" s="13">
        <v>1</v>
      </c>
      <c r="AZ100" s="13">
        <v>1</v>
      </c>
      <c r="BA100" s="13">
        <v>1</v>
      </c>
      <c r="BB100" s="14">
        <v>1</v>
      </c>
      <c r="BC100" s="13">
        <v>1</v>
      </c>
      <c r="BD100" s="13">
        <v>1</v>
      </c>
      <c r="BE100" s="13">
        <v>1</v>
      </c>
      <c r="BF100" s="14">
        <v>1</v>
      </c>
      <c r="BG100" s="13">
        <v>1</v>
      </c>
      <c r="BH100" s="13">
        <v>1</v>
      </c>
      <c r="BI100" s="13">
        <v>1</v>
      </c>
      <c r="BJ100" s="14">
        <v>1</v>
      </c>
      <c r="BK100" s="13" t="s">
        <v>437</v>
      </c>
      <c r="BL100" s="13" t="s">
        <v>437</v>
      </c>
      <c r="BM100" s="13" t="s">
        <v>437</v>
      </c>
      <c r="BN100" s="14" t="s">
        <v>437</v>
      </c>
      <c r="BP100" s="17">
        <v>8</v>
      </c>
      <c r="BQ100" s="13">
        <v>8</v>
      </c>
      <c r="BR100" s="13">
        <v>8</v>
      </c>
      <c r="BS100" s="14">
        <v>8</v>
      </c>
      <c r="BU100" s="17">
        <v>5</v>
      </c>
      <c r="BV100" s="13">
        <v>5</v>
      </c>
      <c r="BW100" s="13">
        <v>5</v>
      </c>
      <c r="BX100" s="14">
        <v>5</v>
      </c>
      <c r="BZ100" s="17">
        <v>2</v>
      </c>
      <c r="CA100" s="13">
        <v>2</v>
      </c>
      <c r="CB100" s="13">
        <v>2</v>
      </c>
      <c r="CC100" s="14">
        <v>2</v>
      </c>
    </row>
    <row r="101" spans="2:81" ht="18" customHeight="1" x14ac:dyDescent="0.2">
      <c r="B101" s="10">
        <f>garage!B101</f>
        <v>101</v>
      </c>
      <c r="C101" s="10">
        <f>garage!C101</f>
        <v>3</v>
      </c>
      <c r="D101" s="10">
        <f>garage!D101</f>
        <v>29</v>
      </c>
      <c r="E101" s="10">
        <f>garage!E101</f>
        <v>25</v>
      </c>
      <c r="F101" s="10" t="str">
        <f>garage!F101</f>
        <v>L</v>
      </c>
      <c r="G101" s="10" t="str">
        <f>garage!G101</f>
        <v>O</v>
      </c>
      <c r="H101" s="10" t="str">
        <f>garage!H101</f>
        <v>N</v>
      </c>
      <c r="I101" s="10" t="str">
        <f>garage!I101</f>
        <v>N</v>
      </c>
      <c r="J101" s="10" t="str">
        <f>garage!J101</f>
        <v>N</v>
      </c>
      <c r="K101" s="10" t="str">
        <f>garage!K101</f>
        <v>B</v>
      </c>
      <c r="L101" s="11" t="str">
        <f>garage!L101</f>
        <v>Lamborghini</v>
      </c>
      <c r="M101" s="11" t="str">
        <f>garage!M101</f>
        <v>Reventón Roadster</v>
      </c>
      <c r="O101" s="18">
        <v>1</v>
      </c>
      <c r="P101" s="15">
        <v>1</v>
      </c>
      <c r="Q101" s="15">
        <v>1</v>
      </c>
      <c r="R101" s="16">
        <v>1</v>
      </c>
      <c r="S101" s="15">
        <v>1</v>
      </c>
      <c r="T101" s="15">
        <v>1</v>
      </c>
      <c r="U101" s="15">
        <v>1</v>
      </c>
      <c r="V101" s="16">
        <v>1</v>
      </c>
      <c r="W101" s="15">
        <v>1</v>
      </c>
      <c r="X101" s="15">
        <v>1</v>
      </c>
      <c r="Y101" s="15">
        <v>1</v>
      </c>
      <c r="Z101" s="16">
        <v>1</v>
      </c>
      <c r="AA101" s="15">
        <v>1</v>
      </c>
      <c r="AB101" s="15">
        <v>1</v>
      </c>
      <c r="AC101" s="15">
        <v>1</v>
      </c>
      <c r="AD101" s="16">
        <v>1</v>
      </c>
      <c r="AE101" s="15">
        <v>1</v>
      </c>
      <c r="AF101" s="15">
        <v>1</v>
      </c>
      <c r="AG101" s="15">
        <v>1</v>
      </c>
      <c r="AH101" s="16">
        <v>1</v>
      </c>
      <c r="AI101" s="15">
        <v>1</v>
      </c>
      <c r="AJ101" s="15">
        <v>1</v>
      </c>
      <c r="AK101" s="15">
        <v>1</v>
      </c>
      <c r="AL101" s="16">
        <v>1</v>
      </c>
      <c r="AM101" s="15" t="s">
        <v>437</v>
      </c>
      <c r="AN101" s="15" t="s">
        <v>437</v>
      </c>
      <c r="AO101" s="15" t="s">
        <v>437</v>
      </c>
      <c r="AP101" s="16" t="s">
        <v>437</v>
      </c>
      <c r="AQ101" s="15" t="s">
        <v>437</v>
      </c>
      <c r="AR101" s="15" t="s">
        <v>437</v>
      </c>
      <c r="AS101" s="15" t="s">
        <v>437</v>
      </c>
      <c r="AT101" s="16" t="s">
        <v>437</v>
      </c>
      <c r="AU101" s="15" t="s">
        <v>437</v>
      </c>
      <c r="AV101" s="15" t="s">
        <v>437</v>
      </c>
      <c r="AW101" s="15" t="s">
        <v>437</v>
      </c>
      <c r="AX101" s="16" t="s">
        <v>437</v>
      </c>
      <c r="AY101" s="15" t="s">
        <v>437</v>
      </c>
      <c r="AZ101" s="15" t="s">
        <v>437</v>
      </c>
      <c r="BA101" s="15" t="s">
        <v>437</v>
      </c>
      <c r="BB101" s="16" t="s">
        <v>437</v>
      </c>
      <c r="BC101" s="15" t="s">
        <v>437</v>
      </c>
      <c r="BD101" s="15" t="s">
        <v>437</v>
      </c>
      <c r="BE101" s="15" t="s">
        <v>437</v>
      </c>
      <c r="BF101" s="16" t="s">
        <v>437</v>
      </c>
      <c r="BG101" s="15" t="s">
        <v>437</v>
      </c>
      <c r="BH101" s="15" t="s">
        <v>437</v>
      </c>
      <c r="BI101" s="15" t="s">
        <v>437</v>
      </c>
      <c r="BJ101" s="16" t="s">
        <v>437</v>
      </c>
      <c r="BK101" s="15" t="s">
        <v>437</v>
      </c>
      <c r="BL101" s="15" t="s">
        <v>437</v>
      </c>
      <c r="BM101" s="15" t="s">
        <v>437</v>
      </c>
      <c r="BN101" s="16" t="s">
        <v>437</v>
      </c>
      <c r="BP101" s="18">
        <v>6</v>
      </c>
      <c r="BQ101" s="15">
        <v>4</v>
      </c>
      <c r="BR101" s="15">
        <v>4</v>
      </c>
      <c r="BS101" s="16">
        <v>6</v>
      </c>
      <c r="BU101" s="18" t="s">
        <v>437</v>
      </c>
      <c r="BV101" s="15">
        <v>1</v>
      </c>
      <c r="BW101" s="15">
        <v>1</v>
      </c>
      <c r="BX101" s="16" t="s">
        <v>437</v>
      </c>
      <c r="BZ101" s="18" t="s">
        <v>437</v>
      </c>
      <c r="CA101" s="15" t="s">
        <v>437</v>
      </c>
      <c r="CB101" s="15" t="s">
        <v>437</v>
      </c>
      <c r="CC101" s="16" t="s">
        <v>437</v>
      </c>
    </row>
    <row r="102" spans="2:81" ht="18" customHeight="1" x14ac:dyDescent="0.2">
      <c r="B102" s="8">
        <f>garage!B102</f>
        <v>102</v>
      </c>
      <c r="C102" s="8">
        <f>garage!C102</f>
        <v>3</v>
      </c>
      <c r="D102" s="8">
        <f>garage!D102</f>
        <v>30</v>
      </c>
      <c r="E102" s="8">
        <f>garage!E102</f>
        <v>15</v>
      </c>
      <c r="F102" s="8" t="str">
        <f>garage!F102</f>
        <v>F</v>
      </c>
      <c r="G102" s="8" t="str">
        <f>garage!G102</f>
        <v>O</v>
      </c>
      <c r="H102" s="8" t="str">
        <f>garage!H102</f>
        <v>O</v>
      </c>
      <c r="I102" s="8" t="str">
        <f>garage!I102</f>
        <v>N</v>
      </c>
      <c r="J102" s="8" t="str">
        <f>garage!J102</f>
        <v>N</v>
      </c>
      <c r="K102" s="8" t="str">
        <f>garage!K102</f>
        <v>B</v>
      </c>
      <c r="L102" s="9" t="str">
        <f>garage!L102</f>
        <v>Ferrari</v>
      </c>
      <c r="M102" s="9" t="str">
        <f>garage!M102</f>
        <v>Enzo Ferrari</v>
      </c>
      <c r="O102" s="17">
        <v>1</v>
      </c>
      <c r="P102" s="13">
        <v>1</v>
      </c>
      <c r="Q102" s="13">
        <v>1</v>
      </c>
      <c r="R102" s="14">
        <v>1</v>
      </c>
      <c r="S102" s="13">
        <v>1</v>
      </c>
      <c r="T102" s="13">
        <v>1</v>
      </c>
      <c r="U102" s="13">
        <v>1</v>
      </c>
      <c r="V102" s="14">
        <v>1</v>
      </c>
      <c r="W102" s="13">
        <v>1</v>
      </c>
      <c r="X102" s="13">
        <v>1</v>
      </c>
      <c r="Y102" s="13">
        <v>1</v>
      </c>
      <c r="Z102" s="14">
        <v>1</v>
      </c>
      <c r="AA102" s="13">
        <v>1</v>
      </c>
      <c r="AB102" s="13">
        <v>1</v>
      </c>
      <c r="AC102" s="13">
        <v>1</v>
      </c>
      <c r="AD102" s="14">
        <v>1</v>
      </c>
      <c r="AE102" s="13">
        <v>1</v>
      </c>
      <c r="AF102" s="13">
        <v>1</v>
      </c>
      <c r="AG102" s="13">
        <v>1</v>
      </c>
      <c r="AH102" s="14">
        <v>1</v>
      </c>
      <c r="AI102" s="13">
        <v>1</v>
      </c>
      <c r="AJ102" s="13">
        <v>1</v>
      </c>
      <c r="AK102" s="13">
        <v>1</v>
      </c>
      <c r="AL102" s="14">
        <v>1</v>
      </c>
      <c r="AM102" s="13">
        <v>1</v>
      </c>
      <c r="AN102" s="13">
        <v>1</v>
      </c>
      <c r="AO102" s="13">
        <v>1</v>
      </c>
      <c r="AP102" s="14">
        <v>1</v>
      </c>
      <c r="AQ102" s="13">
        <v>1</v>
      </c>
      <c r="AR102" s="13">
        <v>1</v>
      </c>
      <c r="AS102" s="13">
        <v>1</v>
      </c>
      <c r="AT102" s="14">
        <v>1</v>
      </c>
      <c r="AU102" s="13">
        <v>1</v>
      </c>
      <c r="AV102" s="13">
        <v>1</v>
      </c>
      <c r="AW102" s="13">
        <v>1</v>
      </c>
      <c r="AX102" s="14">
        <v>1</v>
      </c>
      <c r="AY102" s="13">
        <v>1</v>
      </c>
      <c r="AZ102" s="13">
        <v>1</v>
      </c>
      <c r="BA102" s="13">
        <v>1</v>
      </c>
      <c r="BB102" s="14">
        <v>1</v>
      </c>
      <c r="BC102" s="13">
        <v>1</v>
      </c>
      <c r="BD102" s="13">
        <v>1</v>
      </c>
      <c r="BE102" s="13">
        <v>1</v>
      </c>
      <c r="BF102" s="14">
        <v>1</v>
      </c>
      <c r="BG102" s="13">
        <v>1</v>
      </c>
      <c r="BH102" s="13">
        <v>1</v>
      </c>
      <c r="BI102" s="13">
        <v>1</v>
      </c>
      <c r="BJ102" s="14">
        <v>1</v>
      </c>
      <c r="BK102" s="13" t="s">
        <v>437</v>
      </c>
      <c r="BL102" s="13" t="s">
        <v>437</v>
      </c>
      <c r="BM102" s="13" t="s">
        <v>437</v>
      </c>
      <c r="BN102" s="14" t="s">
        <v>437</v>
      </c>
      <c r="BP102" s="17">
        <v>8</v>
      </c>
      <c r="BQ102" s="13">
        <v>8</v>
      </c>
      <c r="BR102" s="13">
        <v>8</v>
      </c>
      <c r="BS102" s="14">
        <v>8</v>
      </c>
      <c r="BU102" s="17">
        <v>5</v>
      </c>
      <c r="BV102" s="13">
        <v>5</v>
      </c>
      <c r="BW102" s="13">
        <v>5</v>
      </c>
      <c r="BX102" s="14">
        <v>5</v>
      </c>
      <c r="BZ102" s="17">
        <v>1</v>
      </c>
      <c r="CA102" s="13">
        <v>2</v>
      </c>
      <c r="CB102" s="13">
        <v>2</v>
      </c>
      <c r="CC102" s="14">
        <v>0</v>
      </c>
    </row>
    <row r="103" spans="2:81" ht="18" customHeight="1" x14ac:dyDescent="0.2">
      <c r="B103" s="10">
        <f>garage!B103</f>
        <v>103</v>
      </c>
      <c r="C103" s="10">
        <f>garage!C103</f>
        <v>3</v>
      </c>
      <c r="D103" s="10">
        <f>garage!D103</f>
        <v>31</v>
      </c>
      <c r="E103" s="10">
        <f>garage!E103</f>
        <v>23</v>
      </c>
      <c r="F103" s="10" t="str">
        <f>garage!F103</f>
        <v>AM</v>
      </c>
      <c r="G103" s="10" t="str">
        <f>garage!G103</f>
        <v>O</v>
      </c>
      <c r="H103" s="10" t="str">
        <f>garage!H103</f>
        <v>N</v>
      </c>
      <c r="I103" s="10" t="str">
        <f>garage!I103</f>
        <v>N</v>
      </c>
      <c r="J103" s="10" t="str">
        <f>garage!J103</f>
        <v>N</v>
      </c>
      <c r="K103" s="10" t="str">
        <f>garage!K103</f>
        <v>B</v>
      </c>
      <c r="L103" s="11" t="str">
        <f>garage!L103</f>
        <v>Aston Martin</v>
      </c>
      <c r="M103" s="11" t="str">
        <f>garage!M103</f>
        <v>One77</v>
      </c>
      <c r="O103" s="18">
        <v>1</v>
      </c>
      <c r="P103" s="15">
        <v>1</v>
      </c>
      <c r="Q103" s="15">
        <v>1</v>
      </c>
      <c r="R103" s="16">
        <v>1</v>
      </c>
      <c r="S103" s="15">
        <v>1</v>
      </c>
      <c r="T103" s="15">
        <v>1</v>
      </c>
      <c r="U103" s="15">
        <v>1</v>
      </c>
      <c r="V103" s="16">
        <v>1</v>
      </c>
      <c r="W103" s="15">
        <v>1</v>
      </c>
      <c r="X103" s="15">
        <v>1</v>
      </c>
      <c r="Y103" s="15">
        <v>1</v>
      </c>
      <c r="Z103" s="16">
        <v>1</v>
      </c>
      <c r="AA103" s="15" t="s">
        <v>437</v>
      </c>
      <c r="AB103" s="15" t="s">
        <v>437</v>
      </c>
      <c r="AC103" s="15" t="s">
        <v>437</v>
      </c>
      <c r="AD103" s="16" t="s">
        <v>437</v>
      </c>
      <c r="AE103" s="15" t="s">
        <v>437</v>
      </c>
      <c r="AF103" s="15" t="s">
        <v>437</v>
      </c>
      <c r="AG103" s="15" t="s">
        <v>437</v>
      </c>
      <c r="AH103" s="16" t="s">
        <v>437</v>
      </c>
      <c r="AI103" s="15" t="s">
        <v>437</v>
      </c>
      <c r="AJ103" s="15" t="s">
        <v>437</v>
      </c>
      <c r="AK103" s="15" t="s">
        <v>437</v>
      </c>
      <c r="AL103" s="16" t="s">
        <v>437</v>
      </c>
      <c r="AM103" s="15" t="s">
        <v>437</v>
      </c>
      <c r="AN103" s="15" t="s">
        <v>437</v>
      </c>
      <c r="AO103" s="15" t="s">
        <v>437</v>
      </c>
      <c r="AP103" s="16" t="s">
        <v>437</v>
      </c>
      <c r="AQ103" s="15" t="s">
        <v>437</v>
      </c>
      <c r="AR103" s="15" t="s">
        <v>437</v>
      </c>
      <c r="AS103" s="15" t="s">
        <v>437</v>
      </c>
      <c r="AT103" s="16" t="s">
        <v>437</v>
      </c>
      <c r="AU103" s="15" t="s">
        <v>437</v>
      </c>
      <c r="AV103" s="15" t="s">
        <v>437</v>
      </c>
      <c r="AW103" s="15" t="s">
        <v>437</v>
      </c>
      <c r="AX103" s="16" t="s">
        <v>437</v>
      </c>
      <c r="AY103" s="15" t="s">
        <v>437</v>
      </c>
      <c r="AZ103" s="15" t="s">
        <v>437</v>
      </c>
      <c r="BA103" s="15" t="s">
        <v>437</v>
      </c>
      <c r="BB103" s="16" t="s">
        <v>437</v>
      </c>
      <c r="BC103" s="15" t="s">
        <v>437</v>
      </c>
      <c r="BD103" s="15" t="s">
        <v>437</v>
      </c>
      <c r="BE103" s="15" t="s">
        <v>437</v>
      </c>
      <c r="BF103" s="16" t="s">
        <v>437</v>
      </c>
      <c r="BG103" s="15" t="s">
        <v>437</v>
      </c>
      <c r="BH103" s="15" t="s">
        <v>437</v>
      </c>
      <c r="BI103" s="15" t="s">
        <v>437</v>
      </c>
      <c r="BJ103" s="16" t="s">
        <v>437</v>
      </c>
      <c r="BK103" s="15" t="s">
        <v>437</v>
      </c>
      <c r="BL103" s="15" t="s">
        <v>437</v>
      </c>
      <c r="BM103" s="15" t="s">
        <v>437</v>
      </c>
      <c r="BN103" s="16" t="s">
        <v>437</v>
      </c>
      <c r="BP103" s="18">
        <v>3</v>
      </c>
      <c r="BQ103" s="15">
        <v>2</v>
      </c>
      <c r="BR103" s="15">
        <v>2</v>
      </c>
      <c r="BS103" s="16">
        <v>3</v>
      </c>
      <c r="BU103" s="18" t="s">
        <v>437</v>
      </c>
      <c r="BV103" s="15" t="s">
        <v>437</v>
      </c>
      <c r="BW103" s="15" t="s">
        <v>437</v>
      </c>
      <c r="BX103" s="16" t="s">
        <v>437</v>
      </c>
      <c r="BZ103" s="18" t="s">
        <v>437</v>
      </c>
      <c r="CA103" s="15" t="s">
        <v>437</v>
      </c>
      <c r="CB103" s="15" t="s">
        <v>437</v>
      </c>
      <c r="CC103" s="16" t="s">
        <v>437</v>
      </c>
    </row>
    <row r="104" spans="2:81" ht="18" customHeight="1" x14ac:dyDescent="0.2">
      <c r="B104" s="8">
        <f>garage!B104</f>
        <v>104</v>
      </c>
      <c r="C104" s="8">
        <f>garage!C104</f>
        <v>3</v>
      </c>
      <c r="D104" s="8">
        <f>garage!D104</f>
        <v>32</v>
      </c>
      <c r="E104" s="8">
        <f>garage!E104</f>
        <v>0</v>
      </c>
      <c r="F104" s="8" t="str">
        <f>garage!F104</f>
        <v>--</v>
      </c>
      <c r="G104" s="8" t="str">
        <f>garage!G104</f>
        <v>O</v>
      </c>
      <c r="H104" s="8" t="str">
        <f>garage!H104</f>
        <v>O</v>
      </c>
      <c r="I104" s="8" t="str">
        <f>garage!I104</f>
        <v>O</v>
      </c>
      <c r="J104" s="8" t="str">
        <f>garage!J104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N</v>
      </c>
      <c r="O104" s="17">
        <v>1</v>
      </c>
      <c r="P104" s="13">
        <v>1</v>
      </c>
      <c r="Q104" s="13">
        <v>1</v>
      </c>
      <c r="R104" s="14">
        <v>1</v>
      </c>
      <c r="S104" s="13">
        <v>1</v>
      </c>
      <c r="T104" s="13">
        <v>1</v>
      </c>
      <c r="U104" s="13">
        <v>1</v>
      </c>
      <c r="V104" s="14">
        <v>1</v>
      </c>
      <c r="W104" s="13">
        <v>1</v>
      </c>
      <c r="X104" s="13">
        <v>1</v>
      </c>
      <c r="Y104" s="13">
        <v>1</v>
      </c>
      <c r="Z104" s="14">
        <v>1</v>
      </c>
      <c r="AA104" s="13">
        <v>1</v>
      </c>
      <c r="AB104" s="13">
        <v>1</v>
      </c>
      <c r="AC104" s="13">
        <v>1</v>
      </c>
      <c r="AD104" s="14">
        <v>1</v>
      </c>
      <c r="AE104" s="13">
        <v>1</v>
      </c>
      <c r="AF104" s="13">
        <v>1</v>
      </c>
      <c r="AG104" s="13">
        <v>1</v>
      </c>
      <c r="AH104" s="14">
        <v>1</v>
      </c>
      <c r="AI104" s="13">
        <v>1</v>
      </c>
      <c r="AJ104" s="13">
        <v>1</v>
      </c>
      <c r="AK104" s="13">
        <v>1</v>
      </c>
      <c r="AL104" s="14">
        <v>1</v>
      </c>
      <c r="AM104" s="13">
        <v>1</v>
      </c>
      <c r="AN104" s="13">
        <v>1</v>
      </c>
      <c r="AO104" s="13">
        <v>1</v>
      </c>
      <c r="AP104" s="14">
        <v>1</v>
      </c>
      <c r="AQ104" s="13">
        <v>1</v>
      </c>
      <c r="AR104" s="13">
        <v>1</v>
      </c>
      <c r="AS104" s="13">
        <v>1</v>
      </c>
      <c r="AT104" s="14">
        <v>1</v>
      </c>
      <c r="AU104" s="13">
        <v>1</v>
      </c>
      <c r="AV104" s="13">
        <v>1</v>
      </c>
      <c r="AW104" s="13">
        <v>1</v>
      </c>
      <c r="AX104" s="14">
        <v>1</v>
      </c>
      <c r="AY104" s="13">
        <v>1</v>
      </c>
      <c r="AZ104" s="13">
        <v>1</v>
      </c>
      <c r="BA104" s="13">
        <v>1</v>
      </c>
      <c r="BB104" s="14">
        <v>1</v>
      </c>
      <c r="BC104" s="13">
        <v>1</v>
      </c>
      <c r="BD104" s="13">
        <v>1</v>
      </c>
      <c r="BE104" s="13">
        <v>1</v>
      </c>
      <c r="BF104" s="14">
        <v>1</v>
      </c>
      <c r="BG104" s="13">
        <v>1</v>
      </c>
      <c r="BH104" s="13">
        <v>1</v>
      </c>
      <c r="BI104" s="13">
        <v>1</v>
      </c>
      <c r="BJ104" s="14">
        <v>1</v>
      </c>
      <c r="BK104" s="13" t="s">
        <v>437</v>
      </c>
      <c r="BL104" s="13" t="s">
        <v>437</v>
      </c>
      <c r="BM104" s="13" t="s">
        <v>437</v>
      </c>
      <c r="BN104" s="14" t="s">
        <v>437</v>
      </c>
      <c r="BP104" s="17">
        <v>8</v>
      </c>
      <c r="BQ104" s="13">
        <v>8</v>
      </c>
      <c r="BR104" s="13">
        <v>8</v>
      </c>
      <c r="BS104" s="14">
        <v>8</v>
      </c>
      <c r="BU104" s="17">
        <v>5</v>
      </c>
      <c r="BV104" s="13">
        <v>5</v>
      </c>
      <c r="BW104" s="13">
        <v>5</v>
      </c>
      <c r="BX104" s="14">
        <v>5</v>
      </c>
      <c r="BZ104" s="17">
        <v>2</v>
      </c>
      <c r="CA104" s="13">
        <v>2</v>
      </c>
      <c r="CB104" s="13">
        <v>2</v>
      </c>
      <c r="CC104" s="14">
        <v>2</v>
      </c>
    </row>
    <row r="105" spans="2:81" ht="18" customHeight="1" x14ac:dyDescent="0.2">
      <c r="B105" s="10">
        <f>garage!B105</f>
        <v>105</v>
      </c>
      <c r="C105" s="10">
        <f>garage!C105</f>
        <v>3</v>
      </c>
      <c r="D105" s="10">
        <f>garage!D105</f>
        <v>33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N</v>
      </c>
      <c r="J105" s="10" t="str">
        <f>garage!J105</f>
        <v>N</v>
      </c>
      <c r="K105" s="10" t="str">
        <f>garage!K105</f>
        <v>B</v>
      </c>
      <c r="L105" s="11" t="str">
        <f>garage!L105</f>
        <v>Mercedes-Benz</v>
      </c>
      <c r="M105" s="11" t="str">
        <f>garage!M105</f>
        <v>SLR McLaren</v>
      </c>
      <c r="O105" s="18">
        <v>1</v>
      </c>
      <c r="P105" s="15">
        <v>1</v>
      </c>
      <c r="Q105" s="15">
        <v>1</v>
      </c>
      <c r="R105" s="16">
        <v>1</v>
      </c>
      <c r="S105" s="15">
        <v>1</v>
      </c>
      <c r="T105" s="15">
        <v>1</v>
      </c>
      <c r="U105" s="15">
        <v>1</v>
      </c>
      <c r="V105" s="16">
        <v>1</v>
      </c>
      <c r="W105" s="15">
        <v>1</v>
      </c>
      <c r="X105" s="15">
        <v>1</v>
      </c>
      <c r="Y105" s="15">
        <v>1</v>
      </c>
      <c r="Z105" s="16">
        <v>1</v>
      </c>
      <c r="AA105" s="15">
        <v>1</v>
      </c>
      <c r="AB105" s="15">
        <v>1</v>
      </c>
      <c r="AC105" s="15">
        <v>1</v>
      </c>
      <c r="AD105" s="16">
        <v>1</v>
      </c>
      <c r="AE105" s="15">
        <v>1</v>
      </c>
      <c r="AF105" s="15">
        <v>1</v>
      </c>
      <c r="AG105" s="15">
        <v>1</v>
      </c>
      <c r="AH105" s="16">
        <v>1</v>
      </c>
      <c r="AI105" s="15">
        <v>1</v>
      </c>
      <c r="AJ105" s="15">
        <v>1</v>
      </c>
      <c r="AK105" s="15">
        <v>1</v>
      </c>
      <c r="AL105" s="16">
        <v>1</v>
      </c>
      <c r="AM105" s="15">
        <v>1</v>
      </c>
      <c r="AN105" s="15">
        <v>1</v>
      </c>
      <c r="AO105" s="15">
        <v>1</v>
      </c>
      <c r="AP105" s="16">
        <v>1</v>
      </c>
      <c r="AQ105" s="15">
        <v>1</v>
      </c>
      <c r="AR105" s="15">
        <v>1</v>
      </c>
      <c r="AS105" s="15">
        <v>1</v>
      </c>
      <c r="AT105" s="16">
        <v>1</v>
      </c>
      <c r="AU105" s="15">
        <v>1</v>
      </c>
      <c r="AV105" s="15">
        <v>1</v>
      </c>
      <c r="AW105" s="15">
        <v>1</v>
      </c>
      <c r="AX105" s="16">
        <v>1</v>
      </c>
      <c r="AY105" s="15">
        <v>1</v>
      </c>
      <c r="AZ105" s="15">
        <v>1</v>
      </c>
      <c r="BA105" s="15">
        <v>1</v>
      </c>
      <c r="BB105" s="16">
        <v>1</v>
      </c>
      <c r="BC105" s="15">
        <v>1</v>
      </c>
      <c r="BD105" s="15">
        <v>1</v>
      </c>
      <c r="BE105" s="15">
        <v>1</v>
      </c>
      <c r="BF105" s="16">
        <v>1</v>
      </c>
      <c r="BG105" s="15">
        <v>1</v>
      </c>
      <c r="BH105" s="15">
        <v>1</v>
      </c>
      <c r="BI105" s="15">
        <v>1</v>
      </c>
      <c r="BJ105" s="16">
        <v>1</v>
      </c>
      <c r="BK105" s="15" t="s">
        <v>437</v>
      </c>
      <c r="BL105" s="15" t="s">
        <v>437</v>
      </c>
      <c r="BM105" s="15" t="s">
        <v>437</v>
      </c>
      <c r="BN105" s="16" t="s">
        <v>437</v>
      </c>
      <c r="BP105" s="18">
        <v>8</v>
      </c>
      <c r="BQ105" s="15">
        <v>8</v>
      </c>
      <c r="BR105" s="15">
        <v>8</v>
      </c>
      <c r="BS105" s="16">
        <v>8</v>
      </c>
      <c r="BU105" s="18">
        <v>5</v>
      </c>
      <c r="BV105" s="15">
        <v>5</v>
      </c>
      <c r="BW105" s="15">
        <v>5</v>
      </c>
      <c r="BX105" s="16">
        <v>5</v>
      </c>
      <c r="BZ105" s="18">
        <v>2</v>
      </c>
      <c r="CA105" s="15">
        <v>1</v>
      </c>
      <c r="CB105" s="15">
        <v>0</v>
      </c>
      <c r="CC105" s="16">
        <v>0</v>
      </c>
    </row>
    <row r="106" spans="2:81" ht="18" customHeight="1" x14ac:dyDescent="0.2">
      <c r="B106" s="8">
        <f>garage!B106</f>
        <v>106</v>
      </c>
      <c r="C106" s="8">
        <f>garage!C106</f>
        <v>3</v>
      </c>
      <c r="D106" s="8">
        <f>garage!D106</f>
        <v>34</v>
      </c>
      <c r="E106" s="8">
        <f>garage!E106</f>
        <v>8</v>
      </c>
      <c r="F106" s="8" t="str">
        <f>garage!F106</f>
        <v>AM</v>
      </c>
      <c r="G106" s="8" t="str">
        <f>garage!G106</f>
        <v>O</v>
      </c>
      <c r="H106" s="8" t="str">
        <f>garage!H106</f>
        <v>O</v>
      </c>
      <c r="I106" s="8" t="str">
        <f>garage!I106</f>
        <v>O</v>
      </c>
      <c r="J106" s="8" t="str">
        <f>garage!J106</f>
        <v>N</v>
      </c>
      <c r="K106" s="8" t="str">
        <f>garage!K106</f>
        <v>B</v>
      </c>
      <c r="L106" s="9" t="str">
        <f>garage!L106</f>
        <v>Aston Martin</v>
      </c>
      <c r="M106" s="9" t="str">
        <f>garage!M106</f>
        <v>DBS Superleggera</v>
      </c>
      <c r="O106" s="17">
        <v>1</v>
      </c>
      <c r="P106" s="13">
        <v>1</v>
      </c>
      <c r="Q106" s="13">
        <v>1</v>
      </c>
      <c r="R106" s="14">
        <v>1</v>
      </c>
      <c r="S106" s="13">
        <v>1</v>
      </c>
      <c r="T106" s="13">
        <v>1</v>
      </c>
      <c r="U106" s="13">
        <v>1</v>
      </c>
      <c r="V106" s="14">
        <v>1</v>
      </c>
      <c r="W106" s="13">
        <v>1</v>
      </c>
      <c r="X106" s="13">
        <v>1</v>
      </c>
      <c r="Y106" s="13">
        <v>1</v>
      </c>
      <c r="Z106" s="14">
        <v>1</v>
      </c>
      <c r="AA106" s="13">
        <v>1</v>
      </c>
      <c r="AB106" s="13">
        <v>1</v>
      </c>
      <c r="AC106" s="13">
        <v>1</v>
      </c>
      <c r="AD106" s="14">
        <v>1</v>
      </c>
      <c r="AE106" s="13">
        <v>1</v>
      </c>
      <c r="AF106" s="13">
        <v>1</v>
      </c>
      <c r="AG106" s="13">
        <v>1</v>
      </c>
      <c r="AH106" s="14">
        <v>1</v>
      </c>
      <c r="AI106" s="13">
        <v>1</v>
      </c>
      <c r="AJ106" s="13">
        <v>1</v>
      </c>
      <c r="AK106" s="13">
        <v>1</v>
      </c>
      <c r="AL106" s="14">
        <v>1</v>
      </c>
      <c r="AM106" s="13">
        <v>1</v>
      </c>
      <c r="AN106" s="13">
        <v>1</v>
      </c>
      <c r="AO106" s="13">
        <v>1</v>
      </c>
      <c r="AP106" s="14">
        <v>1</v>
      </c>
      <c r="AQ106" s="13">
        <v>1</v>
      </c>
      <c r="AR106" s="13">
        <v>1</v>
      </c>
      <c r="AS106" s="13">
        <v>1</v>
      </c>
      <c r="AT106" s="14">
        <v>1</v>
      </c>
      <c r="AU106" s="13">
        <v>1</v>
      </c>
      <c r="AV106" s="13">
        <v>1</v>
      </c>
      <c r="AW106" s="13">
        <v>1</v>
      </c>
      <c r="AX106" s="14">
        <v>1</v>
      </c>
      <c r="AY106" s="13">
        <v>1</v>
      </c>
      <c r="AZ106" s="13">
        <v>1</v>
      </c>
      <c r="BA106" s="13">
        <v>1</v>
      </c>
      <c r="BB106" s="14">
        <v>1</v>
      </c>
      <c r="BC106" s="13">
        <v>1</v>
      </c>
      <c r="BD106" s="13">
        <v>1</v>
      </c>
      <c r="BE106" s="13">
        <v>1</v>
      </c>
      <c r="BF106" s="14">
        <v>1</v>
      </c>
      <c r="BG106" s="13">
        <v>1</v>
      </c>
      <c r="BH106" s="13">
        <v>1</v>
      </c>
      <c r="BI106" s="13">
        <v>1</v>
      </c>
      <c r="BJ106" s="14">
        <v>1</v>
      </c>
      <c r="BK106" s="13" t="s">
        <v>437</v>
      </c>
      <c r="BL106" s="13" t="s">
        <v>437</v>
      </c>
      <c r="BM106" s="13" t="s">
        <v>437</v>
      </c>
      <c r="BN106" s="14" t="s">
        <v>437</v>
      </c>
      <c r="BP106" s="17">
        <v>8</v>
      </c>
      <c r="BQ106" s="13">
        <v>8</v>
      </c>
      <c r="BR106" s="13">
        <v>8</v>
      </c>
      <c r="BS106" s="14">
        <v>8</v>
      </c>
      <c r="BU106" s="17">
        <v>5</v>
      </c>
      <c r="BV106" s="13">
        <v>5</v>
      </c>
      <c r="BW106" s="13">
        <v>5</v>
      </c>
      <c r="BX106" s="14">
        <v>5</v>
      </c>
      <c r="BZ106" s="17">
        <v>2</v>
      </c>
      <c r="CA106" s="13">
        <v>2</v>
      </c>
      <c r="CB106" s="13">
        <v>2</v>
      </c>
      <c r="CC106" s="14">
        <v>2</v>
      </c>
    </row>
    <row r="107" spans="2:81" ht="18" customHeight="1" x14ac:dyDescent="0.2">
      <c r="B107" s="10">
        <f>garage!B107</f>
        <v>107</v>
      </c>
      <c r="C107" s="10">
        <f>garage!C107</f>
        <v>3</v>
      </c>
      <c r="D107" s="10">
        <f>garage!D107</f>
        <v>35</v>
      </c>
      <c r="E107" s="10">
        <f>garage!E107</f>
        <v>18</v>
      </c>
      <c r="F107" s="10" t="str">
        <f>garage!F107</f>
        <v>L</v>
      </c>
      <c r="G107" s="10" t="str">
        <f>garage!G107</f>
        <v>O</v>
      </c>
      <c r="H107" s="10" t="str">
        <f>garage!H107</f>
        <v>N</v>
      </c>
      <c r="I107" s="10" t="str">
        <f>garage!I107</f>
        <v>N</v>
      </c>
      <c r="J107" s="10" t="str">
        <f>garage!J107</f>
        <v>N</v>
      </c>
      <c r="K107" s="10" t="str">
        <f>garage!K107</f>
        <v>B</v>
      </c>
      <c r="L107" s="11" t="str">
        <f>garage!L107</f>
        <v>Lamborghini</v>
      </c>
      <c r="M107" s="11" t="str">
        <f>garage!M107</f>
        <v>Essenza SCV12</v>
      </c>
      <c r="O107" s="18" t="s">
        <v>437</v>
      </c>
      <c r="P107" s="15" t="s">
        <v>437</v>
      </c>
      <c r="Q107" s="15" t="s">
        <v>437</v>
      </c>
      <c r="R107" s="16" t="s">
        <v>437</v>
      </c>
      <c r="S107" s="15" t="s">
        <v>437</v>
      </c>
      <c r="T107" s="15" t="s">
        <v>437</v>
      </c>
      <c r="U107" s="15" t="s">
        <v>437</v>
      </c>
      <c r="V107" s="16" t="s">
        <v>437</v>
      </c>
      <c r="W107" s="15" t="s">
        <v>437</v>
      </c>
      <c r="X107" s="15" t="s">
        <v>437</v>
      </c>
      <c r="Y107" s="15" t="s">
        <v>437</v>
      </c>
      <c r="Z107" s="16" t="s">
        <v>437</v>
      </c>
      <c r="AA107" s="15" t="s">
        <v>437</v>
      </c>
      <c r="AB107" s="15" t="s">
        <v>437</v>
      </c>
      <c r="AC107" s="15" t="s">
        <v>437</v>
      </c>
      <c r="AD107" s="16" t="s">
        <v>437</v>
      </c>
      <c r="AE107" s="15" t="s">
        <v>437</v>
      </c>
      <c r="AF107" s="15" t="s">
        <v>437</v>
      </c>
      <c r="AG107" s="15" t="s">
        <v>437</v>
      </c>
      <c r="AH107" s="16" t="s">
        <v>437</v>
      </c>
      <c r="AI107" s="15" t="s">
        <v>437</v>
      </c>
      <c r="AJ107" s="15" t="s">
        <v>437</v>
      </c>
      <c r="AK107" s="15" t="s">
        <v>437</v>
      </c>
      <c r="AL107" s="16" t="s">
        <v>437</v>
      </c>
      <c r="AM107" s="15" t="s">
        <v>437</v>
      </c>
      <c r="AN107" s="15" t="s">
        <v>437</v>
      </c>
      <c r="AO107" s="15" t="s">
        <v>437</v>
      </c>
      <c r="AP107" s="16" t="s">
        <v>437</v>
      </c>
      <c r="AQ107" s="15" t="s">
        <v>437</v>
      </c>
      <c r="AR107" s="15" t="s">
        <v>437</v>
      </c>
      <c r="AS107" s="15" t="s">
        <v>437</v>
      </c>
      <c r="AT107" s="16" t="s">
        <v>437</v>
      </c>
      <c r="AU107" s="15" t="s">
        <v>437</v>
      </c>
      <c r="AV107" s="15" t="s">
        <v>437</v>
      </c>
      <c r="AW107" s="15" t="s">
        <v>437</v>
      </c>
      <c r="AX107" s="16" t="s">
        <v>437</v>
      </c>
      <c r="AY107" s="15" t="s">
        <v>437</v>
      </c>
      <c r="AZ107" s="15" t="s">
        <v>437</v>
      </c>
      <c r="BA107" s="15" t="s">
        <v>437</v>
      </c>
      <c r="BB107" s="16" t="s">
        <v>437</v>
      </c>
      <c r="BC107" s="15" t="s">
        <v>437</v>
      </c>
      <c r="BD107" s="15" t="s">
        <v>437</v>
      </c>
      <c r="BE107" s="15" t="s">
        <v>437</v>
      </c>
      <c r="BF107" s="16" t="s">
        <v>437</v>
      </c>
      <c r="BG107" s="15" t="s">
        <v>437</v>
      </c>
      <c r="BH107" s="15" t="s">
        <v>437</v>
      </c>
      <c r="BI107" s="15" t="s">
        <v>437</v>
      </c>
      <c r="BJ107" s="16" t="s">
        <v>437</v>
      </c>
      <c r="BK107" s="15" t="s">
        <v>437</v>
      </c>
      <c r="BL107" s="15" t="s">
        <v>437</v>
      </c>
      <c r="BM107" s="15" t="s">
        <v>437</v>
      </c>
      <c r="BN107" s="16" t="s">
        <v>437</v>
      </c>
      <c r="BP107" s="18" t="s">
        <v>437</v>
      </c>
      <c r="BQ107" s="15" t="s">
        <v>437</v>
      </c>
      <c r="BR107" s="15" t="s">
        <v>437</v>
      </c>
      <c r="BS107" s="16" t="s">
        <v>437</v>
      </c>
      <c r="BU107" s="18" t="s">
        <v>437</v>
      </c>
      <c r="BV107" s="15" t="s">
        <v>437</v>
      </c>
      <c r="BW107" s="15" t="s">
        <v>437</v>
      </c>
      <c r="BX107" s="16" t="s">
        <v>437</v>
      </c>
      <c r="BZ107" s="18" t="s">
        <v>437</v>
      </c>
      <c r="CA107" s="15" t="s">
        <v>437</v>
      </c>
      <c r="CB107" s="15" t="s">
        <v>437</v>
      </c>
      <c r="CC107" s="16" t="s">
        <v>437</v>
      </c>
    </row>
    <row r="108" spans="2:81" ht="18" hidden="1" customHeight="1" x14ac:dyDescent="0.2">
      <c r="B108" s="8">
        <f>garage!B108</f>
        <v>108</v>
      </c>
      <c r="C108" s="8">
        <f>garage!C108</f>
        <v>3</v>
      </c>
      <c r="D108" s="8">
        <f>garage!D108</f>
        <v>36</v>
      </c>
      <c r="E108" s="8">
        <f>garage!E108</f>
        <v>29</v>
      </c>
      <c r="F108" s="8" t="str">
        <f>garage!F108</f>
        <v>M</v>
      </c>
      <c r="G108" s="8" t="str">
        <f>garage!G108</f>
        <v>N</v>
      </c>
      <c r="H108" s="8" t="str">
        <f>garage!H108</f>
        <v>N</v>
      </c>
      <c r="I108" s="8" t="str">
        <f>garage!I108</f>
        <v>N</v>
      </c>
      <c r="J108" s="8" t="str">
        <f>garage!J108</f>
        <v>N</v>
      </c>
      <c r="K108" s="8" t="str">
        <f>garage!K108</f>
        <v>B</v>
      </c>
      <c r="L108" s="9" t="str">
        <f>garage!L108</f>
        <v>McLaren</v>
      </c>
      <c r="M108" s="9" t="str">
        <f>garage!M108</f>
        <v>600LT Spider</v>
      </c>
      <c r="O108" s="17" t="s">
        <v>437</v>
      </c>
      <c r="P108" s="13" t="s">
        <v>437</v>
      </c>
      <c r="Q108" s="13" t="s">
        <v>437</v>
      </c>
      <c r="R108" s="14" t="s">
        <v>437</v>
      </c>
      <c r="S108" s="13" t="s">
        <v>437</v>
      </c>
      <c r="T108" s="13" t="s">
        <v>437</v>
      </c>
      <c r="U108" s="13" t="s">
        <v>437</v>
      </c>
      <c r="V108" s="14" t="s">
        <v>437</v>
      </c>
      <c r="W108" s="13" t="s">
        <v>437</v>
      </c>
      <c r="X108" s="13" t="s">
        <v>437</v>
      </c>
      <c r="Y108" s="13" t="s">
        <v>437</v>
      </c>
      <c r="Z108" s="14" t="s">
        <v>437</v>
      </c>
      <c r="AA108" s="13" t="s">
        <v>437</v>
      </c>
      <c r="AB108" s="13" t="s">
        <v>437</v>
      </c>
      <c r="AC108" s="13" t="s">
        <v>437</v>
      </c>
      <c r="AD108" s="14" t="s">
        <v>437</v>
      </c>
      <c r="AE108" s="13" t="s">
        <v>437</v>
      </c>
      <c r="AF108" s="13" t="s">
        <v>437</v>
      </c>
      <c r="AG108" s="13" t="s">
        <v>437</v>
      </c>
      <c r="AH108" s="14" t="s">
        <v>437</v>
      </c>
      <c r="AI108" s="13" t="s">
        <v>437</v>
      </c>
      <c r="AJ108" s="13" t="s">
        <v>437</v>
      </c>
      <c r="AK108" s="13" t="s">
        <v>437</v>
      </c>
      <c r="AL108" s="14" t="s">
        <v>437</v>
      </c>
      <c r="AM108" s="13" t="s">
        <v>437</v>
      </c>
      <c r="AN108" s="13" t="s">
        <v>437</v>
      </c>
      <c r="AO108" s="13" t="s">
        <v>437</v>
      </c>
      <c r="AP108" s="14" t="s">
        <v>437</v>
      </c>
      <c r="AQ108" s="13" t="s">
        <v>437</v>
      </c>
      <c r="AR108" s="13" t="s">
        <v>437</v>
      </c>
      <c r="AS108" s="13" t="s">
        <v>437</v>
      </c>
      <c r="AT108" s="14" t="s">
        <v>437</v>
      </c>
      <c r="AU108" s="13" t="s">
        <v>437</v>
      </c>
      <c r="AV108" s="13" t="s">
        <v>437</v>
      </c>
      <c r="AW108" s="13" t="s">
        <v>437</v>
      </c>
      <c r="AX108" s="14" t="s">
        <v>437</v>
      </c>
      <c r="AY108" s="13" t="s">
        <v>437</v>
      </c>
      <c r="AZ108" s="13" t="s">
        <v>437</v>
      </c>
      <c r="BA108" s="13" t="s">
        <v>437</v>
      </c>
      <c r="BB108" s="14" t="s">
        <v>437</v>
      </c>
      <c r="BC108" s="13" t="s">
        <v>437</v>
      </c>
      <c r="BD108" s="13" t="s">
        <v>437</v>
      </c>
      <c r="BE108" s="13" t="s">
        <v>437</v>
      </c>
      <c r="BF108" s="14" t="s">
        <v>437</v>
      </c>
      <c r="BG108" s="13" t="s">
        <v>437</v>
      </c>
      <c r="BH108" s="13" t="s">
        <v>437</v>
      </c>
      <c r="BI108" s="13" t="s">
        <v>437</v>
      </c>
      <c r="BJ108" s="14" t="s">
        <v>437</v>
      </c>
      <c r="BK108" s="13" t="s">
        <v>437</v>
      </c>
      <c r="BL108" s="13" t="s">
        <v>437</v>
      </c>
      <c r="BM108" s="13" t="s">
        <v>437</v>
      </c>
      <c r="BN108" s="14" t="s">
        <v>437</v>
      </c>
      <c r="BP108" s="17" t="s">
        <v>437</v>
      </c>
      <c r="BQ108" s="13" t="s">
        <v>437</v>
      </c>
      <c r="BR108" s="13" t="s">
        <v>437</v>
      </c>
      <c r="BS108" s="14" t="s">
        <v>437</v>
      </c>
      <c r="BU108" s="17" t="s">
        <v>437</v>
      </c>
      <c r="BV108" s="13" t="s">
        <v>437</v>
      </c>
      <c r="BW108" s="13" t="s">
        <v>437</v>
      </c>
      <c r="BX108" s="14" t="s">
        <v>437</v>
      </c>
      <c r="BZ108" s="17" t="s">
        <v>437</v>
      </c>
      <c r="CA108" s="13" t="s">
        <v>437</v>
      </c>
      <c r="CB108" s="13" t="s">
        <v>437</v>
      </c>
      <c r="CC108" s="14" t="s">
        <v>437</v>
      </c>
    </row>
    <row r="109" spans="2:81" ht="18" customHeight="1" x14ac:dyDescent="0.2">
      <c r="B109" s="10">
        <f>garage!B109</f>
        <v>109</v>
      </c>
      <c r="C109" s="10">
        <f>garage!C109</f>
        <v>3</v>
      </c>
      <c r="D109" s="10">
        <f>garage!D109</f>
        <v>37</v>
      </c>
      <c r="E109" s="10">
        <f>garage!E109</f>
        <v>24</v>
      </c>
      <c r="F109" s="10" t="str">
        <f>garage!F109</f>
        <v>--</v>
      </c>
      <c r="G109" s="10" t="str">
        <f>garage!G109</f>
        <v>O</v>
      </c>
      <c r="H109" s="10" t="str">
        <f>garage!H109</f>
        <v>N</v>
      </c>
      <c r="I109" s="10" t="str">
        <f>garage!I109</f>
        <v>N</v>
      </c>
      <c r="J109" s="10" t="str">
        <f>garage!J109</f>
        <v>N</v>
      </c>
      <c r="K109" s="10" t="str">
        <f>garage!K109</f>
        <v>B</v>
      </c>
      <c r="L109" s="11" t="str">
        <f>garage!L109</f>
        <v>Puritalia</v>
      </c>
      <c r="M109" s="11" t="str">
        <f>garage!M109</f>
        <v>Berlinetta</v>
      </c>
      <c r="O109" s="18" t="s">
        <v>437</v>
      </c>
      <c r="P109" s="15" t="s">
        <v>437</v>
      </c>
      <c r="Q109" s="15" t="s">
        <v>437</v>
      </c>
      <c r="R109" s="16" t="s">
        <v>437</v>
      </c>
      <c r="S109" s="15" t="s">
        <v>437</v>
      </c>
      <c r="T109" s="15" t="s">
        <v>437</v>
      </c>
      <c r="U109" s="15" t="s">
        <v>437</v>
      </c>
      <c r="V109" s="16" t="s">
        <v>437</v>
      </c>
      <c r="W109" s="15" t="s">
        <v>437</v>
      </c>
      <c r="X109" s="15" t="s">
        <v>437</v>
      </c>
      <c r="Y109" s="15" t="s">
        <v>437</v>
      </c>
      <c r="Z109" s="16" t="s">
        <v>437</v>
      </c>
      <c r="AA109" s="15" t="s">
        <v>437</v>
      </c>
      <c r="AB109" s="15" t="s">
        <v>437</v>
      </c>
      <c r="AC109" s="15" t="s">
        <v>437</v>
      </c>
      <c r="AD109" s="16" t="s">
        <v>437</v>
      </c>
      <c r="AE109" s="15" t="s">
        <v>437</v>
      </c>
      <c r="AF109" s="15" t="s">
        <v>437</v>
      </c>
      <c r="AG109" s="15" t="s">
        <v>437</v>
      </c>
      <c r="AH109" s="16" t="s">
        <v>437</v>
      </c>
      <c r="AI109" s="15" t="s">
        <v>437</v>
      </c>
      <c r="AJ109" s="15" t="s">
        <v>437</v>
      </c>
      <c r="AK109" s="15" t="s">
        <v>437</v>
      </c>
      <c r="AL109" s="16" t="s">
        <v>437</v>
      </c>
      <c r="AM109" s="15" t="s">
        <v>437</v>
      </c>
      <c r="AN109" s="15" t="s">
        <v>437</v>
      </c>
      <c r="AO109" s="15" t="s">
        <v>437</v>
      </c>
      <c r="AP109" s="16" t="s">
        <v>437</v>
      </c>
      <c r="AQ109" s="15" t="s">
        <v>437</v>
      </c>
      <c r="AR109" s="15" t="s">
        <v>437</v>
      </c>
      <c r="AS109" s="15" t="s">
        <v>437</v>
      </c>
      <c r="AT109" s="16" t="s">
        <v>437</v>
      </c>
      <c r="AU109" s="15" t="s">
        <v>437</v>
      </c>
      <c r="AV109" s="15" t="s">
        <v>437</v>
      </c>
      <c r="AW109" s="15" t="s">
        <v>437</v>
      </c>
      <c r="AX109" s="16" t="s">
        <v>437</v>
      </c>
      <c r="AY109" s="15" t="s">
        <v>437</v>
      </c>
      <c r="AZ109" s="15" t="s">
        <v>437</v>
      </c>
      <c r="BA109" s="15" t="s">
        <v>437</v>
      </c>
      <c r="BB109" s="16" t="s">
        <v>437</v>
      </c>
      <c r="BC109" s="15" t="s">
        <v>437</v>
      </c>
      <c r="BD109" s="15" t="s">
        <v>437</v>
      </c>
      <c r="BE109" s="15" t="s">
        <v>437</v>
      </c>
      <c r="BF109" s="16" t="s">
        <v>437</v>
      </c>
      <c r="BG109" s="15" t="s">
        <v>437</v>
      </c>
      <c r="BH109" s="15" t="s">
        <v>437</v>
      </c>
      <c r="BI109" s="15" t="s">
        <v>437</v>
      </c>
      <c r="BJ109" s="16" t="s">
        <v>437</v>
      </c>
      <c r="BK109" s="15" t="s">
        <v>437</v>
      </c>
      <c r="BL109" s="15" t="s">
        <v>437</v>
      </c>
      <c r="BM109" s="15" t="s">
        <v>437</v>
      </c>
      <c r="BN109" s="16" t="s">
        <v>437</v>
      </c>
      <c r="BP109" s="18" t="s">
        <v>437</v>
      </c>
      <c r="BQ109" s="15" t="s">
        <v>437</v>
      </c>
      <c r="BR109" s="15" t="s">
        <v>437</v>
      </c>
      <c r="BS109" s="16" t="s">
        <v>437</v>
      </c>
      <c r="BU109" s="18" t="s">
        <v>437</v>
      </c>
      <c r="BV109" s="15" t="s">
        <v>437</v>
      </c>
      <c r="BW109" s="15" t="s">
        <v>437</v>
      </c>
      <c r="BX109" s="16" t="s">
        <v>437</v>
      </c>
      <c r="BZ109" s="18" t="s">
        <v>437</v>
      </c>
      <c r="CA109" s="15" t="s">
        <v>437</v>
      </c>
      <c r="CB109" s="15" t="s">
        <v>437</v>
      </c>
      <c r="CC109" s="16" t="s">
        <v>437</v>
      </c>
    </row>
    <row r="110" spans="2:81" ht="18" customHeight="1" x14ac:dyDescent="0.2">
      <c r="B110" s="8">
        <f>garage!B110</f>
        <v>110</v>
      </c>
      <c r="C110" s="8">
        <f>garage!C110</f>
        <v>3</v>
      </c>
      <c r="D110" s="8">
        <f>garage!D110</f>
        <v>38</v>
      </c>
      <c r="E110" s="8">
        <f>garage!E110</f>
        <v>0</v>
      </c>
      <c r="F110" s="8" t="str">
        <f>garage!F110</f>
        <v>L</v>
      </c>
      <c r="G110" s="8" t="str">
        <f>garage!G110</f>
        <v>O</v>
      </c>
      <c r="H110" s="8" t="str">
        <f>garage!H110</f>
        <v>O</v>
      </c>
      <c r="I110" s="8" t="str">
        <f>garage!I110</f>
        <v>O</v>
      </c>
      <c r="J110" s="8" t="str">
        <f>garage!J110</f>
        <v>N</v>
      </c>
      <c r="K110" s="8" t="str">
        <f>garage!K110</f>
        <v>B</v>
      </c>
      <c r="L110" s="9" t="str">
        <f>garage!L110</f>
        <v>Lamborghini</v>
      </c>
      <c r="M110" s="9" t="str">
        <f>garage!M110</f>
        <v>Huracán Evo Spyder</v>
      </c>
      <c r="O110" s="17">
        <v>1</v>
      </c>
      <c r="P110" s="13">
        <v>1</v>
      </c>
      <c r="Q110" s="13">
        <v>1</v>
      </c>
      <c r="R110" s="14">
        <v>1</v>
      </c>
      <c r="S110" s="13">
        <v>1</v>
      </c>
      <c r="T110" s="13">
        <v>1</v>
      </c>
      <c r="U110" s="13">
        <v>1</v>
      </c>
      <c r="V110" s="14">
        <v>1</v>
      </c>
      <c r="W110" s="13">
        <v>1</v>
      </c>
      <c r="X110" s="13">
        <v>1</v>
      </c>
      <c r="Y110" s="13">
        <v>1</v>
      </c>
      <c r="Z110" s="14">
        <v>1</v>
      </c>
      <c r="AA110" s="13">
        <v>1</v>
      </c>
      <c r="AB110" s="13">
        <v>1</v>
      </c>
      <c r="AC110" s="13">
        <v>1</v>
      </c>
      <c r="AD110" s="14">
        <v>1</v>
      </c>
      <c r="AE110" s="13">
        <v>1</v>
      </c>
      <c r="AF110" s="13">
        <v>1</v>
      </c>
      <c r="AG110" s="13">
        <v>1</v>
      </c>
      <c r="AH110" s="14">
        <v>1</v>
      </c>
      <c r="AI110" s="13">
        <v>1</v>
      </c>
      <c r="AJ110" s="13">
        <v>1</v>
      </c>
      <c r="AK110" s="13">
        <v>1</v>
      </c>
      <c r="AL110" s="14">
        <v>1</v>
      </c>
      <c r="AM110" s="13">
        <v>1</v>
      </c>
      <c r="AN110" s="13">
        <v>1</v>
      </c>
      <c r="AO110" s="13">
        <v>1</v>
      </c>
      <c r="AP110" s="14">
        <v>1</v>
      </c>
      <c r="AQ110" s="13">
        <v>1</v>
      </c>
      <c r="AR110" s="13">
        <v>1</v>
      </c>
      <c r="AS110" s="13">
        <v>1</v>
      </c>
      <c r="AT110" s="14">
        <v>1</v>
      </c>
      <c r="AU110" s="13">
        <v>1</v>
      </c>
      <c r="AV110" s="13">
        <v>1</v>
      </c>
      <c r="AW110" s="13">
        <v>1</v>
      </c>
      <c r="AX110" s="14">
        <v>1</v>
      </c>
      <c r="AY110" s="13">
        <v>1</v>
      </c>
      <c r="AZ110" s="13">
        <v>1</v>
      </c>
      <c r="BA110" s="13">
        <v>1</v>
      </c>
      <c r="BB110" s="14">
        <v>1</v>
      </c>
      <c r="BC110" s="13">
        <v>1</v>
      </c>
      <c r="BD110" s="13">
        <v>1</v>
      </c>
      <c r="BE110" s="13">
        <v>1</v>
      </c>
      <c r="BF110" s="14">
        <v>1</v>
      </c>
      <c r="BG110" s="13">
        <v>1</v>
      </c>
      <c r="BH110" s="13">
        <v>1</v>
      </c>
      <c r="BI110" s="13">
        <v>1</v>
      </c>
      <c r="BJ110" s="14">
        <v>1</v>
      </c>
      <c r="BK110" s="13" t="s">
        <v>437</v>
      </c>
      <c r="BL110" s="13" t="s">
        <v>437</v>
      </c>
      <c r="BM110" s="13" t="s">
        <v>437</v>
      </c>
      <c r="BN110" s="14" t="s">
        <v>437</v>
      </c>
      <c r="BP110" s="17">
        <v>8</v>
      </c>
      <c r="BQ110" s="13">
        <v>8</v>
      </c>
      <c r="BR110" s="13">
        <v>8</v>
      </c>
      <c r="BS110" s="14">
        <v>8</v>
      </c>
      <c r="BU110" s="17">
        <v>5</v>
      </c>
      <c r="BV110" s="13">
        <v>5</v>
      </c>
      <c r="BW110" s="13">
        <v>5</v>
      </c>
      <c r="BX110" s="14">
        <v>5</v>
      </c>
      <c r="BZ110" s="17">
        <v>2</v>
      </c>
      <c r="CA110" s="13">
        <v>2</v>
      </c>
      <c r="CB110" s="13">
        <v>2</v>
      </c>
      <c r="CC110" s="14">
        <v>2</v>
      </c>
    </row>
    <row r="111" spans="2:81" ht="18" customHeight="1" x14ac:dyDescent="0.2">
      <c r="B111" s="10">
        <f>garage!B111</f>
        <v>111</v>
      </c>
      <c r="C111" s="10">
        <f>garage!C111</f>
        <v>3</v>
      </c>
      <c r="D111" s="10">
        <f>garage!D111</f>
        <v>39</v>
      </c>
      <c r="E111" s="10">
        <f>garage!E111</f>
        <v>11</v>
      </c>
      <c r="F111" s="10" t="str">
        <f>garage!F111</f>
        <v>P</v>
      </c>
      <c r="G111" s="10" t="str">
        <f>garage!G111</f>
        <v>O</v>
      </c>
      <c r="H111" s="10" t="str">
        <f>garage!H111</f>
        <v>N</v>
      </c>
      <c r="I111" s="10" t="str">
        <f>garage!I111</f>
        <v>N</v>
      </c>
      <c r="J111" s="10" t="str">
        <f>garage!J111</f>
        <v>N</v>
      </c>
      <c r="K111" s="10" t="str">
        <f>garage!K111</f>
        <v>B</v>
      </c>
      <c r="L111" s="11" t="str">
        <f>garage!L111</f>
        <v>Porsche</v>
      </c>
      <c r="M111" s="11" t="str">
        <f>garage!M111</f>
        <v>Carrera GT</v>
      </c>
      <c r="O111" s="18" t="s">
        <v>437</v>
      </c>
      <c r="P111" s="15" t="s">
        <v>437</v>
      </c>
      <c r="Q111" s="15" t="s">
        <v>437</v>
      </c>
      <c r="R111" s="16" t="s">
        <v>437</v>
      </c>
      <c r="S111" s="15" t="s">
        <v>437</v>
      </c>
      <c r="T111" s="15" t="s">
        <v>437</v>
      </c>
      <c r="U111" s="15" t="s">
        <v>437</v>
      </c>
      <c r="V111" s="16" t="s">
        <v>437</v>
      </c>
      <c r="W111" s="15" t="s">
        <v>437</v>
      </c>
      <c r="X111" s="15" t="s">
        <v>437</v>
      </c>
      <c r="Y111" s="15" t="s">
        <v>437</v>
      </c>
      <c r="Z111" s="16" t="s">
        <v>437</v>
      </c>
      <c r="AA111" s="15" t="s">
        <v>437</v>
      </c>
      <c r="AB111" s="15" t="s">
        <v>437</v>
      </c>
      <c r="AC111" s="15" t="s">
        <v>437</v>
      </c>
      <c r="AD111" s="16" t="s">
        <v>437</v>
      </c>
      <c r="AE111" s="15" t="s">
        <v>437</v>
      </c>
      <c r="AF111" s="15" t="s">
        <v>437</v>
      </c>
      <c r="AG111" s="15" t="s">
        <v>437</v>
      </c>
      <c r="AH111" s="16" t="s">
        <v>437</v>
      </c>
      <c r="AI111" s="15" t="s">
        <v>437</v>
      </c>
      <c r="AJ111" s="15" t="s">
        <v>437</v>
      </c>
      <c r="AK111" s="15" t="s">
        <v>437</v>
      </c>
      <c r="AL111" s="16" t="s">
        <v>437</v>
      </c>
      <c r="AM111" s="15" t="s">
        <v>437</v>
      </c>
      <c r="AN111" s="15" t="s">
        <v>437</v>
      </c>
      <c r="AO111" s="15" t="s">
        <v>437</v>
      </c>
      <c r="AP111" s="16" t="s">
        <v>437</v>
      </c>
      <c r="AQ111" s="15" t="s">
        <v>437</v>
      </c>
      <c r="AR111" s="15" t="s">
        <v>437</v>
      </c>
      <c r="AS111" s="15" t="s">
        <v>437</v>
      </c>
      <c r="AT111" s="16" t="s">
        <v>437</v>
      </c>
      <c r="AU111" s="15" t="s">
        <v>437</v>
      </c>
      <c r="AV111" s="15" t="s">
        <v>437</v>
      </c>
      <c r="AW111" s="15" t="s">
        <v>437</v>
      </c>
      <c r="AX111" s="16" t="s">
        <v>437</v>
      </c>
      <c r="AY111" s="15" t="s">
        <v>437</v>
      </c>
      <c r="AZ111" s="15" t="s">
        <v>437</v>
      </c>
      <c r="BA111" s="15" t="s">
        <v>437</v>
      </c>
      <c r="BB111" s="16" t="s">
        <v>437</v>
      </c>
      <c r="BC111" s="15" t="s">
        <v>437</v>
      </c>
      <c r="BD111" s="15" t="s">
        <v>437</v>
      </c>
      <c r="BE111" s="15" t="s">
        <v>437</v>
      </c>
      <c r="BF111" s="16" t="s">
        <v>437</v>
      </c>
      <c r="BG111" s="15" t="s">
        <v>437</v>
      </c>
      <c r="BH111" s="15" t="s">
        <v>437</v>
      </c>
      <c r="BI111" s="15" t="s">
        <v>437</v>
      </c>
      <c r="BJ111" s="16" t="s">
        <v>437</v>
      </c>
      <c r="BK111" s="15" t="s">
        <v>437</v>
      </c>
      <c r="BL111" s="15" t="s">
        <v>437</v>
      </c>
      <c r="BM111" s="15" t="s">
        <v>437</v>
      </c>
      <c r="BN111" s="16" t="s">
        <v>437</v>
      </c>
      <c r="BP111" s="18" t="s">
        <v>437</v>
      </c>
      <c r="BQ111" s="15" t="s">
        <v>437</v>
      </c>
      <c r="BR111" s="15" t="s">
        <v>437</v>
      </c>
      <c r="BS111" s="16" t="s">
        <v>437</v>
      </c>
      <c r="BU111" s="18" t="s">
        <v>437</v>
      </c>
      <c r="BV111" s="15" t="s">
        <v>437</v>
      </c>
      <c r="BW111" s="15" t="s">
        <v>437</v>
      </c>
      <c r="BX111" s="16" t="s">
        <v>437</v>
      </c>
      <c r="BZ111" s="18" t="s">
        <v>437</v>
      </c>
      <c r="CA111" s="15" t="s">
        <v>437</v>
      </c>
      <c r="CB111" s="15" t="s">
        <v>437</v>
      </c>
      <c r="CC111" s="16" t="s">
        <v>437</v>
      </c>
    </row>
    <row r="112" spans="2:81" ht="18" customHeight="1" x14ac:dyDescent="0.2">
      <c r="B112" s="8">
        <f>garage!B112</f>
        <v>112</v>
      </c>
      <c r="C112" s="8">
        <f>garage!C112</f>
        <v>3</v>
      </c>
      <c r="D112" s="8">
        <f>garage!D112</f>
        <v>40</v>
      </c>
      <c r="E112" s="8">
        <f>garage!E112</f>
        <v>22</v>
      </c>
      <c r="F112" s="8" t="str">
        <f>garage!F112</f>
        <v>--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garage!J112</f>
        <v>N</v>
      </c>
      <c r="K112" s="8" t="str">
        <f>garage!K112</f>
        <v>B</v>
      </c>
      <c r="L112" s="9" t="str">
        <f>garage!L112</f>
        <v>Nissan</v>
      </c>
      <c r="M112" s="9" t="str">
        <f>garage!M112</f>
        <v>GTR-50 Italdesign</v>
      </c>
      <c r="O112" s="17">
        <v>1</v>
      </c>
      <c r="P112" s="13">
        <v>1</v>
      </c>
      <c r="Q112" s="13">
        <v>1</v>
      </c>
      <c r="R112" s="14">
        <v>1</v>
      </c>
      <c r="S112" s="13">
        <v>1</v>
      </c>
      <c r="T112" s="13">
        <v>1</v>
      </c>
      <c r="U112" s="13">
        <v>1</v>
      </c>
      <c r="V112" s="14">
        <v>1</v>
      </c>
      <c r="W112" s="13">
        <v>1</v>
      </c>
      <c r="X112" s="13">
        <v>1</v>
      </c>
      <c r="Y112" s="13">
        <v>1</v>
      </c>
      <c r="Z112" s="14">
        <v>1</v>
      </c>
      <c r="AA112" s="13" t="s">
        <v>437</v>
      </c>
      <c r="AB112" s="13" t="s">
        <v>437</v>
      </c>
      <c r="AC112" s="13" t="s">
        <v>437</v>
      </c>
      <c r="AD112" s="14" t="s">
        <v>437</v>
      </c>
      <c r="AE112" s="13" t="s">
        <v>437</v>
      </c>
      <c r="AF112" s="13" t="s">
        <v>437</v>
      </c>
      <c r="AG112" s="13" t="s">
        <v>437</v>
      </c>
      <c r="AH112" s="14" t="s">
        <v>437</v>
      </c>
      <c r="AI112" s="13" t="s">
        <v>437</v>
      </c>
      <c r="AJ112" s="13" t="s">
        <v>437</v>
      </c>
      <c r="AK112" s="13" t="s">
        <v>437</v>
      </c>
      <c r="AL112" s="14" t="s">
        <v>437</v>
      </c>
      <c r="AM112" s="13" t="s">
        <v>437</v>
      </c>
      <c r="AN112" s="13" t="s">
        <v>437</v>
      </c>
      <c r="AO112" s="13" t="s">
        <v>437</v>
      </c>
      <c r="AP112" s="14" t="s">
        <v>437</v>
      </c>
      <c r="AQ112" s="13" t="s">
        <v>437</v>
      </c>
      <c r="AR112" s="13" t="s">
        <v>437</v>
      </c>
      <c r="AS112" s="13" t="s">
        <v>437</v>
      </c>
      <c r="AT112" s="14" t="s">
        <v>437</v>
      </c>
      <c r="AU112" s="13" t="s">
        <v>437</v>
      </c>
      <c r="AV112" s="13" t="s">
        <v>437</v>
      </c>
      <c r="AW112" s="13" t="s">
        <v>437</v>
      </c>
      <c r="AX112" s="14" t="s">
        <v>437</v>
      </c>
      <c r="AY112" s="13" t="s">
        <v>437</v>
      </c>
      <c r="AZ112" s="13" t="s">
        <v>437</v>
      </c>
      <c r="BA112" s="13" t="s">
        <v>437</v>
      </c>
      <c r="BB112" s="14" t="s">
        <v>437</v>
      </c>
      <c r="BC112" s="13" t="s">
        <v>437</v>
      </c>
      <c r="BD112" s="13" t="s">
        <v>437</v>
      </c>
      <c r="BE112" s="13" t="s">
        <v>437</v>
      </c>
      <c r="BF112" s="14" t="s">
        <v>437</v>
      </c>
      <c r="BG112" s="13" t="s">
        <v>437</v>
      </c>
      <c r="BH112" s="13" t="s">
        <v>437</v>
      </c>
      <c r="BI112" s="13" t="s">
        <v>437</v>
      </c>
      <c r="BJ112" s="14" t="s">
        <v>437</v>
      </c>
      <c r="BK112" s="13" t="s">
        <v>437</v>
      </c>
      <c r="BL112" s="13" t="s">
        <v>437</v>
      </c>
      <c r="BM112" s="13" t="s">
        <v>437</v>
      </c>
      <c r="BN112" s="14" t="s">
        <v>437</v>
      </c>
      <c r="BP112" s="17">
        <v>3</v>
      </c>
      <c r="BQ112" s="13">
        <v>2</v>
      </c>
      <c r="BR112" s="13">
        <v>2</v>
      </c>
      <c r="BS112" s="14">
        <v>3</v>
      </c>
      <c r="BU112" s="17" t="s">
        <v>437</v>
      </c>
      <c r="BV112" s="13" t="s">
        <v>437</v>
      </c>
      <c r="BW112" s="13" t="s">
        <v>437</v>
      </c>
      <c r="BX112" s="14" t="s">
        <v>437</v>
      </c>
      <c r="BZ112" s="17" t="s">
        <v>437</v>
      </c>
      <c r="CA112" s="13" t="s">
        <v>437</v>
      </c>
      <c r="CB112" s="13" t="s">
        <v>437</v>
      </c>
      <c r="CC112" s="14" t="s">
        <v>437</v>
      </c>
    </row>
    <row r="113" spans="2:81" ht="18" hidden="1" customHeight="1" x14ac:dyDescent="0.2">
      <c r="B113" s="10">
        <f>garage!B113</f>
        <v>113</v>
      </c>
      <c r="C113" s="10">
        <f>garage!C113</f>
        <v>3</v>
      </c>
      <c r="D113" s="10">
        <f>garage!D113</f>
        <v>41</v>
      </c>
      <c r="E113" s="10">
        <f>garage!E113</f>
        <v>19</v>
      </c>
      <c r="F113" s="10" t="str">
        <f>garage!F113</f>
        <v>--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garage!J113</f>
        <v>O</v>
      </c>
      <c r="K113" s="10" t="str">
        <f>garage!K113</f>
        <v>B</v>
      </c>
      <c r="L113" s="11" t="str">
        <f>garage!L113</f>
        <v>Zenvo</v>
      </c>
      <c r="M113" s="11" t="str">
        <f>garage!M113</f>
        <v>TSR-S</v>
      </c>
      <c r="O113" s="18" t="s">
        <v>437</v>
      </c>
      <c r="P113" s="15" t="s">
        <v>437</v>
      </c>
      <c r="Q113" s="15" t="s">
        <v>437</v>
      </c>
      <c r="R113" s="16" t="s">
        <v>437</v>
      </c>
      <c r="S113" s="15" t="s">
        <v>437</v>
      </c>
      <c r="T113" s="15" t="s">
        <v>437</v>
      </c>
      <c r="U113" s="15" t="s">
        <v>437</v>
      </c>
      <c r="V113" s="16" t="s">
        <v>437</v>
      </c>
      <c r="W113" s="15" t="s">
        <v>437</v>
      </c>
      <c r="X113" s="15" t="s">
        <v>437</v>
      </c>
      <c r="Y113" s="15" t="s">
        <v>437</v>
      </c>
      <c r="Z113" s="16" t="s">
        <v>437</v>
      </c>
      <c r="AA113" s="15" t="s">
        <v>437</v>
      </c>
      <c r="AB113" s="15" t="s">
        <v>437</v>
      </c>
      <c r="AC113" s="15" t="s">
        <v>437</v>
      </c>
      <c r="AD113" s="16" t="s">
        <v>437</v>
      </c>
      <c r="AE113" s="15" t="s">
        <v>437</v>
      </c>
      <c r="AF113" s="15" t="s">
        <v>437</v>
      </c>
      <c r="AG113" s="15" t="s">
        <v>437</v>
      </c>
      <c r="AH113" s="16" t="s">
        <v>437</v>
      </c>
      <c r="AI113" s="15" t="s">
        <v>437</v>
      </c>
      <c r="AJ113" s="15" t="s">
        <v>437</v>
      </c>
      <c r="AK113" s="15" t="s">
        <v>437</v>
      </c>
      <c r="AL113" s="16" t="s">
        <v>437</v>
      </c>
      <c r="AM113" s="15" t="s">
        <v>437</v>
      </c>
      <c r="AN113" s="15" t="s">
        <v>437</v>
      </c>
      <c r="AO113" s="15" t="s">
        <v>437</v>
      </c>
      <c r="AP113" s="16" t="s">
        <v>437</v>
      </c>
      <c r="AQ113" s="15" t="s">
        <v>437</v>
      </c>
      <c r="AR113" s="15" t="s">
        <v>437</v>
      </c>
      <c r="AS113" s="15" t="s">
        <v>437</v>
      </c>
      <c r="AT113" s="16" t="s">
        <v>437</v>
      </c>
      <c r="AU113" s="15" t="s">
        <v>437</v>
      </c>
      <c r="AV113" s="15" t="s">
        <v>437</v>
      </c>
      <c r="AW113" s="15" t="s">
        <v>437</v>
      </c>
      <c r="AX113" s="16" t="s">
        <v>437</v>
      </c>
      <c r="AY113" s="15" t="s">
        <v>437</v>
      </c>
      <c r="AZ113" s="15" t="s">
        <v>437</v>
      </c>
      <c r="BA113" s="15" t="s">
        <v>437</v>
      </c>
      <c r="BB113" s="16" t="s">
        <v>437</v>
      </c>
      <c r="BC113" s="15" t="s">
        <v>437</v>
      </c>
      <c r="BD113" s="15" t="s">
        <v>437</v>
      </c>
      <c r="BE113" s="15" t="s">
        <v>437</v>
      </c>
      <c r="BF113" s="16" t="s">
        <v>437</v>
      </c>
      <c r="BG113" s="15" t="s">
        <v>437</v>
      </c>
      <c r="BH113" s="15" t="s">
        <v>437</v>
      </c>
      <c r="BI113" s="15" t="s">
        <v>437</v>
      </c>
      <c r="BJ113" s="16" t="s">
        <v>437</v>
      </c>
      <c r="BK113" s="15" t="s">
        <v>437</v>
      </c>
      <c r="BL113" s="15" t="s">
        <v>437</v>
      </c>
      <c r="BM113" s="15" t="s">
        <v>437</v>
      </c>
      <c r="BN113" s="16" t="s">
        <v>437</v>
      </c>
      <c r="BP113" s="18" t="s">
        <v>437</v>
      </c>
      <c r="BQ113" s="15" t="s">
        <v>437</v>
      </c>
      <c r="BR113" s="15" t="s">
        <v>437</v>
      </c>
      <c r="BS113" s="16" t="s">
        <v>437</v>
      </c>
      <c r="BU113" s="18" t="s">
        <v>437</v>
      </c>
      <c r="BV113" s="15" t="s">
        <v>437</v>
      </c>
      <c r="BW113" s="15" t="s">
        <v>437</v>
      </c>
      <c r="BX113" s="16" t="s">
        <v>437</v>
      </c>
      <c r="BZ113" s="18" t="s">
        <v>437</v>
      </c>
      <c r="CA113" s="15" t="s">
        <v>437</v>
      </c>
      <c r="CB113" s="15" t="s">
        <v>437</v>
      </c>
      <c r="CC113" s="16" t="s">
        <v>437</v>
      </c>
    </row>
    <row r="114" spans="2:81" ht="18" hidden="1" customHeight="1" x14ac:dyDescent="0.2">
      <c r="B114" s="8">
        <f>garage!B114</f>
        <v>114</v>
      </c>
      <c r="C114" s="8">
        <f>garage!C114</f>
        <v>3</v>
      </c>
      <c r="D114" s="8">
        <f>garage!D114</f>
        <v>42</v>
      </c>
      <c r="E114" s="8">
        <f>garage!E114</f>
        <v>25</v>
      </c>
      <c r="F114" s="8" t="str">
        <f>garage!F114</f>
        <v>L</v>
      </c>
      <c r="G114" s="8" t="str">
        <f>garage!G114</f>
        <v>N</v>
      </c>
      <c r="H114" s="8" t="str">
        <f>garage!H114</f>
        <v>N</v>
      </c>
      <c r="I114" s="8" t="str">
        <f>garage!I114</f>
        <v>N</v>
      </c>
      <c r="J114" s="8" t="str">
        <f>garage!J114</f>
        <v>N</v>
      </c>
      <c r="K114" s="8" t="str">
        <f>garage!K114</f>
        <v>B</v>
      </c>
      <c r="L114" s="9" t="str">
        <f>garage!L114</f>
        <v>Lamborghini</v>
      </c>
      <c r="M114" s="9" t="str">
        <f>garage!M114</f>
        <v>Sesto Elemento</v>
      </c>
      <c r="O114" s="17" t="s">
        <v>437</v>
      </c>
      <c r="P114" s="13" t="s">
        <v>437</v>
      </c>
      <c r="Q114" s="13" t="s">
        <v>437</v>
      </c>
      <c r="R114" s="14" t="s">
        <v>437</v>
      </c>
      <c r="S114" s="13" t="s">
        <v>437</v>
      </c>
      <c r="T114" s="13" t="s">
        <v>437</v>
      </c>
      <c r="U114" s="13" t="s">
        <v>437</v>
      </c>
      <c r="V114" s="14" t="s">
        <v>437</v>
      </c>
      <c r="W114" s="13" t="s">
        <v>437</v>
      </c>
      <c r="X114" s="13" t="s">
        <v>437</v>
      </c>
      <c r="Y114" s="13" t="s">
        <v>437</v>
      </c>
      <c r="Z114" s="14" t="s">
        <v>437</v>
      </c>
      <c r="AA114" s="13" t="s">
        <v>437</v>
      </c>
      <c r="AB114" s="13" t="s">
        <v>437</v>
      </c>
      <c r="AC114" s="13" t="s">
        <v>437</v>
      </c>
      <c r="AD114" s="14" t="s">
        <v>437</v>
      </c>
      <c r="AE114" s="13" t="s">
        <v>437</v>
      </c>
      <c r="AF114" s="13" t="s">
        <v>437</v>
      </c>
      <c r="AG114" s="13" t="s">
        <v>437</v>
      </c>
      <c r="AH114" s="14" t="s">
        <v>437</v>
      </c>
      <c r="AI114" s="13" t="s">
        <v>437</v>
      </c>
      <c r="AJ114" s="13" t="s">
        <v>437</v>
      </c>
      <c r="AK114" s="13" t="s">
        <v>437</v>
      </c>
      <c r="AL114" s="14" t="s">
        <v>437</v>
      </c>
      <c r="AM114" s="13" t="s">
        <v>437</v>
      </c>
      <c r="AN114" s="13" t="s">
        <v>437</v>
      </c>
      <c r="AO114" s="13" t="s">
        <v>437</v>
      </c>
      <c r="AP114" s="14" t="s">
        <v>437</v>
      </c>
      <c r="AQ114" s="13" t="s">
        <v>437</v>
      </c>
      <c r="AR114" s="13" t="s">
        <v>437</v>
      </c>
      <c r="AS114" s="13" t="s">
        <v>437</v>
      </c>
      <c r="AT114" s="14" t="s">
        <v>437</v>
      </c>
      <c r="AU114" s="13" t="s">
        <v>437</v>
      </c>
      <c r="AV114" s="13" t="s">
        <v>437</v>
      </c>
      <c r="AW114" s="13" t="s">
        <v>437</v>
      </c>
      <c r="AX114" s="14" t="s">
        <v>437</v>
      </c>
      <c r="AY114" s="13" t="s">
        <v>437</v>
      </c>
      <c r="AZ114" s="13" t="s">
        <v>437</v>
      </c>
      <c r="BA114" s="13" t="s">
        <v>437</v>
      </c>
      <c r="BB114" s="14" t="s">
        <v>437</v>
      </c>
      <c r="BC114" s="13" t="s">
        <v>437</v>
      </c>
      <c r="BD114" s="13" t="s">
        <v>437</v>
      </c>
      <c r="BE114" s="13" t="s">
        <v>437</v>
      </c>
      <c r="BF114" s="14" t="s">
        <v>437</v>
      </c>
      <c r="BG114" s="13" t="s">
        <v>437</v>
      </c>
      <c r="BH114" s="13" t="s">
        <v>437</v>
      </c>
      <c r="BI114" s="13" t="s">
        <v>437</v>
      </c>
      <c r="BJ114" s="14" t="s">
        <v>437</v>
      </c>
      <c r="BK114" s="13" t="s">
        <v>437</v>
      </c>
      <c r="BL114" s="13" t="s">
        <v>437</v>
      </c>
      <c r="BM114" s="13" t="s">
        <v>437</v>
      </c>
      <c r="BN114" s="14" t="s">
        <v>437</v>
      </c>
      <c r="BP114" s="17" t="s">
        <v>437</v>
      </c>
      <c r="BQ114" s="13" t="s">
        <v>437</v>
      </c>
      <c r="BR114" s="13" t="s">
        <v>437</v>
      </c>
      <c r="BS114" s="14" t="s">
        <v>437</v>
      </c>
      <c r="BU114" s="17" t="s">
        <v>437</v>
      </c>
      <c r="BV114" s="13" t="s">
        <v>437</v>
      </c>
      <c r="BW114" s="13" t="s">
        <v>437</v>
      </c>
      <c r="BX114" s="14" t="s">
        <v>437</v>
      </c>
      <c r="BZ114" s="17" t="s">
        <v>437</v>
      </c>
      <c r="CA114" s="13" t="s">
        <v>437</v>
      </c>
      <c r="CB114" s="13" t="s">
        <v>437</v>
      </c>
      <c r="CC114" s="14" t="s">
        <v>437</v>
      </c>
    </row>
    <row r="115" spans="2:81" ht="18" customHeight="1" x14ac:dyDescent="0.2">
      <c r="B115" s="10">
        <f>garage!B115</f>
        <v>115</v>
      </c>
      <c r="C115" s="10">
        <f>garage!C115</f>
        <v>3</v>
      </c>
      <c r="D115" s="10">
        <f>garage!D115</f>
        <v>43</v>
      </c>
      <c r="E115" s="10">
        <f>garage!E115</f>
        <v>7</v>
      </c>
      <c r="F115" s="10" t="str">
        <f>garage!F115</f>
        <v>P</v>
      </c>
      <c r="G115" s="10" t="str">
        <f>garage!G115</f>
        <v>O</v>
      </c>
      <c r="H115" s="10" t="str">
        <f>garage!H115</f>
        <v>N</v>
      </c>
      <c r="I115" s="10" t="str">
        <f>garage!I115</f>
        <v>N</v>
      </c>
      <c r="J115" s="10" t="str">
        <f>garage!J115</f>
        <v>N</v>
      </c>
      <c r="K115" s="10" t="str">
        <f>garage!K115</f>
        <v>B</v>
      </c>
      <c r="L115" s="11" t="str">
        <f>garage!L115</f>
        <v>Porsche</v>
      </c>
      <c r="M115" s="11" t="str">
        <f>garage!M115</f>
        <v>911 GT3 RS</v>
      </c>
      <c r="O115" s="18">
        <v>1</v>
      </c>
      <c r="P115" s="15">
        <v>1</v>
      </c>
      <c r="Q115" s="15">
        <v>1</v>
      </c>
      <c r="R115" s="16">
        <v>1</v>
      </c>
      <c r="S115" s="15">
        <v>1</v>
      </c>
      <c r="T115" s="15">
        <v>1</v>
      </c>
      <c r="U115" s="15">
        <v>1</v>
      </c>
      <c r="V115" s="16">
        <v>1</v>
      </c>
      <c r="W115" s="15">
        <v>1</v>
      </c>
      <c r="X115" s="15">
        <v>1</v>
      </c>
      <c r="Y115" s="15">
        <v>1</v>
      </c>
      <c r="Z115" s="16">
        <v>1</v>
      </c>
      <c r="AA115" s="15">
        <v>1</v>
      </c>
      <c r="AB115" s="15">
        <v>1</v>
      </c>
      <c r="AC115" s="15">
        <v>1</v>
      </c>
      <c r="AD115" s="16">
        <v>1</v>
      </c>
      <c r="AE115" s="15">
        <v>1</v>
      </c>
      <c r="AF115" s="15">
        <v>1</v>
      </c>
      <c r="AG115" s="15">
        <v>1</v>
      </c>
      <c r="AH115" s="16">
        <v>1</v>
      </c>
      <c r="AI115" s="15">
        <v>1</v>
      </c>
      <c r="AJ115" s="15">
        <v>1</v>
      </c>
      <c r="AK115" s="15">
        <v>1</v>
      </c>
      <c r="AL115" s="16">
        <v>1</v>
      </c>
      <c r="AM115" s="15">
        <v>1</v>
      </c>
      <c r="AN115" s="15">
        <v>1</v>
      </c>
      <c r="AO115" s="15">
        <v>1</v>
      </c>
      <c r="AP115" s="16">
        <v>1</v>
      </c>
      <c r="AQ115" s="15">
        <v>1</v>
      </c>
      <c r="AR115" s="15">
        <v>1</v>
      </c>
      <c r="AS115" s="15">
        <v>1</v>
      </c>
      <c r="AT115" s="16">
        <v>1</v>
      </c>
      <c r="AU115" s="15">
        <v>1</v>
      </c>
      <c r="AV115" s="15">
        <v>1</v>
      </c>
      <c r="AW115" s="15">
        <v>1</v>
      </c>
      <c r="AX115" s="16">
        <v>1</v>
      </c>
      <c r="AY115" s="15">
        <v>1</v>
      </c>
      <c r="AZ115" s="15">
        <v>1</v>
      </c>
      <c r="BA115" s="15">
        <v>1</v>
      </c>
      <c r="BB115" s="16">
        <v>1</v>
      </c>
      <c r="BC115" s="15">
        <v>1</v>
      </c>
      <c r="BD115" s="15">
        <v>1</v>
      </c>
      <c r="BE115" s="15">
        <v>1</v>
      </c>
      <c r="BF115" s="16">
        <v>1</v>
      </c>
      <c r="BG115" s="15">
        <v>1</v>
      </c>
      <c r="BH115" s="15">
        <v>1</v>
      </c>
      <c r="BI115" s="15">
        <v>1</v>
      </c>
      <c r="BJ115" s="16">
        <v>1</v>
      </c>
      <c r="BK115" s="15" t="s">
        <v>437</v>
      </c>
      <c r="BL115" s="15" t="s">
        <v>437</v>
      </c>
      <c r="BM115" s="15" t="s">
        <v>437</v>
      </c>
      <c r="BN115" s="16" t="s">
        <v>437</v>
      </c>
      <c r="BP115" s="18">
        <v>8</v>
      </c>
      <c r="BQ115" s="15">
        <v>7</v>
      </c>
      <c r="BR115" s="15">
        <v>7</v>
      </c>
      <c r="BS115" s="16">
        <v>8</v>
      </c>
      <c r="BU115" s="18">
        <v>4</v>
      </c>
      <c r="BV115" s="15">
        <v>3</v>
      </c>
      <c r="BW115" s="15">
        <v>3</v>
      </c>
      <c r="BX115" s="16">
        <v>4</v>
      </c>
      <c r="BZ115" s="18" t="s">
        <v>437</v>
      </c>
      <c r="CA115" s="15" t="s">
        <v>437</v>
      </c>
      <c r="CB115" s="15" t="s">
        <v>437</v>
      </c>
      <c r="CC115" s="16" t="s">
        <v>437</v>
      </c>
    </row>
    <row r="116" spans="2:81" ht="18" hidden="1" customHeight="1" x14ac:dyDescent="0.2">
      <c r="B116" s="8">
        <f>garage!B116</f>
        <v>116</v>
      </c>
      <c r="C116" s="8">
        <f>garage!C116</f>
        <v>3</v>
      </c>
      <c r="D116" s="8">
        <f>garage!D116</f>
        <v>44</v>
      </c>
      <c r="E116" s="8">
        <f>garage!E116</f>
        <v>15</v>
      </c>
      <c r="F116" s="8" t="str">
        <f>garage!F116</f>
        <v>F</v>
      </c>
      <c r="G116" s="8" t="str">
        <f>garage!G116</f>
        <v>N</v>
      </c>
      <c r="H116" s="8" t="str">
        <f>garage!H116</f>
        <v>N</v>
      </c>
      <c r="I116" s="8" t="str">
        <f>garage!I116</f>
        <v>N</v>
      </c>
      <c r="J116" s="8" t="str">
        <f>garage!J116</f>
        <v>O</v>
      </c>
      <c r="K116" s="8" t="str">
        <f>garage!K116</f>
        <v>B</v>
      </c>
      <c r="L116" s="9" t="str">
        <f>garage!L116</f>
        <v>Ferrari</v>
      </c>
      <c r="M116" s="9" t="str">
        <f>garage!M116</f>
        <v>488 GTB Challenge EVO</v>
      </c>
      <c r="O116" s="17">
        <v>1</v>
      </c>
      <c r="P116" s="13">
        <v>1</v>
      </c>
      <c r="Q116" s="13">
        <v>1</v>
      </c>
      <c r="R116" s="14">
        <v>1</v>
      </c>
      <c r="S116" s="13">
        <v>1</v>
      </c>
      <c r="T116" s="13">
        <v>1</v>
      </c>
      <c r="U116" s="13">
        <v>1</v>
      </c>
      <c r="V116" s="14">
        <v>1</v>
      </c>
      <c r="W116" s="13">
        <v>1</v>
      </c>
      <c r="X116" s="13">
        <v>1</v>
      </c>
      <c r="Y116" s="13">
        <v>1</v>
      </c>
      <c r="Z116" s="14">
        <v>1</v>
      </c>
      <c r="AA116" s="13">
        <v>1</v>
      </c>
      <c r="AB116" s="13">
        <v>1</v>
      </c>
      <c r="AC116" s="13">
        <v>1</v>
      </c>
      <c r="AD116" s="14">
        <v>1</v>
      </c>
      <c r="AE116" s="13">
        <v>1</v>
      </c>
      <c r="AF116" s="13">
        <v>1</v>
      </c>
      <c r="AG116" s="13">
        <v>1</v>
      </c>
      <c r="AH116" s="14">
        <v>1</v>
      </c>
      <c r="AI116" s="13">
        <v>1</v>
      </c>
      <c r="AJ116" s="13">
        <v>1</v>
      </c>
      <c r="AK116" s="13">
        <v>1</v>
      </c>
      <c r="AL116" s="14">
        <v>1</v>
      </c>
      <c r="AM116" s="13" t="s">
        <v>437</v>
      </c>
      <c r="AN116" s="13" t="s">
        <v>437</v>
      </c>
      <c r="AO116" s="13" t="s">
        <v>437</v>
      </c>
      <c r="AP116" s="14" t="s">
        <v>437</v>
      </c>
      <c r="AQ116" s="13" t="s">
        <v>437</v>
      </c>
      <c r="AR116" s="13" t="s">
        <v>437</v>
      </c>
      <c r="AS116" s="13" t="s">
        <v>437</v>
      </c>
      <c r="AT116" s="14" t="s">
        <v>437</v>
      </c>
      <c r="AU116" s="13" t="s">
        <v>437</v>
      </c>
      <c r="AV116" s="13" t="s">
        <v>437</v>
      </c>
      <c r="AW116" s="13" t="s">
        <v>437</v>
      </c>
      <c r="AX116" s="14" t="s">
        <v>437</v>
      </c>
      <c r="AY116" s="13" t="s">
        <v>437</v>
      </c>
      <c r="AZ116" s="13" t="s">
        <v>437</v>
      </c>
      <c r="BA116" s="13" t="s">
        <v>437</v>
      </c>
      <c r="BB116" s="14" t="s">
        <v>437</v>
      </c>
      <c r="BC116" s="13" t="s">
        <v>437</v>
      </c>
      <c r="BD116" s="13" t="s">
        <v>437</v>
      </c>
      <c r="BE116" s="13" t="s">
        <v>437</v>
      </c>
      <c r="BF116" s="14" t="s">
        <v>437</v>
      </c>
      <c r="BG116" s="13" t="s">
        <v>437</v>
      </c>
      <c r="BH116" s="13" t="s">
        <v>437</v>
      </c>
      <c r="BI116" s="13" t="s">
        <v>437</v>
      </c>
      <c r="BJ116" s="14" t="s">
        <v>437</v>
      </c>
      <c r="BK116" s="13" t="s">
        <v>437</v>
      </c>
      <c r="BL116" s="13" t="s">
        <v>437</v>
      </c>
      <c r="BM116" s="13" t="s">
        <v>437</v>
      </c>
      <c r="BN116" s="14" t="s">
        <v>437</v>
      </c>
      <c r="BP116" s="17" t="s">
        <v>437</v>
      </c>
      <c r="BQ116" s="13" t="s">
        <v>437</v>
      </c>
      <c r="BR116" s="13" t="s">
        <v>437</v>
      </c>
      <c r="BS116" s="14" t="s">
        <v>437</v>
      </c>
      <c r="BU116" s="17" t="s">
        <v>437</v>
      </c>
      <c r="BV116" s="13" t="s">
        <v>437</v>
      </c>
      <c r="BW116" s="13" t="s">
        <v>437</v>
      </c>
      <c r="BX116" s="14" t="s">
        <v>437</v>
      </c>
      <c r="BZ116" s="17" t="s">
        <v>437</v>
      </c>
      <c r="CA116" s="13" t="s">
        <v>437</v>
      </c>
      <c r="CB116" s="13" t="s">
        <v>437</v>
      </c>
      <c r="CC116" s="14" t="s">
        <v>437</v>
      </c>
    </row>
    <row r="117" spans="2:81" ht="18" customHeight="1" x14ac:dyDescent="0.2">
      <c r="B117" s="10">
        <f>garage!B117</f>
        <v>117</v>
      </c>
      <c r="C117" s="10">
        <f>garage!C117</f>
        <v>3</v>
      </c>
      <c r="D117" s="10">
        <f>garage!D117</f>
        <v>45</v>
      </c>
      <c r="E117" s="10">
        <f>garage!E117</f>
        <v>10</v>
      </c>
      <c r="F117" s="10" t="str">
        <f>garage!F117</f>
        <v>--</v>
      </c>
      <c r="G117" s="10" t="str">
        <f>garage!G117</f>
        <v>O</v>
      </c>
      <c r="H117" s="10" t="str">
        <f>garage!H117</f>
        <v>N</v>
      </c>
      <c r="I117" s="10" t="str">
        <f>garage!I117</f>
        <v>N</v>
      </c>
      <c r="J117" s="10" t="str">
        <f>garage!J117</f>
        <v>N</v>
      </c>
      <c r="K117" s="10" t="str">
        <f>garage!K117</f>
        <v>B</v>
      </c>
      <c r="L117" s="11" t="str">
        <f>garage!L117</f>
        <v>Lotus</v>
      </c>
      <c r="M117" s="11" t="str">
        <f>garage!M117</f>
        <v>Evija</v>
      </c>
      <c r="O117" s="18">
        <v>1</v>
      </c>
      <c r="P117" s="15">
        <v>1</v>
      </c>
      <c r="Q117" s="15">
        <v>1</v>
      </c>
      <c r="R117" s="16">
        <v>1</v>
      </c>
      <c r="S117" s="15">
        <v>1</v>
      </c>
      <c r="T117" s="15">
        <v>1</v>
      </c>
      <c r="U117" s="15">
        <v>1</v>
      </c>
      <c r="V117" s="16">
        <v>1</v>
      </c>
      <c r="W117" s="15">
        <v>1</v>
      </c>
      <c r="X117" s="15">
        <v>1</v>
      </c>
      <c r="Y117" s="15">
        <v>1</v>
      </c>
      <c r="Z117" s="16">
        <v>1</v>
      </c>
      <c r="AA117" s="15" t="s">
        <v>437</v>
      </c>
      <c r="AB117" s="15" t="s">
        <v>437</v>
      </c>
      <c r="AC117" s="15" t="s">
        <v>437</v>
      </c>
      <c r="AD117" s="16" t="s">
        <v>437</v>
      </c>
      <c r="AE117" s="15" t="s">
        <v>437</v>
      </c>
      <c r="AF117" s="15" t="s">
        <v>437</v>
      </c>
      <c r="AG117" s="15" t="s">
        <v>437</v>
      </c>
      <c r="AH117" s="16" t="s">
        <v>437</v>
      </c>
      <c r="AI117" s="15" t="s">
        <v>437</v>
      </c>
      <c r="AJ117" s="15" t="s">
        <v>437</v>
      </c>
      <c r="AK117" s="15" t="s">
        <v>437</v>
      </c>
      <c r="AL117" s="16" t="s">
        <v>437</v>
      </c>
      <c r="AM117" s="15" t="s">
        <v>437</v>
      </c>
      <c r="AN117" s="15" t="s">
        <v>437</v>
      </c>
      <c r="AO117" s="15" t="s">
        <v>437</v>
      </c>
      <c r="AP117" s="16" t="s">
        <v>437</v>
      </c>
      <c r="AQ117" s="15" t="s">
        <v>437</v>
      </c>
      <c r="AR117" s="15" t="s">
        <v>437</v>
      </c>
      <c r="AS117" s="15" t="s">
        <v>437</v>
      </c>
      <c r="AT117" s="16" t="s">
        <v>437</v>
      </c>
      <c r="AU117" s="15" t="s">
        <v>437</v>
      </c>
      <c r="AV117" s="15" t="s">
        <v>437</v>
      </c>
      <c r="AW117" s="15" t="s">
        <v>437</v>
      </c>
      <c r="AX117" s="16" t="s">
        <v>437</v>
      </c>
      <c r="AY117" s="15" t="s">
        <v>437</v>
      </c>
      <c r="AZ117" s="15" t="s">
        <v>437</v>
      </c>
      <c r="BA117" s="15" t="s">
        <v>437</v>
      </c>
      <c r="BB117" s="16" t="s">
        <v>437</v>
      </c>
      <c r="BC117" s="15" t="s">
        <v>437</v>
      </c>
      <c r="BD117" s="15" t="s">
        <v>437</v>
      </c>
      <c r="BE117" s="15" t="s">
        <v>437</v>
      </c>
      <c r="BF117" s="16" t="s">
        <v>437</v>
      </c>
      <c r="BG117" s="15" t="s">
        <v>437</v>
      </c>
      <c r="BH117" s="15" t="s">
        <v>437</v>
      </c>
      <c r="BI117" s="15" t="s">
        <v>437</v>
      </c>
      <c r="BJ117" s="16" t="s">
        <v>437</v>
      </c>
      <c r="BK117" s="15" t="s">
        <v>437</v>
      </c>
      <c r="BL117" s="15" t="s">
        <v>437</v>
      </c>
      <c r="BM117" s="15" t="s">
        <v>437</v>
      </c>
      <c r="BN117" s="16" t="s">
        <v>437</v>
      </c>
      <c r="BP117" s="18">
        <v>3</v>
      </c>
      <c r="BQ117" s="15">
        <v>2</v>
      </c>
      <c r="BR117" s="15">
        <v>2</v>
      </c>
      <c r="BS117" s="16">
        <v>3</v>
      </c>
      <c r="BU117" s="18" t="s">
        <v>437</v>
      </c>
      <c r="BV117" s="15" t="s">
        <v>437</v>
      </c>
      <c r="BW117" s="15" t="s">
        <v>437</v>
      </c>
      <c r="BX117" s="16" t="s">
        <v>437</v>
      </c>
      <c r="BZ117" s="18" t="s">
        <v>437</v>
      </c>
      <c r="CA117" s="15" t="s">
        <v>437</v>
      </c>
      <c r="CB117" s="15" t="s">
        <v>437</v>
      </c>
      <c r="CC117" s="16" t="s">
        <v>437</v>
      </c>
    </row>
    <row r="118" spans="2:81" ht="18" customHeight="1" x14ac:dyDescent="0.2">
      <c r="B118" s="8">
        <f>garage!B118</f>
        <v>118</v>
      </c>
      <c r="C118" s="8">
        <f>garage!C118</f>
        <v>3</v>
      </c>
      <c r="D118" s="8">
        <f>garage!D118</f>
        <v>46</v>
      </c>
      <c r="E118" s="8">
        <f>garage!E118</f>
        <v>0</v>
      </c>
      <c r="F118" s="8" t="str">
        <f>garage!F118</f>
        <v>M</v>
      </c>
      <c r="G118" s="8" t="str">
        <f>garage!G118</f>
        <v>O</v>
      </c>
      <c r="H118" s="8" t="str">
        <f>garage!H118</f>
        <v>O</v>
      </c>
      <c r="I118" s="8" t="str">
        <f>garage!I118</f>
        <v>N</v>
      </c>
      <c r="J118" s="8" t="str">
        <f>garage!J118</f>
        <v>N</v>
      </c>
      <c r="K118" s="8" t="str">
        <f>garage!K118</f>
        <v>B</v>
      </c>
      <c r="L118" s="9" t="str">
        <f>garage!L118</f>
        <v>McLaren</v>
      </c>
      <c r="M118" s="9" t="str">
        <f>garage!M118</f>
        <v>F1 LM</v>
      </c>
      <c r="O118" s="17">
        <v>1</v>
      </c>
      <c r="P118" s="13">
        <v>1</v>
      </c>
      <c r="Q118" s="13">
        <v>1</v>
      </c>
      <c r="R118" s="14">
        <v>1</v>
      </c>
      <c r="S118" s="13">
        <v>1</v>
      </c>
      <c r="T118" s="13">
        <v>1</v>
      </c>
      <c r="U118" s="13">
        <v>1</v>
      </c>
      <c r="V118" s="14">
        <v>1</v>
      </c>
      <c r="W118" s="13">
        <v>1</v>
      </c>
      <c r="X118" s="13">
        <v>1</v>
      </c>
      <c r="Y118" s="13">
        <v>1</v>
      </c>
      <c r="Z118" s="14">
        <v>1</v>
      </c>
      <c r="AA118" s="13">
        <v>1</v>
      </c>
      <c r="AB118" s="13">
        <v>1</v>
      </c>
      <c r="AC118" s="13">
        <v>1</v>
      </c>
      <c r="AD118" s="14">
        <v>1</v>
      </c>
      <c r="AE118" s="13">
        <v>1</v>
      </c>
      <c r="AF118" s="13">
        <v>1</v>
      </c>
      <c r="AG118" s="13">
        <v>1</v>
      </c>
      <c r="AH118" s="14">
        <v>1</v>
      </c>
      <c r="AI118" s="13">
        <v>1</v>
      </c>
      <c r="AJ118" s="13">
        <v>1</v>
      </c>
      <c r="AK118" s="13">
        <v>1</v>
      </c>
      <c r="AL118" s="14">
        <v>1</v>
      </c>
      <c r="AM118" s="13">
        <v>1</v>
      </c>
      <c r="AN118" s="13">
        <v>1</v>
      </c>
      <c r="AO118" s="13">
        <v>1</v>
      </c>
      <c r="AP118" s="14">
        <v>1</v>
      </c>
      <c r="AQ118" s="13">
        <v>1</v>
      </c>
      <c r="AR118" s="13">
        <v>1</v>
      </c>
      <c r="AS118" s="13">
        <v>1</v>
      </c>
      <c r="AT118" s="14">
        <v>1</v>
      </c>
      <c r="AU118" s="13">
        <v>1</v>
      </c>
      <c r="AV118" s="13">
        <v>1</v>
      </c>
      <c r="AW118" s="13">
        <v>1</v>
      </c>
      <c r="AX118" s="14">
        <v>1</v>
      </c>
      <c r="AY118" s="13">
        <v>1</v>
      </c>
      <c r="AZ118" s="13">
        <v>1</v>
      </c>
      <c r="BA118" s="13">
        <v>1</v>
      </c>
      <c r="BB118" s="14">
        <v>1</v>
      </c>
      <c r="BC118" s="13">
        <v>1</v>
      </c>
      <c r="BD118" s="13">
        <v>1</v>
      </c>
      <c r="BE118" s="13">
        <v>1</v>
      </c>
      <c r="BF118" s="14">
        <v>1</v>
      </c>
      <c r="BG118" s="13">
        <v>1</v>
      </c>
      <c r="BH118" s="13">
        <v>1</v>
      </c>
      <c r="BI118" s="13">
        <v>1</v>
      </c>
      <c r="BJ118" s="14">
        <v>1</v>
      </c>
      <c r="BK118" s="13">
        <v>1</v>
      </c>
      <c r="BL118" s="13">
        <v>1</v>
      </c>
      <c r="BM118" s="13">
        <v>1</v>
      </c>
      <c r="BN118" s="14">
        <v>1</v>
      </c>
      <c r="BP118" s="17">
        <v>8</v>
      </c>
      <c r="BQ118" s="13">
        <v>8</v>
      </c>
      <c r="BR118" s="13">
        <v>8</v>
      </c>
      <c r="BS118" s="14">
        <v>8</v>
      </c>
      <c r="BU118" s="17">
        <v>5</v>
      </c>
      <c r="BV118" s="13">
        <v>5</v>
      </c>
      <c r="BW118" s="13">
        <v>5</v>
      </c>
      <c r="BX118" s="14">
        <v>5</v>
      </c>
      <c r="BZ118" s="17">
        <v>3</v>
      </c>
      <c r="CA118" s="13">
        <v>3</v>
      </c>
      <c r="CB118" s="13" t="s">
        <v>437</v>
      </c>
      <c r="CC118" s="14">
        <v>3</v>
      </c>
    </row>
    <row r="119" spans="2:81" ht="18" customHeight="1" x14ac:dyDescent="0.2">
      <c r="B119" s="10">
        <f>garage!B119</f>
        <v>119</v>
      </c>
      <c r="C119" s="10">
        <f>garage!C119</f>
        <v>3</v>
      </c>
      <c r="D119" s="10">
        <f>garage!D119</f>
        <v>47</v>
      </c>
      <c r="E119" s="10">
        <f>garage!E119</f>
        <v>19</v>
      </c>
      <c r="F119" s="10" t="str">
        <f>garage!F119</f>
        <v>--</v>
      </c>
      <c r="G119" s="10" t="str">
        <f>garage!G119</f>
        <v>O</v>
      </c>
      <c r="H119" s="10" t="str">
        <f>garage!H119</f>
        <v>O</v>
      </c>
      <c r="I119" s="10" t="str">
        <f>garage!I119</f>
        <v>O</v>
      </c>
      <c r="J119" s="10" t="str">
        <f>garage!J119</f>
        <v>N</v>
      </c>
      <c r="K119" s="10" t="str">
        <f>garage!K119</f>
        <v>B</v>
      </c>
      <c r="L119" s="11" t="str">
        <f>garage!L119</f>
        <v>Volkswagen</v>
      </c>
      <c r="M119" s="11" t="str">
        <f>garage!M119</f>
        <v>W12 Coupe</v>
      </c>
      <c r="O119" s="18">
        <v>1</v>
      </c>
      <c r="P119" s="15">
        <v>1</v>
      </c>
      <c r="Q119" s="15">
        <v>1</v>
      </c>
      <c r="R119" s="16">
        <v>1</v>
      </c>
      <c r="S119" s="15">
        <v>1</v>
      </c>
      <c r="T119" s="15">
        <v>1</v>
      </c>
      <c r="U119" s="15">
        <v>1</v>
      </c>
      <c r="V119" s="16">
        <v>1</v>
      </c>
      <c r="W119" s="15">
        <v>1</v>
      </c>
      <c r="X119" s="15">
        <v>1</v>
      </c>
      <c r="Y119" s="15">
        <v>1</v>
      </c>
      <c r="Z119" s="16">
        <v>1</v>
      </c>
      <c r="AA119" s="15">
        <v>1</v>
      </c>
      <c r="AB119" s="15">
        <v>1</v>
      </c>
      <c r="AC119" s="15">
        <v>1</v>
      </c>
      <c r="AD119" s="16">
        <v>1</v>
      </c>
      <c r="AE119" s="15">
        <v>1</v>
      </c>
      <c r="AF119" s="15">
        <v>1</v>
      </c>
      <c r="AG119" s="15">
        <v>1</v>
      </c>
      <c r="AH119" s="16">
        <v>1</v>
      </c>
      <c r="AI119" s="15">
        <v>1</v>
      </c>
      <c r="AJ119" s="15">
        <v>1</v>
      </c>
      <c r="AK119" s="15">
        <v>1</v>
      </c>
      <c r="AL119" s="16">
        <v>1</v>
      </c>
      <c r="AM119" s="15">
        <v>1</v>
      </c>
      <c r="AN119" s="15">
        <v>1</v>
      </c>
      <c r="AO119" s="15">
        <v>1</v>
      </c>
      <c r="AP119" s="16">
        <v>1</v>
      </c>
      <c r="AQ119" s="15">
        <v>1</v>
      </c>
      <c r="AR119" s="15">
        <v>1</v>
      </c>
      <c r="AS119" s="15">
        <v>1</v>
      </c>
      <c r="AT119" s="16">
        <v>1</v>
      </c>
      <c r="AU119" s="15">
        <v>1</v>
      </c>
      <c r="AV119" s="15">
        <v>1</v>
      </c>
      <c r="AW119" s="15">
        <v>1</v>
      </c>
      <c r="AX119" s="16">
        <v>1</v>
      </c>
      <c r="AY119" s="15">
        <v>1</v>
      </c>
      <c r="AZ119" s="15">
        <v>1</v>
      </c>
      <c r="BA119" s="15">
        <v>1</v>
      </c>
      <c r="BB119" s="16">
        <v>1</v>
      </c>
      <c r="BC119" s="15">
        <v>1</v>
      </c>
      <c r="BD119" s="15">
        <v>1</v>
      </c>
      <c r="BE119" s="15">
        <v>1</v>
      </c>
      <c r="BF119" s="16">
        <v>1</v>
      </c>
      <c r="BG119" s="15">
        <v>1</v>
      </c>
      <c r="BH119" s="15">
        <v>1</v>
      </c>
      <c r="BI119" s="15">
        <v>1</v>
      </c>
      <c r="BJ119" s="16">
        <v>1</v>
      </c>
      <c r="BK119" s="15">
        <v>1</v>
      </c>
      <c r="BL119" s="15">
        <v>1</v>
      </c>
      <c r="BM119" s="15">
        <v>1</v>
      </c>
      <c r="BN119" s="16">
        <v>1</v>
      </c>
      <c r="BP119" s="18">
        <v>8</v>
      </c>
      <c r="BQ119" s="15">
        <v>8</v>
      </c>
      <c r="BR119" s="15">
        <v>8</v>
      </c>
      <c r="BS119" s="16">
        <v>8</v>
      </c>
      <c r="BU119" s="18">
        <v>5</v>
      </c>
      <c r="BV119" s="15">
        <v>5</v>
      </c>
      <c r="BW119" s="15">
        <v>5</v>
      </c>
      <c r="BX119" s="16">
        <v>5</v>
      </c>
      <c r="BZ119" s="18">
        <v>3</v>
      </c>
      <c r="CA119" s="15">
        <v>3</v>
      </c>
      <c r="CB119" s="15">
        <v>3</v>
      </c>
      <c r="CC119" s="16">
        <v>3</v>
      </c>
    </row>
    <row r="120" spans="2:81" ht="18" hidden="1" customHeight="1" x14ac:dyDescent="0.2">
      <c r="B120" s="8">
        <f>garage!B120</f>
        <v>120</v>
      </c>
      <c r="C120" s="8">
        <f>garage!C120</f>
        <v>3</v>
      </c>
      <c r="D120" s="8">
        <f>garage!D120</f>
        <v>48</v>
      </c>
      <c r="E120" s="8">
        <f>garage!E120</f>
        <v>26</v>
      </c>
      <c r="F120" s="8" t="str">
        <f>garage!F120</f>
        <v>--</v>
      </c>
      <c r="G120" s="8" t="str">
        <f>garage!G120</f>
        <v>N</v>
      </c>
      <c r="H120" s="8" t="str">
        <f>garage!H120</f>
        <v>N</v>
      </c>
      <c r="I120" s="8" t="str">
        <f>garage!I120</f>
        <v>N</v>
      </c>
      <c r="J120" s="8" t="str">
        <f>garage!J120</f>
        <v>N</v>
      </c>
      <c r="K120" s="8" t="str">
        <f>garage!K120</f>
        <v>B</v>
      </c>
      <c r="L120" s="9" t="str">
        <f>garage!L120</f>
        <v>Pagani</v>
      </c>
      <c r="M120" s="9" t="str">
        <f>garage!M120</f>
        <v>Huayra R</v>
      </c>
      <c r="O120" s="17" t="s">
        <v>437</v>
      </c>
      <c r="P120" s="13" t="s">
        <v>437</v>
      </c>
      <c r="Q120" s="13" t="s">
        <v>437</v>
      </c>
      <c r="R120" s="14" t="s">
        <v>437</v>
      </c>
      <c r="S120" s="13" t="s">
        <v>437</v>
      </c>
      <c r="T120" s="13" t="s">
        <v>437</v>
      </c>
      <c r="U120" s="13" t="s">
        <v>437</v>
      </c>
      <c r="V120" s="14" t="s">
        <v>437</v>
      </c>
      <c r="W120" s="13" t="s">
        <v>437</v>
      </c>
      <c r="X120" s="13" t="s">
        <v>437</v>
      </c>
      <c r="Y120" s="13" t="s">
        <v>437</v>
      </c>
      <c r="Z120" s="14" t="s">
        <v>437</v>
      </c>
      <c r="AA120" s="13" t="s">
        <v>437</v>
      </c>
      <c r="AB120" s="13" t="s">
        <v>437</v>
      </c>
      <c r="AC120" s="13" t="s">
        <v>437</v>
      </c>
      <c r="AD120" s="14" t="s">
        <v>437</v>
      </c>
      <c r="AE120" s="13" t="s">
        <v>437</v>
      </c>
      <c r="AF120" s="13" t="s">
        <v>437</v>
      </c>
      <c r="AG120" s="13" t="s">
        <v>437</v>
      </c>
      <c r="AH120" s="14" t="s">
        <v>437</v>
      </c>
      <c r="AI120" s="13" t="s">
        <v>437</v>
      </c>
      <c r="AJ120" s="13" t="s">
        <v>437</v>
      </c>
      <c r="AK120" s="13" t="s">
        <v>437</v>
      </c>
      <c r="AL120" s="14" t="s">
        <v>437</v>
      </c>
      <c r="AM120" s="13" t="s">
        <v>437</v>
      </c>
      <c r="AN120" s="13" t="s">
        <v>437</v>
      </c>
      <c r="AO120" s="13" t="s">
        <v>437</v>
      </c>
      <c r="AP120" s="14" t="s">
        <v>437</v>
      </c>
      <c r="AQ120" s="13" t="s">
        <v>437</v>
      </c>
      <c r="AR120" s="13" t="s">
        <v>437</v>
      </c>
      <c r="AS120" s="13" t="s">
        <v>437</v>
      </c>
      <c r="AT120" s="14" t="s">
        <v>437</v>
      </c>
      <c r="AU120" s="13" t="s">
        <v>437</v>
      </c>
      <c r="AV120" s="13" t="s">
        <v>437</v>
      </c>
      <c r="AW120" s="13" t="s">
        <v>437</v>
      </c>
      <c r="AX120" s="14" t="s">
        <v>437</v>
      </c>
      <c r="AY120" s="13" t="s">
        <v>437</v>
      </c>
      <c r="AZ120" s="13" t="s">
        <v>437</v>
      </c>
      <c r="BA120" s="13" t="s">
        <v>437</v>
      </c>
      <c r="BB120" s="14" t="s">
        <v>437</v>
      </c>
      <c r="BC120" s="13" t="s">
        <v>437</v>
      </c>
      <c r="BD120" s="13" t="s">
        <v>437</v>
      </c>
      <c r="BE120" s="13" t="s">
        <v>437</v>
      </c>
      <c r="BF120" s="14" t="s">
        <v>437</v>
      </c>
      <c r="BG120" s="13" t="s">
        <v>437</v>
      </c>
      <c r="BH120" s="13" t="s">
        <v>437</v>
      </c>
      <c r="BI120" s="13" t="s">
        <v>437</v>
      </c>
      <c r="BJ120" s="14" t="s">
        <v>437</v>
      </c>
      <c r="BK120" s="13" t="s">
        <v>437</v>
      </c>
      <c r="BL120" s="13" t="s">
        <v>437</v>
      </c>
      <c r="BM120" s="13" t="s">
        <v>437</v>
      </c>
      <c r="BN120" s="14" t="s">
        <v>437</v>
      </c>
      <c r="BP120" s="17" t="s">
        <v>437</v>
      </c>
      <c r="BQ120" s="13" t="s">
        <v>437</v>
      </c>
      <c r="BR120" s="13" t="s">
        <v>437</v>
      </c>
      <c r="BS120" s="14" t="s">
        <v>437</v>
      </c>
      <c r="BU120" s="17" t="s">
        <v>437</v>
      </c>
      <c r="BV120" s="13" t="s">
        <v>437</v>
      </c>
      <c r="BW120" s="13" t="s">
        <v>437</v>
      </c>
      <c r="BX120" s="14" t="s">
        <v>437</v>
      </c>
      <c r="BZ120" s="17" t="s">
        <v>437</v>
      </c>
      <c r="CA120" s="13" t="s">
        <v>437</v>
      </c>
      <c r="CB120" s="13" t="s">
        <v>437</v>
      </c>
      <c r="CC120" s="14" t="s">
        <v>437</v>
      </c>
    </row>
    <row r="121" spans="2:81" ht="18" customHeight="1" x14ac:dyDescent="0.2">
      <c r="B121" s="10">
        <f>garage!B121</f>
        <v>121</v>
      </c>
      <c r="C121" s="10">
        <f>garage!C121</f>
        <v>3</v>
      </c>
      <c r="D121" s="10">
        <f>garage!D121</f>
        <v>49</v>
      </c>
      <c r="E121" s="10">
        <f>garage!E121</f>
        <v>30</v>
      </c>
      <c r="F121" s="10" t="str">
        <f>garage!F121</f>
        <v>L</v>
      </c>
      <c r="G121" s="10" t="str">
        <f>garage!G121</f>
        <v>O</v>
      </c>
      <c r="H121" s="10" t="str">
        <f>garage!H121</f>
        <v>N</v>
      </c>
      <c r="I121" s="10" t="str">
        <f>garage!I121</f>
        <v>N</v>
      </c>
      <c r="J121" s="10" t="str">
        <f>garage!J121</f>
        <v>N</v>
      </c>
      <c r="K121" s="10" t="str">
        <f>garage!K121</f>
        <v>B</v>
      </c>
      <c r="L121" s="11" t="str">
        <f>garage!L121</f>
        <v>Lamborghini</v>
      </c>
      <c r="M121" s="11" t="str">
        <f>garage!M121</f>
        <v>Revuelto</v>
      </c>
      <c r="O121" s="18" t="s">
        <v>437</v>
      </c>
      <c r="P121" s="15" t="s">
        <v>437</v>
      </c>
      <c r="Q121" s="15" t="s">
        <v>437</v>
      </c>
      <c r="R121" s="16" t="s">
        <v>437</v>
      </c>
      <c r="S121" s="15" t="s">
        <v>437</v>
      </c>
      <c r="T121" s="15" t="s">
        <v>437</v>
      </c>
      <c r="U121" s="15" t="s">
        <v>437</v>
      </c>
      <c r="V121" s="16" t="s">
        <v>437</v>
      </c>
      <c r="W121" s="15" t="s">
        <v>437</v>
      </c>
      <c r="X121" s="15" t="s">
        <v>437</v>
      </c>
      <c r="Y121" s="15" t="s">
        <v>437</v>
      </c>
      <c r="Z121" s="16" t="s">
        <v>437</v>
      </c>
      <c r="AA121" s="15" t="s">
        <v>437</v>
      </c>
      <c r="AB121" s="15" t="s">
        <v>437</v>
      </c>
      <c r="AC121" s="15" t="s">
        <v>437</v>
      </c>
      <c r="AD121" s="16" t="s">
        <v>437</v>
      </c>
      <c r="AE121" s="15" t="s">
        <v>437</v>
      </c>
      <c r="AF121" s="15" t="s">
        <v>437</v>
      </c>
      <c r="AG121" s="15" t="s">
        <v>437</v>
      </c>
      <c r="AH121" s="16" t="s">
        <v>437</v>
      </c>
      <c r="AI121" s="15" t="s">
        <v>437</v>
      </c>
      <c r="AJ121" s="15" t="s">
        <v>437</v>
      </c>
      <c r="AK121" s="15" t="s">
        <v>437</v>
      </c>
      <c r="AL121" s="16" t="s">
        <v>437</v>
      </c>
      <c r="AM121" s="15" t="s">
        <v>437</v>
      </c>
      <c r="AN121" s="15" t="s">
        <v>437</v>
      </c>
      <c r="AO121" s="15" t="s">
        <v>437</v>
      </c>
      <c r="AP121" s="16" t="s">
        <v>437</v>
      </c>
      <c r="AQ121" s="15" t="s">
        <v>437</v>
      </c>
      <c r="AR121" s="15" t="s">
        <v>437</v>
      </c>
      <c r="AS121" s="15" t="s">
        <v>437</v>
      </c>
      <c r="AT121" s="16" t="s">
        <v>437</v>
      </c>
      <c r="AU121" s="15" t="s">
        <v>437</v>
      </c>
      <c r="AV121" s="15" t="s">
        <v>437</v>
      </c>
      <c r="AW121" s="15" t="s">
        <v>437</v>
      </c>
      <c r="AX121" s="16" t="s">
        <v>437</v>
      </c>
      <c r="AY121" s="15" t="s">
        <v>437</v>
      </c>
      <c r="AZ121" s="15" t="s">
        <v>437</v>
      </c>
      <c r="BA121" s="15" t="s">
        <v>437</v>
      </c>
      <c r="BB121" s="16" t="s">
        <v>437</v>
      </c>
      <c r="BC121" s="15" t="s">
        <v>437</v>
      </c>
      <c r="BD121" s="15" t="s">
        <v>437</v>
      </c>
      <c r="BE121" s="15" t="s">
        <v>437</v>
      </c>
      <c r="BF121" s="16" t="s">
        <v>437</v>
      </c>
      <c r="BG121" s="15" t="s">
        <v>437</v>
      </c>
      <c r="BH121" s="15" t="s">
        <v>437</v>
      </c>
      <c r="BI121" s="15" t="s">
        <v>437</v>
      </c>
      <c r="BJ121" s="16" t="s">
        <v>437</v>
      </c>
      <c r="BK121" s="15" t="s">
        <v>437</v>
      </c>
      <c r="BL121" s="15" t="s">
        <v>437</v>
      </c>
      <c r="BM121" s="15" t="s">
        <v>437</v>
      </c>
      <c r="BN121" s="16" t="s">
        <v>437</v>
      </c>
      <c r="BP121" s="18" t="s">
        <v>437</v>
      </c>
      <c r="BQ121" s="15" t="s">
        <v>437</v>
      </c>
      <c r="BR121" s="15" t="s">
        <v>437</v>
      </c>
      <c r="BS121" s="16" t="s">
        <v>437</v>
      </c>
      <c r="BU121" s="18" t="s">
        <v>437</v>
      </c>
      <c r="BV121" s="15" t="s">
        <v>437</v>
      </c>
      <c r="BW121" s="15" t="s">
        <v>437</v>
      </c>
      <c r="BX121" s="16" t="s">
        <v>437</v>
      </c>
      <c r="BZ121" s="18" t="s">
        <v>437</v>
      </c>
      <c r="CA121" s="15" t="s">
        <v>437</v>
      </c>
      <c r="CB121" s="15" t="s">
        <v>437</v>
      </c>
      <c r="CC121" s="16" t="s">
        <v>437</v>
      </c>
    </row>
    <row r="122" spans="2:81" ht="18" customHeight="1" x14ac:dyDescent="0.2">
      <c r="B122" s="8">
        <f>garage!B122</f>
        <v>122</v>
      </c>
      <c r="C122" s="8">
        <f>garage!C122</f>
        <v>4</v>
      </c>
      <c r="D122" s="8">
        <f>garage!D122</f>
        <v>1</v>
      </c>
      <c r="E122" s="8">
        <f>garage!E122</f>
        <v>0</v>
      </c>
      <c r="F122" s="8" t="str">
        <f>garage!F122</f>
        <v>AM</v>
      </c>
      <c r="G122" s="8" t="str">
        <f>garage!G122</f>
        <v>O</v>
      </c>
      <c r="H122" s="8" t="str">
        <f>garage!H122</f>
        <v>O</v>
      </c>
      <c r="I122" s="8" t="str">
        <f>garage!I122</f>
        <v>O</v>
      </c>
      <c r="J122" s="8" t="str">
        <f>garage!J122</f>
        <v>N</v>
      </c>
      <c r="K122" s="8" t="str">
        <f>garage!K122</f>
        <v>A</v>
      </c>
      <c r="L122" s="9" t="str">
        <f>garage!L122</f>
        <v>Aston Martin</v>
      </c>
      <c r="M122" s="9" t="str">
        <f>garage!M122</f>
        <v>Vulcan</v>
      </c>
      <c r="O122" s="17">
        <v>1</v>
      </c>
      <c r="P122" s="13">
        <v>1</v>
      </c>
      <c r="Q122" s="13">
        <v>1</v>
      </c>
      <c r="R122" s="14">
        <v>1</v>
      </c>
      <c r="S122" s="13">
        <v>1</v>
      </c>
      <c r="T122" s="13">
        <v>1</v>
      </c>
      <c r="U122" s="13">
        <v>1</v>
      </c>
      <c r="V122" s="14">
        <v>1</v>
      </c>
      <c r="W122" s="13">
        <v>1</v>
      </c>
      <c r="X122" s="13">
        <v>1</v>
      </c>
      <c r="Y122" s="13">
        <v>1</v>
      </c>
      <c r="Z122" s="14">
        <v>1</v>
      </c>
      <c r="AA122" s="13">
        <v>1</v>
      </c>
      <c r="AB122" s="13">
        <v>1</v>
      </c>
      <c r="AC122" s="13">
        <v>1</v>
      </c>
      <c r="AD122" s="14">
        <v>1</v>
      </c>
      <c r="AE122" s="13">
        <v>1</v>
      </c>
      <c r="AF122" s="13">
        <v>1</v>
      </c>
      <c r="AG122" s="13">
        <v>1</v>
      </c>
      <c r="AH122" s="14">
        <v>1</v>
      </c>
      <c r="AI122" s="13">
        <v>1</v>
      </c>
      <c r="AJ122" s="13">
        <v>1</v>
      </c>
      <c r="AK122" s="13">
        <v>1</v>
      </c>
      <c r="AL122" s="14">
        <v>1</v>
      </c>
      <c r="AM122" s="13">
        <v>1</v>
      </c>
      <c r="AN122" s="13">
        <v>1</v>
      </c>
      <c r="AO122" s="13">
        <v>1</v>
      </c>
      <c r="AP122" s="14">
        <v>1</v>
      </c>
      <c r="AQ122" s="13">
        <v>1</v>
      </c>
      <c r="AR122" s="13">
        <v>1</v>
      </c>
      <c r="AS122" s="13">
        <v>1</v>
      </c>
      <c r="AT122" s="14">
        <v>1</v>
      </c>
      <c r="AU122" s="13">
        <v>1</v>
      </c>
      <c r="AV122" s="13">
        <v>1</v>
      </c>
      <c r="AW122" s="13">
        <v>1</v>
      </c>
      <c r="AX122" s="14">
        <v>1</v>
      </c>
      <c r="AY122" s="13">
        <v>1</v>
      </c>
      <c r="AZ122" s="13">
        <v>1</v>
      </c>
      <c r="BA122" s="13">
        <v>1</v>
      </c>
      <c r="BB122" s="14">
        <v>1</v>
      </c>
      <c r="BC122" s="13">
        <v>1</v>
      </c>
      <c r="BD122" s="13">
        <v>1</v>
      </c>
      <c r="BE122" s="13">
        <v>1</v>
      </c>
      <c r="BF122" s="14">
        <v>1</v>
      </c>
      <c r="BG122" s="13" t="s">
        <v>437</v>
      </c>
      <c r="BH122" s="13" t="s">
        <v>437</v>
      </c>
      <c r="BI122" s="13" t="s">
        <v>437</v>
      </c>
      <c r="BJ122" s="14" t="s">
        <v>437</v>
      </c>
      <c r="BK122" s="13" t="s">
        <v>437</v>
      </c>
      <c r="BL122" s="13" t="s">
        <v>437</v>
      </c>
      <c r="BM122" s="13" t="s">
        <v>437</v>
      </c>
      <c r="BN122" s="14" t="s">
        <v>437</v>
      </c>
      <c r="BP122" s="17">
        <v>5</v>
      </c>
      <c r="BQ122" s="13">
        <v>5</v>
      </c>
      <c r="BR122" s="13">
        <v>5</v>
      </c>
      <c r="BS122" s="14">
        <v>5</v>
      </c>
      <c r="BU122" s="17">
        <v>5</v>
      </c>
      <c r="BV122" s="13">
        <v>5</v>
      </c>
      <c r="BW122" s="13">
        <v>5</v>
      </c>
      <c r="BX122" s="14">
        <v>5</v>
      </c>
      <c r="BZ122" s="17">
        <v>2</v>
      </c>
      <c r="CA122" s="13">
        <v>2</v>
      </c>
      <c r="CB122" s="13">
        <v>2</v>
      </c>
      <c r="CC122" s="14">
        <v>2</v>
      </c>
    </row>
    <row r="123" spans="2:81" ht="18" customHeight="1" x14ac:dyDescent="0.2">
      <c r="B123" s="10">
        <f>garage!B123</f>
        <v>123</v>
      </c>
      <c r="C123" s="10">
        <f>garage!C123</f>
        <v>4</v>
      </c>
      <c r="D123" s="10">
        <f>garage!D123</f>
        <v>2</v>
      </c>
      <c r="E123" s="10">
        <f>garage!E123</f>
        <v>0</v>
      </c>
      <c r="F123" s="10" t="str">
        <f>garage!F123</f>
        <v>--</v>
      </c>
      <c r="G123" s="10" t="str">
        <f>garage!G123</f>
        <v>O</v>
      </c>
      <c r="H123" s="10" t="str">
        <f>garage!H123</f>
        <v>O</v>
      </c>
      <c r="I123" s="10" t="str">
        <f>garage!I123</f>
        <v>O</v>
      </c>
      <c r="J123" s="10" t="str">
        <f>garage!J123</f>
        <v>N</v>
      </c>
      <c r="K123" s="10" t="str">
        <f>garage!K123</f>
        <v>A</v>
      </c>
      <c r="L123" s="11" t="str">
        <f>garage!L123</f>
        <v>Nissan</v>
      </c>
      <c r="M123" s="11" t="str">
        <f>garage!M123</f>
        <v>GT-R Nismo</v>
      </c>
      <c r="O123" s="18">
        <v>1</v>
      </c>
      <c r="P123" s="15">
        <v>1</v>
      </c>
      <c r="Q123" s="15">
        <v>1</v>
      </c>
      <c r="R123" s="16">
        <v>1</v>
      </c>
      <c r="S123" s="15">
        <v>1</v>
      </c>
      <c r="T123" s="15">
        <v>1</v>
      </c>
      <c r="U123" s="15">
        <v>1</v>
      </c>
      <c r="V123" s="16">
        <v>1</v>
      </c>
      <c r="W123" s="15">
        <v>1</v>
      </c>
      <c r="X123" s="15">
        <v>1</v>
      </c>
      <c r="Y123" s="15">
        <v>1</v>
      </c>
      <c r="Z123" s="16">
        <v>1</v>
      </c>
      <c r="AA123" s="15">
        <v>1</v>
      </c>
      <c r="AB123" s="15">
        <v>1</v>
      </c>
      <c r="AC123" s="15">
        <v>1</v>
      </c>
      <c r="AD123" s="16">
        <v>1</v>
      </c>
      <c r="AE123" s="15">
        <v>1</v>
      </c>
      <c r="AF123" s="15">
        <v>1</v>
      </c>
      <c r="AG123" s="15">
        <v>1</v>
      </c>
      <c r="AH123" s="16">
        <v>1</v>
      </c>
      <c r="AI123" s="15">
        <v>1</v>
      </c>
      <c r="AJ123" s="15">
        <v>1</v>
      </c>
      <c r="AK123" s="15">
        <v>1</v>
      </c>
      <c r="AL123" s="16">
        <v>1</v>
      </c>
      <c r="AM123" s="15">
        <v>1</v>
      </c>
      <c r="AN123" s="15">
        <v>1</v>
      </c>
      <c r="AO123" s="15">
        <v>1</v>
      </c>
      <c r="AP123" s="16">
        <v>1</v>
      </c>
      <c r="AQ123" s="15">
        <v>1</v>
      </c>
      <c r="AR123" s="15">
        <v>1</v>
      </c>
      <c r="AS123" s="15">
        <v>1</v>
      </c>
      <c r="AT123" s="16">
        <v>1</v>
      </c>
      <c r="AU123" s="15">
        <v>1</v>
      </c>
      <c r="AV123" s="15">
        <v>1</v>
      </c>
      <c r="AW123" s="15">
        <v>1</v>
      </c>
      <c r="AX123" s="16">
        <v>1</v>
      </c>
      <c r="AY123" s="15">
        <v>1</v>
      </c>
      <c r="AZ123" s="15">
        <v>1</v>
      </c>
      <c r="BA123" s="15">
        <v>1</v>
      </c>
      <c r="BB123" s="16">
        <v>1</v>
      </c>
      <c r="BC123" s="15">
        <v>1</v>
      </c>
      <c r="BD123" s="15">
        <v>1</v>
      </c>
      <c r="BE123" s="15">
        <v>1</v>
      </c>
      <c r="BF123" s="16">
        <v>1</v>
      </c>
      <c r="BG123" s="15" t="s">
        <v>437</v>
      </c>
      <c r="BH123" s="15" t="s">
        <v>437</v>
      </c>
      <c r="BI123" s="15" t="s">
        <v>437</v>
      </c>
      <c r="BJ123" s="16" t="s">
        <v>437</v>
      </c>
      <c r="BK123" s="15" t="s">
        <v>437</v>
      </c>
      <c r="BL123" s="15" t="s">
        <v>437</v>
      </c>
      <c r="BM123" s="15" t="s">
        <v>437</v>
      </c>
      <c r="BN123" s="16" t="s">
        <v>437</v>
      </c>
      <c r="BP123" s="18">
        <v>5</v>
      </c>
      <c r="BQ123" s="15">
        <v>5</v>
      </c>
      <c r="BR123" s="15">
        <v>5</v>
      </c>
      <c r="BS123" s="16">
        <v>5</v>
      </c>
      <c r="BU123" s="18">
        <v>5</v>
      </c>
      <c r="BV123" s="15">
        <v>5</v>
      </c>
      <c r="BW123" s="15">
        <v>5</v>
      </c>
      <c r="BX123" s="16">
        <v>5</v>
      </c>
      <c r="BZ123" s="18">
        <v>2</v>
      </c>
      <c r="CA123" s="15">
        <v>2</v>
      </c>
      <c r="CB123" s="15">
        <v>2</v>
      </c>
      <c r="CC123" s="16">
        <v>2</v>
      </c>
    </row>
    <row r="124" spans="2:81" ht="18" customHeight="1" x14ac:dyDescent="0.2">
      <c r="B124" s="8">
        <f>garage!B124</f>
        <v>124</v>
      </c>
      <c r="C124" s="8">
        <f>garage!C124</f>
        <v>4</v>
      </c>
      <c r="D124" s="8">
        <f>garage!D124</f>
        <v>3</v>
      </c>
      <c r="E124" s="8">
        <f>garage!E124</f>
        <v>17</v>
      </c>
      <c r="F124" s="8" t="str">
        <f>garage!F124</f>
        <v>--</v>
      </c>
      <c r="G124" s="8" t="str">
        <f>garage!G124</f>
        <v>O</v>
      </c>
      <c r="H124" s="8" t="str">
        <f>garage!H124</f>
        <v>N</v>
      </c>
      <c r="I124" s="8" t="str">
        <f>garage!I124</f>
        <v>N</v>
      </c>
      <c r="J124" s="8" t="str">
        <f>garage!J124</f>
        <v>N</v>
      </c>
      <c r="K124" s="8" t="str">
        <f>garage!K124</f>
        <v>A</v>
      </c>
      <c r="L124" s="9" t="str">
        <f>garage!L124</f>
        <v>Nio</v>
      </c>
      <c r="M124" s="9" t="str">
        <f>garage!M124</f>
        <v>EP9</v>
      </c>
      <c r="O124" s="17">
        <v>1</v>
      </c>
      <c r="P124" s="13">
        <v>1</v>
      </c>
      <c r="Q124" s="13">
        <v>1</v>
      </c>
      <c r="R124" s="14">
        <v>1</v>
      </c>
      <c r="S124" s="13">
        <v>1</v>
      </c>
      <c r="T124" s="13">
        <v>1</v>
      </c>
      <c r="U124" s="13">
        <v>1</v>
      </c>
      <c r="V124" s="14">
        <v>1</v>
      </c>
      <c r="W124" s="13">
        <v>1</v>
      </c>
      <c r="X124" s="13">
        <v>1</v>
      </c>
      <c r="Y124" s="13">
        <v>1</v>
      </c>
      <c r="Z124" s="14">
        <v>1</v>
      </c>
      <c r="AA124" s="13">
        <v>1</v>
      </c>
      <c r="AB124" s="13" t="s">
        <v>437</v>
      </c>
      <c r="AC124" s="13">
        <v>1</v>
      </c>
      <c r="AD124" s="14">
        <v>1</v>
      </c>
      <c r="AE124" s="13" t="s">
        <v>437</v>
      </c>
      <c r="AF124" s="13" t="s">
        <v>437</v>
      </c>
      <c r="AG124" s="13" t="s">
        <v>437</v>
      </c>
      <c r="AH124" s="14" t="s">
        <v>437</v>
      </c>
      <c r="AI124" s="13" t="s">
        <v>437</v>
      </c>
      <c r="AJ124" s="13" t="s">
        <v>437</v>
      </c>
      <c r="AK124" s="13" t="s">
        <v>437</v>
      </c>
      <c r="AL124" s="14" t="s">
        <v>437</v>
      </c>
      <c r="AM124" s="13" t="s">
        <v>437</v>
      </c>
      <c r="AN124" s="13" t="s">
        <v>437</v>
      </c>
      <c r="AO124" s="13" t="s">
        <v>437</v>
      </c>
      <c r="AP124" s="14" t="s">
        <v>437</v>
      </c>
      <c r="AQ124" s="13" t="s">
        <v>437</v>
      </c>
      <c r="AR124" s="13" t="s">
        <v>437</v>
      </c>
      <c r="AS124" s="13" t="s">
        <v>437</v>
      </c>
      <c r="AT124" s="14" t="s">
        <v>437</v>
      </c>
      <c r="AU124" s="13" t="s">
        <v>437</v>
      </c>
      <c r="AV124" s="13" t="s">
        <v>437</v>
      </c>
      <c r="AW124" s="13" t="s">
        <v>437</v>
      </c>
      <c r="AX124" s="14" t="s">
        <v>437</v>
      </c>
      <c r="AY124" s="13" t="s">
        <v>437</v>
      </c>
      <c r="AZ124" s="13" t="s">
        <v>437</v>
      </c>
      <c r="BA124" s="13" t="s">
        <v>437</v>
      </c>
      <c r="BB124" s="14" t="s">
        <v>437</v>
      </c>
      <c r="BC124" s="13" t="s">
        <v>437</v>
      </c>
      <c r="BD124" s="13" t="s">
        <v>437</v>
      </c>
      <c r="BE124" s="13" t="s">
        <v>437</v>
      </c>
      <c r="BF124" s="14" t="s">
        <v>437</v>
      </c>
      <c r="BG124" s="13" t="s">
        <v>437</v>
      </c>
      <c r="BH124" s="13" t="s">
        <v>437</v>
      </c>
      <c r="BI124" s="13" t="s">
        <v>437</v>
      </c>
      <c r="BJ124" s="14" t="s">
        <v>437</v>
      </c>
      <c r="BK124" s="13" t="s">
        <v>437</v>
      </c>
      <c r="BL124" s="13" t="s">
        <v>437</v>
      </c>
      <c r="BM124" s="13" t="s">
        <v>437</v>
      </c>
      <c r="BN124" s="14" t="s">
        <v>437</v>
      </c>
      <c r="BP124" s="17">
        <v>2</v>
      </c>
      <c r="BQ124" s="13">
        <v>1</v>
      </c>
      <c r="BR124" s="13">
        <v>2</v>
      </c>
      <c r="BS124" s="14">
        <v>2</v>
      </c>
      <c r="BU124" s="17" t="s">
        <v>437</v>
      </c>
      <c r="BV124" s="13" t="s">
        <v>437</v>
      </c>
      <c r="BW124" s="13" t="s">
        <v>437</v>
      </c>
      <c r="BX124" s="14" t="s">
        <v>437</v>
      </c>
      <c r="BZ124" s="17" t="s">
        <v>437</v>
      </c>
      <c r="CA124" s="13" t="s">
        <v>437</v>
      </c>
      <c r="CB124" s="13" t="s">
        <v>437</v>
      </c>
      <c r="CC124" s="14" t="s">
        <v>437</v>
      </c>
    </row>
    <row r="125" spans="2:81" ht="18" customHeight="1" x14ac:dyDescent="0.2">
      <c r="B125" s="10">
        <f>garage!B125</f>
        <v>125</v>
      </c>
      <c r="C125" s="10">
        <f>garage!C125</f>
        <v>4</v>
      </c>
      <c r="D125" s="10">
        <f>garage!D125</f>
        <v>4</v>
      </c>
      <c r="E125" s="10">
        <f>garage!E125</f>
        <v>0</v>
      </c>
      <c r="F125" s="10" t="str">
        <f>garage!F125</f>
        <v>F</v>
      </c>
      <c r="G125" s="10" t="str">
        <f>garage!G125</f>
        <v>O</v>
      </c>
      <c r="H125" s="10" t="str">
        <f>garage!H125</f>
        <v>O</v>
      </c>
      <c r="I125" s="10" t="str">
        <f>garage!I125</f>
        <v>O</v>
      </c>
      <c r="J125" s="10" t="str">
        <f>garage!J125</f>
        <v>N</v>
      </c>
      <c r="K125" s="10" t="str">
        <f>garage!K125</f>
        <v>A</v>
      </c>
      <c r="L125" s="11" t="str">
        <f>garage!L125</f>
        <v>Ferrari</v>
      </c>
      <c r="M125" s="11" t="str">
        <f>garage!M125</f>
        <v>J50</v>
      </c>
      <c r="O125" s="18">
        <v>1</v>
      </c>
      <c r="P125" s="15">
        <v>1</v>
      </c>
      <c r="Q125" s="15">
        <v>1</v>
      </c>
      <c r="R125" s="16">
        <v>1</v>
      </c>
      <c r="S125" s="15">
        <v>1</v>
      </c>
      <c r="T125" s="15">
        <v>1</v>
      </c>
      <c r="U125" s="15">
        <v>1</v>
      </c>
      <c r="V125" s="16">
        <v>1</v>
      </c>
      <c r="W125" s="15">
        <v>1</v>
      </c>
      <c r="X125" s="15">
        <v>1</v>
      </c>
      <c r="Y125" s="15">
        <v>1</v>
      </c>
      <c r="Z125" s="16">
        <v>1</v>
      </c>
      <c r="AA125" s="15">
        <v>1</v>
      </c>
      <c r="AB125" s="15">
        <v>1</v>
      </c>
      <c r="AC125" s="15">
        <v>1</v>
      </c>
      <c r="AD125" s="16">
        <v>1</v>
      </c>
      <c r="AE125" s="15">
        <v>1</v>
      </c>
      <c r="AF125" s="15">
        <v>1</v>
      </c>
      <c r="AG125" s="15">
        <v>1</v>
      </c>
      <c r="AH125" s="16">
        <v>1</v>
      </c>
      <c r="AI125" s="15">
        <v>1</v>
      </c>
      <c r="AJ125" s="15">
        <v>1</v>
      </c>
      <c r="AK125" s="15">
        <v>1</v>
      </c>
      <c r="AL125" s="16">
        <v>1</v>
      </c>
      <c r="AM125" s="15">
        <v>1</v>
      </c>
      <c r="AN125" s="15">
        <v>1</v>
      </c>
      <c r="AO125" s="15">
        <v>1</v>
      </c>
      <c r="AP125" s="16">
        <v>1</v>
      </c>
      <c r="AQ125" s="15">
        <v>1</v>
      </c>
      <c r="AR125" s="15">
        <v>1</v>
      </c>
      <c r="AS125" s="15">
        <v>1</v>
      </c>
      <c r="AT125" s="16">
        <v>1</v>
      </c>
      <c r="AU125" s="15">
        <v>1</v>
      </c>
      <c r="AV125" s="15">
        <v>1</v>
      </c>
      <c r="AW125" s="15">
        <v>1</v>
      </c>
      <c r="AX125" s="16">
        <v>1</v>
      </c>
      <c r="AY125" s="15">
        <v>1</v>
      </c>
      <c r="AZ125" s="15">
        <v>1</v>
      </c>
      <c r="BA125" s="15">
        <v>1</v>
      </c>
      <c r="BB125" s="16">
        <v>1</v>
      </c>
      <c r="BC125" s="15">
        <v>1</v>
      </c>
      <c r="BD125" s="15">
        <v>1</v>
      </c>
      <c r="BE125" s="15">
        <v>1</v>
      </c>
      <c r="BF125" s="16">
        <v>1</v>
      </c>
      <c r="BG125" s="15" t="s">
        <v>437</v>
      </c>
      <c r="BH125" s="15" t="s">
        <v>437</v>
      </c>
      <c r="BI125" s="15" t="s">
        <v>437</v>
      </c>
      <c r="BJ125" s="16" t="s">
        <v>437</v>
      </c>
      <c r="BK125" s="15" t="s">
        <v>437</v>
      </c>
      <c r="BL125" s="15" t="s">
        <v>437</v>
      </c>
      <c r="BM125" s="15" t="s">
        <v>437</v>
      </c>
      <c r="BN125" s="16" t="s">
        <v>437</v>
      </c>
      <c r="BP125" s="18">
        <v>5</v>
      </c>
      <c r="BQ125" s="15">
        <v>5</v>
      </c>
      <c r="BR125" s="15">
        <v>5</v>
      </c>
      <c r="BS125" s="16">
        <v>5</v>
      </c>
      <c r="BU125" s="18">
        <v>5</v>
      </c>
      <c r="BV125" s="15">
        <v>5</v>
      </c>
      <c r="BW125" s="15">
        <v>5</v>
      </c>
      <c r="BX125" s="16">
        <v>5</v>
      </c>
      <c r="BZ125" s="18">
        <v>2</v>
      </c>
      <c r="CA125" s="15">
        <v>2</v>
      </c>
      <c r="CB125" s="15">
        <v>2</v>
      </c>
      <c r="CC125" s="16">
        <v>2</v>
      </c>
    </row>
    <row r="126" spans="2:81" ht="18" customHeight="1" x14ac:dyDescent="0.2">
      <c r="B126" s="8">
        <f>garage!B126</f>
        <v>126</v>
      </c>
      <c r="C126" s="8">
        <f>garage!C126</f>
        <v>4</v>
      </c>
      <c r="D126" s="8">
        <f>garage!D126</f>
        <v>5</v>
      </c>
      <c r="E126" s="8">
        <f>garage!E126</f>
        <v>0</v>
      </c>
      <c r="F126" s="8" t="str">
        <f>garage!F126</f>
        <v>--</v>
      </c>
      <c r="G126" s="8" t="str">
        <f>garage!G126</f>
        <v>O</v>
      </c>
      <c r="H126" s="8" t="str">
        <f>garage!H126</f>
        <v>O</v>
      </c>
      <c r="I126" s="8" t="str">
        <f>garage!I126</f>
        <v>O</v>
      </c>
      <c r="J126" s="8" t="str">
        <f>garage!J126</f>
        <v>N</v>
      </c>
      <c r="K126" s="8" t="str">
        <f>garage!K126</f>
        <v>A</v>
      </c>
      <c r="L126" s="9" t="str">
        <f>garage!L126</f>
        <v>Dodge</v>
      </c>
      <c r="M126" s="9" t="str">
        <f>garage!M126</f>
        <v>Viper GTS</v>
      </c>
      <c r="O126" s="17">
        <v>1</v>
      </c>
      <c r="P126" s="13">
        <v>1</v>
      </c>
      <c r="Q126" s="13">
        <v>1</v>
      </c>
      <c r="R126" s="14">
        <v>1</v>
      </c>
      <c r="S126" s="13">
        <v>1</v>
      </c>
      <c r="T126" s="13">
        <v>1</v>
      </c>
      <c r="U126" s="13">
        <v>1</v>
      </c>
      <c r="V126" s="14">
        <v>1</v>
      </c>
      <c r="W126" s="13">
        <v>1</v>
      </c>
      <c r="X126" s="13">
        <v>1</v>
      </c>
      <c r="Y126" s="13">
        <v>1</v>
      </c>
      <c r="Z126" s="14">
        <v>1</v>
      </c>
      <c r="AA126" s="13">
        <v>1</v>
      </c>
      <c r="AB126" s="13">
        <v>1</v>
      </c>
      <c r="AC126" s="13">
        <v>1</v>
      </c>
      <c r="AD126" s="14">
        <v>1</v>
      </c>
      <c r="AE126" s="13">
        <v>1</v>
      </c>
      <c r="AF126" s="13">
        <v>1</v>
      </c>
      <c r="AG126" s="13">
        <v>1</v>
      </c>
      <c r="AH126" s="14">
        <v>1</v>
      </c>
      <c r="AI126" s="13">
        <v>1</v>
      </c>
      <c r="AJ126" s="13">
        <v>1</v>
      </c>
      <c r="AK126" s="13">
        <v>1</v>
      </c>
      <c r="AL126" s="14">
        <v>1</v>
      </c>
      <c r="AM126" s="13">
        <v>1</v>
      </c>
      <c r="AN126" s="13">
        <v>1</v>
      </c>
      <c r="AO126" s="13">
        <v>1</v>
      </c>
      <c r="AP126" s="14">
        <v>1</v>
      </c>
      <c r="AQ126" s="13">
        <v>1</v>
      </c>
      <c r="AR126" s="13">
        <v>1</v>
      </c>
      <c r="AS126" s="13">
        <v>1</v>
      </c>
      <c r="AT126" s="14">
        <v>1</v>
      </c>
      <c r="AU126" s="13">
        <v>1</v>
      </c>
      <c r="AV126" s="13">
        <v>1</v>
      </c>
      <c r="AW126" s="13">
        <v>1</v>
      </c>
      <c r="AX126" s="14">
        <v>1</v>
      </c>
      <c r="AY126" s="13">
        <v>1</v>
      </c>
      <c r="AZ126" s="13">
        <v>1</v>
      </c>
      <c r="BA126" s="13">
        <v>1</v>
      </c>
      <c r="BB126" s="14">
        <v>1</v>
      </c>
      <c r="BC126" s="13">
        <v>1</v>
      </c>
      <c r="BD126" s="13">
        <v>1</v>
      </c>
      <c r="BE126" s="13">
        <v>1</v>
      </c>
      <c r="BF126" s="14">
        <v>1</v>
      </c>
      <c r="BG126" s="13" t="s">
        <v>437</v>
      </c>
      <c r="BH126" s="13" t="s">
        <v>437</v>
      </c>
      <c r="BI126" s="13" t="s">
        <v>437</v>
      </c>
      <c r="BJ126" s="14" t="s">
        <v>437</v>
      </c>
      <c r="BK126" s="13" t="s">
        <v>437</v>
      </c>
      <c r="BL126" s="13" t="s">
        <v>437</v>
      </c>
      <c r="BM126" s="13" t="s">
        <v>437</v>
      </c>
      <c r="BN126" s="14" t="s">
        <v>437</v>
      </c>
      <c r="BP126" s="17">
        <v>5</v>
      </c>
      <c r="BQ126" s="13">
        <v>5</v>
      </c>
      <c r="BR126" s="13">
        <v>5</v>
      </c>
      <c r="BS126" s="14">
        <v>5</v>
      </c>
      <c r="BU126" s="17">
        <v>5</v>
      </c>
      <c r="BV126" s="13">
        <v>5</v>
      </c>
      <c r="BW126" s="13">
        <v>5</v>
      </c>
      <c r="BX126" s="14">
        <v>5</v>
      </c>
      <c r="BZ126" s="17">
        <v>2</v>
      </c>
      <c r="CA126" s="13">
        <v>2</v>
      </c>
      <c r="CB126" s="13">
        <v>2</v>
      </c>
      <c r="CC126" s="14">
        <v>2</v>
      </c>
    </row>
    <row r="127" spans="2:81" ht="18" hidden="1" customHeight="1" x14ac:dyDescent="0.2">
      <c r="B127" s="10">
        <f>garage!B127</f>
        <v>127</v>
      </c>
      <c r="C127" s="10">
        <f>garage!C127</f>
        <v>4</v>
      </c>
      <c r="D127" s="10">
        <f>garage!D127</f>
        <v>6</v>
      </c>
      <c r="E127" s="10">
        <f>garage!E127</f>
        <v>26</v>
      </c>
      <c r="F127" s="10" t="str">
        <f>garage!F127</f>
        <v>--</v>
      </c>
      <c r="G127" s="10" t="str">
        <f>garage!G127</f>
        <v>N</v>
      </c>
      <c r="H127" s="10" t="str">
        <f>garage!H127</f>
        <v>N</v>
      </c>
      <c r="I127" s="10" t="str">
        <f>garage!I127</f>
        <v>N</v>
      </c>
      <c r="J127" s="10" t="str">
        <f>garage!J127</f>
        <v>N</v>
      </c>
      <c r="K127" s="10" t="str">
        <f>garage!K127</f>
        <v>A</v>
      </c>
      <c r="L127" s="11" t="str">
        <f>garage!L127</f>
        <v>Bentley</v>
      </c>
      <c r="M127" s="11" t="str">
        <f>garage!M127</f>
        <v>Continental GT Speed</v>
      </c>
      <c r="O127" s="18" t="s">
        <v>437</v>
      </c>
      <c r="P127" s="15" t="s">
        <v>437</v>
      </c>
      <c r="Q127" s="15" t="s">
        <v>437</v>
      </c>
      <c r="R127" s="16" t="s">
        <v>437</v>
      </c>
      <c r="S127" s="15" t="s">
        <v>437</v>
      </c>
      <c r="T127" s="15" t="s">
        <v>437</v>
      </c>
      <c r="U127" s="15" t="s">
        <v>437</v>
      </c>
      <c r="V127" s="16" t="s">
        <v>437</v>
      </c>
      <c r="W127" s="15" t="s">
        <v>437</v>
      </c>
      <c r="X127" s="15" t="s">
        <v>437</v>
      </c>
      <c r="Y127" s="15" t="s">
        <v>437</v>
      </c>
      <c r="Z127" s="16" t="s">
        <v>437</v>
      </c>
      <c r="AA127" s="15" t="s">
        <v>437</v>
      </c>
      <c r="AB127" s="15" t="s">
        <v>437</v>
      </c>
      <c r="AC127" s="15" t="s">
        <v>437</v>
      </c>
      <c r="AD127" s="16" t="s">
        <v>437</v>
      </c>
      <c r="AE127" s="15" t="s">
        <v>437</v>
      </c>
      <c r="AF127" s="15" t="s">
        <v>437</v>
      </c>
      <c r="AG127" s="15" t="s">
        <v>437</v>
      </c>
      <c r="AH127" s="16" t="s">
        <v>437</v>
      </c>
      <c r="AI127" s="15" t="s">
        <v>437</v>
      </c>
      <c r="AJ127" s="15" t="s">
        <v>437</v>
      </c>
      <c r="AK127" s="15" t="s">
        <v>437</v>
      </c>
      <c r="AL127" s="16" t="s">
        <v>437</v>
      </c>
      <c r="AM127" s="15" t="s">
        <v>437</v>
      </c>
      <c r="AN127" s="15" t="s">
        <v>437</v>
      </c>
      <c r="AO127" s="15" t="s">
        <v>437</v>
      </c>
      <c r="AP127" s="16" t="s">
        <v>437</v>
      </c>
      <c r="AQ127" s="15" t="s">
        <v>437</v>
      </c>
      <c r="AR127" s="15" t="s">
        <v>437</v>
      </c>
      <c r="AS127" s="15" t="s">
        <v>437</v>
      </c>
      <c r="AT127" s="16" t="s">
        <v>437</v>
      </c>
      <c r="AU127" s="15" t="s">
        <v>437</v>
      </c>
      <c r="AV127" s="15" t="s">
        <v>437</v>
      </c>
      <c r="AW127" s="15" t="s">
        <v>437</v>
      </c>
      <c r="AX127" s="16" t="s">
        <v>437</v>
      </c>
      <c r="AY127" s="15" t="s">
        <v>437</v>
      </c>
      <c r="AZ127" s="15" t="s">
        <v>437</v>
      </c>
      <c r="BA127" s="15" t="s">
        <v>437</v>
      </c>
      <c r="BB127" s="16" t="s">
        <v>437</v>
      </c>
      <c r="BC127" s="15" t="s">
        <v>437</v>
      </c>
      <c r="BD127" s="15" t="s">
        <v>437</v>
      </c>
      <c r="BE127" s="15" t="s">
        <v>437</v>
      </c>
      <c r="BF127" s="16" t="s">
        <v>437</v>
      </c>
      <c r="BG127" s="15" t="s">
        <v>437</v>
      </c>
      <c r="BH127" s="15" t="s">
        <v>437</v>
      </c>
      <c r="BI127" s="15" t="s">
        <v>437</v>
      </c>
      <c r="BJ127" s="16" t="s">
        <v>437</v>
      </c>
      <c r="BK127" s="15" t="s">
        <v>437</v>
      </c>
      <c r="BL127" s="15" t="s">
        <v>437</v>
      </c>
      <c r="BM127" s="15" t="s">
        <v>437</v>
      </c>
      <c r="BN127" s="16" t="s">
        <v>437</v>
      </c>
      <c r="BP127" s="18" t="s">
        <v>437</v>
      </c>
      <c r="BQ127" s="15" t="s">
        <v>437</v>
      </c>
      <c r="BR127" s="15" t="s">
        <v>437</v>
      </c>
      <c r="BS127" s="16" t="s">
        <v>437</v>
      </c>
      <c r="BU127" s="18" t="s">
        <v>437</v>
      </c>
      <c r="BV127" s="15" t="s">
        <v>437</v>
      </c>
      <c r="BW127" s="15" t="s">
        <v>437</v>
      </c>
      <c r="BX127" s="16" t="s">
        <v>437</v>
      </c>
      <c r="BZ127" s="18" t="s">
        <v>437</v>
      </c>
      <c r="CA127" s="15" t="s">
        <v>437</v>
      </c>
      <c r="CB127" s="15" t="s">
        <v>437</v>
      </c>
      <c r="CC127" s="16" t="s">
        <v>437</v>
      </c>
    </row>
    <row r="128" spans="2:81" ht="18" customHeight="1" x14ac:dyDescent="0.2">
      <c r="B128" s="8">
        <f>garage!B128</f>
        <v>128</v>
      </c>
      <c r="C128" s="8">
        <f>garage!C128</f>
        <v>4</v>
      </c>
      <c r="D128" s="8">
        <f>garage!D128</f>
        <v>7</v>
      </c>
      <c r="E128" s="8">
        <f>garage!E128</f>
        <v>0</v>
      </c>
      <c r="F128" s="8" t="str">
        <f>garage!F128</f>
        <v>F</v>
      </c>
      <c r="G128" s="8" t="str">
        <f>garage!G128</f>
        <v>O</v>
      </c>
      <c r="H128" s="8" t="str">
        <f>garage!H128</f>
        <v>O</v>
      </c>
      <c r="I128" s="8" t="str">
        <f>garage!I128</f>
        <v>O</v>
      </c>
      <c r="J128" s="8" t="str">
        <f>garage!J128</f>
        <v>N</v>
      </c>
      <c r="K128" s="8" t="str">
        <f>garage!K128</f>
        <v>A</v>
      </c>
      <c r="L128" s="9" t="str">
        <f>garage!L128</f>
        <v>Ferrari</v>
      </c>
      <c r="M128" s="9" t="str">
        <f>garage!M128</f>
        <v>LaFerrari</v>
      </c>
      <c r="O128" s="17">
        <v>1</v>
      </c>
      <c r="P128" s="13">
        <v>1</v>
      </c>
      <c r="Q128" s="13">
        <v>1</v>
      </c>
      <c r="R128" s="14">
        <v>1</v>
      </c>
      <c r="S128" s="13">
        <v>1</v>
      </c>
      <c r="T128" s="13">
        <v>1</v>
      </c>
      <c r="U128" s="13">
        <v>1</v>
      </c>
      <c r="V128" s="14">
        <v>1</v>
      </c>
      <c r="W128" s="13">
        <v>1</v>
      </c>
      <c r="X128" s="13">
        <v>1</v>
      </c>
      <c r="Y128" s="13">
        <v>1</v>
      </c>
      <c r="Z128" s="14">
        <v>1</v>
      </c>
      <c r="AA128" s="13">
        <v>1</v>
      </c>
      <c r="AB128" s="13">
        <v>1</v>
      </c>
      <c r="AC128" s="13">
        <v>1</v>
      </c>
      <c r="AD128" s="14">
        <v>1</v>
      </c>
      <c r="AE128" s="13">
        <v>1</v>
      </c>
      <c r="AF128" s="13">
        <v>1</v>
      </c>
      <c r="AG128" s="13">
        <v>1</v>
      </c>
      <c r="AH128" s="14">
        <v>1</v>
      </c>
      <c r="AI128" s="13">
        <v>1</v>
      </c>
      <c r="AJ128" s="13">
        <v>1</v>
      </c>
      <c r="AK128" s="13">
        <v>1</v>
      </c>
      <c r="AL128" s="14">
        <v>1</v>
      </c>
      <c r="AM128" s="13">
        <v>1</v>
      </c>
      <c r="AN128" s="13">
        <v>1</v>
      </c>
      <c r="AO128" s="13">
        <v>1</v>
      </c>
      <c r="AP128" s="14">
        <v>1</v>
      </c>
      <c r="AQ128" s="13">
        <v>1</v>
      </c>
      <c r="AR128" s="13">
        <v>1</v>
      </c>
      <c r="AS128" s="13">
        <v>1</v>
      </c>
      <c r="AT128" s="14">
        <v>1</v>
      </c>
      <c r="AU128" s="13">
        <v>1</v>
      </c>
      <c r="AV128" s="13">
        <v>1</v>
      </c>
      <c r="AW128" s="13">
        <v>1</v>
      </c>
      <c r="AX128" s="14">
        <v>1</v>
      </c>
      <c r="AY128" s="13">
        <v>1</v>
      </c>
      <c r="AZ128" s="13">
        <v>1</v>
      </c>
      <c r="BA128" s="13">
        <v>1</v>
      </c>
      <c r="BB128" s="14">
        <v>1</v>
      </c>
      <c r="BC128" s="13">
        <v>1</v>
      </c>
      <c r="BD128" s="13">
        <v>1</v>
      </c>
      <c r="BE128" s="13">
        <v>1</v>
      </c>
      <c r="BF128" s="14">
        <v>1</v>
      </c>
      <c r="BG128" s="13">
        <v>1</v>
      </c>
      <c r="BH128" s="13">
        <v>1</v>
      </c>
      <c r="BI128" s="13">
        <v>1</v>
      </c>
      <c r="BJ128" s="14">
        <v>1</v>
      </c>
      <c r="BK128" s="13" t="s">
        <v>437</v>
      </c>
      <c r="BL128" s="13" t="s">
        <v>437</v>
      </c>
      <c r="BM128" s="13" t="s">
        <v>437</v>
      </c>
      <c r="BN128" s="14" t="s">
        <v>437</v>
      </c>
      <c r="BP128" s="17">
        <v>6</v>
      </c>
      <c r="BQ128" s="13">
        <v>6</v>
      </c>
      <c r="BR128" s="13">
        <v>6</v>
      </c>
      <c r="BS128" s="14">
        <v>6</v>
      </c>
      <c r="BU128" s="17">
        <v>5</v>
      </c>
      <c r="BV128" s="13">
        <v>5</v>
      </c>
      <c r="BW128" s="13">
        <v>5</v>
      </c>
      <c r="BX128" s="14">
        <v>5</v>
      </c>
      <c r="BZ128" s="17">
        <v>3</v>
      </c>
      <c r="CA128" s="13">
        <v>3</v>
      </c>
      <c r="CB128" s="13">
        <v>3</v>
      </c>
      <c r="CC128" s="14">
        <v>3</v>
      </c>
    </row>
    <row r="129" spans="2:81" ht="18" customHeight="1" x14ac:dyDescent="0.2">
      <c r="B129" s="10">
        <f>garage!B129</f>
        <v>129</v>
      </c>
      <c r="C129" s="10">
        <f>garage!C129</f>
        <v>4</v>
      </c>
      <c r="D129" s="10">
        <f>garage!D129</f>
        <v>8</v>
      </c>
      <c r="E129" s="10">
        <f>garage!E129</f>
        <v>0</v>
      </c>
      <c r="F129" s="10" t="str">
        <f>garage!F129</f>
        <v>M</v>
      </c>
      <c r="G129" s="10" t="str">
        <f>garage!G129</f>
        <v>O</v>
      </c>
      <c r="H129" s="10" t="str">
        <f>garage!H129</f>
        <v>O</v>
      </c>
      <c r="I129" s="10" t="str">
        <f>garage!I129</f>
        <v>O</v>
      </c>
      <c r="J129" s="10" t="str">
        <f>garage!J129</f>
        <v>N</v>
      </c>
      <c r="K129" s="10" t="str">
        <f>garage!K129</f>
        <v>A</v>
      </c>
      <c r="L129" s="11" t="str">
        <f>garage!L129</f>
        <v>McLaren</v>
      </c>
      <c r="M129" s="11" t="str">
        <f>garage!M129</f>
        <v>P1</v>
      </c>
      <c r="O129" s="18">
        <v>1</v>
      </c>
      <c r="P129" s="15">
        <v>1</v>
      </c>
      <c r="Q129" s="15">
        <v>1</v>
      </c>
      <c r="R129" s="16">
        <v>1</v>
      </c>
      <c r="S129" s="15">
        <v>1</v>
      </c>
      <c r="T129" s="15">
        <v>1</v>
      </c>
      <c r="U129" s="15">
        <v>1</v>
      </c>
      <c r="V129" s="16">
        <v>1</v>
      </c>
      <c r="W129" s="15">
        <v>1</v>
      </c>
      <c r="X129" s="15">
        <v>1</v>
      </c>
      <c r="Y129" s="15">
        <v>1</v>
      </c>
      <c r="Z129" s="16">
        <v>1</v>
      </c>
      <c r="AA129" s="15">
        <v>1</v>
      </c>
      <c r="AB129" s="15">
        <v>1</v>
      </c>
      <c r="AC129" s="15">
        <v>1</v>
      </c>
      <c r="AD129" s="16">
        <v>1</v>
      </c>
      <c r="AE129" s="15">
        <v>1</v>
      </c>
      <c r="AF129" s="15">
        <v>1</v>
      </c>
      <c r="AG129" s="15">
        <v>1</v>
      </c>
      <c r="AH129" s="16">
        <v>1</v>
      </c>
      <c r="AI129" s="15">
        <v>1</v>
      </c>
      <c r="AJ129" s="15">
        <v>1</v>
      </c>
      <c r="AK129" s="15">
        <v>1</v>
      </c>
      <c r="AL129" s="16">
        <v>1</v>
      </c>
      <c r="AM129" s="15">
        <v>1</v>
      </c>
      <c r="AN129" s="15">
        <v>1</v>
      </c>
      <c r="AO129" s="15">
        <v>1</v>
      </c>
      <c r="AP129" s="16">
        <v>1</v>
      </c>
      <c r="AQ129" s="15">
        <v>1</v>
      </c>
      <c r="AR129" s="15">
        <v>1</v>
      </c>
      <c r="AS129" s="15">
        <v>1</v>
      </c>
      <c r="AT129" s="16">
        <v>1</v>
      </c>
      <c r="AU129" s="15">
        <v>1</v>
      </c>
      <c r="AV129" s="15">
        <v>1</v>
      </c>
      <c r="AW129" s="15">
        <v>1</v>
      </c>
      <c r="AX129" s="16">
        <v>1</v>
      </c>
      <c r="AY129" s="15">
        <v>1</v>
      </c>
      <c r="AZ129" s="15">
        <v>1</v>
      </c>
      <c r="BA129" s="15">
        <v>1</v>
      </c>
      <c r="BB129" s="16">
        <v>1</v>
      </c>
      <c r="BC129" s="15">
        <v>1</v>
      </c>
      <c r="BD129" s="15">
        <v>1</v>
      </c>
      <c r="BE129" s="15">
        <v>1</v>
      </c>
      <c r="BF129" s="16">
        <v>1</v>
      </c>
      <c r="BG129" s="15">
        <v>1</v>
      </c>
      <c r="BH129" s="15">
        <v>1</v>
      </c>
      <c r="BI129" s="15">
        <v>1</v>
      </c>
      <c r="BJ129" s="16">
        <v>1</v>
      </c>
      <c r="BK129" s="15" t="s">
        <v>437</v>
      </c>
      <c r="BL129" s="15" t="s">
        <v>437</v>
      </c>
      <c r="BM129" s="15" t="s">
        <v>437</v>
      </c>
      <c r="BN129" s="16" t="s">
        <v>437</v>
      </c>
      <c r="BP129" s="18">
        <v>6</v>
      </c>
      <c r="BQ129" s="15">
        <v>6</v>
      </c>
      <c r="BR129" s="15">
        <v>6</v>
      </c>
      <c r="BS129" s="16">
        <v>6</v>
      </c>
      <c r="BU129" s="18">
        <v>5</v>
      </c>
      <c r="BV129" s="15">
        <v>5</v>
      </c>
      <c r="BW129" s="15">
        <v>5</v>
      </c>
      <c r="BX129" s="16">
        <v>5</v>
      </c>
      <c r="BZ129" s="18">
        <v>3</v>
      </c>
      <c r="CA129" s="15">
        <v>3</v>
      </c>
      <c r="CB129" s="15">
        <v>3</v>
      </c>
      <c r="CC129" s="16">
        <v>3</v>
      </c>
    </row>
    <row r="130" spans="2:81" ht="18" hidden="1" customHeight="1" x14ac:dyDescent="0.2">
      <c r="B130" s="8">
        <f>garage!B130</f>
        <v>130</v>
      </c>
      <c r="C130" s="8">
        <f>garage!C130</f>
        <v>4</v>
      </c>
      <c r="D130" s="8">
        <f>garage!D130</f>
        <v>9</v>
      </c>
      <c r="E130" s="8">
        <f>garage!E130</f>
        <v>20</v>
      </c>
      <c r="F130" s="8" t="str">
        <f>garage!F130</f>
        <v>--</v>
      </c>
      <c r="G130" s="8" t="str">
        <f>garage!G130</f>
        <v>N</v>
      </c>
      <c r="H130" s="8" t="str">
        <f>garage!H130</f>
        <v>N</v>
      </c>
      <c r="I130" s="8" t="str">
        <f>garage!I130</f>
        <v>N</v>
      </c>
      <c r="J130" s="8" t="str">
        <f>garage!J130</f>
        <v>O</v>
      </c>
      <c r="K130" s="8" t="str">
        <f>garage!K130</f>
        <v>A</v>
      </c>
      <c r="L130" s="9" t="str">
        <f>garage!L130</f>
        <v>Pagani</v>
      </c>
      <c r="M130" s="9" t="str">
        <f>garage!M130</f>
        <v>Zonda HP Barchetta</v>
      </c>
      <c r="O130" s="17" t="s">
        <v>437</v>
      </c>
      <c r="P130" s="13" t="s">
        <v>437</v>
      </c>
      <c r="Q130" s="13" t="s">
        <v>437</v>
      </c>
      <c r="R130" s="14" t="s">
        <v>437</v>
      </c>
      <c r="S130" s="13" t="s">
        <v>437</v>
      </c>
      <c r="T130" s="13" t="s">
        <v>437</v>
      </c>
      <c r="U130" s="13" t="s">
        <v>437</v>
      </c>
      <c r="V130" s="14" t="s">
        <v>437</v>
      </c>
      <c r="W130" s="13" t="s">
        <v>437</v>
      </c>
      <c r="X130" s="13" t="s">
        <v>437</v>
      </c>
      <c r="Y130" s="13" t="s">
        <v>437</v>
      </c>
      <c r="Z130" s="14" t="s">
        <v>437</v>
      </c>
      <c r="AA130" s="13" t="s">
        <v>437</v>
      </c>
      <c r="AB130" s="13" t="s">
        <v>437</v>
      </c>
      <c r="AC130" s="13" t="s">
        <v>437</v>
      </c>
      <c r="AD130" s="14" t="s">
        <v>437</v>
      </c>
      <c r="AE130" s="13" t="s">
        <v>437</v>
      </c>
      <c r="AF130" s="13" t="s">
        <v>437</v>
      </c>
      <c r="AG130" s="13" t="s">
        <v>437</v>
      </c>
      <c r="AH130" s="14" t="s">
        <v>437</v>
      </c>
      <c r="AI130" s="13" t="s">
        <v>437</v>
      </c>
      <c r="AJ130" s="13" t="s">
        <v>437</v>
      </c>
      <c r="AK130" s="13" t="s">
        <v>437</v>
      </c>
      <c r="AL130" s="14" t="s">
        <v>437</v>
      </c>
      <c r="AM130" s="13" t="s">
        <v>437</v>
      </c>
      <c r="AN130" s="13" t="s">
        <v>437</v>
      </c>
      <c r="AO130" s="13" t="s">
        <v>437</v>
      </c>
      <c r="AP130" s="14" t="s">
        <v>437</v>
      </c>
      <c r="AQ130" s="13" t="s">
        <v>437</v>
      </c>
      <c r="AR130" s="13" t="s">
        <v>437</v>
      </c>
      <c r="AS130" s="13" t="s">
        <v>437</v>
      </c>
      <c r="AT130" s="14" t="s">
        <v>437</v>
      </c>
      <c r="AU130" s="13" t="s">
        <v>437</v>
      </c>
      <c r="AV130" s="13" t="s">
        <v>437</v>
      </c>
      <c r="AW130" s="13" t="s">
        <v>437</v>
      </c>
      <c r="AX130" s="14" t="s">
        <v>437</v>
      </c>
      <c r="AY130" s="13" t="s">
        <v>437</v>
      </c>
      <c r="AZ130" s="13" t="s">
        <v>437</v>
      </c>
      <c r="BA130" s="13" t="s">
        <v>437</v>
      </c>
      <c r="BB130" s="14" t="s">
        <v>437</v>
      </c>
      <c r="BC130" s="13" t="s">
        <v>437</v>
      </c>
      <c r="BD130" s="13" t="s">
        <v>437</v>
      </c>
      <c r="BE130" s="13" t="s">
        <v>437</v>
      </c>
      <c r="BF130" s="14" t="s">
        <v>437</v>
      </c>
      <c r="BG130" s="13" t="s">
        <v>437</v>
      </c>
      <c r="BH130" s="13" t="s">
        <v>437</v>
      </c>
      <c r="BI130" s="13" t="s">
        <v>437</v>
      </c>
      <c r="BJ130" s="14" t="s">
        <v>437</v>
      </c>
      <c r="BK130" s="13" t="s">
        <v>437</v>
      </c>
      <c r="BL130" s="13" t="s">
        <v>437</v>
      </c>
      <c r="BM130" s="13" t="s">
        <v>437</v>
      </c>
      <c r="BN130" s="14" t="s">
        <v>437</v>
      </c>
      <c r="BP130" s="17" t="s">
        <v>437</v>
      </c>
      <c r="BQ130" s="13" t="s">
        <v>437</v>
      </c>
      <c r="BR130" s="13" t="s">
        <v>437</v>
      </c>
      <c r="BS130" s="14" t="s">
        <v>437</v>
      </c>
      <c r="BU130" s="17" t="s">
        <v>437</v>
      </c>
      <c r="BV130" s="13" t="s">
        <v>437</v>
      </c>
      <c r="BW130" s="13" t="s">
        <v>437</v>
      </c>
      <c r="BX130" s="14" t="s">
        <v>437</v>
      </c>
      <c r="BZ130" s="17" t="s">
        <v>437</v>
      </c>
      <c r="CA130" s="13" t="s">
        <v>437</v>
      </c>
      <c r="CB130" s="13" t="s">
        <v>437</v>
      </c>
      <c r="CC130" s="14" t="s">
        <v>437</v>
      </c>
    </row>
    <row r="131" spans="2:81" ht="18" customHeight="1" x14ac:dyDescent="0.2">
      <c r="B131" s="10">
        <f>garage!B131</f>
        <v>131</v>
      </c>
      <c r="C131" s="10">
        <f>garage!C131</f>
        <v>4</v>
      </c>
      <c r="D131" s="10">
        <f>garage!D131</f>
        <v>10</v>
      </c>
      <c r="E131" s="10">
        <f>garage!E131</f>
        <v>0</v>
      </c>
      <c r="F131" s="10" t="str">
        <f>garage!F131</f>
        <v>L</v>
      </c>
      <c r="G131" s="10" t="str">
        <f>garage!G131</f>
        <v>O</v>
      </c>
      <c r="H131" s="10" t="str">
        <f>garage!H131</f>
        <v>O</v>
      </c>
      <c r="I131" s="10" t="str">
        <f>garage!I131</f>
        <v>O</v>
      </c>
      <c r="J131" s="10" t="str">
        <f>garage!J131</f>
        <v>N</v>
      </c>
      <c r="K131" s="10" t="str">
        <f>garage!K131</f>
        <v>A</v>
      </c>
      <c r="L131" s="11" t="str">
        <f>garage!L131</f>
        <v>Lamborghini</v>
      </c>
      <c r="M131" s="11" t="str">
        <f>garage!M131</f>
        <v>Aventador SV Coupé</v>
      </c>
      <c r="O131" s="18">
        <v>1</v>
      </c>
      <c r="P131" s="15">
        <v>1</v>
      </c>
      <c r="Q131" s="15">
        <v>1</v>
      </c>
      <c r="R131" s="16">
        <v>1</v>
      </c>
      <c r="S131" s="15">
        <v>1</v>
      </c>
      <c r="T131" s="15">
        <v>1</v>
      </c>
      <c r="U131" s="15">
        <v>1</v>
      </c>
      <c r="V131" s="16">
        <v>1</v>
      </c>
      <c r="W131" s="15">
        <v>1</v>
      </c>
      <c r="X131" s="15">
        <v>1</v>
      </c>
      <c r="Y131" s="15">
        <v>1</v>
      </c>
      <c r="Z131" s="16">
        <v>1</v>
      </c>
      <c r="AA131" s="15">
        <v>1</v>
      </c>
      <c r="AB131" s="15">
        <v>1</v>
      </c>
      <c r="AC131" s="15">
        <v>1</v>
      </c>
      <c r="AD131" s="16">
        <v>1</v>
      </c>
      <c r="AE131" s="15">
        <v>1</v>
      </c>
      <c r="AF131" s="15">
        <v>1</v>
      </c>
      <c r="AG131" s="15">
        <v>1</v>
      </c>
      <c r="AH131" s="16">
        <v>1</v>
      </c>
      <c r="AI131" s="15">
        <v>1</v>
      </c>
      <c r="AJ131" s="15">
        <v>1</v>
      </c>
      <c r="AK131" s="15">
        <v>1</v>
      </c>
      <c r="AL131" s="16">
        <v>1</v>
      </c>
      <c r="AM131" s="15">
        <v>1</v>
      </c>
      <c r="AN131" s="15">
        <v>1</v>
      </c>
      <c r="AO131" s="15">
        <v>1</v>
      </c>
      <c r="AP131" s="16">
        <v>1</v>
      </c>
      <c r="AQ131" s="15">
        <v>1</v>
      </c>
      <c r="AR131" s="15">
        <v>1</v>
      </c>
      <c r="AS131" s="15">
        <v>1</v>
      </c>
      <c r="AT131" s="16">
        <v>1</v>
      </c>
      <c r="AU131" s="15">
        <v>1</v>
      </c>
      <c r="AV131" s="15">
        <v>1</v>
      </c>
      <c r="AW131" s="15">
        <v>1</v>
      </c>
      <c r="AX131" s="16">
        <v>1</v>
      </c>
      <c r="AY131" s="15">
        <v>1</v>
      </c>
      <c r="AZ131" s="15">
        <v>1</v>
      </c>
      <c r="BA131" s="15">
        <v>1</v>
      </c>
      <c r="BB131" s="16">
        <v>1</v>
      </c>
      <c r="BC131" s="15">
        <v>1</v>
      </c>
      <c r="BD131" s="15">
        <v>1</v>
      </c>
      <c r="BE131" s="15">
        <v>1</v>
      </c>
      <c r="BF131" s="16">
        <v>1</v>
      </c>
      <c r="BG131" s="15">
        <v>1</v>
      </c>
      <c r="BH131" s="15">
        <v>1</v>
      </c>
      <c r="BI131" s="15">
        <v>1</v>
      </c>
      <c r="BJ131" s="16">
        <v>1</v>
      </c>
      <c r="BK131" s="15" t="s">
        <v>437</v>
      </c>
      <c r="BL131" s="15" t="s">
        <v>437</v>
      </c>
      <c r="BM131" s="15" t="s">
        <v>437</v>
      </c>
      <c r="BN131" s="16" t="s">
        <v>437</v>
      </c>
      <c r="BP131" s="18">
        <v>6</v>
      </c>
      <c r="BQ131" s="15">
        <v>6</v>
      </c>
      <c r="BR131" s="15">
        <v>6</v>
      </c>
      <c r="BS131" s="16">
        <v>6</v>
      </c>
      <c r="BU131" s="18">
        <v>5</v>
      </c>
      <c r="BV131" s="15">
        <v>5</v>
      </c>
      <c r="BW131" s="15">
        <v>5</v>
      </c>
      <c r="BX131" s="16">
        <v>5</v>
      </c>
      <c r="BZ131" s="18">
        <v>3</v>
      </c>
      <c r="CA131" s="15">
        <v>3</v>
      </c>
      <c r="CB131" s="15">
        <v>3</v>
      </c>
      <c r="CC131" s="16">
        <v>3</v>
      </c>
    </row>
    <row r="132" spans="2:81" ht="18" customHeight="1" x14ac:dyDescent="0.2">
      <c r="B132" s="8">
        <f>garage!B132</f>
        <v>132</v>
      </c>
      <c r="C132" s="8">
        <f>garage!C132</f>
        <v>4</v>
      </c>
      <c r="D132" s="8">
        <f>garage!D132</f>
        <v>11</v>
      </c>
      <c r="E132" s="8">
        <f>garage!E132</f>
        <v>6</v>
      </c>
      <c r="F132" s="8" t="str">
        <f>garage!F132</f>
        <v>F</v>
      </c>
      <c r="G132" s="8" t="str">
        <f>garage!G132</f>
        <v>O</v>
      </c>
      <c r="H132" s="8" t="str">
        <f>garage!H132</f>
        <v>O</v>
      </c>
      <c r="I132" s="8" t="str">
        <f>garage!I132</f>
        <v>O</v>
      </c>
      <c r="J132" s="8" t="str">
        <f>garage!J132</f>
        <v>N</v>
      </c>
      <c r="K132" s="8" t="str">
        <f>garage!K132</f>
        <v>A</v>
      </c>
      <c r="L132" s="9" t="str">
        <f>garage!L132</f>
        <v>Ferrari</v>
      </c>
      <c r="M132" s="9" t="str">
        <f>garage!M132</f>
        <v>812 Superfast</v>
      </c>
      <c r="O132" s="17">
        <v>1</v>
      </c>
      <c r="P132" s="13">
        <v>1</v>
      </c>
      <c r="Q132" s="13">
        <v>1</v>
      </c>
      <c r="R132" s="14">
        <v>1</v>
      </c>
      <c r="S132" s="13">
        <v>1</v>
      </c>
      <c r="T132" s="13">
        <v>1</v>
      </c>
      <c r="U132" s="13">
        <v>1</v>
      </c>
      <c r="V132" s="14">
        <v>1</v>
      </c>
      <c r="W132" s="13">
        <v>1</v>
      </c>
      <c r="X132" s="13">
        <v>1</v>
      </c>
      <c r="Y132" s="13">
        <v>1</v>
      </c>
      <c r="Z132" s="14">
        <v>1</v>
      </c>
      <c r="AA132" s="13">
        <v>1</v>
      </c>
      <c r="AB132" s="13">
        <v>1</v>
      </c>
      <c r="AC132" s="13">
        <v>1</v>
      </c>
      <c r="AD132" s="14">
        <v>1</v>
      </c>
      <c r="AE132" s="13">
        <v>1</v>
      </c>
      <c r="AF132" s="13">
        <v>1</v>
      </c>
      <c r="AG132" s="13">
        <v>1</v>
      </c>
      <c r="AH132" s="14">
        <v>1</v>
      </c>
      <c r="AI132" s="13">
        <v>1</v>
      </c>
      <c r="AJ132" s="13">
        <v>1</v>
      </c>
      <c r="AK132" s="13">
        <v>1</v>
      </c>
      <c r="AL132" s="14">
        <v>1</v>
      </c>
      <c r="AM132" s="13">
        <v>1</v>
      </c>
      <c r="AN132" s="13">
        <v>1</v>
      </c>
      <c r="AO132" s="13">
        <v>1</v>
      </c>
      <c r="AP132" s="14">
        <v>1</v>
      </c>
      <c r="AQ132" s="13">
        <v>1</v>
      </c>
      <c r="AR132" s="13">
        <v>1</v>
      </c>
      <c r="AS132" s="13">
        <v>1</v>
      </c>
      <c r="AT132" s="14">
        <v>1</v>
      </c>
      <c r="AU132" s="13">
        <v>1</v>
      </c>
      <c r="AV132" s="13">
        <v>1</v>
      </c>
      <c r="AW132" s="13">
        <v>1</v>
      </c>
      <c r="AX132" s="14">
        <v>1</v>
      </c>
      <c r="AY132" s="13">
        <v>1</v>
      </c>
      <c r="AZ132" s="13">
        <v>1</v>
      </c>
      <c r="BA132" s="13">
        <v>1</v>
      </c>
      <c r="BB132" s="14">
        <v>1</v>
      </c>
      <c r="BC132" s="13">
        <v>1</v>
      </c>
      <c r="BD132" s="13">
        <v>1</v>
      </c>
      <c r="BE132" s="13">
        <v>1</v>
      </c>
      <c r="BF132" s="14">
        <v>1</v>
      </c>
      <c r="BG132" s="13">
        <v>1</v>
      </c>
      <c r="BH132" s="13">
        <v>1</v>
      </c>
      <c r="BI132" s="13">
        <v>1</v>
      </c>
      <c r="BJ132" s="14">
        <v>1</v>
      </c>
      <c r="BK132" s="13" t="s">
        <v>437</v>
      </c>
      <c r="BL132" s="13" t="s">
        <v>437</v>
      </c>
      <c r="BM132" s="13" t="s">
        <v>437</v>
      </c>
      <c r="BN132" s="14" t="s">
        <v>437</v>
      </c>
      <c r="BP132" s="17">
        <v>6</v>
      </c>
      <c r="BQ132" s="13">
        <v>6</v>
      </c>
      <c r="BR132" s="13">
        <v>6</v>
      </c>
      <c r="BS132" s="14">
        <v>6</v>
      </c>
      <c r="BU132" s="17">
        <v>5</v>
      </c>
      <c r="BV132" s="13">
        <v>5</v>
      </c>
      <c r="BW132" s="13">
        <v>5</v>
      </c>
      <c r="BX132" s="14">
        <v>5</v>
      </c>
      <c r="BZ132" s="17">
        <v>3</v>
      </c>
      <c r="CA132" s="13">
        <v>3</v>
      </c>
      <c r="CB132" s="13">
        <v>3</v>
      </c>
      <c r="CC132" s="14">
        <v>3</v>
      </c>
    </row>
    <row r="133" spans="2:81" ht="18" customHeight="1" x14ac:dyDescent="0.2">
      <c r="B133" s="10">
        <f>garage!B133</f>
        <v>133</v>
      </c>
      <c r="C133" s="10">
        <f>garage!C133</f>
        <v>4</v>
      </c>
      <c r="D133" s="10">
        <f>garage!D133</f>
        <v>12</v>
      </c>
      <c r="E133" s="10">
        <f>garage!E133</f>
        <v>0</v>
      </c>
      <c r="F133" s="10" t="str">
        <f>garage!F133</f>
        <v>C</v>
      </c>
      <c r="G133" s="10" t="str">
        <f>garage!G133</f>
        <v>O</v>
      </c>
      <c r="H133" s="10" t="str">
        <f>garage!H133</f>
        <v>O</v>
      </c>
      <c r="I133" s="10" t="str">
        <f>garage!I133</f>
        <v>N</v>
      </c>
      <c r="J133" s="10" t="str">
        <f>garage!J133</f>
        <v>N</v>
      </c>
      <c r="K133" s="10" t="str">
        <f>garage!K133</f>
        <v>A</v>
      </c>
      <c r="L133" s="11" t="str">
        <f>garage!L133</f>
        <v>Chevrolet</v>
      </c>
      <c r="M133" s="11" t="str">
        <f>garage!M133</f>
        <v>Corvette ZR1</v>
      </c>
      <c r="O133" s="18">
        <v>1</v>
      </c>
      <c r="P133" s="15">
        <v>1</v>
      </c>
      <c r="Q133" s="15">
        <v>1</v>
      </c>
      <c r="R133" s="16">
        <v>1</v>
      </c>
      <c r="S133" s="15">
        <v>1</v>
      </c>
      <c r="T133" s="15">
        <v>1</v>
      </c>
      <c r="U133" s="15">
        <v>1</v>
      </c>
      <c r="V133" s="16">
        <v>1</v>
      </c>
      <c r="W133" s="15">
        <v>1</v>
      </c>
      <c r="X133" s="15">
        <v>1</v>
      </c>
      <c r="Y133" s="15">
        <v>1</v>
      </c>
      <c r="Z133" s="16">
        <v>1</v>
      </c>
      <c r="AA133" s="15">
        <v>1</v>
      </c>
      <c r="AB133" s="15">
        <v>1</v>
      </c>
      <c r="AC133" s="15">
        <v>1</v>
      </c>
      <c r="AD133" s="16">
        <v>1</v>
      </c>
      <c r="AE133" s="15">
        <v>1</v>
      </c>
      <c r="AF133" s="15">
        <v>1</v>
      </c>
      <c r="AG133" s="15">
        <v>1</v>
      </c>
      <c r="AH133" s="16">
        <v>1</v>
      </c>
      <c r="AI133" s="15">
        <v>1</v>
      </c>
      <c r="AJ133" s="15">
        <v>1</v>
      </c>
      <c r="AK133" s="15">
        <v>1</v>
      </c>
      <c r="AL133" s="16">
        <v>1</v>
      </c>
      <c r="AM133" s="15">
        <v>1</v>
      </c>
      <c r="AN133" s="15">
        <v>1</v>
      </c>
      <c r="AO133" s="15">
        <v>1</v>
      </c>
      <c r="AP133" s="16">
        <v>1</v>
      </c>
      <c r="AQ133" s="15">
        <v>1</v>
      </c>
      <c r="AR133" s="15">
        <v>1</v>
      </c>
      <c r="AS133" s="15">
        <v>1</v>
      </c>
      <c r="AT133" s="16">
        <v>1</v>
      </c>
      <c r="AU133" s="15">
        <v>1</v>
      </c>
      <c r="AV133" s="15">
        <v>1</v>
      </c>
      <c r="AW133" s="15">
        <v>1</v>
      </c>
      <c r="AX133" s="16">
        <v>1</v>
      </c>
      <c r="AY133" s="15">
        <v>1</v>
      </c>
      <c r="AZ133" s="15">
        <v>1</v>
      </c>
      <c r="BA133" s="15">
        <v>1</v>
      </c>
      <c r="BB133" s="16">
        <v>1</v>
      </c>
      <c r="BC133" s="15">
        <v>1</v>
      </c>
      <c r="BD133" s="15">
        <v>1</v>
      </c>
      <c r="BE133" s="15">
        <v>1</v>
      </c>
      <c r="BF133" s="16">
        <v>1</v>
      </c>
      <c r="BG133" s="15">
        <v>1</v>
      </c>
      <c r="BH133" s="15">
        <v>1</v>
      </c>
      <c r="BI133" s="15">
        <v>1</v>
      </c>
      <c r="BJ133" s="16">
        <v>1</v>
      </c>
      <c r="BK133" s="15" t="s">
        <v>437</v>
      </c>
      <c r="BL133" s="15" t="s">
        <v>437</v>
      </c>
      <c r="BM133" s="15" t="s">
        <v>437</v>
      </c>
      <c r="BN133" s="16" t="s">
        <v>437</v>
      </c>
      <c r="BP133" s="18">
        <v>6</v>
      </c>
      <c r="BQ133" s="15">
        <v>6</v>
      </c>
      <c r="BR133" s="15">
        <v>6</v>
      </c>
      <c r="BS133" s="16">
        <v>6</v>
      </c>
      <c r="BU133" s="18">
        <v>5</v>
      </c>
      <c r="BV133" s="15">
        <v>5</v>
      </c>
      <c r="BW133" s="15">
        <v>5</v>
      </c>
      <c r="BX133" s="16">
        <v>5</v>
      </c>
      <c r="BZ133" s="18" t="s">
        <v>437</v>
      </c>
      <c r="CA133" s="15" t="s">
        <v>437</v>
      </c>
      <c r="CB133" s="15" t="s">
        <v>437</v>
      </c>
      <c r="CC133" s="16" t="s">
        <v>437</v>
      </c>
    </row>
    <row r="134" spans="2:81" ht="18" customHeight="1" x14ac:dyDescent="0.2">
      <c r="B134" s="8">
        <f>garage!B134</f>
        <v>134</v>
      </c>
      <c r="C134" s="8">
        <f>garage!C134</f>
        <v>4</v>
      </c>
      <c r="D134" s="8">
        <f>garage!D134</f>
        <v>13</v>
      </c>
      <c r="E134" s="8">
        <f>garage!E134</f>
        <v>14</v>
      </c>
      <c r="F134" s="8" t="str">
        <f>garage!F134</f>
        <v>--</v>
      </c>
      <c r="G134" s="8" t="str">
        <f>garage!G134</f>
        <v>O</v>
      </c>
      <c r="H134" s="8" t="str">
        <f>garage!H134</f>
        <v>N</v>
      </c>
      <c r="I134" s="8" t="str">
        <f>garage!I134</f>
        <v>N</v>
      </c>
      <c r="J134" s="8" t="str">
        <f>garage!J134</f>
        <v>N</v>
      </c>
      <c r="K134" s="8" t="str">
        <f>garage!K134</f>
        <v>A</v>
      </c>
      <c r="L134" s="9" t="str">
        <f>garage!L134</f>
        <v>Jaguar</v>
      </c>
      <c r="M134" s="9" t="str">
        <f>garage!M134</f>
        <v>C-X75</v>
      </c>
      <c r="O134" s="17">
        <v>1</v>
      </c>
      <c r="P134" s="13">
        <v>1</v>
      </c>
      <c r="Q134" s="13">
        <v>1</v>
      </c>
      <c r="R134" s="14">
        <v>1</v>
      </c>
      <c r="S134" s="13">
        <v>1</v>
      </c>
      <c r="T134" s="13">
        <v>1</v>
      </c>
      <c r="U134" s="13">
        <v>1</v>
      </c>
      <c r="V134" s="14">
        <v>1</v>
      </c>
      <c r="W134" s="13">
        <v>1</v>
      </c>
      <c r="X134" s="13">
        <v>1</v>
      </c>
      <c r="Y134" s="13">
        <v>1</v>
      </c>
      <c r="Z134" s="14">
        <v>1</v>
      </c>
      <c r="AA134" s="13" t="s">
        <v>437</v>
      </c>
      <c r="AB134" s="13" t="s">
        <v>437</v>
      </c>
      <c r="AC134" s="13" t="s">
        <v>437</v>
      </c>
      <c r="AD134" s="14" t="s">
        <v>437</v>
      </c>
      <c r="AE134" s="13" t="s">
        <v>437</v>
      </c>
      <c r="AF134" s="13" t="s">
        <v>437</v>
      </c>
      <c r="AG134" s="13" t="s">
        <v>437</v>
      </c>
      <c r="AH134" s="14" t="s">
        <v>437</v>
      </c>
      <c r="AI134" s="13" t="s">
        <v>437</v>
      </c>
      <c r="AJ134" s="13" t="s">
        <v>437</v>
      </c>
      <c r="AK134" s="13" t="s">
        <v>437</v>
      </c>
      <c r="AL134" s="14" t="s">
        <v>437</v>
      </c>
      <c r="AM134" s="13" t="s">
        <v>437</v>
      </c>
      <c r="AN134" s="13" t="s">
        <v>437</v>
      </c>
      <c r="AO134" s="13" t="s">
        <v>437</v>
      </c>
      <c r="AP134" s="14" t="s">
        <v>437</v>
      </c>
      <c r="AQ134" s="13" t="s">
        <v>437</v>
      </c>
      <c r="AR134" s="13" t="s">
        <v>437</v>
      </c>
      <c r="AS134" s="13" t="s">
        <v>437</v>
      </c>
      <c r="AT134" s="14" t="s">
        <v>437</v>
      </c>
      <c r="AU134" s="13" t="s">
        <v>437</v>
      </c>
      <c r="AV134" s="13" t="s">
        <v>437</v>
      </c>
      <c r="AW134" s="13" t="s">
        <v>437</v>
      </c>
      <c r="AX134" s="14" t="s">
        <v>437</v>
      </c>
      <c r="AY134" s="13" t="s">
        <v>437</v>
      </c>
      <c r="AZ134" s="13" t="s">
        <v>437</v>
      </c>
      <c r="BA134" s="13" t="s">
        <v>437</v>
      </c>
      <c r="BB134" s="14" t="s">
        <v>437</v>
      </c>
      <c r="BC134" s="13" t="s">
        <v>437</v>
      </c>
      <c r="BD134" s="13" t="s">
        <v>437</v>
      </c>
      <c r="BE134" s="13" t="s">
        <v>437</v>
      </c>
      <c r="BF134" s="14" t="s">
        <v>437</v>
      </c>
      <c r="BG134" s="13" t="s">
        <v>437</v>
      </c>
      <c r="BH134" s="13" t="s">
        <v>437</v>
      </c>
      <c r="BI134" s="13" t="s">
        <v>437</v>
      </c>
      <c r="BJ134" s="14" t="s">
        <v>437</v>
      </c>
      <c r="BK134" s="13" t="s">
        <v>437</v>
      </c>
      <c r="BL134" s="13" t="s">
        <v>437</v>
      </c>
      <c r="BM134" s="13" t="s">
        <v>437</v>
      </c>
      <c r="BN134" s="14" t="s">
        <v>437</v>
      </c>
      <c r="BP134" s="17">
        <v>2</v>
      </c>
      <c r="BQ134" s="13">
        <v>1</v>
      </c>
      <c r="BR134" s="13">
        <v>1</v>
      </c>
      <c r="BS134" s="14">
        <v>2</v>
      </c>
      <c r="BU134" s="17" t="s">
        <v>437</v>
      </c>
      <c r="BV134" s="13" t="s">
        <v>437</v>
      </c>
      <c r="BW134" s="13" t="s">
        <v>437</v>
      </c>
      <c r="BX134" s="14" t="s">
        <v>437</v>
      </c>
      <c r="BZ134" s="17" t="s">
        <v>437</v>
      </c>
      <c r="CA134" s="13" t="s">
        <v>437</v>
      </c>
      <c r="CB134" s="13" t="s">
        <v>437</v>
      </c>
      <c r="CC134" s="14" t="s">
        <v>437</v>
      </c>
    </row>
    <row r="135" spans="2:81" ht="18" customHeight="1" x14ac:dyDescent="0.2">
      <c r="B135" s="10">
        <f>garage!B135</f>
        <v>135</v>
      </c>
      <c r="C135" s="10">
        <f>garage!C135</f>
        <v>4</v>
      </c>
      <c r="D135" s="10">
        <f>garage!D135</f>
        <v>14</v>
      </c>
      <c r="E135" s="10">
        <f>garage!E135</f>
        <v>0</v>
      </c>
      <c r="F135" s="10" t="str">
        <f>garage!F135</f>
        <v>--</v>
      </c>
      <c r="G135" s="10" t="str">
        <f>garage!G135</f>
        <v>O</v>
      </c>
      <c r="H135" s="10" t="str">
        <f>garage!H135</f>
        <v>O</v>
      </c>
      <c r="I135" s="10" t="str">
        <f>garage!I135</f>
        <v>O</v>
      </c>
      <c r="J135" s="10" t="str">
        <f>garage!J135</f>
        <v>N</v>
      </c>
      <c r="K135" s="10" t="str">
        <f>garage!K135</f>
        <v>A</v>
      </c>
      <c r="L135" s="11" t="str">
        <f>garage!L135</f>
        <v>VLF</v>
      </c>
      <c r="M135" s="11" t="str">
        <f>garage!M135</f>
        <v>Force 1 V10</v>
      </c>
      <c r="O135" s="18">
        <v>1</v>
      </c>
      <c r="P135" s="15">
        <v>1</v>
      </c>
      <c r="Q135" s="15">
        <v>1</v>
      </c>
      <c r="R135" s="16">
        <v>1</v>
      </c>
      <c r="S135" s="15">
        <v>1</v>
      </c>
      <c r="T135" s="15">
        <v>1</v>
      </c>
      <c r="U135" s="15">
        <v>1</v>
      </c>
      <c r="V135" s="16">
        <v>1</v>
      </c>
      <c r="W135" s="15">
        <v>1</v>
      </c>
      <c r="X135" s="15">
        <v>1</v>
      </c>
      <c r="Y135" s="15">
        <v>1</v>
      </c>
      <c r="Z135" s="16">
        <v>1</v>
      </c>
      <c r="AA135" s="15">
        <v>1</v>
      </c>
      <c r="AB135" s="15">
        <v>1</v>
      </c>
      <c r="AC135" s="15">
        <v>1</v>
      </c>
      <c r="AD135" s="16">
        <v>1</v>
      </c>
      <c r="AE135" s="15">
        <v>1</v>
      </c>
      <c r="AF135" s="15">
        <v>1</v>
      </c>
      <c r="AG135" s="15">
        <v>1</v>
      </c>
      <c r="AH135" s="16">
        <v>1</v>
      </c>
      <c r="AI135" s="15">
        <v>1</v>
      </c>
      <c r="AJ135" s="15">
        <v>1</v>
      </c>
      <c r="AK135" s="15">
        <v>1</v>
      </c>
      <c r="AL135" s="16">
        <v>1</v>
      </c>
      <c r="AM135" s="15">
        <v>1</v>
      </c>
      <c r="AN135" s="15">
        <v>1</v>
      </c>
      <c r="AO135" s="15">
        <v>1</v>
      </c>
      <c r="AP135" s="16">
        <v>1</v>
      </c>
      <c r="AQ135" s="15">
        <v>1</v>
      </c>
      <c r="AR135" s="15">
        <v>1</v>
      </c>
      <c r="AS135" s="15">
        <v>1</v>
      </c>
      <c r="AT135" s="16">
        <v>1</v>
      </c>
      <c r="AU135" s="15">
        <v>1</v>
      </c>
      <c r="AV135" s="15">
        <v>1</v>
      </c>
      <c r="AW135" s="15">
        <v>1</v>
      </c>
      <c r="AX135" s="16">
        <v>1</v>
      </c>
      <c r="AY135" s="15">
        <v>1</v>
      </c>
      <c r="AZ135" s="15">
        <v>1</v>
      </c>
      <c r="BA135" s="15">
        <v>1</v>
      </c>
      <c r="BB135" s="16">
        <v>1</v>
      </c>
      <c r="BC135" s="15">
        <v>1</v>
      </c>
      <c r="BD135" s="15">
        <v>1</v>
      </c>
      <c r="BE135" s="15">
        <v>1</v>
      </c>
      <c r="BF135" s="16">
        <v>1</v>
      </c>
      <c r="BG135" s="15">
        <v>1</v>
      </c>
      <c r="BH135" s="15">
        <v>1</v>
      </c>
      <c r="BI135" s="15">
        <v>1</v>
      </c>
      <c r="BJ135" s="16">
        <v>1</v>
      </c>
      <c r="BK135" s="15" t="s">
        <v>437</v>
      </c>
      <c r="BL135" s="15" t="s">
        <v>437</v>
      </c>
      <c r="BM135" s="15" t="s">
        <v>437</v>
      </c>
      <c r="BN135" s="16" t="s">
        <v>437</v>
      </c>
      <c r="BP135" s="18">
        <v>6</v>
      </c>
      <c r="BQ135" s="15">
        <v>6</v>
      </c>
      <c r="BR135" s="15">
        <v>6</v>
      </c>
      <c r="BS135" s="16">
        <v>6</v>
      </c>
      <c r="BU135" s="18">
        <v>5</v>
      </c>
      <c r="BV135" s="15">
        <v>5</v>
      </c>
      <c r="BW135" s="15">
        <v>5</v>
      </c>
      <c r="BX135" s="16">
        <v>5</v>
      </c>
      <c r="BZ135" s="18">
        <v>3</v>
      </c>
      <c r="CA135" s="15">
        <v>3</v>
      </c>
      <c r="CB135" s="15">
        <v>3</v>
      </c>
      <c r="CC135" s="16">
        <v>3</v>
      </c>
    </row>
    <row r="136" spans="2:81" ht="18" customHeight="1" x14ac:dyDescent="0.2">
      <c r="B136" s="8">
        <f>garage!B136</f>
        <v>136</v>
      </c>
      <c r="C136" s="8">
        <f>garage!C136</f>
        <v>4</v>
      </c>
      <c r="D136" s="8">
        <f>garage!D136</f>
        <v>15</v>
      </c>
      <c r="E136" s="8">
        <f>garage!E136</f>
        <v>23</v>
      </c>
      <c r="F136" s="8" t="str">
        <f>garage!F136</f>
        <v>M</v>
      </c>
      <c r="G136" s="8" t="str">
        <f>garage!G136</f>
        <v>O</v>
      </c>
      <c r="H136" s="8" t="str">
        <f>garage!H136</f>
        <v>N</v>
      </c>
      <c r="I136" s="8" t="str">
        <f>garage!I136</f>
        <v>N</v>
      </c>
      <c r="J136" s="8" t="str">
        <f>garage!J136</f>
        <v>N</v>
      </c>
      <c r="K136" s="8" t="str">
        <f>garage!K136</f>
        <v>A</v>
      </c>
      <c r="L136" s="9" t="str">
        <f>garage!L136</f>
        <v>McLaren</v>
      </c>
      <c r="M136" s="9" t="str">
        <f>garage!M136</f>
        <v>Senna GTR</v>
      </c>
      <c r="O136" s="17">
        <v>1</v>
      </c>
      <c r="P136" s="13">
        <v>1</v>
      </c>
      <c r="Q136" s="13">
        <v>1</v>
      </c>
      <c r="R136" s="14">
        <v>1</v>
      </c>
      <c r="S136" s="13">
        <v>1</v>
      </c>
      <c r="T136" s="13">
        <v>1</v>
      </c>
      <c r="U136" s="13">
        <v>1</v>
      </c>
      <c r="V136" s="14">
        <v>1</v>
      </c>
      <c r="W136" s="13">
        <v>1</v>
      </c>
      <c r="X136" s="13">
        <v>1</v>
      </c>
      <c r="Y136" s="13">
        <v>1</v>
      </c>
      <c r="Z136" s="14">
        <v>1</v>
      </c>
      <c r="AA136" s="13">
        <v>1</v>
      </c>
      <c r="AB136" s="13">
        <v>1</v>
      </c>
      <c r="AC136" s="13">
        <v>1</v>
      </c>
      <c r="AD136" s="14">
        <v>1</v>
      </c>
      <c r="AE136" s="13">
        <v>1</v>
      </c>
      <c r="AF136" s="13">
        <v>1</v>
      </c>
      <c r="AG136" s="13">
        <v>1</v>
      </c>
      <c r="AH136" s="14">
        <v>1</v>
      </c>
      <c r="AI136" s="13">
        <v>1</v>
      </c>
      <c r="AJ136" s="13">
        <v>1</v>
      </c>
      <c r="AK136" s="13">
        <v>1</v>
      </c>
      <c r="AL136" s="14">
        <v>1</v>
      </c>
      <c r="AM136" s="13" t="s">
        <v>437</v>
      </c>
      <c r="AN136" s="13" t="s">
        <v>437</v>
      </c>
      <c r="AO136" s="13">
        <v>1</v>
      </c>
      <c r="AP136" s="14">
        <v>1</v>
      </c>
      <c r="AQ136" s="13" t="s">
        <v>437</v>
      </c>
      <c r="AR136" s="13" t="s">
        <v>437</v>
      </c>
      <c r="AS136" s="13" t="s">
        <v>437</v>
      </c>
      <c r="AT136" s="14" t="s">
        <v>437</v>
      </c>
      <c r="AU136" s="13" t="s">
        <v>437</v>
      </c>
      <c r="AV136" s="13" t="s">
        <v>437</v>
      </c>
      <c r="AW136" s="13" t="s">
        <v>437</v>
      </c>
      <c r="AX136" s="14" t="s">
        <v>437</v>
      </c>
      <c r="AY136" s="13" t="s">
        <v>437</v>
      </c>
      <c r="AZ136" s="13" t="s">
        <v>437</v>
      </c>
      <c r="BA136" s="13" t="s">
        <v>437</v>
      </c>
      <c r="BB136" s="14" t="s">
        <v>437</v>
      </c>
      <c r="BC136" s="13" t="s">
        <v>437</v>
      </c>
      <c r="BD136" s="13" t="s">
        <v>437</v>
      </c>
      <c r="BE136" s="13" t="s">
        <v>437</v>
      </c>
      <c r="BF136" s="14" t="s">
        <v>437</v>
      </c>
      <c r="BG136" s="13" t="s">
        <v>437</v>
      </c>
      <c r="BH136" s="13" t="s">
        <v>437</v>
      </c>
      <c r="BI136" s="13" t="s">
        <v>437</v>
      </c>
      <c r="BJ136" s="14" t="s">
        <v>437</v>
      </c>
      <c r="BK136" s="13" t="s">
        <v>437</v>
      </c>
      <c r="BL136" s="13" t="s">
        <v>437</v>
      </c>
      <c r="BM136" s="13" t="s">
        <v>437</v>
      </c>
      <c r="BN136" s="14" t="s">
        <v>437</v>
      </c>
      <c r="BP136" s="17">
        <v>3</v>
      </c>
      <c r="BQ136" s="13">
        <v>2</v>
      </c>
      <c r="BR136" s="13">
        <v>3</v>
      </c>
      <c r="BS136" s="14">
        <v>4</v>
      </c>
      <c r="BU136" s="17" t="s">
        <v>437</v>
      </c>
      <c r="BV136" s="13" t="s">
        <v>437</v>
      </c>
      <c r="BW136" s="13" t="s">
        <v>437</v>
      </c>
      <c r="BX136" s="14" t="s">
        <v>437</v>
      </c>
      <c r="BZ136" s="17" t="s">
        <v>437</v>
      </c>
      <c r="CA136" s="13" t="s">
        <v>437</v>
      </c>
      <c r="CB136" s="13" t="s">
        <v>437</v>
      </c>
      <c r="CC136" s="14" t="s">
        <v>437</v>
      </c>
    </row>
    <row r="137" spans="2:81" ht="18" hidden="1" customHeight="1" x14ac:dyDescent="0.2">
      <c r="B137" s="10">
        <f>garage!B137</f>
        <v>137</v>
      </c>
      <c r="C137" s="10">
        <f>garage!C137</f>
        <v>4</v>
      </c>
      <c r="D137" s="10">
        <f>garage!D137</f>
        <v>16</v>
      </c>
      <c r="E137" s="10">
        <f>garage!E137</f>
        <v>20</v>
      </c>
      <c r="F137" s="10" t="str">
        <f>garage!F137</f>
        <v>L</v>
      </c>
      <c r="G137" s="10" t="str">
        <f>garage!G137</f>
        <v>N</v>
      </c>
      <c r="H137" s="10" t="str">
        <f>garage!H137</f>
        <v>N</v>
      </c>
      <c r="I137" s="10" t="str">
        <f>garage!I137</f>
        <v>N</v>
      </c>
      <c r="J137" s="10" t="str">
        <f>garage!J137</f>
        <v>N</v>
      </c>
      <c r="K137" s="10" t="str">
        <f>garage!K137</f>
        <v>A</v>
      </c>
      <c r="L137" s="11" t="str">
        <f>garage!L137</f>
        <v>Lamborghini</v>
      </c>
      <c r="M137" s="11" t="str">
        <f>garage!M137</f>
        <v>Aventador SVJ Roadster</v>
      </c>
      <c r="O137" s="18" t="s">
        <v>437</v>
      </c>
      <c r="P137" s="15" t="s">
        <v>437</v>
      </c>
      <c r="Q137" s="15" t="s">
        <v>437</v>
      </c>
      <c r="R137" s="16" t="s">
        <v>437</v>
      </c>
      <c r="S137" s="15" t="s">
        <v>437</v>
      </c>
      <c r="T137" s="15" t="s">
        <v>437</v>
      </c>
      <c r="U137" s="15" t="s">
        <v>437</v>
      </c>
      <c r="V137" s="16" t="s">
        <v>437</v>
      </c>
      <c r="W137" s="15" t="s">
        <v>437</v>
      </c>
      <c r="X137" s="15" t="s">
        <v>437</v>
      </c>
      <c r="Y137" s="15" t="s">
        <v>437</v>
      </c>
      <c r="Z137" s="16" t="s">
        <v>437</v>
      </c>
      <c r="AA137" s="15" t="s">
        <v>437</v>
      </c>
      <c r="AB137" s="15" t="s">
        <v>437</v>
      </c>
      <c r="AC137" s="15" t="s">
        <v>437</v>
      </c>
      <c r="AD137" s="16" t="s">
        <v>437</v>
      </c>
      <c r="AE137" s="15" t="s">
        <v>437</v>
      </c>
      <c r="AF137" s="15" t="s">
        <v>437</v>
      </c>
      <c r="AG137" s="15" t="s">
        <v>437</v>
      </c>
      <c r="AH137" s="16" t="s">
        <v>437</v>
      </c>
      <c r="AI137" s="15" t="s">
        <v>437</v>
      </c>
      <c r="AJ137" s="15" t="s">
        <v>437</v>
      </c>
      <c r="AK137" s="15" t="s">
        <v>437</v>
      </c>
      <c r="AL137" s="16" t="s">
        <v>437</v>
      </c>
      <c r="AM137" s="15" t="s">
        <v>437</v>
      </c>
      <c r="AN137" s="15" t="s">
        <v>437</v>
      </c>
      <c r="AO137" s="15" t="s">
        <v>437</v>
      </c>
      <c r="AP137" s="16" t="s">
        <v>437</v>
      </c>
      <c r="AQ137" s="15" t="s">
        <v>437</v>
      </c>
      <c r="AR137" s="15" t="s">
        <v>437</v>
      </c>
      <c r="AS137" s="15" t="s">
        <v>437</v>
      </c>
      <c r="AT137" s="16" t="s">
        <v>437</v>
      </c>
      <c r="AU137" s="15" t="s">
        <v>437</v>
      </c>
      <c r="AV137" s="15" t="s">
        <v>437</v>
      </c>
      <c r="AW137" s="15" t="s">
        <v>437</v>
      </c>
      <c r="AX137" s="16" t="s">
        <v>437</v>
      </c>
      <c r="AY137" s="15" t="s">
        <v>437</v>
      </c>
      <c r="AZ137" s="15" t="s">
        <v>437</v>
      </c>
      <c r="BA137" s="15" t="s">
        <v>437</v>
      </c>
      <c r="BB137" s="16" t="s">
        <v>437</v>
      </c>
      <c r="BC137" s="15" t="s">
        <v>437</v>
      </c>
      <c r="BD137" s="15" t="s">
        <v>437</v>
      </c>
      <c r="BE137" s="15" t="s">
        <v>437</v>
      </c>
      <c r="BF137" s="16" t="s">
        <v>437</v>
      </c>
      <c r="BG137" s="15" t="s">
        <v>437</v>
      </c>
      <c r="BH137" s="15" t="s">
        <v>437</v>
      </c>
      <c r="BI137" s="15" t="s">
        <v>437</v>
      </c>
      <c r="BJ137" s="16" t="s">
        <v>437</v>
      </c>
      <c r="BK137" s="15" t="s">
        <v>437</v>
      </c>
      <c r="BL137" s="15" t="s">
        <v>437</v>
      </c>
      <c r="BM137" s="15" t="s">
        <v>437</v>
      </c>
      <c r="BN137" s="16" t="s">
        <v>437</v>
      </c>
      <c r="BP137" s="18" t="s">
        <v>437</v>
      </c>
      <c r="BQ137" s="15" t="s">
        <v>437</v>
      </c>
      <c r="BR137" s="15" t="s">
        <v>437</v>
      </c>
      <c r="BS137" s="16" t="s">
        <v>437</v>
      </c>
      <c r="BU137" s="18" t="s">
        <v>437</v>
      </c>
      <c r="BV137" s="15" t="s">
        <v>437</v>
      </c>
      <c r="BW137" s="15" t="s">
        <v>437</v>
      </c>
      <c r="BX137" s="16" t="s">
        <v>437</v>
      </c>
      <c r="BZ137" s="18" t="s">
        <v>437</v>
      </c>
      <c r="CA137" s="15" t="s">
        <v>437</v>
      </c>
      <c r="CB137" s="15" t="s">
        <v>437</v>
      </c>
      <c r="CC137" s="16" t="s">
        <v>437</v>
      </c>
    </row>
    <row r="138" spans="2:81" ht="18" customHeight="1" x14ac:dyDescent="0.2">
      <c r="B138" s="8">
        <f>garage!B138</f>
        <v>138</v>
      </c>
      <c r="C138" s="8">
        <f>garage!C138</f>
        <v>4</v>
      </c>
      <c r="D138" s="8">
        <f>garage!D138</f>
        <v>17</v>
      </c>
      <c r="E138" s="8">
        <f>garage!E138</f>
        <v>8</v>
      </c>
      <c r="F138" s="8" t="str">
        <f>garage!F138</f>
        <v>--</v>
      </c>
      <c r="G138" s="8" t="str">
        <f>garage!G138</f>
        <v>O</v>
      </c>
      <c r="H138" s="8" t="str">
        <f>garage!H138</f>
        <v>O</v>
      </c>
      <c r="I138" s="8" t="str">
        <f>garage!I138</f>
        <v>O</v>
      </c>
      <c r="J138" s="8" t="str">
        <f>garage!J138</f>
        <v>N</v>
      </c>
      <c r="K138" s="8" t="str">
        <f>garage!K138</f>
        <v>A</v>
      </c>
      <c r="L138" s="9" t="str">
        <f>garage!L138</f>
        <v>Vanda Electrics</v>
      </c>
      <c r="M138" s="9" t="str">
        <f>garage!M138</f>
        <v>Dendrobium</v>
      </c>
      <c r="O138" s="17">
        <v>1</v>
      </c>
      <c r="P138" s="13">
        <v>1</v>
      </c>
      <c r="Q138" s="13">
        <v>1</v>
      </c>
      <c r="R138" s="14">
        <v>1</v>
      </c>
      <c r="S138" s="13">
        <v>1</v>
      </c>
      <c r="T138" s="13">
        <v>1</v>
      </c>
      <c r="U138" s="13">
        <v>1</v>
      </c>
      <c r="V138" s="14">
        <v>1</v>
      </c>
      <c r="W138" s="13">
        <v>1</v>
      </c>
      <c r="X138" s="13">
        <v>1</v>
      </c>
      <c r="Y138" s="13">
        <v>1</v>
      </c>
      <c r="Z138" s="14">
        <v>1</v>
      </c>
      <c r="AA138" s="13">
        <v>1</v>
      </c>
      <c r="AB138" s="13">
        <v>1</v>
      </c>
      <c r="AC138" s="13">
        <v>1</v>
      </c>
      <c r="AD138" s="14">
        <v>1</v>
      </c>
      <c r="AE138" s="13">
        <v>1</v>
      </c>
      <c r="AF138" s="13">
        <v>1</v>
      </c>
      <c r="AG138" s="13">
        <v>1</v>
      </c>
      <c r="AH138" s="14">
        <v>1</v>
      </c>
      <c r="AI138" s="13">
        <v>1</v>
      </c>
      <c r="AJ138" s="13">
        <v>1</v>
      </c>
      <c r="AK138" s="13">
        <v>1</v>
      </c>
      <c r="AL138" s="14">
        <v>1</v>
      </c>
      <c r="AM138" s="13">
        <v>1</v>
      </c>
      <c r="AN138" s="13">
        <v>1</v>
      </c>
      <c r="AO138" s="13">
        <v>1</v>
      </c>
      <c r="AP138" s="14">
        <v>1</v>
      </c>
      <c r="AQ138" s="13">
        <v>1</v>
      </c>
      <c r="AR138" s="13">
        <v>1</v>
      </c>
      <c r="AS138" s="13">
        <v>1</v>
      </c>
      <c r="AT138" s="14">
        <v>1</v>
      </c>
      <c r="AU138" s="13">
        <v>1</v>
      </c>
      <c r="AV138" s="13">
        <v>1</v>
      </c>
      <c r="AW138" s="13">
        <v>1</v>
      </c>
      <c r="AX138" s="14">
        <v>1</v>
      </c>
      <c r="AY138" s="13">
        <v>1</v>
      </c>
      <c r="AZ138" s="13">
        <v>1</v>
      </c>
      <c r="BA138" s="13">
        <v>1</v>
      </c>
      <c r="BB138" s="14">
        <v>1</v>
      </c>
      <c r="BC138" s="13">
        <v>1</v>
      </c>
      <c r="BD138" s="13">
        <v>1</v>
      </c>
      <c r="BE138" s="13">
        <v>1</v>
      </c>
      <c r="BF138" s="14">
        <v>1</v>
      </c>
      <c r="BG138" s="13">
        <v>1</v>
      </c>
      <c r="BH138" s="13">
        <v>1</v>
      </c>
      <c r="BI138" s="13">
        <v>1</v>
      </c>
      <c r="BJ138" s="14">
        <v>1</v>
      </c>
      <c r="BK138" s="13" t="s">
        <v>437</v>
      </c>
      <c r="BL138" s="13" t="s">
        <v>437</v>
      </c>
      <c r="BM138" s="13" t="s">
        <v>437</v>
      </c>
      <c r="BN138" s="14" t="s">
        <v>437</v>
      </c>
      <c r="BP138" s="17">
        <v>6</v>
      </c>
      <c r="BQ138" s="13">
        <v>6</v>
      </c>
      <c r="BR138" s="13">
        <v>6</v>
      </c>
      <c r="BS138" s="14">
        <v>6</v>
      </c>
      <c r="BU138" s="17">
        <v>5</v>
      </c>
      <c r="BV138" s="13">
        <v>5</v>
      </c>
      <c r="BW138" s="13">
        <v>5</v>
      </c>
      <c r="BX138" s="14">
        <v>5</v>
      </c>
      <c r="BZ138" s="17">
        <v>3</v>
      </c>
      <c r="CA138" s="13">
        <v>3</v>
      </c>
      <c r="CB138" s="13">
        <v>3</v>
      </c>
      <c r="CC138" s="14">
        <v>3</v>
      </c>
    </row>
    <row r="139" spans="2:81" ht="18" customHeight="1" x14ac:dyDescent="0.2">
      <c r="B139" s="10">
        <f>garage!B139</f>
        <v>139</v>
      </c>
      <c r="C139" s="10">
        <f>garage!C139</f>
        <v>4</v>
      </c>
      <c r="D139" s="10">
        <f>garage!D139</f>
        <v>18</v>
      </c>
      <c r="E139" s="10">
        <f>garage!E139</f>
        <v>0</v>
      </c>
      <c r="F139" s="10" t="str">
        <f>garage!F139</f>
        <v>P</v>
      </c>
      <c r="G139" s="10" t="str">
        <f>garage!G139</f>
        <v>O</v>
      </c>
      <c r="H139" s="10" t="str">
        <f>garage!H139</f>
        <v>O</v>
      </c>
      <c r="I139" s="10" t="str">
        <f>garage!I139</f>
        <v>O</v>
      </c>
      <c r="J139" s="10" t="str">
        <f>garage!J139</f>
        <v>N</v>
      </c>
      <c r="K139" s="10" t="str">
        <f>garage!K139</f>
        <v>A</v>
      </c>
      <c r="L139" s="11" t="str">
        <f>garage!L139</f>
        <v>Porsche</v>
      </c>
      <c r="M139" s="11" t="str">
        <f>garage!M139</f>
        <v>918 Spyder</v>
      </c>
      <c r="O139" s="18">
        <v>1</v>
      </c>
      <c r="P139" s="15">
        <v>1</v>
      </c>
      <c r="Q139" s="15">
        <v>1</v>
      </c>
      <c r="R139" s="16">
        <v>1</v>
      </c>
      <c r="S139" s="15">
        <v>1</v>
      </c>
      <c r="T139" s="15">
        <v>1</v>
      </c>
      <c r="U139" s="15">
        <v>1</v>
      </c>
      <c r="V139" s="16">
        <v>1</v>
      </c>
      <c r="W139" s="15">
        <v>1</v>
      </c>
      <c r="X139" s="15">
        <v>1</v>
      </c>
      <c r="Y139" s="15">
        <v>1</v>
      </c>
      <c r="Z139" s="16">
        <v>1</v>
      </c>
      <c r="AA139" s="15">
        <v>1</v>
      </c>
      <c r="AB139" s="15">
        <v>1</v>
      </c>
      <c r="AC139" s="15">
        <v>1</v>
      </c>
      <c r="AD139" s="16">
        <v>1</v>
      </c>
      <c r="AE139" s="15">
        <v>1</v>
      </c>
      <c r="AF139" s="15">
        <v>1</v>
      </c>
      <c r="AG139" s="15">
        <v>1</v>
      </c>
      <c r="AH139" s="16">
        <v>1</v>
      </c>
      <c r="AI139" s="15">
        <v>1</v>
      </c>
      <c r="AJ139" s="15">
        <v>1</v>
      </c>
      <c r="AK139" s="15">
        <v>1</v>
      </c>
      <c r="AL139" s="16">
        <v>1</v>
      </c>
      <c r="AM139" s="15">
        <v>1</v>
      </c>
      <c r="AN139" s="15">
        <v>1</v>
      </c>
      <c r="AO139" s="15">
        <v>1</v>
      </c>
      <c r="AP139" s="16">
        <v>1</v>
      </c>
      <c r="AQ139" s="15">
        <v>1</v>
      </c>
      <c r="AR139" s="15">
        <v>1</v>
      </c>
      <c r="AS139" s="15">
        <v>1</v>
      </c>
      <c r="AT139" s="16">
        <v>1</v>
      </c>
      <c r="AU139" s="15">
        <v>1</v>
      </c>
      <c r="AV139" s="15">
        <v>1</v>
      </c>
      <c r="AW139" s="15">
        <v>1</v>
      </c>
      <c r="AX139" s="16">
        <v>1</v>
      </c>
      <c r="AY139" s="15">
        <v>1</v>
      </c>
      <c r="AZ139" s="15">
        <v>1</v>
      </c>
      <c r="BA139" s="15">
        <v>1</v>
      </c>
      <c r="BB139" s="16">
        <v>1</v>
      </c>
      <c r="BC139" s="15">
        <v>1</v>
      </c>
      <c r="BD139" s="15">
        <v>1</v>
      </c>
      <c r="BE139" s="15">
        <v>1</v>
      </c>
      <c r="BF139" s="16">
        <v>1</v>
      </c>
      <c r="BG139" s="15">
        <v>1</v>
      </c>
      <c r="BH139" s="15">
        <v>1</v>
      </c>
      <c r="BI139" s="15">
        <v>1</v>
      </c>
      <c r="BJ139" s="16">
        <v>1</v>
      </c>
      <c r="BK139" s="15">
        <v>1</v>
      </c>
      <c r="BL139" s="15">
        <v>1</v>
      </c>
      <c r="BM139" s="15">
        <v>1</v>
      </c>
      <c r="BN139" s="16">
        <v>1</v>
      </c>
      <c r="BP139" s="18">
        <v>6</v>
      </c>
      <c r="BQ139" s="15">
        <v>6</v>
      </c>
      <c r="BR139" s="15">
        <v>6</v>
      </c>
      <c r="BS139" s="16">
        <v>6</v>
      </c>
      <c r="BU139" s="18">
        <v>5</v>
      </c>
      <c r="BV139" s="15">
        <v>5</v>
      </c>
      <c r="BW139" s="15">
        <v>5</v>
      </c>
      <c r="BX139" s="16">
        <v>5</v>
      </c>
      <c r="BZ139" s="18">
        <v>4</v>
      </c>
      <c r="CA139" s="15">
        <v>4</v>
      </c>
      <c r="CB139" s="15">
        <v>4</v>
      </c>
      <c r="CC139" s="16">
        <v>4</v>
      </c>
    </row>
    <row r="140" spans="2:81" ht="18" hidden="1" customHeight="1" x14ac:dyDescent="0.2">
      <c r="B140" s="8">
        <f>garage!B140</f>
        <v>140</v>
      </c>
      <c r="C140" s="8">
        <f>garage!C140</f>
        <v>4</v>
      </c>
      <c r="D140" s="8">
        <f>garage!D140</f>
        <v>19</v>
      </c>
      <c r="E140" s="8">
        <f>garage!E140</f>
        <v>28</v>
      </c>
      <c r="F140" s="8" t="str">
        <f>garage!F140</f>
        <v>--</v>
      </c>
      <c r="G140" s="8" t="str">
        <f>garage!G140</f>
        <v>N</v>
      </c>
      <c r="H140" s="8" t="str">
        <f>garage!H140</f>
        <v>N</v>
      </c>
      <c r="I140" s="8" t="str">
        <f>garage!I140</f>
        <v>N</v>
      </c>
      <c r="J140" s="8" t="str">
        <f>garage!J140</f>
        <v>N</v>
      </c>
      <c r="K140" s="8" t="str">
        <f>garage!K140</f>
        <v>A</v>
      </c>
      <c r="L140" s="9" t="str">
        <f>garage!L140</f>
        <v>Peugeot</v>
      </c>
      <c r="M140" s="9" t="str">
        <f>garage!M140</f>
        <v>9X8</v>
      </c>
      <c r="O140" s="17" t="s">
        <v>437</v>
      </c>
      <c r="P140" s="13" t="s">
        <v>437</v>
      </c>
      <c r="Q140" s="13" t="s">
        <v>437</v>
      </c>
      <c r="R140" s="14" t="s">
        <v>437</v>
      </c>
      <c r="S140" s="13" t="s">
        <v>437</v>
      </c>
      <c r="T140" s="13" t="s">
        <v>437</v>
      </c>
      <c r="U140" s="13" t="s">
        <v>437</v>
      </c>
      <c r="V140" s="14" t="s">
        <v>437</v>
      </c>
      <c r="W140" s="13" t="s">
        <v>437</v>
      </c>
      <c r="X140" s="13" t="s">
        <v>437</v>
      </c>
      <c r="Y140" s="13" t="s">
        <v>437</v>
      </c>
      <c r="Z140" s="14" t="s">
        <v>437</v>
      </c>
      <c r="AA140" s="13" t="s">
        <v>437</v>
      </c>
      <c r="AB140" s="13" t="s">
        <v>437</v>
      </c>
      <c r="AC140" s="13" t="s">
        <v>437</v>
      </c>
      <c r="AD140" s="14" t="s">
        <v>437</v>
      </c>
      <c r="AE140" s="13" t="s">
        <v>437</v>
      </c>
      <c r="AF140" s="13" t="s">
        <v>437</v>
      </c>
      <c r="AG140" s="13" t="s">
        <v>437</v>
      </c>
      <c r="AH140" s="14" t="s">
        <v>437</v>
      </c>
      <c r="AI140" s="13" t="s">
        <v>437</v>
      </c>
      <c r="AJ140" s="13" t="s">
        <v>437</v>
      </c>
      <c r="AK140" s="13" t="s">
        <v>437</v>
      </c>
      <c r="AL140" s="14" t="s">
        <v>437</v>
      </c>
      <c r="AM140" s="13" t="s">
        <v>437</v>
      </c>
      <c r="AN140" s="13" t="s">
        <v>437</v>
      </c>
      <c r="AO140" s="13" t="s">
        <v>437</v>
      </c>
      <c r="AP140" s="14" t="s">
        <v>437</v>
      </c>
      <c r="AQ140" s="13" t="s">
        <v>437</v>
      </c>
      <c r="AR140" s="13" t="s">
        <v>437</v>
      </c>
      <c r="AS140" s="13" t="s">
        <v>437</v>
      </c>
      <c r="AT140" s="14" t="s">
        <v>437</v>
      </c>
      <c r="AU140" s="13" t="s">
        <v>437</v>
      </c>
      <c r="AV140" s="13" t="s">
        <v>437</v>
      </c>
      <c r="AW140" s="13" t="s">
        <v>437</v>
      </c>
      <c r="AX140" s="14" t="s">
        <v>437</v>
      </c>
      <c r="AY140" s="13" t="s">
        <v>437</v>
      </c>
      <c r="AZ140" s="13" t="s">
        <v>437</v>
      </c>
      <c r="BA140" s="13" t="s">
        <v>437</v>
      </c>
      <c r="BB140" s="14" t="s">
        <v>437</v>
      </c>
      <c r="BC140" s="13" t="s">
        <v>437</v>
      </c>
      <c r="BD140" s="13" t="s">
        <v>437</v>
      </c>
      <c r="BE140" s="13" t="s">
        <v>437</v>
      </c>
      <c r="BF140" s="14" t="s">
        <v>437</v>
      </c>
      <c r="BG140" s="13" t="s">
        <v>437</v>
      </c>
      <c r="BH140" s="13" t="s">
        <v>437</v>
      </c>
      <c r="BI140" s="13" t="s">
        <v>437</v>
      </c>
      <c r="BJ140" s="14" t="s">
        <v>437</v>
      </c>
      <c r="BK140" s="13" t="s">
        <v>437</v>
      </c>
      <c r="BL140" s="13" t="s">
        <v>437</v>
      </c>
      <c r="BM140" s="13" t="s">
        <v>437</v>
      </c>
      <c r="BN140" s="14" t="s">
        <v>437</v>
      </c>
      <c r="BP140" s="17" t="s">
        <v>437</v>
      </c>
      <c r="BQ140" s="13" t="s">
        <v>437</v>
      </c>
      <c r="BR140" s="13" t="s">
        <v>437</v>
      </c>
      <c r="BS140" s="14" t="s">
        <v>437</v>
      </c>
      <c r="BU140" s="17" t="s">
        <v>437</v>
      </c>
      <c r="BV140" s="13" t="s">
        <v>437</v>
      </c>
      <c r="BW140" s="13" t="s">
        <v>437</v>
      </c>
      <c r="BX140" s="14" t="s">
        <v>437</v>
      </c>
      <c r="BZ140" s="17" t="s">
        <v>437</v>
      </c>
      <c r="CA140" s="13" t="s">
        <v>437</v>
      </c>
      <c r="CB140" s="13" t="s">
        <v>437</v>
      </c>
      <c r="CC140" s="14" t="s">
        <v>437</v>
      </c>
    </row>
    <row r="141" spans="2:81" ht="18" customHeight="1" x14ac:dyDescent="0.2">
      <c r="B141" s="10">
        <f>garage!B141</f>
        <v>141</v>
      </c>
      <c r="C141" s="10">
        <f>garage!C141</f>
        <v>4</v>
      </c>
      <c r="D141" s="10">
        <f>garage!D141</f>
        <v>20</v>
      </c>
      <c r="E141" s="10">
        <f>garage!E141</f>
        <v>0</v>
      </c>
      <c r="F141" s="10" t="str">
        <f>garage!F141</f>
        <v>M</v>
      </c>
      <c r="G141" s="10" t="str">
        <f>garage!G141</f>
        <v>O</v>
      </c>
      <c r="H141" s="10" t="str">
        <f>garage!H141</f>
        <v>O</v>
      </c>
      <c r="I141" s="10" t="str">
        <f>garage!I141</f>
        <v>O</v>
      </c>
      <c r="J141" s="10" t="str">
        <f>garage!J141</f>
        <v>N</v>
      </c>
      <c r="K141" s="10" t="str">
        <f>garage!K141</f>
        <v>A</v>
      </c>
      <c r="L141" s="11" t="str">
        <f>garage!L141</f>
        <v>McLaren</v>
      </c>
      <c r="M141" s="11" t="str">
        <f>garage!M141</f>
        <v>570S Spider</v>
      </c>
      <c r="O141" s="18">
        <v>1</v>
      </c>
      <c r="P141" s="15">
        <v>1</v>
      </c>
      <c r="Q141" s="15">
        <v>1</v>
      </c>
      <c r="R141" s="16">
        <v>1</v>
      </c>
      <c r="S141" s="15">
        <v>1</v>
      </c>
      <c r="T141" s="15">
        <v>1</v>
      </c>
      <c r="U141" s="15">
        <v>1</v>
      </c>
      <c r="V141" s="16">
        <v>1</v>
      </c>
      <c r="W141" s="15">
        <v>1</v>
      </c>
      <c r="X141" s="15">
        <v>1</v>
      </c>
      <c r="Y141" s="15">
        <v>1</v>
      </c>
      <c r="Z141" s="16">
        <v>1</v>
      </c>
      <c r="AA141" s="15">
        <v>1</v>
      </c>
      <c r="AB141" s="15">
        <v>1</v>
      </c>
      <c r="AC141" s="15">
        <v>1</v>
      </c>
      <c r="AD141" s="16">
        <v>1</v>
      </c>
      <c r="AE141" s="15">
        <v>1</v>
      </c>
      <c r="AF141" s="15">
        <v>1</v>
      </c>
      <c r="AG141" s="15">
        <v>1</v>
      </c>
      <c r="AH141" s="16">
        <v>1</v>
      </c>
      <c r="AI141" s="15">
        <v>1</v>
      </c>
      <c r="AJ141" s="15">
        <v>1</v>
      </c>
      <c r="AK141" s="15">
        <v>1</v>
      </c>
      <c r="AL141" s="16">
        <v>1</v>
      </c>
      <c r="AM141" s="15">
        <v>1</v>
      </c>
      <c r="AN141" s="15">
        <v>1</v>
      </c>
      <c r="AO141" s="15">
        <v>1</v>
      </c>
      <c r="AP141" s="16">
        <v>1</v>
      </c>
      <c r="AQ141" s="15">
        <v>1</v>
      </c>
      <c r="AR141" s="15">
        <v>1</v>
      </c>
      <c r="AS141" s="15">
        <v>1</v>
      </c>
      <c r="AT141" s="16">
        <v>1</v>
      </c>
      <c r="AU141" s="15">
        <v>1</v>
      </c>
      <c r="AV141" s="15">
        <v>1</v>
      </c>
      <c r="AW141" s="15">
        <v>1</v>
      </c>
      <c r="AX141" s="16">
        <v>1</v>
      </c>
      <c r="AY141" s="15">
        <v>1</v>
      </c>
      <c r="AZ141" s="15">
        <v>1</v>
      </c>
      <c r="BA141" s="15">
        <v>1</v>
      </c>
      <c r="BB141" s="16">
        <v>1</v>
      </c>
      <c r="BC141" s="15">
        <v>1</v>
      </c>
      <c r="BD141" s="15">
        <v>1</v>
      </c>
      <c r="BE141" s="15">
        <v>1</v>
      </c>
      <c r="BF141" s="16">
        <v>1</v>
      </c>
      <c r="BG141" s="15">
        <v>1</v>
      </c>
      <c r="BH141" s="15">
        <v>1</v>
      </c>
      <c r="BI141" s="15">
        <v>1</v>
      </c>
      <c r="BJ141" s="16">
        <v>1</v>
      </c>
      <c r="BK141" s="15">
        <v>1</v>
      </c>
      <c r="BL141" s="15">
        <v>1</v>
      </c>
      <c r="BM141" s="15">
        <v>1</v>
      </c>
      <c r="BN141" s="16">
        <v>1</v>
      </c>
      <c r="BP141" s="18">
        <v>6</v>
      </c>
      <c r="BQ141" s="15">
        <v>6</v>
      </c>
      <c r="BR141" s="15">
        <v>6</v>
      </c>
      <c r="BS141" s="16">
        <v>6</v>
      </c>
      <c r="BU141" s="18">
        <v>5</v>
      </c>
      <c r="BV141" s="15">
        <v>5</v>
      </c>
      <c r="BW141" s="15">
        <v>5</v>
      </c>
      <c r="BX141" s="16">
        <v>5</v>
      </c>
      <c r="BZ141" s="18">
        <v>4</v>
      </c>
      <c r="CA141" s="15">
        <v>4</v>
      </c>
      <c r="CB141" s="15">
        <v>4</v>
      </c>
      <c r="CC141" s="16">
        <v>4</v>
      </c>
    </row>
    <row r="142" spans="2:81" ht="18" customHeight="1" x14ac:dyDescent="0.2">
      <c r="B142" s="8">
        <f>garage!B142</f>
        <v>142</v>
      </c>
      <c r="C142" s="8">
        <f>garage!C142</f>
        <v>4</v>
      </c>
      <c r="D142" s="8">
        <f>garage!D142</f>
        <v>21</v>
      </c>
      <c r="E142" s="8">
        <f>garage!E142</f>
        <v>0</v>
      </c>
      <c r="F142" s="8" t="str">
        <f>garage!F142</f>
        <v>L</v>
      </c>
      <c r="G142" s="8" t="str">
        <f>garage!G142</f>
        <v>O</v>
      </c>
      <c r="H142" s="8" t="str">
        <f>garage!H142</f>
        <v>O</v>
      </c>
      <c r="I142" s="8" t="str">
        <f>garage!I142</f>
        <v>O</v>
      </c>
      <c r="J142" s="8" t="str">
        <f>garage!J142</f>
        <v>N</v>
      </c>
      <c r="K142" s="8" t="str">
        <f>garage!K142</f>
        <v>A</v>
      </c>
      <c r="L142" s="9" t="str">
        <f>garage!L142</f>
        <v>Lamborghini</v>
      </c>
      <c r="M142" s="9" t="str">
        <f>garage!M142</f>
        <v>Aventador J</v>
      </c>
      <c r="O142" s="17">
        <v>1</v>
      </c>
      <c r="P142" s="13">
        <v>1</v>
      </c>
      <c r="Q142" s="13">
        <v>1</v>
      </c>
      <c r="R142" s="14">
        <v>1</v>
      </c>
      <c r="S142" s="13">
        <v>1</v>
      </c>
      <c r="T142" s="13">
        <v>1</v>
      </c>
      <c r="U142" s="13">
        <v>1</v>
      </c>
      <c r="V142" s="14">
        <v>1</v>
      </c>
      <c r="W142" s="13">
        <v>1</v>
      </c>
      <c r="X142" s="13">
        <v>1</v>
      </c>
      <c r="Y142" s="13">
        <v>1</v>
      </c>
      <c r="Z142" s="14">
        <v>1</v>
      </c>
      <c r="AA142" s="13">
        <v>1</v>
      </c>
      <c r="AB142" s="13">
        <v>1</v>
      </c>
      <c r="AC142" s="13">
        <v>1</v>
      </c>
      <c r="AD142" s="14">
        <v>1</v>
      </c>
      <c r="AE142" s="13">
        <v>1</v>
      </c>
      <c r="AF142" s="13">
        <v>1</v>
      </c>
      <c r="AG142" s="13">
        <v>1</v>
      </c>
      <c r="AH142" s="14">
        <v>1</v>
      </c>
      <c r="AI142" s="13">
        <v>1</v>
      </c>
      <c r="AJ142" s="13">
        <v>1</v>
      </c>
      <c r="AK142" s="13">
        <v>1</v>
      </c>
      <c r="AL142" s="14">
        <v>1</v>
      </c>
      <c r="AM142" s="13">
        <v>1</v>
      </c>
      <c r="AN142" s="13">
        <v>1</v>
      </c>
      <c r="AO142" s="13">
        <v>1</v>
      </c>
      <c r="AP142" s="14">
        <v>1</v>
      </c>
      <c r="AQ142" s="13">
        <v>1</v>
      </c>
      <c r="AR142" s="13">
        <v>1</v>
      </c>
      <c r="AS142" s="13">
        <v>1</v>
      </c>
      <c r="AT142" s="14">
        <v>1</v>
      </c>
      <c r="AU142" s="13">
        <v>1</v>
      </c>
      <c r="AV142" s="13">
        <v>1</v>
      </c>
      <c r="AW142" s="13">
        <v>1</v>
      </c>
      <c r="AX142" s="14">
        <v>1</v>
      </c>
      <c r="AY142" s="13">
        <v>1</v>
      </c>
      <c r="AZ142" s="13">
        <v>1</v>
      </c>
      <c r="BA142" s="13">
        <v>1</v>
      </c>
      <c r="BB142" s="14">
        <v>1</v>
      </c>
      <c r="BC142" s="13">
        <v>1</v>
      </c>
      <c r="BD142" s="13">
        <v>1</v>
      </c>
      <c r="BE142" s="13">
        <v>1</v>
      </c>
      <c r="BF142" s="14">
        <v>1</v>
      </c>
      <c r="BG142" s="13">
        <v>1</v>
      </c>
      <c r="BH142" s="13">
        <v>1</v>
      </c>
      <c r="BI142" s="13">
        <v>1</v>
      </c>
      <c r="BJ142" s="14">
        <v>1</v>
      </c>
      <c r="BK142" s="13" t="s">
        <v>437</v>
      </c>
      <c r="BL142" s="13" t="s">
        <v>437</v>
      </c>
      <c r="BM142" s="13" t="s">
        <v>437</v>
      </c>
      <c r="BN142" s="14" t="s">
        <v>437</v>
      </c>
      <c r="BP142" s="17">
        <v>6</v>
      </c>
      <c r="BQ142" s="13">
        <v>6</v>
      </c>
      <c r="BR142" s="13">
        <v>6</v>
      </c>
      <c r="BS142" s="14">
        <v>6</v>
      </c>
      <c r="BU142" s="17">
        <v>5</v>
      </c>
      <c r="BV142" s="13">
        <v>5</v>
      </c>
      <c r="BW142" s="13">
        <v>5</v>
      </c>
      <c r="BX142" s="14">
        <v>5</v>
      </c>
      <c r="BZ142" s="17">
        <v>3</v>
      </c>
      <c r="CA142" s="13">
        <v>3</v>
      </c>
      <c r="CB142" s="13">
        <v>3</v>
      </c>
      <c r="CC142" s="14">
        <v>3</v>
      </c>
    </row>
    <row r="143" spans="2:81" ht="18" customHeight="1" x14ac:dyDescent="0.2">
      <c r="B143" s="10">
        <f>garage!B143</f>
        <v>143</v>
      </c>
      <c r="C143" s="10">
        <f>garage!C143</f>
        <v>4</v>
      </c>
      <c r="D143" s="10">
        <f>garage!D143</f>
        <v>22</v>
      </c>
      <c r="E143" s="10">
        <f>garage!E143</f>
        <v>16</v>
      </c>
      <c r="F143" s="10" t="str">
        <f>garage!F143</f>
        <v>--</v>
      </c>
      <c r="G143" s="10" t="str">
        <f>garage!G143</f>
        <v>O</v>
      </c>
      <c r="H143" s="10" t="str">
        <f>garage!H143</f>
        <v>N</v>
      </c>
      <c r="I143" s="10" t="str">
        <f>garage!I143</f>
        <v>N</v>
      </c>
      <c r="J143" s="10" t="str">
        <f>garage!J143</f>
        <v>N</v>
      </c>
      <c r="K143" s="10" t="str">
        <f>garage!K143</f>
        <v>A</v>
      </c>
      <c r="L143" s="11" t="str">
        <f>garage!L143</f>
        <v>Peugeot</v>
      </c>
      <c r="M143" s="11" t="str">
        <f>garage!M143</f>
        <v>Onyx</v>
      </c>
      <c r="O143" s="18">
        <v>1</v>
      </c>
      <c r="P143" s="15">
        <v>1</v>
      </c>
      <c r="Q143" s="15">
        <v>1</v>
      </c>
      <c r="R143" s="16">
        <v>1</v>
      </c>
      <c r="S143" s="15">
        <v>1</v>
      </c>
      <c r="T143" s="15">
        <v>1</v>
      </c>
      <c r="U143" s="15">
        <v>1</v>
      </c>
      <c r="V143" s="16">
        <v>1</v>
      </c>
      <c r="W143" s="15">
        <v>1</v>
      </c>
      <c r="X143" s="15">
        <v>1</v>
      </c>
      <c r="Y143" s="15">
        <v>1</v>
      </c>
      <c r="Z143" s="16">
        <v>1</v>
      </c>
      <c r="AA143" s="15">
        <v>1</v>
      </c>
      <c r="AB143" s="15">
        <v>1</v>
      </c>
      <c r="AC143" s="15">
        <v>1</v>
      </c>
      <c r="AD143" s="16">
        <v>1</v>
      </c>
      <c r="AE143" s="15">
        <v>1</v>
      </c>
      <c r="AF143" s="15">
        <v>1</v>
      </c>
      <c r="AG143" s="15">
        <v>1</v>
      </c>
      <c r="AH143" s="16">
        <v>1</v>
      </c>
      <c r="AI143" s="15">
        <v>1</v>
      </c>
      <c r="AJ143" s="15">
        <v>1</v>
      </c>
      <c r="AK143" s="15">
        <v>1</v>
      </c>
      <c r="AL143" s="16">
        <v>1</v>
      </c>
      <c r="AM143" s="15">
        <v>1</v>
      </c>
      <c r="AN143" s="15">
        <v>1</v>
      </c>
      <c r="AO143" s="15">
        <v>1</v>
      </c>
      <c r="AP143" s="16">
        <v>1</v>
      </c>
      <c r="AQ143" s="15">
        <v>1</v>
      </c>
      <c r="AR143" s="15">
        <v>1</v>
      </c>
      <c r="AS143" s="15">
        <v>1</v>
      </c>
      <c r="AT143" s="16">
        <v>1</v>
      </c>
      <c r="AU143" s="15">
        <v>1</v>
      </c>
      <c r="AV143" s="15">
        <v>1</v>
      </c>
      <c r="AW143" s="15">
        <v>1</v>
      </c>
      <c r="AX143" s="16">
        <v>1</v>
      </c>
      <c r="AY143" s="15" t="s">
        <v>437</v>
      </c>
      <c r="AZ143" s="15">
        <v>1</v>
      </c>
      <c r="BA143" s="15">
        <v>1</v>
      </c>
      <c r="BB143" s="16">
        <v>1</v>
      </c>
      <c r="BC143" s="15" t="s">
        <v>437</v>
      </c>
      <c r="BD143" s="15" t="s">
        <v>437</v>
      </c>
      <c r="BE143" s="15" t="s">
        <v>437</v>
      </c>
      <c r="BF143" s="16" t="s">
        <v>437</v>
      </c>
      <c r="BG143" s="15" t="s">
        <v>437</v>
      </c>
      <c r="BH143" s="15" t="s">
        <v>437</v>
      </c>
      <c r="BI143" s="15" t="s">
        <v>437</v>
      </c>
      <c r="BJ143" s="16" t="s">
        <v>437</v>
      </c>
      <c r="BK143" s="15" t="s">
        <v>437</v>
      </c>
      <c r="BL143" s="15" t="s">
        <v>437</v>
      </c>
      <c r="BM143" s="15" t="s">
        <v>437</v>
      </c>
      <c r="BN143" s="16" t="s">
        <v>437</v>
      </c>
      <c r="BP143" s="18">
        <v>5</v>
      </c>
      <c r="BQ143" s="15">
        <v>5</v>
      </c>
      <c r="BR143" s="15">
        <v>5</v>
      </c>
      <c r="BS143" s="16">
        <v>5</v>
      </c>
      <c r="BU143" s="18" t="s">
        <v>437</v>
      </c>
      <c r="BV143" s="15">
        <v>2</v>
      </c>
      <c r="BW143" s="15">
        <v>2</v>
      </c>
      <c r="BX143" s="16">
        <v>2</v>
      </c>
      <c r="BZ143" s="18" t="s">
        <v>437</v>
      </c>
      <c r="CA143" s="15" t="s">
        <v>437</v>
      </c>
      <c r="CB143" s="15" t="s">
        <v>437</v>
      </c>
      <c r="CC143" s="16" t="s">
        <v>437</v>
      </c>
    </row>
    <row r="144" spans="2:81" ht="18" hidden="1" customHeight="1" x14ac:dyDescent="0.2">
      <c r="B144" s="8">
        <f>garage!B144</f>
        <v>144</v>
      </c>
      <c r="C144" s="8">
        <f>garage!C144</f>
        <v>4</v>
      </c>
      <c r="D144" s="8">
        <f>garage!D144</f>
        <v>23</v>
      </c>
      <c r="E144" s="8">
        <f>garage!E144</f>
        <v>22</v>
      </c>
      <c r="F144" s="8" t="str">
        <f>garage!F144</f>
        <v>--</v>
      </c>
      <c r="G144" s="8" t="str">
        <f>garage!G144</f>
        <v>N</v>
      </c>
      <c r="H144" s="8" t="str">
        <f>garage!H144</f>
        <v>N</v>
      </c>
      <c r="I144" s="8" t="str">
        <f>garage!I144</f>
        <v>N</v>
      </c>
      <c r="J144" s="8" t="str">
        <f>garage!J144</f>
        <v>N</v>
      </c>
      <c r="K144" s="8" t="str">
        <f>garage!K144</f>
        <v>A</v>
      </c>
      <c r="L144" s="9" t="str">
        <f>garage!L144</f>
        <v>Pagani</v>
      </c>
      <c r="M144" s="9" t="str">
        <f>garage!M144</f>
        <v>Zonda R</v>
      </c>
      <c r="O144" s="17" t="s">
        <v>437</v>
      </c>
      <c r="P144" s="13" t="s">
        <v>437</v>
      </c>
      <c r="Q144" s="13" t="s">
        <v>437</v>
      </c>
      <c r="R144" s="14" t="s">
        <v>437</v>
      </c>
      <c r="S144" s="13" t="s">
        <v>437</v>
      </c>
      <c r="T144" s="13" t="s">
        <v>437</v>
      </c>
      <c r="U144" s="13" t="s">
        <v>437</v>
      </c>
      <c r="V144" s="14" t="s">
        <v>437</v>
      </c>
      <c r="W144" s="13" t="s">
        <v>437</v>
      </c>
      <c r="X144" s="13" t="s">
        <v>437</v>
      </c>
      <c r="Y144" s="13" t="s">
        <v>437</v>
      </c>
      <c r="Z144" s="14" t="s">
        <v>437</v>
      </c>
      <c r="AA144" s="13" t="s">
        <v>437</v>
      </c>
      <c r="AB144" s="13" t="s">
        <v>437</v>
      </c>
      <c r="AC144" s="13" t="s">
        <v>437</v>
      </c>
      <c r="AD144" s="14" t="s">
        <v>437</v>
      </c>
      <c r="AE144" s="13" t="s">
        <v>437</v>
      </c>
      <c r="AF144" s="13" t="s">
        <v>437</v>
      </c>
      <c r="AG144" s="13" t="s">
        <v>437</v>
      </c>
      <c r="AH144" s="14" t="s">
        <v>437</v>
      </c>
      <c r="AI144" s="13" t="s">
        <v>437</v>
      </c>
      <c r="AJ144" s="13" t="s">
        <v>437</v>
      </c>
      <c r="AK144" s="13" t="s">
        <v>437</v>
      </c>
      <c r="AL144" s="14" t="s">
        <v>437</v>
      </c>
      <c r="AM144" s="13" t="s">
        <v>437</v>
      </c>
      <c r="AN144" s="13" t="s">
        <v>437</v>
      </c>
      <c r="AO144" s="13" t="s">
        <v>437</v>
      </c>
      <c r="AP144" s="14" t="s">
        <v>437</v>
      </c>
      <c r="AQ144" s="13" t="s">
        <v>437</v>
      </c>
      <c r="AR144" s="13" t="s">
        <v>437</v>
      </c>
      <c r="AS144" s="13" t="s">
        <v>437</v>
      </c>
      <c r="AT144" s="14" t="s">
        <v>437</v>
      </c>
      <c r="AU144" s="13" t="s">
        <v>437</v>
      </c>
      <c r="AV144" s="13" t="s">
        <v>437</v>
      </c>
      <c r="AW144" s="13" t="s">
        <v>437</v>
      </c>
      <c r="AX144" s="14" t="s">
        <v>437</v>
      </c>
      <c r="AY144" s="13" t="s">
        <v>437</v>
      </c>
      <c r="AZ144" s="13" t="s">
        <v>437</v>
      </c>
      <c r="BA144" s="13" t="s">
        <v>437</v>
      </c>
      <c r="BB144" s="14" t="s">
        <v>437</v>
      </c>
      <c r="BC144" s="13" t="s">
        <v>437</v>
      </c>
      <c r="BD144" s="13" t="s">
        <v>437</v>
      </c>
      <c r="BE144" s="13" t="s">
        <v>437</v>
      </c>
      <c r="BF144" s="14" t="s">
        <v>437</v>
      </c>
      <c r="BG144" s="13" t="s">
        <v>437</v>
      </c>
      <c r="BH144" s="13" t="s">
        <v>437</v>
      </c>
      <c r="BI144" s="13" t="s">
        <v>437</v>
      </c>
      <c r="BJ144" s="14" t="s">
        <v>437</v>
      </c>
      <c r="BK144" s="13" t="s">
        <v>437</v>
      </c>
      <c r="BL144" s="13" t="s">
        <v>437</v>
      </c>
      <c r="BM144" s="13" t="s">
        <v>437</v>
      </c>
      <c r="BN144" s="14" t="s">
        <v>437</v>
      </c>
      <c r="BP144" s="17" t="s">
        <v>437</v>
      </c>
      <c r="BQ144" s="13" t="s">
        <v>437</v>
      </c>
      <c r="BR144" s="13" t="s">
        <v>437</v>
      </c>
      <c r="BS144" s="14" t="s">
        <v>437</v>
      </c>
      <c r="BU144" s="17" t="s">
        <v>437</v>
      </c>
      <c r="BV144" s="13" t="s">
        <v>437</v>
      </c>
      <c r="BW144" s="13" t="s">
        <v>437</v>
      </c>
      <c r="BX144" s="14" t="s">
        <v>437</v>
      </c>
      <c r="BZ144" s="17" t="s">
        <v>437</v>
      </c>
      <c r="CA144" s="13" t="s">
        <v>437</v>
      </c>
      <c r="CB144" s="13" t="s">
        <v>437</v>
      </c>
      <c r="CC144" s="14" t="s">
        <v>437</v>
      </c>
    </row>
    <row r="145" spans="2:81" ht="18" hidden="1" customHeight="1" x14ac:dyDescent="0.2">
      <c r="B145" s="10">
        <f>garage!B145</f>
        <v>145</v>
      </c>
      <c r="C145" s="10">
        <f>garage!C145</f>
        <v>4</v>
      </c>
      <c r="D145" s="10">
        <f>garage!D145</f>
        <v>24</v>
      </c>
      <c r="E145" s="10">
        <f>garage!E145</f>
        <v>22</v>
      </c>
      <c r="F145" s="10" t="str">
        <f>garage!F145</f>
        <v>--</v>
      </c>
      <c r="G145" s="10" t="str">
        <f>garage!G145</f>
        <v>N</v>
      </c>
      <c r="H145" s="10" t="str">
        <f>garage!H145</f>
        <v>N</v>
      </c>
      <c r="I145" s="10" t="str">
        <f>garage!I145</f>
        <v>N</v>
      </c>
      <c r="J145" s="10" t="str">
        <f>garage!J145</f>
        <v>N</v>
      </c>
      <c r="K145" s="10" t="str">
        <f>garage!K145</f>
        <v>A</v>
      </c>
      <c r="L145" s="11" t="str">
        <f>garage!L145</f>
        <v>Glickhaus</v>
      </c>
      <c r="M145" s="11" t="str">
        <f>garage!M145</f>
        <v>007S</v>
      </c>
      <c r="O145" s="18" t="s">
        <v>437</v>
      </c>
      <c r="P145" s="15" t="s">
        <v>437</v>
      </c>
      <c r="Q145" s="15" t="s">
        <v>437</v>
      </c>
      <c r="R145" s="16" t="s">
        <v>437</v>
      </c>
      <c r="S145" s="15" t="s">
        <v>437</v>
      </c>
      <c r="T145" s="15" t="s">
        <v>437</v>
      </c>
      <c r="U145" s="15" t="s">
        <v>437</v>
      </c>
      <c r="V145" s="16" t="s">
        <v>437</v>
      </c>
      <c r="W145" s="15" t="s">
        <v>437</v>
      </c>
      <c r="X145" s="15" t="s">
        <v>437</v>
      </c>
      <c r="Y145" s="15" t="s">
        <v>437</v>
      </c>
      <c r="Z145" s="16" t="s">
        <v>437</v>
      </c>
      <c r="AA145" s="15" t="s">
        <v>437</v>
      </c>
      <c r="AB145" s="15" t="s">
        <v>437</v>
      </c>
      <c r="AC145" s="15" t="s">
        <v>437</v>
      </c>
      <c r="AD145" s="16" t="s">
        <v>437</v>
      </c>
      <c r="AE145" s="15" t="s">
        <v>437</v>
      </c>
      <c r="AF145" s="15" t="s">
        <v>437</v>
      </c>
      <c r="AG145" s="15" t="s">
        <v>437</v>
      </c>
      <c r="AH145" s="16" t="s">
        <v>437</v>
      </c>
      <c r="AI145" s="15" t="s">
        <v>437</v>
      </c>
      <c r="AJ145" s="15" t="s">
        <v>437</v>
      </c>
      <c r="AK145" s="15" t="s">
        <v>437</v>
      </c>
      <c r="AL145" s="16" t="s">
        <v>437</v>
      </c>
      <c r="AM145" s="15" t="s">
        <v>437</v>
      </c>
      <c r="AN145" s="15" t="s">
        <v>437</v>
      </c>
      <c r="AO145" s="15" t="s">
        <v>437</v>
      </c>
      <c r="AP145" s="16" t="s">
        <v>437</v>
      </c>
      <c r="AQ145" s="15" t="s">
        <v>437</v>
      </c>
      <c r="AR145" s="15" t="s">
        <v>437</v>
      </c>
      <c r="AS145" s="15" t="s">
        <v>437</v>
      </c>
      <c r="AT145" s="16" t="s">
        <v>437</v>
      </c>
      <c r="AU145" s="15" t="s">
        <v>437</v>
      </c>
      <c r="AV145" s="15" t="s">
        <v>437</v>
      </c>
      <c r="AW145" s="15" t="s">
        <v>437</v>
      </c>
      <c r="AX145" s="16" t="s">
        <v>437</v>
      </c>
      <c r="AY145" s="15" t="s">
        <v>437</v>
      </c>
      <c r="AZ145" s="15" t="s">
        <v>437</v>
      </c>
      <c r="BA145" s="15" t="s">
        <v>437</v>
      </c>
      <c r="BB145" s="16" t="s">
        <v>437</v>
      </c>
      <c r="BC145" s="15" t="s">
        <v>437</v>
      </c>
      <c r="BD145" s="15" t="s">
        <v>437</v>
      </c>
      <c r="BE145" s="15" t="s">
        <v>437</v>
      </c>
      <c r="BF145" s="16" t="s">
        <v>437</v>
      </c>
      <c r="BG145" s="15" t="s">
        <v>437</v>
      </c>
      <c r="BH145" s="15" t="s">
        <v>437</v>
      </c>
      <c r="BI145" s="15" t="s">
        <v>437</v>
      </c>
      <c r="BJ145" s="16" t="s">
        <v>437</v>
      </c>
      <c r="BK145" s="15" t="s">
        <v>437</v>
      </c>
      <c r="BL145" s="15" t="s">
        <v>437</v>
      </c>
      <c r="BM145" s="15" t="s">
        <v>437</v>
      </c>
      <c r="BN145" s="16" t="s">
        <v>437</v>
      </c>
      <c r="BP145" s="18" t="s">
        <v>437</v>
      </c>
      <c r="BQ145" s="15" t="s">
        <v>437</v>
      </c>
      <c r="BR145" s="15" t="s">
        <v>437</v>
      </c>
      <c r="BS145" s="16" t="s">
        <v>437</v>
      </c>
      <c r="BU145" s="18" t="s">
        <v>437</v>
      </c>
      <c r="BV145" s="15" t="s">
        <v>437</v>
      </c>
      <c r="BW145" s="15" t="s">
        <v>437</v>
      </c>
      <c r="BX145" s="16" t="s">
        <v>437</v>
      </c>
      <c r="BZ145" s="18" t="s">
        <v>437</v>
      </c>
      <c r="CA145" s="15" t="s">
        <v>437</v>
      </c>
      <c r="CB145" s="15" t="s">
        <v>437</v>
      </c>
      <c r="CC145" s="16" t="s">
        <v>437</v>
      </c>
    </row>
    <row r="146" spans="2:81" ht="18" customHeight="1" x14ac:dyDescent="0.2">
      <c r="B146" s="8">
        <f>garage!B146</f>
        <v>146</v>
      </c>
      <c r="C146" s="8">
        <f>garage!C146</f>
        <v>4</v>
      </c>
      <c r="D146" s="8">
        <f>garage!D146</f>
        <v>25</v>
      </c>
      <c r="E146" s="8">
        <f>garage!E146</f>
        <v>16</v>
      </c>
      <c r="F146" s="8" t="str">
        <f>garage!F146</f>
        <v>--</v>
      </c>
      <c r="G146" s="8" t="str">
        <f>garage!G146</f>
        <v>O</v>
      </c>
      <c r="H146" s="8" t="str">
        <f>garage!H146</f>
        <v>N</v>
      </c>
      <c r="I146" s="8" t="str">
        <f>garage!I146</f>
        <v>N</v>
      </c>
      <c r="J146" s="8" t="str">
        <f>garage!J146</f>
        <v>N</v>
      </c>
      <c r="K146" s="8" t="str">
        <f>garage!K146</f>
        <v>A</v>
      </c>
      <c r="L146" s="9" t="str">
        <f>garage!L146</f>
        <v>Citroen</v>
      </c>
      <c r="M146" s="9" t="str">
        <f>garage!M146</f>
        <v>GT by Citroen</v>
      </c>
      <c r="O146" s="17" t="s">
        <v>437</v>
      </c>
      <c r="P146" s="13" t="s">
        <v>437</v>
      </c>
      <c r="Q146" s="13" t="s">
        <v>437</v>
      </c>
      <c r="R146" s="14" t="s">
        <v>437</v>
      </c>
      <c r="S146" s="13" t="s">
        <v>437</v>
      </c>
      <c r="T146" s="13" t="s">
        <v>437</v>
      </c>
      <c r="U146" s="13" t="s">
        <v>437</v>
      </c>
      <c r="V146" s="14" t="s">
        <v>437</v>
      </c>
      <c r="W146" s="13" t="s">
        <v>437</v>
      </c>
      <c r="X146" s="13" t="s">
        <v>437</v>
      </c>
      <c r="Y146" s="13" t="s">
        <v>437</v>
      </c>
      <c r="Z146" s="14" t="s">
        <v>437</v>
      </c>
      <c r="AA146" s="13" t="s">
        <v>437</v>
      </c>
      <c r="AB146" s="13" t="s">
        <v>437</v>
      </c>
      <c r="AC146" s="13" t="s">
        <v>437</v>
      </c>
      <c r="AD146" s="14" t="s">
        <v>437</v>
      </c>
      <c r="AE146" s="13" t="s">
        <v>437</v>
      </c>
      <c r="AF146" s="13" t="s">
        <v>437</v>
      </c>
      <c r="AG146" s="13" t="s">
        <v>437</v>
      </c>
      <c r="AH146" s="14" t="s">
        <v>437</v>
      </c>
      <c r="AI146" s="13" t="s">
        <v>437</v>
      </c>
      <c r="AJ146" s="13" t="s">
        <v>437</v>
      </c>
      <c r="AK146" s="13" t="s">
        <v>437</v>
      </c>
      <c r="AL146" s="14" t="s">
        <v>437</v>
      </c>
      <c r="AM146" s="13" t="s">
        <v>437</v>
      </c>
      <c r="AN146" s="13" t="s">
        <v>437</v>
      </c>
      <c r="AO146" s="13" t="s">
        <v>437</v>
      </c>
      <c r="AP146" s="14" t="s">
        <v>437</v>
      </c>
      <c r="AQ146" s="13" t="s">
        <v>437</v>
      </c>
      <c r="AR146" s="13" t="s">
        <v>437</v>
      </c>
      <c r="AS146" s="13" t="s">
        <v>437</v>
      </c>
      <c r="AT146" s="14" t="s">
        <v>437</v>
      </c>
      <c r="AU146" s="13" t="s">
        <v>437</v>
      </c>
      <c r="AV146" s="13" t="s">
        <v>437</v>
      </c>
      <c r="AW146" s="13" t="s">
        <v>437</v>
      </c>
      <c r="AX146" s="14" t="s">
        <v>437</v>
      </c>
      <c r="AY146" s="13" t="s">
        <v>437</v>
      </c>
      <c r="AZ146" s="13" t="s">
        <v>437</v>
      </c>
      <c r="BA146" s="13" t="s">
        <v>437</v>
      </c>
      <c r="BB146" s="14" t="s">
        <v>437</v>
      </c>
      <c r="BC146" s="13" t="s">
        <v>437</v>
      </c>
      <c r="BD146" s="13" t="s">
        <v>437</v>
      </c>
      <c r="BE146" s="13" t="s">
        <v>437</v>
      </c>
      <c r="BF146" s="14" t="s">
        <v>437</v>
      </c>
      <c r="BG146" s="13" t="s">
        <v>437</v>
      </c>
      <c r="BH146" s="13" t="s">
        <v>437</v>
      </c>
      <c r="BI146" s="13" t="s">
        <v>437</v>
      </c>
      <c r="BJ146" s="14" t="s">
        <v>437</v>
      </c>
      <c r="BK146" s="13" t="s">
        <v>437</v>
      </c>
      <c r="BL146" s="13" t="s">
        <v>437</v>
      </c>
      <c r="BM146" s="13" t="s">
        <v>437</v>
      </c>
      <c r="BN146" s="14" t="s">
        <v>437</v>
      </c>
      <c r="BP146" s="17" t="s">
        <v>437</v>
      </c>
      <c r="BQ146" s="13" t="s">
        <v>437</v>
      </c>
      <c r="BR146" s="13" t="s">
        <v>437</v>
      </c>
      <c r="BS146" s="14" t="s">
        <v>437</v>
      </c>
      <c r="BU146" s="17" t="s">
        <v>437</v>
      </c>
      <c r="BV146" s="13" t="s">
        <v>437</v>
      </c>
      <c r="BW146" s="13" t="s">
        <v>437</v>
      </c>
      <c r="BX146" s="14" t="s">
        <v>437</v>
      </c>
      <c r="BZ146" s="17" t="s">
        <v>437</v>
      </c>
      <c r="CA146" s="13" t="s">
        <v>437</v>
      </c>
      <c r="CB146" s="13" t="s">
        <v>437</v>
      </c>
      <c r="CC146" s="14" t="s">
        <v>437</v>
      </c>
    </row>
    <row r="147" spans="2:81" ht="18" customHeight="1" x14ac:dyDescent="0.2">
      <c r="B147" s="10">
        <f>garage!B147</f>
        <v>147</v>
      </c>
      <c r="C147" s="10">
        <f>garage!C147</f>
        <v>4</v>
      </c>
      <c r="D147" s="10">
        <f>garage!D147</f>
        <v>26</v>
      </c>
      <c r="E147" s="10">
        <f>garage!E147</f>
        <v>19</v>
      </c>
      <c r="F147" s="10" t="str">
        <f>garage!F147</f>
        <v>AM</v>
      </c>
      <c r="G147" s="10" t="str">
        <f>garage!G147</f>
        <v>O</v>
      </c>
      <c r="H147" s="10" t="str">
        <f>garage!H147</f>
        <v>N</v>
      </c>
      <c r="I147" s="10" t="str">
        <f>garage!I147</f>
        <v>N</v>
      </c>
      <c r="J147" s="10" t="str">
        <f>garage!J147</f>
        <v>N</v>
      </c>
      <c r="K147" s="10" t="str">
        <f>garage!K147</f>
        <v>A</v>
      </c>
      <c r="L147" s="11" t="str">
        <f>garage!L147</f>
        <v>Aston Martin</v>
      </c>
      <c r="M147" s="11" t="str">
        <f>garage!M147</f>
        <v>Victor</v>
      </c>
      <c r="O147" s="18" t="s">
        <v>437</v>
      </c>
      <c r="P147" s="15" t="s">
        <v>437</v>
      </c>
      <c r="Q147" s="15" t="s">
        <v>437</v>
      </c>
      <c r="R147" s="16" t="s">
        <v>437</v>
      </c>
      <c r="S147" s="15" t="s">
        <v>437</v>
      </c>
      <c r="T147" s="15" t="s">
        <v>437</v>
      </c>
      <c r="U147" s="15" t="s">
        <v>437</v>
      </c>
      <c r="V147" s="16" t="s">
        <v>437</v>
      </c>
      <c r="W147" s="15" t="s">
        <v>437</v>
      </c>
      <c r="X147" s="15" t="s">
        <v>437</v>
      </c>
      <c r="Y147" s="15" t="s">
        <v>437</v>
      </c>
      <c r="Z147" s="16" t="s">
        <v>437</v>
      </c>
      <c r="AA147" s="15" t="s">
        <v>437</v>
      </c>
      <c r="AB147" s="15" t="s">
        <v>437</v>
      </c>
      <c r="AC147" s="15" t="s">
        <v>437</v>
      </c>
      <c r="AD147" s="16" t="s">
        <v>437</v>
      </c>
      <c r="AE147" s="15" t="s">
        <v>437</v>
      </c>
      <c r="AF147" s="15" t="s">
        <v>437</v>
      </c>
      <c r="AG147" s="15" t="s">
        <v>437</v>
      </c>
      <c r="AH147" s="16" t="s">
        <v>437</v>
      </c>
      <c r="AI147" s="15" t="s">
        <v>437</v>
      </c>
      <c r="AJ147" s="15" t="s">
        <v>437</v>
      </c>
      <c r="AK147" s="15" t="s">
        <v>437</v>
      </c>
      <c r="AL147" s="16" t="s">
        <v>437</v>
      </c>
      <c r="AM147" s="15" t="s">
        <v>437</v>
      </c>
      <c r="AN147" s="15" t="s">
        <v>437</v>
      </c>
      <c r="AO147" s="15" t="s">
        <v>437</v>
      </c>
      <c r="AP147" s="16" t="s">
        <v>437</v>
      </c>
      <c r="AQ147" s="15" t="s">
        <v>437</v>
      </c>
      <c r="AR147" s="15" t="s">
        <v>437</v>
      </c>
      <c r="AS147" s="15" t="s">
        <v>437</v>
      </c>
      <c r="AT147" s="16" t="s">
        <v>437</v>
      </c>
      <c r="AU147" s="15" t="s">
        <v>437</v>
      </c>
      <c r="AV147" s="15" t="s">
        <v>437</v>
      </c>
      <c r="AW147" s="15" t="s">
        <v>437</v>
      </c>
      <c r="AX147" s="16" t="s">
        <v>437</v>
      </c>
      <c r="AY147" s="15" t="s">
        <v>437</v>
      </c>
      <c r="AZ147" s="15" t="s">
        <v>437</v>
      </c>
      <c r="BA147" s="15" t="s">
        <v>437</v>
      </c>
      <c r="BB147" s="16" t="s">
        <v>437</v>
      </c>
      <c r="BC147" s="15" t="s">
        <v>437</v>
      </c>
      <c r="BD147" s="15" t="s">
        <v>437</v>
      </c>
      <c r="BE147" s="15" t="s">
        <v>437</v>
      </c>
      <c r="BF147" s="16" t="s">
        <v>437</v>
      </c>
      <c r="BG147" s="15" t="s">
        <v>437</v>
      </c>
      <c r="BH147" s="15" t="s">
        <v>437</v>
      </c>
      <c r="BI147" s="15" t="s">
        <v>437</v>
      </c>
      <c r="BJ147" s="16" t="s">
        <v>437</v>
      </c>
      <c r="BK147" s="15" t="s">
        <v>437</v>
      </c>
      <c r="BL147" s="15" t="s">
        <v>437</v>
      </c>
      <c r="BM147" s="15" t="s">
        <v>437</v>
      </c>
      <c r="BN147" s="16" t="s">
        <v>437</v>
      </c>
      <c r="BP147" s="18" t="s">
        <v>437</v>
      </c>
      <c r="BQ147" s="15" t="s">
        <v>437</v>
      </c>
      <c r="BR147" s="15" t="s">
        <v>437</v>
      </c>
      <c r="BS147" s="16" t="s">
        <v>437</v>
      </c>
      <c r="BU147" s="18" t="s">
        <v>437</v>
      </c>
      <c r="BV147" s="15" t="s">
        <v>437</v>
      </c>
      <c r="BW147" s="15" t="s">
        <v>437</v>
      </c>
      <c r="BX147" s="16" t="s">
        <v>437</v>
      </c>
      <c r="BZ147" s="18" t="s">
        <v>437</v>
      </c>
      <c r="CA147" s="15" t="s">
        <v>437</v>
      </c>
      <c r="CB147" s="15" t="s">
        <v>437</v>
      </c>
      <c r="CC147" s="16" t="s">
        <v>437</v>
      </c>
    </row>
    <row r="148" spans="2:81" ht="18" customHeight="1" x14ac:dyDescent="0.2">
      <c r="B148" s="8">
        <f>garage!B148</f>
        <v>148</v>
      </c>
      <c r="C148" s="8">
        <f>garage!C148</f>
        <v>4</v>
      </c>
      <c r="D148" s="8">
        <f>garage!D148</f>
        <v>27</v>
      </c>
      <c r="E148" s="8">
        <f>garage!E148</f>
        <v>11</v>
      </c>
      <c r="F148" s="8" t="str">
        <f>garage!F148</f>
        <v>P</v>
      </c>
      <c r="G148" s="8" t="str">
        <f>garage!G148</f>
        <v>O</v>
      </c>
      <c r="H148" s="8" t="str">
        <f>garage!H148</f>
        <v>O</v>
      </c>
      <c r="I148" s="8" t="str">
        <f>garage!I148</f>
        <v>N</v>
      </c>
      <c r="J148" s="8" t="str">
        <f>garage!J148</f>
        <v>N</v>
      </c>
      <c r="K148" s="8" t="str">
        <f>garage!K148</f>
        <v>A</v>
      </c>
      <c r="L148" s="9" t="str">
        <f>garage!L148</f>
        <v>Porsche</v>
      </c>
      <c r="M148" s="9" t="str">
        <f>garage!M148</f>
        <v>911 GT2 RS Clubsport</v>
      </c>
      <c r="O148" s="17">
        <v>1</v>
      </c>
      <c r="P148" s="13">
        <v>1</v>
      </c>
      <c r="Q148" s="13">
        <v>1</v>
      </c>
      <c r="R148" s="14">
        <v>1</v>
      </c>
      <c r="S148" s="13">
        <v>1</v>
      </c>
      <c r="T148" s="13">
        <v>1</v>
      </c>
      <c r="U148" s="13">
        <v>1</v>
      </c>
      <c r="V148" s="14">
        <v>1</v>
      </c>
      <c r="W148" s="13">
        <v>1</v>
      </c>
      <c r="X148" s="13">
        <v>1</v>
      </c>
      <c r="Y148" s="13">
        <v>1</v>
      </c>
      <c r="Z148" s="14">
        <v>1</v>
      </c>
      <c r="AA148" s="13">
        <v>1</v>
      </c>
      <c r="AB148" s="13">
        <v>1</v>
      </c>
      <c r="AC148" s="13">
        <v>1</v>
      </c>
      <c r="AD148" s="14">
        <v>1</v>
      </c>
      <c r="AE148" s="13">
        <v>1</v>
      </c>
      <c r="AF148" s="13">
        <v>1</v>
      </c>
      <c r="AG148" s="13">
        <v>1</v>
      </c>
      <c r="AH148" s="14">
        <v>1</v>
      </c>
      <c r="AI148" s="13">
        <v>1</v>
      </c>
      <c r="AJ148" s="13">
        <v>1</v>
      </c>
      <c r="AK148" s="13">
        <v>1</v>
      </c>
      <c r="AL148" s="14">
        <v>1</v>
      </c>
      <c r="AM148" s="13">
        <v>1</v>
      </c>
      <c r="AN148" s="13">
        <v>1</v>
      </c>
      <c r="AO148" s="13">
        <v>1</v>
      </c>
      <c r="AP148" s="14">
        <v>1</v>
      </c>
      <c r="AQ148" s="13">
        <v>1</v>
      </c>
      <c r="AR148" s="13">
        <v>1</v>
      </c>
      <c r="AS148" s="13">
        <v>1</v>
      </c>
      <c r="AT148" s="14">
        <v>1</v>
      </c>
      <c r="AU148" s="13">
        <v>1</v>
      </c>
      <c r="AV148" s="13">
        <v>1</v>
      </c>
      <c r="AW148" s="13">
        <v>1</v>
      </c>
      <c r="AX148" s="14">
        <v>1</v>
      </c>
      <c r="AY148" s="13">
        <v>1</v>
      </c>
      <c r="AZ148" s="13">
        <v>1</v>
      </c>
      <c r="BA148" s="13">
        <v>1</v>
      </c>
      <c r="BB148" s="14">
        <v>1</v>
      </c>
      <c r="BC148" s="13">
        <v>1</v>
      </c>
      <c r="BD148" s="13">
        <v>1</v>
      </c>
      <c r="BE148" s="13">
        <v>1</v>
      </c>
      <c r="BF148" s="14">
        <v>1</v>
      </c>
      <c r="BG148" s="13">
        <v>1</v>
      </c>
      <c r="BH148" s="13">
        <v>1</v>
      </c>
      <c r="BI148" s="13">
        <v>1</v>
      </c>
      <c r="BJ148" s="14">
        <v>1</v>
      </c>
      <c r="BK148" s="13">
        <v>1</v>
      </c>
      <c r="BL148" s="13">
        <v>1</v>
      </c>
      <c r="BM148" s="13">
        <v>1</v>
      </c>
      <c r="BN148" s="14">
        <v>1</v>
      </c>
      <c r="BP148" s="17">
        <v>6</v>
      </c>
      <c r="BQ148" s="13">
        <v>6</v>
      </c>
      <c r="BR148" s="13">
        <v>6</v>
      </c>
      <c r="BS148" s="14">
        <v>6</v>
      </c>
      <c r="BU148" s="17">
        <v>5</v>
      </c>
      <c r="BV148" s="13">
        <v>5</v>
      </c>
      <c r="BW148" s="13">
        <v>5</v>
      </c>
      <c r="BX148" s="14">
        <v>5</v>
      </c>
      <c r="BZ148" s="17">
        <v>4</v>
      </c>
      <c r="CA148" s="13">
        <v>4</v>
      </c>
      <c r="CB148" s="13">
        <v>1</v>
      </c>
      <c r="CC148" s="14">
        <v>2</v>
      </c>
    </row>
    <row r="149" spans="2:81" ht="18" customHeight="1" x14ac:dyDescent="0.2">
      <c r="B149" s="10">
        <f>garage!B149</f>
        <v>149</v>
      </c>
      <c r="C149" s="10">
        <f>garage!C149</f>
        <v>4</v>
      </c>
      <c r="D149" s="10">
        <f>garage!D149</f>
        <v>28</v>
      </c>
      <c r="E149" s="10">
        <f>garage!E149</f>
        <v>0</v>
      </c>
      <c r="F149" s="10" t="str">
        <f>garage!F149</f>
        <v>--</v>
      </c>
      <c r="G149" s="10" t="str">
        <f>garage!G149</f>
        <v>O</v>
      </c>
      <c r="H149" s="10" t="str">
        <f>garage!H149</f>
        <v>O</v>
      </c>
      <c r="I149" s="10" t="str">
        <f>garage!I149</f>
        <v>O</v>
      </c>
      <c r="J149" s="10" t="str">
        <f>garage!J149</f>
        <v>N</v>
      </c>
      <c r="K149" s="10" t="str">
        <f>garage!K149</f>
        <v>A</v>
      </c>
      <c r="L149" s="11" t="str">
        <f>garage!L149</f>
        <v>Pagani</v>
      </c>
      <c r="M149" s="11" t="str">
        <f>garage!M149</f>
        <v>Huayra BC</v>
      </c>
      <c r="O149" s="18">
        <v>1</v>
      </c>
      <c r="P149" s="15">
        <v>1</v>
      </c>
      <c r="Q149" s="15">
        <v>1</v>
      </c>
      <c r="R149" s="16">
        <v>1</v>
      </c>
      <c r="S149" s="15">
        <v>1</v>
      </c>
      <c r="T149" s="15">
        <v>1</v>
      </c>
      <c r="U149" s="15">
        <v>1</v>
      </c>
      <c r="V149" s="16">
        <v>1</v>
      </c>
      <c r="W149" s="15">
        <v>1</v>
      </c>
      <c r="X149" s="15">
        <v>1</v>
      </c>
      <c r="Y149" s="15">
        <v>1</v>
      </c>
      <c r="Z149" s="16">
        <v>1</v>
      </c>
      <c r="AA149" s="15">
        <v>1</v>
      </c>
      <c r="AB149" s="15">
        <v>1</v>
      </c>
      <c r="AC149" s="15">
        <v>1</v>
      </c>
      <c r="AD149" s="16">
        <v>1</v>
      </c>
      <c r="AE149" s="15">
        <v>1</v>
      </c>
      <c r="AF149" s="15">
        <v>1</v>
      </c>
      <c r="AG149" s="15">
        <v>1</v>
      </c>
      <c r="AH149" s="16">
        <v>1</v>
      </c>
      <c r="AI149" s="15">
        <v>1</v>
      </c>
      <c r="AJ149" s="15">
        <v>1</v>
      </c>
      <c r="AK149" s="15">
        <v>1</v>
      </c>
      <c r="AL149" s="16">
        <v>1</v>
      </c>
      <c r="AM149" s="15">
        <v>1</v>
      </c>
      <c r="AN149" s="15">
        <v>1</v>
      </c>
      <c r="AO149" s="15">
        <v>1</v>
      </c>
      <c r="AP149" s="16">
        <v>1</v>
      </c>
      <c r="AQ149" s="15">
        <v>1</v>
      </c>
      <c r="AR149" s="15">
        <v>1</v>
      </c>
      <c r="AS149" s="15">
        <v>1</v>
      </c>
      <c r="AT149" s="16">
        <v>1</v>
      </c>
      <c r="AU149" s="15">
        <v>1</v>
      </c>
      <c r="AV149" s="15">
        <v>1</v>
      </c>
      <c r="AW149" s="15">
        <v>1</v>
      </c>
      <c r="AX149" s="16">
        <v>1</v>
      </c>
      <c r="AY149" s="15">
        <v>1</v>
      </c>
      <c r="AZ149" s="15">
        <v>1</v>
      </c>
      <c r="BA149" s="15">
        <v>1</v>
      </c>
      <c r="BB149" s="16">
        <v>1</v>
      </c>
      <c r="BC149" s="15">
        <v>1</v>
      </c>
      <c r="BD149" s="15">
        <v>1</v>
      </c>
      <c r="BE149" s="15">
        <v>1</v>
      </c>
      <c r="BF149" s="16">
        <v>1</v>
      </c>
      <c r="BG149" s="15">
        <v>1</v>
      </c>
      <c r="BH149" s="15">
        <v>1</v>
      </c>
      <c r="BI149" s="15">
        <v>1</v>
      </c>
      <c r="BJ149" s="16">
        <v>1</v>
      </c>
      <c r="BK149" s="15">
        <v>1</v>
      </c>
      <c r="BL149" s="15">
        <v>1</v>
      </c>
      <c r="BM149" s="15">
        <v>1</v>
      </c>
      <c r="BN149" s="16">
        <v>1</v>
      </c>
      <c r="BP149" s="18">
        <v>6</v>
      </c>
      <c r="BQ149" s="15">
        <v>6</v>
      </c>
      <c r="BR149" s="15">
        <v>6</v>
      </c>
      <c r="BS149" s="16">
        <v>6</v>
      </c>
      <c r="BU149" s="18">
        <v>5</v>
      </c>
      <c r="BV149" s="15">
        <v>5</v>
      </c>
      <c r="BW149" s="15">
        <v>5</v>
      </c>
      <c r="BX149" s="16">
        <v>5</v>
      </c>
      <c r="BZ149" s="18">
        <v>4</v>
      </c>
      <c r="CA149" s="15">
        <v>4</v>
      </c>
      <c r="CB149" s="15">
        <v>4</v>
      </c>
      <c r="CC149" s="16">
        <v>4</v>
      </c>
    </row>
    <row r="150" spans="2:81" ht="18" hidden="1" customHeight="1" x14ac:dyDescent="0.2">
      <c r="B150" s="8">
        <f>garage!B150</f>
        <v>150</v>
      </c>
      <c r="C150" s="8">
        <f>garage!C150</f>
        <v>4</v>
      </c>
      <c r="D150" s="8">
        <f>garage!D150</f>
        <v>29</v>
      </c>
      <c r="E150" s="8">
        <f>garage!E150</f>
        <v>28</v>
      </c>
      <c r="F150" s="8" t="str">
        <f>garage!F150</f>
        <v>M</v>
      </c>
      <c r="G150" s="8" t="str">
        <f>garage!G150</f>
        <v>N</v>
      </c>
      <c r="H150" s="8" t="str">
        <f>garage!H150</f>
        <v>N</v>
      </c>
      <c r="I150" s="8" t="str">
        <f>garage!I150</f>
        <v>N</v>
      </c>
      <c r="J150" s="8" t="str">
        <f>garage!J150</f>
        <v>N</v>
      </c>
      <c r="K150" s="8" t="str">
        <f>garage!K150</f>
        <v>A</v>
      </c>
      <c r="L150" s="9" t="str">
        <f>garage!L150</f>
        <v>McLaren</v>
      </c>
      <c r="M150" s="9" t="str">
        <f>garage!M150</f>
        <v>650S GT3</v>
      </c>
      <c r="O150" s="17" t="s">
        <v>437</v>
      </c>
      <c r="P150" s="13" t="s">
        <v>437</v>
      </c>
      <c r="Q150" s="13" t="s">
        <v>437</v>
      </c>
      <c r="R150" s="14" t="s">
        <v>437</v>
      </c>
      <c r="S150" s="13" t="s">
        <v>437</v>
      </c>
      <c r="T150" s="13" t="s">
        <v>437</v>
      </c>
      <c r="U150" s="13" t="s">
        <v>437</v>
      </c>
      <c r="V150" s="14" t="s">
        <v>437</v>
      </c>
      <c r="W150" s="13" t="s">
        <v>437</v>
      </c>
      <c r="X150" s="13" t="s">
        <v>437</v>
      </c>
      <c r="Y150" s="13" t="s">
        <v>437</v>
      </c>
      <c r="Z150" s="14" t="s">
        <v>437</v>
      </c>
      <c r="AA150" s="13" t="s">
        <v>437</v>
      </c>
      <c r="AB150" s="13" t="s">
        <v>437</v>
      </c>
      <c r="AC150" s="13" t="s">
        <v>437</v>
      </c>
      <c r="AD150" s="14" t="s">
        <v>437</v>
      </c>
      <c r="AE150" s="13" t="s">
        <v>437</v>
      </c>
      <c r="AF150" s="13" t="s">
        <v>437</v>
      </c>
      <c r="AG150" s="13" t="s">
        <v>437</v>
      </c>
      <c r="AH150" s="14" t="s">
        <v>437</v>
      </c>
      <c r="AI150" s="13" t="s">
        <v>437</v>
      </c>
      <c r="AJ150" s="13" t="s">
        <v>437</v>
      </c>
      <c r="AK150" s="13" t="s">
        <v>437</v>
      </c>
      <c r="AL150" s="14" t="s">
        <v>437</v>
      </c>
      <c r="AM150" s="13" t="s">
        <v>437</v>
      </c>
      <c r="AN150" s="13" t="s">
        <v>437</v>
      </c>
      <c r="AO150" s="13" t="s">
        <v>437</v>
      </c>
      <c r="AP150" s="14" t="s">
        <v>437</v>
      </c>
      <c r="AQ150" s="13" t="s">
        <v>437</v>
      </c>
      <c r="AR150" s="13" t="s">
        <v>437</v>
      </c>
      <c r="AS150" s="13" t="s">
        <v>437</v>
      </c>
      <c r="AT150" s="14" t="s">
        <v>437</v>
      </c>
      <c r="AU150" s="13" t="s">
        <v>437</v>
      </c>
      <c r="AV150" s="13" t="s">
        <v>437</v>
      </c>
      <c r="AW150" s="13" t="s">
        <v>437</v>
      </c>
      <c r="AX150" s="14" t="s">
        <v>437</v>
      </c>
      <c r="AY150" s="13" t="s">
        <v>437</v>
      </c>
      <c r="AZ150" s="13" t="s">
        <v>437</v>
      </c>
      <c r="BA150" s="13" t="s">
        <v>437</v>
      </c>
      <c r="BB150" s="14" t="s">
        <v>437</v>
      </c>
      <c r="BC150" s="13" t="s">
        <v>437</v>
      </c>
      <c r="BD150" s="13" t="s">
        <v>437</v>
      </c>
      <c r="BE150" s="13" t="s">
        <v>437</v>
      </c>
      <c r="BF150" s="14" t="s">
        <v>437</v>
      </c>
      <c r="BG150" s="13" t="s">
        <v>437</v>
      </c>
      <c r="BH150" s="13" t="s">
        <v>437</v>
      </c>
      <c r="BI150" s="13" t="s">
        <v>437</v>
      </c>
      <c r="BJ150" s="14" t="s">
        <v>437</v>
      </c>
      <c r="BK150" s="13" t="s">
        <v>437</v>
      </c>
      <c r="BL150" s="13" t="s">
        <v>437</v>
      </c>
      <c r="BM150" s="13" t="s">
        <v>437</v>
      </c>
      <c r="BN150" s="14" t="s">
        <v>437</v>
      </c>
      <c r="BP150" s="17" t="s">
        <v>437</v>
      </c>
      <c r="BQ150" s="13" t="s">
        <v>437</v>
      </c>
      <c r="BR150" s="13" t="s">
        <v>437</v>
      </c>
      <c r="BS150" s="14" t="s">
        <v>437</v>
      </c>
      <c r="BU150" s="17" t="s">
        <v>437</v>
      </c>
      <c r="BV150" s="13" t="s">
        <v>437</v>
      </c>
      <c r="BW150" s="13" t="s">
        <v>437</v>
      </c>
      <c r="BX150" s="14" t="s">
        <v>437</v>
      </c>
      <c r="BZ150" s="17" t="s">
        <v>437</v>
      </c>
      <c r="CA150" s="13" t="s">
        <v>437</v>
      </c>
      <c r="CB150" s="13" t="s">
        <v>437</v>
      </c>
      <c r="CC150" s="14" t="s">
        <v>437</v>
      </c>
    </row>
    <row r="151" spans="2:81" ht="18" customHeight="1" x14ac:dyDescent="0.2">
      <c r="B151" s="10">
        <f>garage!B151</f>
        <v>151</v>
      </c>
      <c r="C151" s="10">
        <f>garage!C151</f>
        <v>4</v>
      </c>
      <c r="D151" s="10">
        <f>garage!D151</f>
        <v>30</v>
      </c>
      <c r="E151" s="10">
        <f>garage!E151</f>
        <v>12</v>
      </c>
      <c r="F151" s="10" t="str">
        <f>garage!F151</f>
        <v>L</v>
      </c>
      <c r="G151" s="10" t="str">
        <f>garage!G151</f>
        <v>O</v>
      </c>
      <c r="H151" s="10" t="str">
        <f>garage!H151</f>
        <v>N</v>
      </c>
      <c r="I151" s="10" t="str">
        <f>garage!I151</f>
        <v>N</v>
      </c>
      <c r="J151" s="10" t="str">
        <f>garage!J151</f>
        <v>N</v>
      </c>
      <c r="K151" s="10" t="str">
        <f>garage!K151</f>
        <v>A</v>
      </c>
      <c r="L151" s="11" t="str">
        <f>garage!L151</f>
        <v>Lamborghini</v>
      </c>
      <c r="M151" s="11" t="str">
        <f>garage!M151</f>
        <v>SC18</v>
      </c>
      <c r="O151" s="18" t="s">
        <v>437</v>
      </c>
      <c r="P151" s="15" t="s">
        <v>437</v>
      </c>
      <c r="Q151" s="15" t="s">
        <v>437</v>
      </c>
      <c r="R151" s="16" t="s">
        <v>437</v>
      </c>
      <c r="S151" s="15" t="s">
        <v>437</v>
      </c>
      <c r="T151" s="15" t="s">
        <v>437</v>
      </c>
      <c r="U151" s="15" t="s">
        <v>437</v>
      </c>
      <c r="V151" s="16" t="s">
        <v>437</v>
      </c>
      <c r="W151" s="15" t="s">
        <v>437</v>
      </c>
      <c r="X151" s="15" t="s">
        <v>437</v>
      </c>
      <c r="Y151" s="15" t="s">
        <v>437</v>
      </c>
      <c r="Z151" s="16" t="s">
        <v>437</v>
      </c>
      <c r="AA151" s="15" t="s">
        <v>437</v>
      </c>
      <c r="AB151" s="15" t="s">
        <v>437</v>
      </c>
      <c r="AC151" s="15" t="s">
        <v>437</v>
      </c>
      <c r="AD151" s="16" t="s">
        <v>437</v>
      </c>
      <c r="AE151" s="15" t="s">
        <v>437</v>
      </c>
      <c r="AF151" s="15" t="s">
        <v>437</v>
      </c>
      <c r="AG151" s="15" t="s">
        <v>437</v>
      </c>
      <c r="AH151" s="16" t="s">
        <v>437</v>
      </c>
      <c r="AI151" s="15" t="s">
        <v>437</v>
      </c>
      <c r="AJ151" s="15" t="s">
        <v>437</v>
      </c>
      <c r="AK151" s="15" t="s">
        <v>437</v>
      </c>
      <c r="AL151" s="16" t="s">
        <v>437</v>
      </c>
      <c r="AM151" s="15" t="s">
        <v>437</v>
      </c>
      <c r="AN151" s="15" t="s">
        <v>437</v>
      </c>
      <c r="AO151" s="15" t="s">
        <v>437</v>
      </c>
      <c r="AP151" s="16" t="s">
        <v>437</v>
      </c>
      <c r="AQ151" s="15" t="s">
        <v>437</v>
      </c>
      <c r="AR151" s="15" t="s">
        <v>437</v>
      </c>
      <c r="AS151" s="15" t="s">
        <v>437</v>
      </c>
      <c r="AT151" s="16" t="s">
        <v>437</v>
      </c>
      <c r="AU151" s="15" t="s">
        <v>437</v>
      </c>
      <c r="AV151" s="15" t="s">
        <v>437</v>
      </c>
      <c r="AW151" s="15" t="s">
        <v>437</v>
      </c>
      <c r="AX151" s="16" t="s">
        <v>437</v>
      </c>
      <c r="AY151" s="15" t="s">
        <v>437</v>
      </c>
      <c r="AZ151" s="15" t="s">
        <v>437</v>
      </c>
      <c r="BA151" s="15" t="s">
        <v>437</v>
      </c>
      <c r="BB151" s="16" t="s">
        <v>437</v>
      </c>
      <c r="BC151" s="15" t="s">
        <v>437</v>
      </c>
      <c r="BD151" s="15" t="s">
        <v>437</v>
      </c>
      <c r="BE151" s="15" t="s">
        <v>437</v>
      </c>
      <c r="BF151" s="16" t="s">
        <v>437</v>
      </c>
      <c r="BG151" s="15" t="s">
        <v>437</v>
      </c>
      <c r="BH151" s="15" t="s">
        <v>437</v>
      </c>
      <c r="BI151" s="15" t="s">
        <v>437</v>
      </c>
      <c r="BJ151" s="16" t="s">
        <v>437</v>
      </c>
      <c r="BK151" s="15" t="s">
        <v>437</v>
      </c>
      <c r="BL151" s="15" t="s">
        <v>437</v>
      </c>
      <c r="BM151" s="15" t="s">
        <v>437</v>
      </c>
      <c r="BN151" s="16" t="s">
        <v>437</v>
      </c>
      <c r="BP151" s="18" t="s">
        <v>437</v>
      </c>
      <c r="BQ151" s="15" t="s">
        <v>437</v>
      </c>
      <c r="BR151" s="15" t="s">
        <v>437</v>
      </c>
      <c r="BS151" s="16" t="s">
        <v>437</v>
      </c>
      <c r="BU151" s="18" t="s">
        <v>437</v>
      </c>
      <c r="BV151" s="15" t="s">
        <v>437</v>
      </c>
      <c r="BW151" s="15" t="s">
        <v>437</v>
      </c>
      <c r="BX151" s="16" t="s">
        <v>437</v>
      </c>
      <c r="BZ151" s="18" t="s">
        <v>437</v>
      </c>
      <c r="CA151" s="15" t="s">
        <v>437</v>
      </c>
      <c r="CB151" s="15" t="s">
        <v>437</v>
      </c>
      <c r="CC151" s="16" t="s">
        <v>437</v>
      </c>
    </row>
    <row r="152" spans="2:81" ht="18" customHeight="1" x14ac:dyDescent="0.2">
      <c r="B152" s="8">
        <f>garage!B152</f>
        <v>152</v>
      </c>
      <c r="C152" s="8">
        <f>garage!C152</f>
        <v>4</v>
      </c>
      <c r="D152" s="8">
        <f>garage!D152</f>
        <v>31</v>
      </c>
      <c r="E152" s="8">
        <f>garage!E152</f>
        <v>6</v>
      </c>
      <c r="F152" s="8" t="str">
        <f>garage!F152</f>
        <v>F</v>
      </c>
      <c r="G152" s="8" t="str">
        <f>garage!G152</f>
        <v>O</v>
      </c>
      <c r="H152" s="8" t="str">
        <f>garage!H152</f>
        <v>O</v>
      </c>
      <c r="I152" s="8" t="str">
        <f>garage!I152</f>
        <v>O</v>
      </c>
      <c r="J152" s="8" t="str">
        <f>garage!J152</f>
        <v>N</v>
      </c>
      <c r="K152" s="8" t="str">
        <f>garage!K152</f>
        <v>A</v>
      </c>
      <c r="L152" s="9" t="str">
        <f>garage!L152</f>
        <v>Ferrari</v>
      </c>
      <c r="M152" s="9" t="str">
        <f>garage!M152</f>
        <v>LaFerrari Aperta</v>
      </c>
      <c r="O152" s="17">
        <v>1</v>
      </c>
      <c r="P152" s="13">
        <v>1</v>
      </c>
      <c r="Q152" s="13">
        <v>1</v>
      </c>
      <c r="R152" s="14">
        <v>1</v>
      </c>
      <c r="S152" s="13">
        <v>1</v>
      </c>
      <c r="T152" s="13">
        <v>1</v>
      </c>
      <c r="U152" s="13">
        <v>1</v>
      </c>
      <c r="V152" s="14">
        <v>1</v>
      </c>
      <c r="W152" s="13">
        <v>1</v>
      </c>
      <c r="X152" s="13">
        <v>1</v>
      </c>
      <c r="Y152" s="13">
        <v>1</v>
      </c>
      <c r="Z152" s="14">
        <v>1</v>
      </c>
      <c r="AA152" s="13">
        <v>1</v>
      </c>
      <c r="AB152" s="13">
        <v>1</v>
      </c>
      <c r="AC152" s="13">
        <v>1</v>
      </c>
      <c r="AD152" s="14">
        <v>1</v>
      </c>
      <c r="AE152" s="13">
        <v>1</v>
      </c>
      <c r="AF152" s="13">
        <v>1</v>
      </c>
      <c r="AG152" s="13">
        <v>1</v>
      </c>
      <c r="AH152" s="14">
        <v>1</v>
      </c>
      <c r="AI152" s="13">
        <v>1</v>
      </c>
      <c r="AJ152" s="13">
        <v>1</v>
      </c>
      <c r="AK152" s="13">
        <v>1</v>
      </c>
      <c r="AL152" s="14">
        <v>1</v>
      </c>
      <c r="AM152" s="13">
        <v>1</v>
      </c>
      <c r="AN152" s="13">
        <v>1</v>
      </c>
      <c r="AO152" s="13">
        <v>1</v>
      </c>
      <c r="AP152" s="14">
        <v>1</v>
      </c>
      <c r="AQ152" s="13">
        <v>1</v>
      </c>
      <c r="AR152" s="13">
        <v>1</v>
      </c>
      <c r="AS152" s="13">
        <v>1</v>
      </c>
      <c r="AT152" s="14">
        <v>1</v>
      </c>
      <c r="AU152" s="13">
        <v>1</v>
      </c>
      <c r="AV152" s="13">
        <v>1</v>
      </c>
      <c r="AW152" s="13">
        <v>1</v>
      </c>
      <c r="AX152" s="14">
        <v>1</v>
      </c>
      <c r="AY152" s="13">
        <v>1</v>
      </c>
      <c r="AZ152" s="13">
        <v>1</v>
      </c>
      <c r="BA152" s="13">
        <v>1</v>
      </c>
      <c r="BB152" s="14">
        <v>1</v>
      </c>
      <c r="BC152" s="13">
        <v>1</v>
      </c>
      <c r="BD152" s="13">
        <v>1</v>
      </c>
      <c r="BE152" s="13">
        <v>1</v>
      </c>
      <c r="BF152" s="14">
        <v>1</v>
      </c>
      <c r="BG152" s="13">
        <v>1</v>
      </c>
      <c r="BH152" s="13">
        <v>1</v>
      </c>
      <c r="BI152" s="13">
        <v>1</v>
      </c>
      <c r="BJ152" s="14">
        <v>1</v>
      </c>
      <c r="BK152" s="13">
        <v>1</v>
      </c>
      <c r="BL152" s="13">
        <v>1</v>
      </c>
      <c r="BM152" s="13">
        <v>1</v>
      </c>
      <c r="BN152" s="14">
        <v>1</v>
      </c>
      <c r="BP152" s="17">
        <v>6</v>
      </c>
      <c r="BQ152" s="13">
        <v>6</v>
      </c>
      <c r="BR152" s="13">
        <v>6</v>
      </c>
      <c r="BS152" s="14">
        <v>6</v>
      </c>
      <c r="BU152" s="17">
        <v>5</v>
      </c>
      <c r="BV152" s="13">
        <v>5</v>
      </c>
      <c r="BW152" s="13">
        <v>5</v>
      </c>
      <c r="BX152" s="14">
        <v>5</v>
      </c>
      <c r="BZ152" s="17">
        <v>4</v>
      </c>
      <c r="CA152" s="13">
        <v>4</v>
      </c>
      <c r="CB152" s="13">
        <v>4</v>
      </c>
      <c r="CC152" s="14">
        <v>4</v>
      </c>
    </row>
    <row r="153" spans="2:81" ht="18" hidden="1" customHeight="1" x14ac:dyDescent="0.2">
      <c r="B153" s="10">
        <f>garage!B153</f>
        <v>153</v>
      </c>
      <c r="C153" s="10">
        <f>garage!C153</f>
        <v>4</v>
      </c>
      <c r="D153" s="10">
        <f>garage!D153</f>
        <v>32</v>
      </c>
      <c r="E153" s="10">
        <f>garage!E153</f>
        <v>15</v>
      </c>
      <c r="F153" s="10" t="str">
        <f>garage!F153</f>
        <v>F</v>
      </c>
      <c r="G153" s="10" t="str">
        <f>garage!G153</f>
        <v>N</v>
      </c>
      <c r="H153" s="10" t="str">
        <f>garage!H153</f>
        <v>N</v>
      </c>
      <c r="I153" s="10" t="str">
        <f>garage!I153</f>
        <v>N</v>
      </c>
      <c r="J153" s="10" t="str">
        <f>garage!J153</f>
        <v>N</v>
      </c>
      <c r="K153" s="10" t="str">
        <f>garage!K153</f>
        <v>A</v>
      </c>
      <c r="L153" s="11" t="str">
        <f>garage!L153</f>
        <v>Ferrari</v>
      </c>
      <c r="M153" s="11" t="str">
        <f>garage!M153</f>
        <v>F8 Tributo</v>
      </c>
      <c r="O153" s="18" t="s">
        <v>437</v>
      </c>
      <c r="P153" s="15" t="s">
        <v>437</v>
      </c>
      <c r="Q153" s="15" t="s">
        <v>437</v>
      </c>
      <c r="R153" s="16" t="s">
        <v>437</v>
      </c>
      <c r="S153" s="15" t="s">
        <v>437</v>
      </c>
      <c r="T153" s="15" t="s">
        <v>437</v>
      </c>
      <c r="U153" s="15" t="s">
        <v>437</v>
      </c>
      <c r="V153" s="16" t="s">
        <v>437</v>
      </c>
      <c r="W153" s="15" t="s">
        <v>437</v>
      </c>
      <c r="X153" s="15" t="s">
        <v>437</v>
      </c>
      <c r="Y153" s="15" t="s">
        <v>437</v>
      </c>
      <c r="Z153" s="16" t="s">
        <v>437</v>
      </c>
      <c r="AA153" s="15" t="s">
        <v>437</v>
      </c>
      <c r="AB153" s="15" t="s">
        <v>437</v>
      </c>
      <c r="AC153" s="15" t="s">
        <v>437</v>
      </c>
      <c r="AD153" s="16" t="s">
        <v>437</v>
      </c>
      <c r="AE153" s="15" t="s">
        <v>437</v>
      </c>
      <c r="AF153" s="15" t="s">
        <v>437</v>
      </c>
      <c r="AG153" s="15" t="s">
        <v>437</v>
      </c>
      <c r="AH153" s="16" t="s">
        <v>437</v>
      </c>
      <c r="AI153" s="15" t="s">
        <v>437</v>
      </c>
      <c r="AJ153" s="15" t="s">
        <v>437</v>
      </c>
      <c r="AK153" s="15" t="s">
        <v>437</v>
      </c>
      <c r="AL153" s="16" t="s">
        <v>437</v>
      </c>
      <c r="AM153" s="15" t="s">
        <v>437</v>
      </c>
      <c r="AN153" s="15" t="s">
        <v>437</v>
      </c>
      <c r="AO153" s="15" t="s">
        <v>437</v>
      </c>
      <c r="AP153" s="16" t="s">
        <v>437</v>
      </c>
      <c r="AQ153" s="15" t="s">
        <v>437</v>
      </c>
      <c r="AR153" s="15" t="s">
        <v>437</v>
      </c>
      <c r="AS153" s="15" t="s">
        <v>437</v>
      </c>
      <c r="AT153" s="16" t="s">
        <v>437</v>
      </c>
      <c r="AU153" s="15" t="s">
        <v>437</v>
      </c>
      <c r="AV153" s="15" t="s">
        <v>437</v>
      </c>
      <c r="AW153" s="15" t="s">
        <v>437</v>
      </c>
      <c r="AX153" s="16" t="s">
        <v>437</v>
      </c>
      <c r="AY153" s="15" t="s">
        <v>437</v>
      </c>
      <c r="AZ153" s="15" t="s">
        <v>437</v>
      </c>
      <c r="BA153" s="15" t="s">
        <v>437</v>
      </c>
      <c r="BB153" s="16" t="s">
        <v>437</v>
      </c>
      <c r="BC153" s="15" t="s">
        <v>437</v>
      </c>
      <c r="BD153" s="15" t="s">
        <v>437</v>
      </c>
      <c r="BE153" s="15" t="s">
        <v>437</v>
      </c>
      <c r="BF153" s="16" t="s">
        <v>437</v>
      </c>
      <c r="BG153" s="15" t="s">
        <v>437</v>
      </c>
      <c r="BH153" s="15" t="s">
        <v>437</v>
      </c>
      <c r="BI153" s="15" t="s">
        <v>437</v>
      </c>
      <c r="BJ153" s="16" t="s">
        <v>437</v>
      </c>
      <c r="BK153" s="15" t="s">
        <v>437</v>
      </c>
      <c r="BL153" s="15" t="s">
        <v>437</v>
      </c>
      <c r="BM153" s="15" t="s">
        <v>437</v>
      </c>
      <c r="BN153" s="16" t="s">
        <v>437</v>
      </c>
      <c r="BP153" s="18" t="s">
        <v>437</v>
      </c>
      <c r="BQ153" s="15" t="s">
        <v>437</v>
      </c>
      <c r="BR153" s="15" t="s">
        <v>437</v>
      </c>
      <c r="BS153" s="16" t="s">
        <v>437</v>
      </c>
      <c r="BU153" s="18" t="s">
        <v>437</v>
      </c>
      <c r="BV153" s="15" t="s">
        <v>437</v>
      </c>
      <c r="BW153" s="15" t="s">
        <v>437</v>
      </c>
      <c r="BX153" s="16" t="s">
        <v>437</v>
      </c>
      <c r="BZ153" s="18" t="s">
        <v>437</v>
      </c>
      <c r="CA153" s="15" t="s">
        <v>437</v>
      </c>
      <c r="CB153" s="15" t="s">
        <v>437</v>
      </c>
      <c r="CC153" s="16" t="s">
        <v>437</v>
      </c>
    </row>
    <row r="154" spans="2:81" ht="18" hidden="1" customHeight="1" x14ac:dyDescent="0.2">
      <c r="B154" s="8">
        <f>garage!B154</f>
        <v>154</v>
      </c>
      <c r="C154" s="8">
        <f>garage!C154</f>
        <v>4</v>
      </c>
      <c r="D154" s="8">
        <f>garage!D154</f>
        <v>33</v>
      </c>
      <c r="E154" s="8">
        <f>garage!E154</f>
        <v>20</v>
      </c>
      <c r="F154" s="8" t="str">
        <f>garage!F154</f>
        <v>L</v>
      </c>
      <c r="G154" s="8" t="str">
        <f>garage!G154</f>
        <v>N</v>
      </c>
      <c r="H154" s="8" t="str">
        <f>garage!H154</f>
        <v>N</v>
      </c>
      <c r="I154" s="8" t="str">
        <f>garage!I154</f>
        <v>N</v>
      </c>
      <c r="J154" s="8" t="str">
        <f>garage!J154</f>
        <v>N</v>
      </c>
      <c r="K154" s="8" t="str">
        <f>garage!K154</f>
        <v>A</v>
      </c>
      <c r="L154" s="9" t="str">
        <f>garage!L154</f>
        <v>Lamborghini</v>
      </c>
      <c r="M154" s="9" t="str">
        <f>garage!M154</f>
        <v>SC20</v>
      </c>
      <c r="O154" s="17">
        <v>1</v>
      </c>
      <c r="P154" s="13">
        <v>1</v>
      </c>
      <c r="Q154" s="13">
        <v>1</v>
      </c>
      <c r="R154" s="14">
        <v>1</v>
      </c>
      <c r="S154" s="13">
        <v>1</v>
      </c>
      <c r="T154" s="13">
        <v>1</v>
      </c>
      <c r="U154" s="13">
        <v>1</v>
      </c>
      <c r="V154" s="14">
        <v>1</v>
      </c>
      <c r="W154" s="13">
        <v>1</v>
      </c>
      <c r="X154" s="13">
        <v>1</v>
      </c>
      <c r="Y154" s="13">
        <v>1</v>
      </c>
      <c r="Z154" s="14">
        <v>1</v>
      </c>
      <c r="AA154" s="13">
        <v>1</v>
      </c>
      <c r="AB154" s="13">
        <v>1</v>
      </c>
      <c r="AC154" s="13">
        <v>1</v>
      </c>
      <c r="AD154" s="14">
        <v>1</v>
      </c>
      <c r="AE154" s="13">
        <v>1</v>
      </c>
      <c r="AF154" s="13">
        <v>1</v>
      </c>
      <c r="AG154" s="13">
        <v>1</v>
      </c>
      <c r="AH154" s="14">
        <v>1</v>
      </c>
      <c r="AI154" s="13">
        <v>1</v>
      </c>
      <c r="AJ154" s="13">
        <v>1</v>
      </c>
      <c r="AK154" s="13">
        <v>1</v>
      </c>
      <c r="AL154" s="14">
        <v>1</v>
      </c>
      <c r="AM154" s="13" t="s">
        <v>437</v>
      </c>
      <c r="AN154" s="13" t="s">
        <v>437</v>
      </c>
      <c r="AO154" s="13" t="s">
        <v>437</v>
      </c>
      <c r="AP154" s="14" t="s">
        <v>437</v>
      </c>
      <c r="AQ154" s="13" t="s">
        <v>437</v>
      </c>
      <c r="AR154" s="13" t="s">
        <v>437</v>
      </c>
      <c r="AS154" s="13" t="s">
        <v>437</v>
      </c>
      <c r="AT154" s="14" t="s">
        <v>437</v>
      </c>
      <c r="AU154" s="13" t="s">
        <v>437</v>
      </c>
      <c r="AV154" s="13" t="s">
        <v>437</v>
      </c>
      <c r="AW154" s="13" t="s">
        <v>437</v>
      </c>
      <c r="AX154" s="14" t="s">
        <v>437</v>
      </c>
      <c r="AY154" s="13" t="s">
        <v>437</v>
      </c>
      <c r="AZ154" s="13" t="s">
        <v>437</v>
      </c>
      <c r="BA154" s="13" t="s">
        <v>437</v>
      </c>
      <c r="BB154" s="14" t="s">
        <v>437</v>
      </c>
      <c r="BC154" s="13" t="s">
        <v>437</v>
      </c>
      <c r="BD154" s="13" t="s">
        <v>437</v>
      </c>
      <c r="BE154" s="13" t="s">
        <v>437</v>
      </c>
      <c r="BF154" s="14" t="s">
        <v>437</v>
      </c>
      <c r="BG154" s="13" t="s">
        <v>437</v>
      </c>
      <c r="BH154" s="13" t="s">
        <v>437</v>
      </c>
      <c r="BI154" s="13" t="s">
        <v>437</v>
      </c>
      <c r="BJ154" s="14" t="s">
        <v>437</v>
      </c>
      <c r="BK154" s="13" t="s">
        <v>437</v>
      </c>
      <c r="BL154" s="13" t="s">
        <v>437</v>
      </c>
      <c r="BM154" s="13" t="s">
        <v>437</v>
      </c>
      <c r="BN154" s="14" t="s">
        <v>437</v>
      </c>
      <c r="BP154" s="17">
        <v>4</v>
      </c>
      <c r="BQ154" s="13">
        <v>4</v>
      </c>
      <c r="BR154" s="13">
        <v>4</v>
      </c>
      <c r="BS154" s="14">
        <v>4</v>
      </c>
      <c r="BU154" s="17">
        <v>1</v>
      </c>
      <c r="BV154" s="13">
        <v>1</v>
      </c>
      <c r="BW154" s="13">
        <v>1</v>
      </c>
      <c r="BX154" s="14">
        <v>1</v>
      </c>
      <c r="BZ154" s="17" t="s">
        <v>437</v>
      </c>
      <c r="CA154" s="13" t="s">
        <v>437</v>
      </c>
      <c r="CB154" s="13" t="s">
        <v>437</v>
      </c>
      <c r="CC154" s="14" t="s">
        <v>437</v>
      </c>
    </row>
    <row r="155" spans="2:81" ht="18" customHeight="1" x14ac:dyDescent="0.2">
      <c r="B155" s="10">
        <f>garage!B155</f>
        <v>155</v>
      </c>
      <c r="C155" s="10">
        <f>garage!C155</f>
        <v>4</v>
      </c>
      <c r="D155" s="10">
        <f>garage!D155</f>
        <v>34</v>
      </c>
      <c r="E155" s="10">
        <f>garage!E155</f>
        <v>0</v>
      </c>
      <c r="F155" s="10" t="str">
        <f>garage!F155</f>
        <v>--</v>
      </c>
      <c r="G155" s="10" t="str">
        <f>garage!G155</f>
        <v>O</v>
      </c>
      <c r="H155" s="10" t="str">
        <f>garage!H155</f>
        <v>O</v>
      </c>
      <c r="I155" s="10" t="str">
        <f>garage!I155</f>
        <v>O</v>
      </c>
      <c r="J155" s="10" t="str">
        <f>garage!J155</f>
        <v>N</v>
      </c>
      <c r="K155" s="10" t="str">
        <f>garage!K155</f>
        <v>A</v>
      </c>
      <c r="L155" s="11" t="str">
        <f>garage!L155</f>
        <v>Genty</v>
      </c>
      <c r="M155" s="11" t="str">
        <f>garage!M155</f>
        <v>Akylone</v>
      </c>
      <c r="O155" s="18">
        <v>1</v>
      </c>
      <c r="P155" s="15">
        <v>1</v>
      </c>
      <c r="Q155" s="15">
        <v>1</v>
      </c>
      <c r="R155" s="16">
        <v>1</v>
      </c>
      <c r="S155" s="15">
        <v>1</v>
      </c>
      <c r="T155" s="15">
        <v>1</v>
      </c>
      <c r="U155" s="15">
        <v>1</v>
      </c>
      <c r="V155" s="16">
        <v>1</v>
      </c>
      <c r="W155" s="15">
        <v>1</v>
      </c>
      <c r="X155" s="15">
        <v>1</v>
      </c>
      <c r="Y155" s="15">
        <v>1</v>
      </c>
      <c r="Z155" s="16">
        <v>1</v>
      </c>
      <c r="AA155" s="15">
        <v>1</v>
      </c>
      <c r="AB155" s="15">
        <v>1</v>
      </c>
      <c r="AC155" s="15">
        <v>1</v>
      </c>
      <c r="AD155" s="16">
        <v>1</v>
      </c>
      <c r="AE155" s="15">
        <v>1</v>
      </c>
      <c r="AF155" s="15">
        <v>1</v>
      </c>
      <c r="AG155" s="15">
        <v>1</v>
      </c>
      <c r="AH155" s="16">
        <v>1</v>
      </c>
      <c r="AI155" s="15">
        <v>1</v>
      </c>
      <c r="AJ155" s="15">
        <v>1</v>
      </c>
      <c r="AK155" s="15">
        <v>1</v>
      </c>
      <c r="AL155" s="16">
        <v>1</v>
      </c>
      <c r="AM155" s="15">
        <v>1</v>
      </c>
      <c r="AN155" s="15">
        <v>1</v>
      </c>
      <c r="AO155" s="15">
        <v>1</v>
      </c>
      <c r="AP155" s="16">
        <v>1</v>
      </c>
      <c r="AQ155" s="15">
        <v>1</v>
      </c>
      <c r="AR155" s="15">
        <v>1</v>
      </c>
      <c r="AS155" s="15">
        <v>1</v>
      </c>
      <c r="AT155" s="16">
        <v>1</v>
      </c>
      <c r="AU155" s="15">
        <v>1</v>
      </c>
      <c r="AV155" s="15">
        <v>1</v>
      </c>
      <c r="AW155" s="15">
        <v>1</v>
      </c>
      <c r="AX155" s="16">
        <v>1</v>
      </c>
      <c r="AY155" s="15">
        <v>1</v>
      </c>
      <c r="AZ155" s="15">
        <v>1</v>
      </c>
      <c r="BA155" s="15">
        <v>1</v>
      </c>
      <c r="BB155" s="16">
        <v>1</v>
      </c>
      <c r="BC155" s="15">
        <v>1</v>
      </c>
      <c r="BD155" s="15">
        <v>1</v>
      </c>
      <c r="BE155" s="15">
        <v>1</v>
      </c>
      <c r="BF155" s="16">
        <v>1</v>
      </c>
      <c r="BG155" s="15">
        <v>1</v>
      </c>
      <c r="BH155" s="15">
        <v>1</v>
      </c>
      <c r="BI155" s="15">
        <v>1</v>
      </c>
      <c r="BJ155" s="16">
        <v>1</v>
      </c>
      <c r="BK155" s="15">
        <v>1</v>
      </c>
      <c r="BL155" s="15">
        <v>1</v>
      </c>
      <c r="BM155" s="15">
        <v>1</v>
      </c>
      <c r="BN155" s="16">
        <v>1</v>
      </c>
      <c r="BP155" s="18">
        <v>6</v>
      </c>
      <c r="BQ155" s="15">
        <v>6</v>
      </c>
      <c r="BR155" s="15">
        <v>6</v>
      </c>
      <c r="BS155" s="16">
        <v>6</v>
      </c>
      <c r="BU155" s="18">
        <v>5</v>
      </c>
      <c r="BV155" s="15">
        <v>5</v>
      </c>
      <c r="BW155" s="15">
        <v>5</v>
      </c>
      <c r="BX155" s="16">
        <v>5</v>
      </c>
      <c r="BZ155" s="18">
        <v>4</v>
      </c>
      <c r="CA155" s="15">
        <v>4</v>
      </c>
      <c r="CB155" s="15">
        <v>4</v>
      </c>
      <c r="CC155" s="16">
        <v>4</v>
      </c>
    </row>
    <row r="156" spans="2:81" ht="18" customHeight="1" x14ac:dyDescent="0.2">
      <c r="B156" s="8">
        <f>garage!B156</f>
        <v>156</v>
      </c>
      <c r="C156" s="8">
        <f>garage!C156</f>
        <v>4</v>
      </c>
      <c r="D156" s="8">
        <f>garage!D156</f>
        <v>35</v>
      </c>
      <c r="E156" s="8">
        <f>garage!E156</f>
        <v>0</v>
      </c>
      <c r="F156" s="8" t="str">
        <f>garage!F156</f>
        <v>--</v>
      </c>
      <c r="G156" s="8" t="str">
        <f>garage!G156</f>
        <v>O</v>
      </c>
      <c r="H156" s="8" t="str">
        <f>garage!H156</f>
        <v>N</v>
      </c>
      <c r="I156" s="8" t="str">
        <f>garage!I156</f>
        <v>N</v>
      </c>
      <c r="J156" s="8" t="str">
        <f>garage!J156</f>
        <v>N</v>
      </c>
      <c r="K156" s="8" t="str">
        <f>garage!K156</f>
        <v>A</v>
      </c>
      <c r="L156" s="9" t="str">
        <f>garage!L156</f>
        <v>Techrules</v>
      </c>
      <c r="M156" s="9" t="str">
        <f>garage!M156</f>
        <v>AT96 track version</v>
      </c>
      <c r="O156" s="17">
        <v>1</v>
      </c>
      <c r="P156" s="13">
        <v>1</v>
      </c>
      <c r="Q156" s="13">
        <v>1</v>
      </c>
      <c r="R156" s="14">
        <v>1</v>
      </c>
      <c r="S156" s="13">
        <v>1</v>
      </c>
      <c r="T156" s="13">
        <v>1</v>
      </c>
      <c r="U156" s="13">
        <v>1</v>
      </c>
      <c r="V156" s="14">
        <v>1</v>
      </c>
      <c r="W156" s="13">
        <v>1</v>
      </c>
      <c r="X156" s="13">
        <v>1</v>
      </c>
      <c r="Y156" s="13">
        <v>1</v>
      </c>
      <c r="Z156" s="14">
        <v>1</v>
      </c>
      <c r="AA156" s="13">
        <v>1</v>
      </c>
      <c r="AB156" s="13">
        <v>1</v>
      </c>
      <c r="AC156" s="13">
        <v>1</v>
      </c>
      <c r="AD156" s="14">
        <v>1</v>
      </c>
      <c r="AE156" s="13">
        <v>1</v>
      </c>
      <c r="AF156" s="13">
        <v>1</v>
      </c>
      <c r="AG156" s="13">
        <v>1</v>
      </c>
      <c r="AH156" s="14">
        <v>1</v>
      </c>
      <c r="AI156" s="13">
        <v>1</v>
      </c>
      <c r="AJ156" s="13">
        <v>1</v>
      </c>
      <c r="AK156" s="13">
        <v>1</v>
      </c>
      <c r="AL156" s="14">
        <v>1</v>
      </c>
      <c r="AM156" s="13">
        <v>1</v>
      </c>
      <c r="AN156" s="13">
        <v>1</v>
      </c>
      <c r="AO156" s="13">
        <v>1</v>
      </c>
      <c r="AP156" s="14">
        <v>1</v>
      </c>
      <c r="AQ156" s="13">
        <v>1</v>
      </c>
      <c r="AR156" s="13">
        <v>1</v>
      </c>
      <c r="AS156" s="13">
        <v>1</v>
      </c>
      <c r="AT156" s="14">
        <v>1</v>
      </c>
      <c r="AU156" s="13" t="s">
        <v>437</v>
      </c>
      <c r="AV156" s="13" t="s">
        <v>437</v>
      </c>
      <c r="AW156" s="13" t="s">
        <v>437</v>
      </c>
      <c r="AX156" s="14" t="s">
        <v>437</v>
      </c>
      <c r="AY156" s="13" t="s">
        <v>437</v>
      </c>
      <c r="AZ156" s="13" t="s">
        <v>437</v>
      </c>
      <c r="BA156" s="13" t="s">
        <v>437</v>
      </c>
      <c r="BB156" s="14" t="s">
        <v>437</v>
      </c>
      <c r="BC156" s="13" t="s">
        <v>437</v>
      </c>
      <c r="BD156" s="13" t="s">
        <v>437</v>
      </c>
      <c r="BE156" s="13" t="s">
        <v>437</v>
      </c>
      <c r="BF156" s="14" t="s">
        <v>437</v>
      </c>
      <c r="BG156" s="13" t="s">
        <v>437</v>
      </c>
      <c r="BH156" s="13" t="s">
        <v>437</v>
      </c>
      <c r="BI156" s="13" t="s">
        <v>437</v>
      </c>
      <c r="BJ156" s="14" t="s">
        <v>437</v>
      </c>
      <c r="BK156" s="13" t="s">
        <v>437</v>
      </c>
      <c r="BL156" s="13" t="s">
        <v>437</v>
      </c>
      <c r="BM156" s="13" t="s">
        <v>437</v>
      </c>
      <c r="BN156" s="14" t="s">
        <v>437</v>
      </c>
      <c r="BP156" s="17">
        <v>5</v>
      </c>
      <c r="BQ156" s="13">
        <v>5</v>
      </c>
      <c r="BR156" s="13">
        <v>5</v>
      </c>
      <c r="BS156" s="14">
        <v>5</v>
      </c>
      <c r="BU156" s="17">
        <v>2</v>
      </c>
      <c r="BV156" s="13">
        <v>2</v>
      </c>
      <c r="BW156" s="13">
        <v>2</v>
      </c>
      <c r="BX156" s="14">
        <v>2</v>
      </c>
      <c r="BZ156" s="17" t="s">
        <v>437</v>
      </c>
      <c r="CA156" s="13" t="s">
        <v>437</v>
      </c>
      <c r="CB156" s="13" t="s">
        <v>437</v>
      </c>
      <c r="CC156" s="14" t="s">
        <v>437</v>
      </c>
    </row>
    <row r="157" spans="2:81" ht="18" customHeight="1" x14ac:dyDescent="0.2">
      <c r="B157" s="10">
        <f>garage!B157</f>
        <v>157</v>
      </c>
      <c r="C157" s="10">
        <f>garage!C157</f>
        <v>4</v>
      </c>
      <c r="D157" s="10">
        <f>garage!D157</f>
        <v>36</v>
      </c>
      <c r="E157" s="10">
        <f>garage!E157</f>
        <v>21</v>
      </c>
      <c r="F157" s="10" t="str">
        <f>garage!F157</f>
        <v>--</v>
      </c>
      <c r="G157" s="10" t="str">
        <f>garage!G157</f>
        <v>O</v>
      </c>
      <c r="H157" s="10" t="str">
        <f>garage!H157</f>
        <v>N</v>
      </c>
      <c r="I157" s="10" t="str">
        <f>garage!I157</f>
        <v>N</v>
      </c>
      <c r="J157" s="10" t="str">
        <f>garage!J157</f>
        <v>N</v>
      </c>
      <c r="K157" s="10" t="str">
        <f>garage!K157</f>
        <v>A</v>
      </c>
      <c r="L157" s="11" t="str">
        <f>garage!L157</f>
        <v>Rimac</v>
      </c>
      <c r="M157" s="11" t="str">
        <f>garage!M157</f>
        <v>Concept_One</v>
      </c>
      <c r="O157" s="18" t="s">
        <v>437</v>
      </c>
      <c r="P157" s="15" t="s">
        <v>437</v>
      </c>
      <c r="Q157" s="15" t="s">
        <v>437</v>
      </c>
      <c r="R157" s="16" t="s">
        <v>437</v>
      </c>
      <c r="S157" s="15" t="s">
        <v>437</v>
      </c>
      <c r="T157" s="15" t="s">
        <v>437</v>
      </c>
      <c r="U157" s="15" t="s">
        <v>437</v>
      </c>
      <c r="V157" s="16" t="s">
        <v>437</v>
      </c>
      <c r="W157" s="15" t="s">
        <v>437</v>
      </c>
      <c r="X157" s="15" t="s">
        <v>437</v>
      </c>
      <c r="Y157" s="15" t="s">
        <v>437</v>
      </c>
      <c r="Z157" s="16" t="s">
        <v>437</v>
      </c>
      <c r="AA157" s="15" t="s">
        <v>437</v>
      </c>
      <c r="AB157" s="15" t="s">
        <v>437</v>
      </c>
      <c r="AC157" s="15" t="s">
        <v>437</v>
      </c>
      <c r="AD157" s="16" t="s">
        <v>437</v>
      </c>
      <c r="AE157" s="15" t="s">
        <v>437</v>
      </c>
      <c r="AF157" s="15" t="s">
        <v>437</v>
      </c>
      <c r="AG157" s="15" t="s">
        <v>437</v>
      </c>
      <c r="AH157" s="16" t="s">
        <v>437</v>
      </c>
      <c r="AI157" s="15" t="s">
        <v>437</v>
      </c>
      <c r="AJ157" s="15" t="s">
        <v>437</v>
      </c>
      <c r="AK157" s="15" t="s">
        <v>437</v>
      </c>
      <c r="AL157" s="16" t="s">
        <v>437</v>
      </c>
      <c r="AM157" s="15" t="s">
        <v>437</v>
      </c>
      <c r="AN157" s="15" t="s">
        <v>437</v>
      </c>
      <c r="AO157" s="15" t="s">
        <v>437</v>
      </c>
      <c r="AP157" s="16" t="s">
        <v>437</v>
      </c>
      <c r="AQ157" s="15" t="s">
        <v>437</v>
      </c>
      <c r="AR157" s="15" t="s">
        <v>437</v>
      </c>
      <c r="AS157" s="15" t="s">
        <v>437</v>
      </c>
      <c r="AT157" s="16" t="s">
        <v>437</v>
      </c>
      <c r="AU157" s="15" t="s">
        <v>437</v>
      </c>
      <c r="AV157" s="15" t="s">
        <v>437</v>
      </c>
      <c r="AW157" s="15" t="s">
        <v>437</v>
      </c>
      <c r="AX157" s="16" t="s">
        <v>437</v>
      </c>
      <c r="AY157" s="15" t="s">
        <v>437</v>
      </c>
      <c r="AZ157" s="15" t="s">
        <v>437</v>
      </c>
      <c r="BA157" s="15" t="s">
        <v>437</v>
      </c>
      <c r="BB157" s="16" t="s">
        <v>437</v>
      </c>
      <c r="BC157" s="15" t="s">
        <v>437</v>
      </c>
      <c r="BD157" s="15" t="s">
        <v>437</v>
      </c>
      <c r="BE157" s="15" t="s">
        <v>437</v>
      </c>
      <c r="BF157" s="16" t="s">
        <v>437</v>
      </c>
      <c r="BG157" s="15" t="s">
        <v>437</v>
      </c>
      <c r="BH157" s="15" t="s">
        <v>437</v>
      </c>
      <c r="BI157" s="15" t="s">
        <v>437</v>
      </c>
      <c r="BJ157" s="16" t="s">
        <v>437</v>
      </c>
      <c r="BK157" s="15" t="s">
        <v>437</v>
      </c>
      <c r="BL157" s="15" t="s">
        <v>437</v>
      </c>
      <c r="BM157" s="15" t="s">
        <v>437</v>
      </c>
      <c r="BN157" s="16" t="s">
        <v>437</v>
      </c>
      <c r="BP157" s="18" t="s">
        <v>437</v>
      </c>
      <c r="BQ157" s="15" t="s">
        <v>437</v>
      </c>
      <c r="BR157" s="15" t="s">
        <v>437</v>
      </c>
      <c r="BS157" s="16" t="s">
        <v>437</v>
      </c>
      <c r="BU157" s="18" t="s">
        <v>437</v>
      </c>
      <c r="BV157" s="15" t="s">
        <v>437</v>
      </c>
      <c r="BW157" s="15" t="s">
        <v>437</v>
      </c>
      <c r="BX157" s="16" t="s">
        <v>437</v>
      </c>
      <c r="BZ157" s="18" t="s">
        <v>437</v>
      </c>
      <c r="CA157" s="15" t="s">
        <v>437</v>
      </c>
      <c r="CB157" s="15" t="s">
        <v>437</v>
      </c>
      <c r="CC157" s="16" t="s">
        <v>437</v>
      </c>
    </row>
    <row r="158" spans="2:81" ht="18" customHeight="1" x14ac:dyDescent="0.2">
      <c r="B158" s="8">
        <f>garage!B158</f>
        <v>158</v>
      </c>
      <c r="C158" s="8">
        <f>garage!C158</f>
        <v>4</v>
      </c>
      <c r="D158" s="8">
        <f>garage!D158</f>
        <v>37</v>
      </c>
      <c r="E158" s="8">
        <f>garage!E158</f>
        <v>14</v>
      </c>
      <c r="F158" s="8" t="str">
        <f>garage!F158</f>
        <v>AM</v>
      </c>
      <c r="G158" s="8" t="str">
        <f>garage!G158</f>
        <v>O</v>
      </c>
      <c r="H158" s="8" t="str">
        <f>garage!H158</f>
        <v>O</v>
      </c>
      <c r="I158" s="8" t="str">
        <f>garage!I158</f>
        <v>N</v>
      </c>
      <c r="J158" s="8" t="str">
        <f>garage!J158</f>
        <v>N</v>
      </c>
      <c r="K158" s="8" t="str">
        <f>garage!K158</f>
        <v>A</v>
      </c>
      <c r="L158" s="9" t="str">
        <f>garage!L158</f>
        <v>Aston Martin</v>
      </c>
      <c r="M158" s="9" t="str">
        <f>garage!M158</f>
        <v>Valhalla Concept Car</v>
      </c>
      <c r="O158" s="17">
        <v>1</v>
      </c>
      <c r="P158" s="13">
        <v>1</v>
      </c>
      <c r="Q158" s="13">
        <v>1</v>
      </c>
      <c r="R158" s="14">
        <v>1</v>
      </c>
      <c r="S158" s="13">
        <v>1</v>
      </c>
      <c r="T158" s="13">
        <v>1</v>
      </c>
      <c r="U158" s="13">
        <v>1</v>
      </c>
      <c r="V158" s="14">
        <v>1</v>
      </c>
      <c r="W158" s="13">
        <v>1</v>
      </c>
      <c r="X158" s="13">
        <v>1</v>
      </c>
      <c r="Y158" s="13">
        <v>1</v>
      </c>
      <c r="Z158" s="14">
        <v>1</v>
      </c>
      <c r="AA158" s="13">
        <v>1</v>
      </c>
      <c r="AB158" s="13">
        <v>1</v>
      </c>
      <c r="AC158" s="13">
        <v>1</v>
      </c>
      <c r="AD158" s="14">
        <v>1</v>
      </c>
      <c r="AE158" s="13">
        <v>1</v>
      </c>
      <c r="AF158" s="13">
        <v>1</v>
      </c>
      <c r="AG158" s="13">
        <v>1</v>
      </c>
      <c r="AH158" s="14">
        <v>1</v>
      </c>
      <c r="AI158" s="13">
        <v>1</v>
      </c>
      <c r="AJ158" s="13">
        <v>1</v>
      </c>
      <c r="AK158" s="13">
        <v>1</v>
      </c>
      <c r="AL158" s="14">
        <v>1</v>
      </c>
      <c r="AM158" s="13">
        <v>1</v>
      </c>
      <c r="AN158" s="13">
        <v>1</v>
      </c>
      <c r="AO158" s="13">
        <v>1</v>
      </c>
      <c r="AP158" s="14">
        <v>1</v>
      </c>
      <c r="AQ158" s="13">
        <v>1</v>
      </c>
      <c r="AR158" s="13">
        <v>1</v>
      </c>
      <c r="AS158" s="13">
        <v>1</v>
      </c>
      <c r="AT158" s="14">
        <v>1</v>
      </c>
      <c r="AU158" s="13">
        <v>1</v>
      </c>
      <c r="AV158" s="13">
        <v>1</v>
      </c>
      <c r="AW158" s="13">
        <v>1</v>
      </c>
      <c r="AX158" s="14">
        <v>1</v>
      </c>
      <c r="AY158" s="13">
        <v>1</v>
      </c>
      <c r="AZ158" s="13">
        <v>1</v>
      </c>
      <c r="BA158" s="13">
        <v>1</v>
      </c>
      <c r="BB158" s="14">
        <v>1</v>
      </c>
      <c r="BC158" s="13">
        <v>1</v>
      </c>
      <c r="BD158" s="13">
        <v>1</v>
      </c>
      <c r="BE158" s="13">
        <v>1</v>
      </c>
      <c r="BF158" s="14">
        <v>1</v>
      </c>
      <c r="BG158" s="13">
        <v>1</v>
      </c>
      <c r="BH158" s="13">
        <v>1</v>
      </c>
      <c r="BI158" s="13">
        <v>1</v>
      </c>
      <c r="BJ158" s="14">
        <v>1</v>
      </c>
      <c r="BK158" s="13">
        <v>1</v>
      </c>
      <c r="BL158" s="13">
        <v>1</v>
      </c>
      <c r="BM158" s="13">
        <v>1</v>
      </c>
      <c r="BN158" s="14">
        <v>1</v>
      </c>
      <c r="BP158" s="17">
        <v>6</v>
      </c>
      <c r="BQ158" s="13">
        <v>6</v>
      </c>
      <c r="BR158" s="13">
        <v>6</v>
      </c>
      <c r="BS158" s="14">
        <v>6</v>
      </c>
      <c r="BU158" s="17">
        <v>5</v>
      </c>
      <c r="BV158" s="13">
        <v>5</v>
      </c>
      <c r="BW158" s="13">
        <v>5</v>
      </c>
      <c r="BX158" s="14">
        <v>5</v>
      </c>
      <c r="BZ158" s="17">
        <v>4</v>
      </c>
      <c r="CA158" s="13" t="s">
        <v>437</v>
      </c>
      <c r="CB158" s="13">
        <v>4</v>
      </c>
      <c r="CC158" s="14">
        <v>2</v>
      </c>
    </row>
    <row r="159" spans="2:81" ht="18" customHeight="1" x14ac:dyDescent="0.2">
      <c r="B159" s="10">
        <f>garage!B159</f>
        <v>159</v>
      </c>
      <c r="C159" s="10">
        <f>garage!C159</f>
        <v>4</v>
      </c>
      <c r="D159" s="10">
        <f>garage!D159</f>
        <v>38</v>
      </c>
      <c r="E159" s="10">
        <f>garage!E159</f>
        <v>18</v>
      </c>
      <c r="F159" s="10" t="str">
        <f>garage!F159</f>
        <v>--</v>
      </c>
      <c r="G159" s="10" t="str">
        <f>garage!G159</f>
        <v>O</v>
      </c>
      <c r="H159" s="10" t="str">
        <f>garage!H159</f>
        <v>N</v>
      </c>
      <c r="I159" s="10" t="str">
        <f>garage!I159</f>
        <v>N</v>
      </c>
      <c r="J159" s="10" t="str">
        <f>garage!J159</f>
        <v>N</v>
      </c>
      <c r="K159" s="10" t="str">
        <f>garage!K159</f>
        <v>A</v>
      </c>
      <c r="L159" s="11" t="str">
        <f>garage!L159</f>
        <v>Pagani</v>
      </c>
      <c r="M159" s="11" t="str">
        <f>garage!M159</f>
        <v>Imola</v>
      </c>
      <c r="O159" s="18">
        <v>1</v>
      </c>
      <c r="P159" s="15">
        <v>1</v>
      </c>
      <c r="Q159" s="15">
        <v>1</v>
      </c>
      <c r="R159" s="16">
        <v>1</v>
      </c>
      <c r="S159" s="15">
        <v>1</v>
      </c>
      <c r="T159" s="15">
        <v>1</v>
      </c>
      <c r="U159" s="15">
        <v>1</v>
      </c>
      <c r="V159" s="16">
        <v>1</v>
      </c>
      <c r="W159" s="15" t="s">
        <v>437</v>
      </c>
      <c r="X159" s="15" t="s">
        <v>437</v>
      </c>
      <c r="Y159" s="15" t="s">
        <v>437</v>
      </c>
      <c r="Z159" s="16" t="s">
        <v>437</v>
      </c>
      <c r="AA159" s="15" t="s">
        <v>437</v>
      </c>
      <c r="AB159" s="15" t="s">
        <v>437</v>
      </c>
      <c r="AC159" s="15" t="s">
        <v>437</v>
      </c>
      <c r="AD159" s="16" t="s">
        <v>437</v>
      </c>
      <c r="AE159" s="15" t="s">
        <v>437</v>
      </c>
      <c r="AF159" s="15" t="s">
        <v>437</v>
      </c>
      <c r="AG159" s="15" t="s">
        <v>437</v>
      </c>
      <c r="AH159" s="16" t="s">
        <v>437</v>
      </c>
      <c r="AI159" s="15" t="s">
        <v>437</v>
      </c>
      <c r="AJ159" s="15" t="s">
        <v>437</v>
      </c>
      <c r="AK159" s="15" t="s">
        <v>437</v>
      </c>
      <c r="AL159" s="16" t="s">
        <v>437</v>
      </c>
      <c r="AM159" s="15" t="s">
        <v>437</v>
      </c>
      <c r="AN159" s="15" t="s">
        <v>437</v>
      </c>
      <c r="AO159" s="15" t="s">
        <v>437</v>
      </c>
      <c r="AP159" s="16" t="s">
        <v>437</v>
      </c>
      <c r="AQ159" s="15" t="s">
        <v>437</v>
      </c>
      <c r="AR159" s="15" t="s">
        <v>437</v>
      </c>
      <c r="AS159" s="15" t="s">
        <v>437</v>
      </c>
      <c r="AT159" s="16" t="s">
        <v>437</v>
      </c>
      <c r="AU159" s="15" t="s">
        <v>437</v>
      </c>
      <c r="AV159" s="15" t="s">
        <v>437</v>
      </c>
      <c r="AW159" s="15" t="s">
        <v>437</v>
      </c>
      <c r="AX159" s="16" t="s">
        <v>437</v>
      </c>
      <c r="AY159" s="15" t="s">
        <v>437</v>
      </c>
      <c r="AZ159" s="15" t="s">
        <v>437</v>
      </c>
      <c r="BA159" s="15" t="s">
        <v>437</v>
      </c>
      <c r="BB159" s="16" t="s">
        <v>437</v>
      </c>
      <c r="BC159" s="15" t="s">
        <v>437</v>
      </c>
      <c r="BD159" s="15" t="s">
        <v>437</v>
      </c>
      <c r="BE159" s="15" t="s">
        <v>437</v>
      </c>
      <c r="BF159" s="16" t="s">
        <v>437</v>
      </c>
      <c r="BG159" s="15" t="s">
        <v>437</v>
      </c>
      <c r="BH159" s="15" t="s">
        <v>437</v>
      </c>
      <c r="BI159" s="15" t="s">
        <v>437</v>
      </c>
      <c r="BJ159" s="16" t="s">
        <v>437</v>
      </c>
      <c r="BK159" s="15" t="s">
        <v>437</v>
      </c>
      <c r="BL159" s="15" t="s">
        <v>437</v>
      </c>
      <c r="BM159" s="15" t="s">
        <v>437</v>
      </c>
      <c r="BN159" s="16" t="s">
        <v>437</v>
      </c>
      <c r="BP159" s="18" t="s">
        <v>437</v>
      </c>
      <c r="BQ159" s="15" t="s">
        <v>437</v>
      </c>
      <c r="BR159" s="15" t="s">
        <v>437</v>
      </c>
      <c r="BS159" s="16" t="s">
        <v>437</v>
      </c>
      <c r="BU159" s="18" t="s">
        <v>437</v>
      </c>
      <c r="BV159" s="15" t="s">
        <v>437</v>
      </c>
      <c r="BW159" s="15" t="s">
        <v>437</v>
      </c>
      <c r="BX159" s="16" t="s">
        <v>437</v>
      </c>
      <c r="BZ159" s="18" t="s">
        <v>437</v>
      </c>
      <c r="CA159" s="15" t="s">
        <v>437</v>
      </c>
      <c r="CB159" s="15" t="s">
        <v>437</v>
      </c>
      <c r="CC159" s="16" t="s">
        <v>437</v>
      </c>
    </row>
    <row r="160" spans="2:81" ht="18" hidden="1" customHeight="1" x14ac:dyDescent="0.2">
      <c r="B160" s="8">
        <f>garage!B160</f>
        <v>160</v>
      </c>
      <c r="C160" s="8">
        <f>garage!C160</f>
        <v>4</v>
      </c>
      <c r="D160" s="8">
        <f>garage!D160</f>
        <v>39</v>
      </c>
      <c r="E160" s="8">
        <f>garage!E160</f>
        <v>30</v>
      </c>
      <c r="F160" s="8" t="str">
        <f>garage!F160</f>
        <v>--</v>
      </c>
      <c r="G160" s="8" t="str">
        <f>garage!G160</f>
        <v>N</v>
      </c>
      <c r="H160" s="8" t="str">
        <f>garage!H160</f>
        <v>N</v>
      </c>
      <c r="I160" s="8" t="str">
        <f>garage!I160</f>
        <v>N</v>
      </c>
      <c r="J160" s="8" t="str">
        <f>garage!J160</f>
        <v>N</v>
      </c>
      <c r="K160" s="8" t="str">
        <f>garage!K160</f>
        <v>A</v>
      </c>
      <c r="L160" s="9" t="str">
        <f>garage!L160</f>
        <v>Jaguar</v>
      </c>
      <c r="M160" s="9" t="str">
        <f>garage!M160</f>
        <v>XJR-9</v>
      </c>
      <c r="O160" s="17" t="s">
        <v>437</v>
      </c>
      <c r="P160" s="13" t="s">
        <v>437</v>
      </c>
      <c r="Q160" s="13" t="s">
        <v>437</v>
      </c>
      <c r="R160" s="14" t="s">
        <v>437</v>
      </c>
      <c r="S160" s="13" t="s">
        <v>437</v>
      </c>
      <c r="T160" s="13" t="s">
        <v>437</v>
      </c>
      <c r="U160" s="13" t="s">
        <v>437</v>
      </c>
      <c r="V160" s="14" t="s">
        <v>437</v>
      </c>
      <c r="W160" s="13" t="s">
        <v>437</v>
      </c>
      <c r="X160" s="13" t="s">
        <v>437</v>
      </c>
      <c r="Y160" s="13" t="s">
        <v>437</v>
      </c>
      <c r="Z160" s="14" t="s">
        <v>437</v>
      </c>
      <c r="AA160" s="13" t="s">
        <v>437</v>
      </c>
      <c r="AB160" s="13" t="s">
        <v>437</v>
      </c>
      <c r="AC160" s="13" t="s">
        <v>437</v>
      </c>
      <c r="AD160" s="14" t="s">
        <v>437</v>
      </c>
      <c r="AE160" s="13" t="s">
        <v>437</v>
      </c>
      <c r="AF160" s="13" t="s">
        <v>437</v>
      </c>
      <c r="AG160" s="13" t="s">
        <v>437</v>
      </c>
      <c r="AH160" s="14" t="s">
        <v>437</v>
      </c>
      <c r="AI160" s="13" t="s">
        <v>437</v>
      </c>
      <c r="AJ160" s="13" t="s">
        <v>437</v>
      </c>
      <c r="AK160" s="13" t="s">
        <v>437</v>
      </c>
      <c r="AL160" s="14" t="s">
        <v>437</v>
      </c>
      <c r="AM160" s="13" t="s">
        <v>437</v>
      </c>
      <c r="AN160" s="13" t="s">
        <v>437</v>
      </c>
      <c r="AO160" s="13" t="s">
        <v>437</v>
      </c>
      <c r="AP160" s="14" t="s">
        <v>437</v>
      </c>
      <c r="AQ160" s="13" t="s">
        <v>437</v>
      </c>
      <c r="AR160" s="13" t="s">
        <v>437</v>
      </c>
      <c r="AS160" s="13" t="s">
        <v>437</v>
      </c>
      <c r="AT160" s="14" t="s">
        <v>437</v>
      </c>
      <c r="AU160" s="13" t="s">
        <v>437</v>
      </c>
      <c r="AV160" s="13" t="s">
        <v>437</v>
      </c>
      <c r="AW160" s="13" t="s">
        <v>437</v>
      </c>
      <c r="AX160" s="14" t="s">
        <v>437</v>
      </c>
      <c r="AY160" s="13" t="s">
        <v>437</v>
      </c>
      <c r="AZ160" s="13" t="s">
        <v>437</v>
      </c>
      <c r="BA160" s="13" t="s">
        <v>437</v>
      </c>
      <c r="BB160" s="14" t="s">
        <v>437</v>
      </c>
      <c r="BC160" s="13" t="s">
        <v>437</v>
      </c>
      <c r="BD160" s="13" t="s">
        <v>437</v>
      </c>
      <c r="BE160" s="13" t="s">
        <v>437</v>
      </c>
      <c r="BF160" s="14" t="s">
        <v>437</v>
      </c>
      <c r="BG160" s="13" t="s">
        <v>437</v>
      </c>
      <c r="BH160" s="13" t="s">
        <v>437</v>
      </c>
      <c r="BI160" s="13" t="s">
        <v>437</v>
      </c>
      <c r="BJ160" s="14" t="s">
        <v>437</v>
      </c>
      <c r="BK160" s="13" t="s">
        <v>437</v>
      </c>
      <c r="BL160" s="13" t="s">
        <v>437</v>
      </c>
      <c r="BM160" s="13" t="s">
        <v>437</v>
      </c>
      <c r="BN160" s="14" t="s">
        <v>437</v>
      </c>
      <c r="BP160" s="17" t="s">
        <v>437</v>
      </c>
      <c r="BQ160" s="13" t="s">
        <v>437</v>
      </c>
      <c r="BR160" s="13" t="s">
        <v>437</v>
      </c>
      <c r="BS160" s="14" t="s">
        <v>437</v>
      </c>
      <c r="BU160" s="17" t="s">
        <v>437</v>
      </c>
      <c r="BV160" s="13" t="s">
        <v>437</v>
      </c>
      <c r="BW160" s="13" t="s">
        <v>437</v>
      </c>
      <c r="BX160" s="14" t="s">
        <v>437</v>
      </c>
      <c r="BZ160" s="17" t="s">
        <v>437</v>
      </c>
      <c r="CA160" s="13" t="s">
        <v>437</v>
      </c>
      <c r="CB160" s="13" t="s">
        <v>437</v>
      </c>
      <c r="CC160" s="14" t="s">
        <v>437</v>
      </c>
    </row>
    <row r="161" spans="2:81" ht="18" hidden="1" customHeight="1" x14ac:dyDescent="0.2">
      <c r="B161" s="10">
        <f>garage!B161</f>
        <v>161</v>
      </c>
      <c r="C161" s="10">
        <f>garage!C161</f>
        <v>4</v>
      </c>
      <c r="D161" s="10">
        <f>garage!D161</f>
        <v>40</v>
      </c>
      <c r="E161" s="10">
        <f>garage!E161</f>
        <v>25</v>
      </c>
      <c r="F161" s="10" t="str">
        <f>garage!F161</f>
        <v>L</v>
      </c>
      <c r="G161" s="10" t="str">
        <f>garage!G161</f>
        <v>N</v>
      </c>
      <c r="H161" s="10" t="str">
        <f>garage!H161</f>
        <v>N</v>
      </c>
      <c r="I161" s="10" t="str">
        <f>garage!I161</f>
        <v>N</v>
      </c>
      <c r="J161" s="10" t="str">
        <f>garage!J161</f>
        <v>N</v>
      </c>
      <c r="K161" s="10" t="str">
        <f>garage!K161</f>
        <v>A</v>
      </c>
      <c r="L161" s="11" t="str">
        <f>garage!L161</f>
        <v>Lamborghini</v>
      </c>
      <c r="M161" s="11" t="str">
        <f>garage!M161</f>
        <v>Countach LPI 800-4</v>
      </c>
      <c r="O161" s="18" t="s">
        <v>437</v>
      </c>
      <c r="P161" s="15" t="s">
        <v>437</v>
      </c>
      <c r="Q161" s="15" t="s">
        <v>437</v>
      </c>
      <c r="R161" s="16" t="s">
        <v>437</v>
      </c>
      <c r="S161" s="15" t="s">
        <v>437</v>
      </c>
      <c r="T161" s="15" t="s">
        <v>437</v>
      </c>
      <c r="U161" s="15" t="s">
        <v>437</v>
      </c>
      <c r="V161" s="16" t="s">
        <v>437</v>
      </c>
      <c r="W161" s="15" t="s">
        <v>437</v>
      </c>
      <c r="X161" s="15" t="s">
        <v>437</v>
      </c>
      <c r="Y161" s="15" t="s">
        <v>437</v>
      </c>
      <c r="Z161" s="16" t="s">
        <v>437</v>
      </c>
      <c r="AA161" s="15" t="s">
        <v>437</v>
      </c>
      <c r="AB161" s="15" t="s">
        <v>437</v>
      </c>
      <c r="AC161" s="15" t="s">
        <v>437</v>
      </c>
      <c r="AD161" s="16" t="s">
        <v>437</v>
      </c>
      <c r="AE161" s="15" t="s">
        <v>437</v>
      </c>
      <c r="AF161" s="15" t="s">
        <v>437</v>
      </c>
      <c r="AG161" s="15" t="s">
        <v>437</v>
      </c>
      <c r="AH161" s="16" t="s">
        <v>437</v>
      </c>
      <c r="AI161" s="15" t="s">
        <v>437</v>
      </c>
      <c r="AJ161" s="15" t="s">
        <v>437</v>
      </c>
      <c r="AK161" s="15" t="s">
        <v>437</v>
      </c>
      <c r="AL161" s="16" t="s">
        <v>437</v>
      </c>
      <c r="AM161" s="15" t="s">
        <v>437</v>
      </c>
      <c r="AN161" s="15" t="s">
        <v>437</v>
      </c>
      <c r="AO161" s="15" t="s">
        <v>437</v>
      </c>
      <c r="AP161" s="16" t="s">
        <v>437</v>
      </c>
      <c r="AQ161" s="15" t="s">
        <v>437</v>
      </c>
      <c r="AR161" s="15" t="s">
        <v>437</v>
      </c>
      <c r="AS161" s="15" t="s">
        <v>437</v>
      </c>
      <c r="AT161" s="16" t="s">
        <v>437</v>
      </c>
      <c r="AU161" s="15" t="s">
        <v>437</v>
      </c>
      <c r="AV161" s="15" t="s">
        <v>437</v>
      </c>
      <c r="AW161" s="15" t="s">
        <v>437</v>
      </c>
      <c r="AX161" s="16" t="s">
        <v>437</v>
      </c>
      <c r="AY161" s="15" t="s">
        <v>437</v>
      </c>
      <c r="AZ161" s="15" t="s">
        <v>437</v>
      </c>
      <c r="BA161" s="15" t="s">
        <v>437</v>
      </c>
      <c r="BB161" s="16" t="s">
        <v>437</v>
      </c>
      <c r="BC161" s="15" t="s">
        <v>437</v>
      </c>
      <c r="BD161" s="15" t="s">
        <v>437</v>
      </c>
      <c r="BE161" s="15" t="s">
        <v>437</v>
      </c>
      <c r="BF161" s="16" t="s">
        <v>437</v>
      </c>
      <c r="BG161" s="15" t="s">
        <v>437</v>
      </c>
      <c r="BH161" s="15" t="s">
        <v>437</v>
      </c>
      <c r="BI161" s="15" t="s">
        <v>437</v>
      </c>
      <c r="BJ161" s="16" t="s">
        <v>437</v>
      </c>
      <c r="BK161" s="15" t="s">
        <v>437</v>
      </c>
      <c r="BL161" s="15" t="s">
        <v>437</v>
      </c>
      <c r="BM161" s="15" t="s">
        <v>437</v>
      </c>
      <c r="BN161" s="16" t="s">
        <v>437</v>
      </c>
      <c r="BP161" s="18" t="s">
        <v>437</v>
      </c>
      <c r="BQ161" s="15" t="s">
        <v>437</v>
      </c>
      <c r="BR161" s="15" t="s">
        <v>437</v>
      </c>
      <c r="BS161" s="16" t="s">
        <v>437</v>
      </c>
      <c r="BU161" s="18" t="s">
        <v>437</v>
      </c>
      <c r="BV161" s="15" t="s">
        <v>437</v>
      </c>
      <c r="BW161" s="15" t="s">
        <v>437</v>
      </c>
      <c r="BX161" s="16" t="s">
        <v>437</v>
      </c>
      <c r="BZ161" s="18" t="s">
        <v>437</v>
      </c>
      <c r="CA161" s="15" t="s">
        <v>437</v>
      </c>
      <c r="CB161" s="15" t="s">
        <v>437</v>
      </c>
      <c r="CC161" s="16" t="s">
        <v>437</v>
      </c>
    </row>
    <row r="162" spans="2:81" ht="18" hidden="1" customHeight="1" x14ac:dyDescent="0.2">
      <c r="B162" s="8">
        <f>garage!B162</f>
        <v>162</v>
      </c>
      <c r="C162" s="8">
        <f>garage!C162</f>
        <v>4</v>
      </c>
      <c r="D162" s="8">
        <f>garage!D162</f>
        <v>99</v>
      </c>
      <c r="E162" s="8">
        <f>garage!E162</f>
        <v>20</v>
      </c>
      <c r="F162" s="8" t="str">
        <f>garage!F162</f>
        <v>--</v>
      </c>
      <c r="G162" s="8" t="str">
        <f>garage!G162</f>
        <v>N</v>
      </c>
      <c r="H162" s="8" t="str">
        <f>garage!H162</f>
        <v>N</v>
      </c>
      <c r="I162" s="8" t="str">
        <f>garage!I162</f>
        <v>N</v>
      </c>
      <c r="J162" s="8" t="str">
        <f>garage!J162</f>
        <v>N</v>
      </c>
      <c r="K162" s="8" t="str">
        <f>garage!K162</f>
        <v>A</v>
      </c>
      <c r="L162" s="9" t="str">
        <f>garage!L162</f>
        <v>Lego Technic McLaren</v>
      </c>
      <c r="M162" s="9" t="str">
        <f>garage!M162</f>
        <v>Senna GTR</v>
      </c>
      <c r="O162" s="17" t="s">
        <v>437</v>
      </c>
      <c r="P162" s="13" t="s">
        <v>437</v>
      </c>
      <c r="Q162" s="13" t="s">
        <v>437</v>
      </c>
      <c r="R162" s="14" t="s">
        <v>437</v>
      </c>
      <c r="S162" s="13" t="s">
        <v>437</v>
      </c>
      <c r="T162" s="13" t="s">
        <v>437</v>
      </c>
      <c r="U162" s="13" t="s">
        <v>437</v>
      </c>
      <c r="V162" s="14" t="s">
        <v>437</v>
      </c>
      <c r="W162" s="13" t="s">
        <v>437</v>
      </c>
      <c r="X162" s="13" t="s">
        <v>437</v>
      </c>
      <c r="Y162" s="13" t="s">
        <v>437</v>
      </c>
      <c r="Z162" s="14" t="s">
        <v>437</v>
      </c>
      <c r="AA162" s="13" t="s">
        <v>437</v>
      </c>
      <c r="AB162" s="13" t="s">
        <v>437</v>
      </c>
      <c r="AC162" s="13" t="s">
        <v>437</v>
      </c>
      <c r="AD162" s="14" t="s">
        <v>437</v>
      </c>
      <c r="AE162" s="13" t="s">
        <v>437</v>
      </c>
      <c r="AF162" s="13" t="s">
        <v>437</v>
      </c>
      <c r="AG162" s="13" t="s">
        <v>437</v>
      </c>
      <c r="AH162" s="14" t="s">
        <v>437</v>
      </c>
      <c r="AI162" s="13" t="s">
        <v>437</v>
      </c>
      <c r="AJ162" s="13" t="s">
        <v>437</v>
      </c>
      <c r="AK162" s="13" t="s">
        <v>437</v>
      </c>
      <c r="AL162" s="14" t="s">
        <v>437</v>
      </c>
      <c r="AM162" s="13" t="s">
        <v>437</v>
      </c>
      <c r="AN162" s="13" t="s">
        <v>437</v>
      </c>
      <c r="AO162" s="13" t="s">
        <v>437</v>
      </c>
      <c r="AP162" s="14" t="s">
        <v>437</v>
      </c>
      <c r="AQ162" s="13" t="s">
        <v>437</v>
      </c>
      <c r="AR162" s="13" t="s">
        <v>437</v>
      </c>
      <c r="AS162" s="13" t="s">
        <v>437</v>
      </c>
      <c r="AT162" s="14" t="s">
        <v>437</v>
      </c>
      <c r="AU162" s="13" t="s">
        <v>437</v>
      </c>
      <c r="AV162" s="13" t="s">
        <v>437</v>
      </c>
      <c r="AW162" s="13" t="s">
        <v>437</v>
      </c>
      <c r="AX162" s="14" t="s">
        <v>437</v>
      </c>
      <c r="AY162" s="13" t="s">
        <v>437</v>
      </c>
      <c r="AZ162" s="13" t="s">
        <v>437</v>
      </c>
      <c r="BA162" s="13" t="s">
        <v>437</v>
      </c>
      <c r="BB162" s="14" t="s">
        <v>437</v>
      </c>
      <c r="BC162" s="13" t="s">
        <v>437</v>
      </c>
      <c r="BD162" s="13" t="s">
        <v>437</v>
      </c>
      <c r="BE162" s="13" t="s">
        <v>437</v>
      </c>
      <c r="BF162" s="14" t="s">
        <v>437</v>
      </c>
      <c r="BG162" s="13" t="s">
        <v>437</v>
      </c>
      <c r="BH162" s="13" t="s">
        <v>437</v>
      </c>
      <c r="BI162" s="13" t="s">
        <v>437</v>
      </c>
      <c r="BJ162" s="14" t="s">
        <v>437</v>
      </c>
      <c r="BK162" s="13" t="s">
        <v>437</v>
      </c>
      <c r="BL162" s="13" t="s">
        <v>437</v>
      </c>
      <c r="BM162" s="13" t="s">
        <v>437</v>
      </c>
      <c r="BN162" s="14" t="s">
        <v>437</v>
      </c>
      <c r="BP162" s="17" t="s">
        <v>437</v>
      </c>
      <c r="BQ162" s="13" t="s">
        <v>437</v>
      </c>
      <c r="BR162" s="13" t="s">
        <v>437</v>
      </c>
      <c r="BS162" s="14" t="s">
        <v>437</v>
      </c>
      <c r="BU162" s="17" t="s">
        <v>437</v>
      </c>
      <c r="BV162" s="13" t="s">
        <v>437</v>
      </c>
      <c r="BW162" s="13" t="s">
        <v>437</v>
      </c>
      <c r="BX162" s="14" t="s">
        <v>437</v>
      </c>
      <c r="BZ162" s="17" t="s">
        <v>437</v>
      </c>
      <c r="CA162" s="13" t="s">
        <v>437</v>
      </c>
      <c r="CB162" s="13" t="s">
        <v>437</v>
      </c>
      <c r="CC162" s="14" t="s">
        <v>437</v>
      </c>
    </row>
    <row r="163" spans="2:81" ht="18" customHeight="1" x14ac:dyDescent="0.2">
      <c r="B163" s="10">
        <f>garage!B163</f>
        <v>163</v>
      </c>
      <c r="C163" s="10">
        <f>garage!C163</f>
        <v>5</v>
      </c>
      <c r="D163" s="10">
        <f>garage!D163</f>
        <v>1</v>
      </c>
      <c r="E163" s="10">
        <f>garage!E163</f>
        <v>0</v>
      </c>
      <c r="F163" s="10" t="str">
        <f>garage!F163</f>
        <v>L</v>
      </c>
      <c r="G163" s="10" t="str">
        <f>garage!G163</f>
        <v>O</v>
      </c>
      <c r="H163" s="10" t="str">
        <f>garage!H163</f>
        <v>O</v>
      </c>
      <c r="I163" s="10" t="str">
        <f>garage!I163</f>
        <v>O</v>
      </c>
      <c r="J163" s="10" t="str">
        <f>garage!J163</f>
        <v>N</v>
      </c>
      <c r="K163" s="10" t="str">
        <f>garage!K163</f>
        <v>S</v>
      </c>
      <c r="L163" s="11" t="str">
        <f>garage!L163</f>
        <v>Lamborghini</v>
      </c>
      <c r="M163" s="11" t="str">
        <f>garage!M163</f>
        <v>Centenario</v>
      </c>
      <c r="O163" s="18">
        <v>1</v>
      </c>
      <c r="P163" s="15">
        <v>1</v>
      </c>
      <c r="Q163" s="15">
        <v>1</v>
      </c>
      <c r="R163" s="16">
        <v>1</v>
      </c>
      <c r="S163" s="15">
        <v>1</v>
      </c>
      <c r="T163" s="15">
        <v>1</v>
      </c>
      <c r="U163" s="15">
        <v>1</v>
      </c>
      <c r="V163" s="16">
        <v>1</v>
      </c>
      <c r="W163" s="15">
        <v>1</v>
      </c>
      <c r="X163" s="15">
        <v>1</v>
      </c>
      <c r="Y163" s="15">
        <v>1</v>
      </c>
      <c r="Z163" s="16">
        <v>1</v>
      </c>
      <c r="AA163" s="15">
        <v>1</v>
      </c>
      <c r="AB163" s="15">
        <v>1</v>
      </c>
      <c r="AC163" s="15">
        <v>1</v>
      </c>
      <c r="AD163" s="16">
        <v>1</v>
      </c>
      <c r="AE163" s="15">
        <v>1</v>
      </c>
      <c r="AF163" s="15">
        <v>1</v>
      </c>
      <c r="AG163" s="15">
        <v>1</v>
      </c>
      <c r="AH163" s="16">
        <v>1</v>
      </c>
      <c r="AI163" s="15">
        <v>1</v>
      </c>
      <c r="AJ163" s="15">
        <v>1</v>
      </c>
      <c r="AK163" s="15">
        <v>1</v>
      </c>
      <c r="AL163" s="16">
        <v>1</v>
      </c>
      <c r="AM163" s="15">
        <v>1</v>
      </c>
      <c r="AN163" s="15">
        <v>1</v>
      </c>
      <c r="AO163" s="15">
        <v>1</v>
      </c>
      <c r="AP163" s="16">
        <v>1</v>
      </c>
      <c r="AQ163" s="15">
        <v>1</v>
      </c>
      <c r="AR163" s="15">
        <v>1</v>
      </c>
      <c r="AS163" s="15">
        <v>1</v>
      </c>
      <c r="AT163" s="16">
        <v>1</v>
      </c>
      <c r="AU163" s="15">
        <v>1</v>
      </c>
      <c r="AV163" s="15">
        <v>1</v>
      </c>
      <c r="AW163" s="15">
        <v>1</v>
      </c>
      <c r="AX163" s="16">
        <v>1</v>
      </c>
      <c r="AY163" s="15">
        <v>1</v>
      </c>
      <c r="AZ163" s="15">
        <v>1</v>
      </c>
      <c r="BA163" s="15">
        <v>1</v>
      </c>
      <c r="BB163" s="16">
        <v>1</v>
      </c>
      <c r="BC163" s="15">
        <v>1</v>
      </c>
      <c r="BD163" s="15">
        <v>1</v>
      </c>
      <c r="BE163" s="15">
        <v>1</v>
      </c>
      <c r="BF163" s="16">
        <v>1</v>
      </c>
      <c r="BG163" s="15">
        <v>1</v>
      </c>
      <c r="BH163" s="15">
        <v>1</v>
      </c>
      <c r="BI163" s="15">
        <v>1</v>
      </c>
      <c r="BJ163" s="16">
        <v>1</v>
      </c>
      <c r="BK163" s="15" t="s">
        <v>437</v>
      </c>
      <c r="BL163" s="15" t="s">
        <v>437</v>
      </c>
      <c r="BM163" s="15" t="s">
        <v>437</v>
      </c>
      <c r="BN163" s="16" t="s">
        <v>437</v>
      </c>
      <c r="BP163" s="18">
        <v>7</v>
      </c>
      <c r="BQ163" s="15">
        <v>7</v>
      </c>
      <c r="BR163" s="15">
        <v>7</v>
      </c>
      <c r="BS163" s="16">
        <v>7</v>
      </c>
      <c r="BU163" s="18">
        <v>5</v>
      </c>
      <c r="BV163" s="15">
        <v>5</v>
      </c>
      <c r="BW163" s="15">
        <v>5</v>
      </c>
      <c r="BX163" s="16">
        <v>5</v>
      </c>
      <c r="BZ163" s="18">
        <v>2</v>
      </c>
      <c r="CA163" s="15" t="s">
        <v>437</v>
      </c>
      <c r="CB163" s="15" t="s">
        <v>437</v>
      </c>
      <c r="CC163" s="16">
        <v>3</v>
      </c>
    </row>
    <row r="164" spans="2:81" ht="18" customHeight="1" x14ac:dyDescent="0.2">
      <c r="B164" s="8">
        <f>garage!B164</f>
        <v>164</v>
      </c>
      <c r="C164" s="8">
        <f>garage!C164</f>
        <v>5</v>
      </c>
      <c r="D164" s="8">
        <f>garage!D164</f>
        <v>2</v>
      </c>
      <c r="E164" s="8">
        <f>garage!E164</f>
        <v>0</v>
      </c>
      <c r="F164" s="8" t="str">
        <f>garage!F164</f>
        <v>F</v>
      </c>
      <c r="G164" s="8" t="str">
        <f>garage!G164</f>
        <v>O</v>
      </c>
      <c r="H164" s="8" t="str">
        <f>garage!H164</f>
        <v>O</v>
      </c>
      <c r="I164" s="8" t="str">
        <f>garage!I164</f>
        <v>O</v>
      </c>
      <c r="J164" s="8" t="str">
        <f>garage!J164</f>
        <v>N</v>
      </c>
      <c r="K164" s="8" t="str">
        <f>garage!K164</f>
        <v>S</v>
      </c>
      <c r="L164" s="9" t="str">
        <f>garage!L164</f>
        <v>Ferrari</v>
      </c>
      <c r="M164" s="9" t="str">
        <f>garage!M164</f>
        <v>FXX K</v>
      </c>
      <c r="O164" s="17">
        <v>1</v>
      </c>
      <c r="P164" s="13">
        <v>1</v>
      </c>
      <c r="Q164" s="13">
        <v>1</v>
      </c>
      <c r="R164" s="14">
        <v>1</v>
      </c>
      <c r="S164" s="13">
        <v>1</v>
      </c>
      <c r="T164" s="13">
        <v>1</v>
      </c>
      <c r="U164" s="13">
        <v>1</v>
      </c>
      <c r="V164" s="14">
        <v>1</v>
      </c>
      <c r="W164" s="13">
        <v>1</v>
      </c>
      <c r="X164" s="13">
        <v>1</v>
      </c>
      <c r="Y164" s="13">
        <v>1</v>
      </c>
      <c r="Z164" s="14">
        <v>1</v>
      </c>
      <c r="AA164" s="13">
        <v>1</v>
      </c>
      <c r="AB164" s="13">
        <v>1</v>
      </c>
      <c r="AC164" s="13">
        <v>1</v>
      </c>
      <c r="AD164" s="14">
        <v>1</v>
      </c>
      <c r="AE164" s="13">
        <v>1</v>
      </c>
      <c r="AF164" s="13">
        <v>1</v>
      </c>
      <c r="AG164" s="13">
        <v>1</v>
      </c>
      <c r="AH164" s="14">
        <v>1</v>
      </c>
      <c r="AI164" s="13">
        <v>1</v>
      </c>
      <c r="AJ164" s="13">
        <v>1</v>
      </c>
      <c r="AK164" s="13">
        <v>1</v>
      </c>
      <c r="AL164" s="14">
        <v>1</v>
      </c>
      <c r="AM164" s="13">
        <v>1</v>
      </c>
      <c r="AN164" s="13">
        <v>1</v>
      </c>
      <c r="AO164" s="13">
        <v>1</v>
      </c>
      <c r="AP164" s="14">
        <v>1</v>
      </c>
      <c r="AQ164" s="13">
        <v>1</v>
      </c>
      <c r="AR164" s="13">
        <v>1</v>
      </c>
      <c r="AS164" s="13">
        <v>1</v>
      </c>
      <c r="AT164" s="14">
        <v>1</v>
      </c>
      <c r="AU164" s="13">
        <v>1</v>
      </c>
      <c r="AV164" s="13">
        <v>1</v>
      </c>
      <c r="AW164" s="13">
        <v>1</v>
      </c>
      <c r="AX164" s="14">
        <v>1</v>
      </c>
      <c r="AY164" s="13">
        <v>1</v>
      </c>
      <c r="AZ164" s="13">
        <v>1</v>
      </c>
      <c r="BA164" s="13">
        <v>1</v>
      </c>
      <c r="BB164" s="14">
        <v>1</v>
      </c>
      <c r="BC164" s="13">
        <v>1</v>
      </c>
      <c r="BD164" s="13">
        <v>1</v>
      </c>
      <c r="BE164" s="13">
        <v>1</v>
      </c>
      <c r="BF164" s="14">
        <v>1</v>
      </c>
      <c r="BG164" s="13">
        <v>1</v>
      </c>
      <c r="BH164" s="13">
        <v>1</v>
      </c>
      <c r="BI164" s="13">
        <v>1</v>
      </c>
      <c r="BJ164" s="14">
        <v>1</v>
      </c>
      <c r="BK164" s="13" t="s">
        <v>437</v>
      </c>
      <c r="BL164" s="13" t="s">
        <v>437</v>
      </c>
      <c r="BM164" s="13" t="s">
        <v>437</v>
      </c>
      <c r="BN164" s="14" t="s">
        <v>437</v>
      </c>
      <c r="BP164" s="17">
        <v>7</v>
      </c>
      <c r="BQ164" s="13">
        <v>7</v>
      </c>
      <c r="BR164" s="13">
        <v>7</v>
      </c>
      <c r="BS164" s="14">
        <v>7</v>
      </c>
      <c r="BU164" s="17">
        <v>5</v>
      </c>
      <c r="BV164" s="13">
        <v>5</v>
      </c>
      <c r="BW164" s="13">
        <v>5</v>
      </c>
      <c r="BX164" s="14">
        <v>5</v>
      </c>
      <c r="BZ164" s="17">
        <v>3</v>
      </c>
      <c r="CA164" s="13">
        <v>3</v>
      </c>
      <c r="CB164" s="13">
        <v>3</v>
      </c>
      <c r="CC164" s="14">
        <v>3</v>
      </c>
    </row>
    <row r="165" spans="2:81" ht="18" customHeight="1" x14ac:dyDescent="0.2">
      <c r="B165" s="10">
        <f>garage!B165</f>
        <v>165</v>
      </c>
      <c r="C165" s="10">
        <f>garage!C165</f>
        <v>5</v>
      </c>
      <c r="D165" s="10">
        <f>garage!D165</f>
        <v>3</v>
      </c>
      <c r="E165" s="10">
        <f>garage!E165</f>
        <v>0</v>
      </c>
      <c r="F165" s="10" t="str">
        <f>garage!F165</f>
        <v>--</v>
      </c>
      <c r="G165" s="10" t="str">
        <f>garage!G165</f>
        <v>O</v>
      </c>
      <c r="H165" s="10" t="str">
        <f>garage!H165</f>
        <v>O</v>
      </c>
      <c r="I165" s="10" t="str">
        <f>garage!I165</f>
        <v>O</v>
      </c>
      <c r="J165" s="10" t="str">
        <f>garage!J165</f>
        <v>N</v>
      </c>
      <c r="K165" s="10" t="str">
        <f>garage!K165</f>
        <v>S</v>
      </c>
      <c r="L165" s="11" t="str">
        <f>garage!L165</f>
        <v>Icona</v>
      </c>
      <c r="M165" s="11" t="str">
        <f>garage!M165</f>
        <v>Vulcano Titanium</v>
      </c>
      <c r="O165" s="18">
        <v>1</v>
      </c>
      <c r="P165" s="15">
        <v>1</v>
      </c>
      <c r="Q165" s="15">
        <v>1</v>
      </c>
      <c r="R165" s="16">
        <v>1</v>
      </c>
      <c r="S165" s="15">
        <v>1</v>
      </c>
      <c r="T165" s="15">
        <v>1</v>
      </c>
      <c r="U165" s="15">
        <v>1</v>
      </c>
      <c r="V165" s="16">
        <v>1</v>
      </c>
      <c r="W165" s="15">
        <v>1</v>
      </c>
      <c r="X165" s="15">
        <v>1</v>
      </c>
      <c r="Y165" s="15">
        <v>1</v>
      </c>
      <c r="Z165" s="16">
        <v>1</v>
      </c>
      <c r="AA165" s="15">
        <v>1</v>
      </c>
      <c r="AB165" s="15">
        <v>1</v>
      </c>
      <c r="AC165" s="15">
        <v>1</v>
      </c>
      <c r="AD165" s="16">
        <v>1</v>
      </c>
      <c r="AE165" s="15">
        <v>1</v>
      </c>
      <c r="AF165" s="15">
        <v>1</v>
      </c>
      <c r="AG165" s="15">
        <v>1</v>
      </c>
      <c r="AH165" s="16">
        <v>1</v>
      </c>
      <c r="AI165" s="15">
        <v>1</v>
      </c>
      <c r="AJ165" s="15">
        <v>1</v>
      </c>
      <c r="AK165" s="15">
        <v>1</v>
      </c>
      <c r="AL165" s="16">
        <v>1</v>
      </c>
      <c r="AM165" s="15">
        <v>1</v>
      </c>
      <c r="AN165" s="15">
        <v>1</v>
      </c>
      <c r="AO165" s="15">
        <v>1</v>
      </c>
      <c r="AP165" s="16">
        <v>1</v>
      </c>
      <c r="AQ165" s="15">
        <v>1</v>
      </c>
      <c r="AR165" s="15">
        <v>1</v>
      </c>
      <c r="AS165" s="15">
        <v>1</v>
      </c>
      <c r="AT165" s="16">
        <v>1</v>
      </c>
      <c r="AU165" s="15">
        <v>1</v>
      </c>
      <c r="AV165" s="15">
        <v>1</v>
      </c>
      <c r="AW165" s="15">
        <v>1</v>
      </c>
      <c r="AX165" s="16">
        <v>1</v>
      </c>
      <c r="AY165" s="15">
        <v>1</v>
      </c>
      <c r="AZ165" s="15">
        <v>1</v>
      </c>
      <c r="BA165" s="15">
        <v>1</v>
      </c>
      <c r="BB165" s="16">
        <v>1</v>
      </c>
      <c r="BC165" s="15">
        <v>1</v>
      </c>
      <c r="BD165" s="15">
        <v>1</v>
      </c>
      <c r="BE165" s="15">
        <v>1</v>
      </c>
      <c r="BF165" s="16">
        <v>1</v>
      </c>
      <c r="BG165" s="15">
        <v>1</v>
      </c>
      <c r="BH165" s="15">
        <v>1</v>
      </c>
      <c r="BI165" s="15">
        <v>1</v>
      </c>
      <c r="BJ165" s="16">
        <v>1</v>
      </c>
      <c r="BK165" s="15" t="s">
        <v>437</v>
      </c>
      <c r="BL165" s="15" t="s">
        <v>437</v>
      </c>
      <c r="BM165" s="15" t="s">
        <v>437</v>
      </c>
      <c r="BN165" s="16" t="s">
        <v>437</v>
      </c>
      <c r="BP165" s="18">
        <v>7</v>
      </c>
      <c r="BQ165" s="15">
        <v>7</v>
      </c>
      <c r="BR165" s="15">
        <v>7</v>
      </c>
      <c r="BS165" s="16">
        <v>7</v>
      </c>
      <c r="BU165" s="18">
        <v>5</v>
      </c>
      <c r="BV165" s="15">
        <v>5</v>
      </c>
      <c r="BW165" s="15">
        <v>5</v>
      </c>
      <c r="BX165" s="16">
        <v>5</v>
      </c>
      <c r="BZ165" s="18">
        <v>3</v>
      </c>
      <c r="CA165" s="15">
        <v>3</v>
      </c>
      <c r="CB165" s="15">
        <v>3</v>
      </c>
      <c r="CC165" s="16">
        <v>3</v>
      </c>
    </row>
    <row r="166" spans="2:81" ht="18" customHeight="1" x14ac:dyDescent="0.2">
      <c r="B166" s="8">
        <f>garage!B166</f>
        <v>166</v>
      </c>
      <c r="C166" s="8">
        <f>garage!C166</f>
        <v>5</v>
      </c>
      <c r="D166" s="8">
        <f>garage!D166</f>
        <v>4</v>
      </c>
      <c r="E166" s="8">
        <f>garage!E166</f>
        <v>0</v>
      </c>
      <c r="F166" s="8" t="str">
        <f>garage!F166</f>
        <v>--</v>
      </c>
      <c r="G166" s="8" t="str">
        <f>garage!G166</f>
        <v>O</v>
      </c>
      <c r="H166" s="8" t="str">
        <f>garage!H166</f>
        <v>O</v>
      </c>
      <c r="I166" s="8" t="str">
        <f>garage!I166</f>
        <v>O</v>
      </c>
      <c r="J166" s="8" t="str">
        <f>garage!J166</f>
        <v>N</v>
      </c>
      <c r="K166" s="8" t="str">
        <f>garage!K166</f>
        <v>S</v>
      </c>
      <c r="L166" s="9" t="str">
        <f>garage!L166</f>
        <v>W Motors</v>
      </c>
      <c r="M166" s="9" t="str">
        <f>garage!M166</f>
        <v>Lykan Hypersport</v>
      </c>
      <c r="O166" s="17">
        <v>1</v>
      </c>
      <c r="P166" s="13">
        <v>1</v>
      </c>
      <c r="Q166" s="13">
        <v>1</v>
      </c>
      <c r="R166" s="14">
        <v>1</v>
      </c>
      <c r="S166" s="13">
        <v>1</v>
      </c>
      <c r="T166" s="13">
        <v>1</v>
      </c>
      <c r="U166" s="13">
        <v>1</v>
      </c>
      <c r="V166" s="14">
        <v>1</v>
      </c>
      <c r="W166" s="13">
        <v>1</v>
      </c>
      <c r="X166" s="13">
        <v>1</v>
      </c>
      <c r="Y166" s="13">
        <v>1</v>
      </c>
      <c r="Z166" s="14">
        <v>1</v>
      </c>
      <c r="AA166" s="13">
        <v>1</v>
      </c>
      <c r="AB166" s="13">
        <v>1</v>
      </c>
      <c r="AC166" s="13">
        <v>1</v>
      </c>
      <c r="AD166" s="14">
        <v>1</v>
      </c>
      <c r="AE166" s="13">
        <v>1</v>
      </c>
      <c r="AF166" s="13">
        <v>1</v>
      </c>
      <c r="AG166" s="13">
        <v>1</v>
      </c>
      <c r="AH166" s="14">
        <v>1</v>
      </c>
      <c r="AI166" s="13">
        <v>1</v>
      </c>
      <c r="AJ166" s="13">
        <v>1</v>
      </c>
      <c r="AK166" s="13">
        <v>1</v>
      </c>
      <c r="AL166" s="14">
        <v>1</v>
      </c>
      <c r="AM166" s="13">
        <v>1</v>
      </c>
      <c r="AN166" s="13">
        <v>1</v>
      </c>
      <c r="AO166" s="13">
        <v>1</v>
      </c>
      <c r="AP166" s="14">
        <v>1</v>
      </c>
      <c r="AQ166" s="13">
        <v>1</v>
      </c>
      <c r="AR166" s="13">
        <v>1</v>
      </c>
      <c r="AS166" s="13">
        <v>1</v>
      </c>
      <c r="AT166" s="14">
        <v>1</v>
      </c>
      <c r="AU166" s="13">
        <v>1</v>
      </c>
      <c r="AV166" s="13">
        <v>1</v>
      </c>
      <c r="AW166" s="13">
        <v>1</v>
      </c>
      <c r="AX166" s="14">
        <v>1</v>
      </c>
      <c r="AY166" s="13">
        <v>1</v>
      </c>
      <c r="AZ166" s="13">
        <v>1</v>
      </c>
      <c r="BA166" s="13">
        <v>1</v>
      </c>
      <c r="BB166" s="14">
        <v>1</v>
      </c>
      <c r="BC166" s="13">
        <v>1</v>
      </c>
      <c r="BD166" s="13">
        <v>1</v>
      </c>
      <c r="BE166" s="13">
        <v>1</v>
      </c>
      <c r="BF166" s="14">
        <v>1</v>
      </c>
      <c r="BG166" s="13">
        <v>1</v>
      </c>
      <c r="BH166" s="13">
        <v>1</v>
      </c>
      <c r="BI166" s="13">
        <v>1</v>
      </c>
      <c r="BJ166" s="14">
        <v>1</v>
      </c>
      <c r="BK166" s="13" t="s">
        <v>437</v>
      </c>
      <c r="BL166" s="13" t="s">
        <v>437</v>
      </c>
      <c r="BM166" s="13" t="s">
        <v>437</v>
      </c>
      <c r="BN166" s="14" t="s">
        <v>437</v>
      </c>
      <c r="BP166" s="17">
        <v>7</v>
      </c>
      <c r="BQ166" s="13">
        <v>7</v>
      </c>
      <c r="BR166" s="13">
        <v>7</v>
      </c>
      <c r="BS166" s="14">
        <v>7</v>
      </c>
      <c r="BU166" s="17">
        <v>5</v>
      </c>
      <c r="BV166" s="13">
        <v>5</v>
      </c>
      <c r="BW166" s="13">
        <v>5</v>
      </c>
      <c r="BX166" s="14">
        <v>5</v>
      </c>
      <c r="BZ166" s="17">
        <v>3</v>
      </c>
      <c r="CA166" s="13">
        <v>3</v>
      </c>
      <c r="CB166" s="13">
        <v>3</v>
      </c>
      <c r="CC166" s="14">
        <v>3</v>
      </c>
    </row>
    <row r="167" spans="2:81" ht="18" hidden="1" customHeight="1" x14ac:dyDescent="0.2">
      <c r="B167" s="10">
        <f>garage!B167</f>
        <v>167</v>
      </c>
      <c r="C167" s="10">
        <f>garage!C167</f>
        <v>5</v>
      </c>
      <c r="D167" s="10">
        <f>garage!D167</f>
        <v>5</v>
      </c>
      <c r="E167" s="10">
        <f>garage!E167</f>
        <v>21</v>
      </c>
      <c r="F167" s="10" t="str">
        <f>garage!F167</f>
        <v>--</v>
      </c>
      <c r="G167" s="10" t="str">
        <f>garage!G167</f>
        <v>N</v>
      </c>
      <c r="H167" s="10" t="str">
        <f>garage!H167</f>
        <v>N</v>
      </c>
      <c r="I167" s="10" t="str">
        <f>garage!I167</f>
        <v>N</v>
      </c>
      <c r="J167" s="10" t="str">
        <f>garage!J167</f>
        <v>N</v>
      </c>
      <c r="K167" s="10" t="str">
        <f>garage!K167</f>
        <v>S</v>
      </c>
      <c r="L167" s="11" t="str">
        <f>garage!L167</f>
        <v>Raesr</v>
      </c>
      <c r="M167" s="11" t="str">
        <f>garage!M167</f>
        <v>Tachyon Speed</v>
      </c>
      <c r="O167" s="18" t="s">
        <v>437</v>
      </c>
      <c r="P167" s="15" t="s">
        <v>437</v>
      </c>
      <c r="Q167" s="15" t="s">
        <v>437</v>
      </c>
      <c r="R167" s="16" t="s">
        <v>437</v>
      </c>
      <c r="S167" s="15" t="s">
        <v>437</v>
      </c>
      <c r="T167" s="15" t="s">
        <v>437</v>
      </c>
      <c r="U167" s="15" t="s">
        <v>437</v>
      </c>
      <c r="V167" s="16" t="s">
        <v>437</v>
      </c>
      <c r="W167" s="15" t="s">
        <v>437</v>
      </c>
      <c r="X167" s="15" t="s">
        <v>437</v>
      </c>
      <c r="Y167" s="15" t="s">
        <v>437</v>
      </c>
      <c r="Z167" s="16" t="s">
        <v>437</v>
      </c>
      <c r="AA167" s="15" t="s">
        <v>437</v>
      </c>
      <c r="AB167" s="15" t="s">
        <v>437</v>
      </c>
      <c r="AC167" s="15" t="s">
        <v>437</v>
      </c>
      <c r="AD167" s="16" t="s">
        <v>437</v>
      </c>
      <c r="AE167" s="15" t="s">
        <v>437</v>
      </c>
      <c r="AF167" s="15" t="s">
        <v>437</v>
      </c>
      <c r="AG167" s="15" t="s">
        <v>437</v>
      </c>
      <c r="AH167" s="16" t="s">
        <v>437</v>
      </c>
      <c r="AI167" s="15" t="s">
        <v>437</v>
      </c>
      <c r="AJ167" s="15" t="s">
        <v>437</v>
      </c>
      <c r="AK167" s="15" t="s">
        <v>437</v>
      </c>
      <c r="AL167" s="16" t="s">
        <v>437</v>
      </c>
      <c r="AM167" s="15" t="s">
        <v>437</v>
      </c>
      <c r="AN167" s="15" t="s">
        <v>437</v>
      </c>
      <c r="AO167" s="15" t="s">
        <v>437</v>
      </c>
      <c r="AP167" s="16" t="s">
        <v>437</v>
      </c>
      <c r="AQ167" s="15" t="s">
        <v>437</v>
      </c>
      <c r="AR167" s="15" t="s">
        <v>437</v>
      </c>
      <c r="AS167" s="15" t="s">
        <v>437</v>
      </c>
      <c r="AT167" s="16" t="s">
        <v>437</v>
      </c>
      <c r="AU167" s="15" t="s">
        <v>437</v>
      </c>
      <c r="AV167" s="15" t="s">
        <v>437</v>
      </c>
      <c r="AW167" s="15" t="s">
        <v>437</v>
      </c>
      <c r="AX167" s="16" t="s">
        <v>437</v>
      </c>
      <c r="AY167" s="15" t="s">
        <v>437</v>
      </c>
      <c r="AZ167" s="15" t="s">
        <v>437</v>
      </c>
      <c r="BA167" s="15" t="s">
        <v>437</v>
      </c>
      <c r="BB167" s="16" t="s">
        <v>437</v>
      </c>
      <c r="BC167" s="15" t="s">
        <v>437</v>
      </c>
      <c r="BD167" s="15" t="s">
        <v>437</v>
      </c>
      <c r="BE167" s="15" t="s">
        <v>437</v>
      </c>
      <c r="BF167" s="16" t="s">
        <v>437</v>
      </c>
      <c r="BG167" s="15" t="s">
        <v>437</v>
      </c>
      <c r="BH167" s="15" t="s">
        <v>437</v>
      </c>
      <c r="BI167" s="15" t="s">
        <v>437</v>
      </c>
      <c r="BJ167" s="16" t="s">
        <v>437</v>
      </c>
      <c r="BK167" s="15" t="s">
        <v>437</v>
      </c>
      <c r="BL167" s="15" t="s">
        <v>437</v>
      </c>
      <c r="BM167" s="15" t="s">
        <v>437</v>
      </c>
      <c r="BN167" s="16" t="s">
        <v>437</v>
      </c>
      <c r="BP167" s="18" t="s">
        <v>437</v>
      </c>
      <c r="BQ167" s="15" t="s">
        <v>437</v>
      </c>
      <c r="BR167" s="15" t="s">
        <v>437</v>
      </c>
      <c r="BS167" s="16" t="s">
        <v>437</v>
      </c>
      <c r="BU167" s="18" t="s">
        <v>437</v>
      </c>
      <c r="BV167" s="15" t="s">
        <v>437</v>
      </c>
      <c r="BW167" s="15" t="s">
        <v>437</v>
      </c>
      <c r="BX167" s="16" t="s">
        <v>437</v>
      </c>
      <c r="BZ167" s="18" t="s">
        <v>437</v>
      </c>
      <c r="CA167" s="15" t="s">
        <v>437</v>
      </c>
      <c r="CB167" s="15" t="s">
        <v>437</v>
      </c>
      <c r="CC167" s="16" t="s">
        <v>437</v>
      </c>
    </row>
    <row r="168" spans="2:81" ht="18" customHeight="1" x14ac:dyDescent="0.2">
      <c r="B168" s="8">
        <f>garage!B168</f>
        <v>168</v>
      </c>
      <c r="C168" s="8">
        <f>garage!C168</f>
        <v>5</v>
      </c>
      <c r="D168" s="8">
        <f>garage!D168</f>
        <v>6</v>
      </c>
      <c r="E168" s="8">
        <f>garage!E168</f>
        <v>12</v>
      </c>
      <c r="F168" s="8" t="str">
        <f>garage!F168</f>
        <v>L</v>
      </c>
      <c r="G168" s="8" t="str">
        <f>garage!G168</f>
        <v>O</v>
      </c>
      <c r="H168" s="8" t="str">
        <f>garage!H168</f>
        <v>O</v>
      </c>
      <c r="I168" s="8" t="str">
        <f>garage!I168</f>
        <v>O</v>
      </c>
      <c r="J168" s="8" t="str">
        <f>garage!J168</f>
        <v>N</v>
      </c>
      <c r="K168" s="8" t="str">
        <f>garage!K168</f>
        <v>S</v>
      </c>
      <c r="L168" s="9" t="str">
        <f>garage!L168</f>
        <v>Lamborghini</v>
      </c>
      <c r="M168" s="9" t="str">
        <f>garage!M168</f>
        <v>Veneno</v>
      </c>
      <c r="O168" s="17">
        <v>1</v>
      </c>
      <c r="P168" s="13">
        <v>1</v>
      </c>
      <c r="Q168" s="13">
        <v>1</v>
      </c>
      <c r="R168" s="14">
        <v>1</v>
      </c>
      <c r="S168" s="13">
        <v>1</v>
      </c>
      <c r="T168" s="13">
        <v>1</v>
      </c>
      <c r="U168" s="13">
        <v>1</v>
      </c>
      <c r="V168" s="14">
        <v>1</v>
      </c>
      <c r="W168" s="13">
        <v>1</v>
      </c>
      <c r="X168" s="13">
        <v>1</v>
      </c>
      <c r="Y168" s="13">
        <v>1</v>
      </c>
      <c r="Z168" s="14">
        <v>1</v>
      </c>
      <c r="AA168" s="13">
        <v>1</v>
      </c>
      <c r="AB168" s="13">
        <v>1</v>
      </c>
      <c r="AC168" s="13">
        <v>1</v>
      </c>
      <c r="AD168" s="14">
        <v>1</v>
      </c>
      <c r="AE168" s="13">
        <v>1</v>
      </c>
      <c r="AF168" s="13">
        <v>1</v>
      </c>
      <c r="AG168" s="13">
        <v>1</v>
      </c>
      <c r="AH168" s="14">
        <v>1</v>
      </c>
      <c r="AI168" s="13">
        <v>1</v>
      </c>
      <c r="AJ168" s="13">
        <v>1</v>
      </c>
      <c r="AK168" s="13">
        <v>1</v>
      </c>
      <c r="AL168" s="14">
        <v>1</v>
      </c>
      <c r="AM168" s="13">
        <v>1</v>
      </c>
      <c r="AN168" s="13">
        <v>1</v>
      </c>
      <c r="AO168" s="13">
        <v>1</v>
      </c>
      <c r="AP168" s="14">
        <v>1</v>
      </c>
      <c r="AQ168" s="13">
        <v>1</v>
      </c>
      <c r="AR168" s="13">
        <v>1</v>
      </c>
      <c r="AS168" s="13">
        <v>1</v>
      </c>
      <c r="AT168" s="14">
        <v>1</v>
      </c>
      <c r="AU168" s="13">
        <v>1</v>
      </c>
      <c r="AV168" s="13">
        <v>1</v>
      </c>
      <c r="AW168" s="13">
        <v>1</v>
      </c>
      <c r="AX168" s="14">
        <v>1</v>
      </c>
      <c r="AY168" s="13">
        <v>1</v>
      </c>
      <c r="AZ168" s="13">
        <v>1</v>
      </c>
      <c r="BA168" s="13">
        <v>1</v>
      </c>
      <c r="BB168" s="14">
        <v>1</v>
      </c>
      <c r="BC168" s="13">
        <v>1</v>
      </c>
      <c r="BD168" s="13">
        <v>1</v>
      </c>
      <c r="BE168" s="13">
        <v>1</v>
      </c>
      <c r="BF168" s="14">
        <v>1</v>
      </c>
      <c r="BG168" s="13">
        <v>1</v>
      </c>
      <c r="BH168" s="13">
        <v>1</v>
      </c>
      <c r="BI168" s="13">
        <v>1</v>
      </c>
      <c r="BJ168" s="14">
        <v>1</v>
      </c>
      <c r="BK168" s="13">
        <v>1</v>
      </c>
      <c r="BL168" s="13">
        <v>1</v>
      </c>
      <c r="BM168" s="13">
        <v>1</v>
      </c>
      <c r="BN168" s="14">
        <v>1</v>
      </c>
      <c r="BP168" s="17">
        <v>7</v>
      </c>
      <c r="BQ168" s="13">
        <v>7</v>
      </c>
      <c r="BR168" s="13">
        <v>7</v>
      </c>
      <c r="BS168" s="14">
        <v>7</v>
      </c>
      <c r="BU168" s="17">
        <v>5</v>
      </c>
      <c r="BV168" s="13">
        <v>5</v>
      </c>
      <c r="BW168" s="13">
        <v>5</v>
      </c>
      <c r="BX168" s="14">
        <v>5</v>
      </c>
      <c r="BZ168" s="17">
        <v>3</v>
      </c>
      <c r="CA168" s="13" t="s">
        <v>437</v>
      </c>
      <c r="CB168" s="13" t="s">
        <v>437</v>
      </c>
      <c r="CC168" s="14" t="s">
        <v>437</v>
      </c>
    </row>
    <row r="169" spans="2:81" ht="18" hidden="1" customHeight="1" x14ac:dyDescent="0.2">
      <c r="B169" s="10">
        <f>garage!B169</f>
        <v>169</v>
      </c>
      <c r="C169" s="10">
        <f>garage!C169</f>
        <v>5</v>
      </c>
      <c r="D169" s="10">
        <f>garage!D169</f>
        <v>7</v>
      </c>
      <c r="E169" s="10">
        <f>garage!E169</f>
        <v>23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garage!J169</f>
        <v>N</v>
      </c>
      <c r="K169" s="10" t="str">
        <f>garage!K169</f>
        <v>S</v>
      </c>
      <c r="L169" s="11" t="str">
        <f>garage!L169</f>
        <v>Jaguar</v>
      </c>
      <c r="M169" s="11" t="str">
        <f>garage!M169</f>
        <v>XJ220S TWR</v>
      </c>
      <c r="O169" s="18" t="s">
        <v>437</v>
      </c>
      <c r="P169" s="15" t="s">
        <v>437</v>
      </c>
      <c r="Q169" s="15" t="s">
        <v>437</v>
      </c>
      <c r="R169" s="16" t="s">
        <v>437</v>
      </c>
      <c r="S169" s="15" t="s">
        <v>437</v>
      </c>
      <c r="T169" s="15" t="s">
        <v>437</v>
      </c>
      <c r="U169" s="15" t="s">
        <v>437</v>
      </c>
      <c r="V169" s="16" t="s">
        <v>437</v>
      </c>
      <c r="W169" s="15" t="s">
        <v>437</v>
      </c>
      <c r="X169" s="15" t="s">
        <v>437</v>
      </c>
      <c r="Y169" s="15" t="s">
        <v>437</v>
      </c>
      <c r="Z169" s="16" t="s">
        <v>437</v>
      </c>
      <c r="AA169" s="15" t="s">
        <v>437</v>
      </c>
      <c r="AB169" s="15" t="s">
        <v>437</v>
      </c>
      <c r="AC169" s="15" t="s">
        <v>437</v>
      </c>
      <c r="AD169" s="16" t="s">
        <v>437</v>
      </c>
      <c r="AE169" s="15" t="s">
        <v>437</v>
      </c>
      <c r="AF169" s="15" t="s">
        <v>437</v>
      </c>
      <c r="AG169" s="15" t="s">
        <v>437</v>
      </c>
      <c r="AH169" s="16" t="s">
        <v>437</v>
      </c>
      <c r="AI169" s="15" t="s">
        <v>437</v>
      </c>
      <c r="AJ169" s="15" t="s">
        <v>437</v>
      </c>
      <c r="AK169" s="15" t="s">
        <v>437</v>
      </c>
      <c r="AL169" s="16" t="s">
        <v>437</v>
      </c>
      <c r="AM169" s="15" t="s">
        <v>437</v>
      </c>
      <c r="AN169" s="15" t="s">
        <v>437</v>
      </c>
      <c r="AO169" s="15" t="s">
        <v>437</v>
      </c>
      <c r="AP169" s="16" t="s">
        <v>437</v>
      </c>
      <c r="AQ169" s="15" t="s">
        <v>437</v>
      </c>
      <c r="AR169" s="15" t="s">
        <v>437</v>
      </c>
      <c r="AS169" s="15" t="s">
        <v>437</v>
      </c>
      <c r="AT169" s="16" t="s">
        <v>437</v>
      </c>
      <c r="AU169" s="15" t="s">
        <v>437</v>
      </c>
      <c r="AV169" s="15" t="s">
        <v>437</v>
      </c>
      <c r="AW169" s="15" t="s">
        <v>437</v>
      </c>
      <c r="AX169" s="16" t="s">
        <v>437</v>
      </c>
      <c r="AY169" s="15" t="s">
        <v>437</v>
      </c>
      <c r="AZ169" s="15" t="s">
        <v>437</v>
      </c>
      <c r="BA169" s="15" t="s">
        <v>437</v>
      </c>
      <c r="BB169" s="16" t="s">
        <v>437</v>
      </c>
      <c r="BC169" s="15" t="s">
        <v>437</v>
      </c>
      <c r="BD169" s="15" t="s">
        <v>437</v>
      </c>
      <c r="BE169" s="15" t="s">
        <v>437</v>
      </c>
      <c r="BF169" s="16" t="s">
        <v>437</v>
      </c>
      <c r="BG169" s="15" t="s">
        <v>437</v>
      </c>
      <c r="BH169" s="15" t="s">
        <v>437</v>
      </c>
      <c r="BI169" s="15" t="s">
        <v>437</v>
      </c>
      <c r="BJ169" s="16" t="s">
        <v>437</v>
      </c>
      <c r="BK169" s="15" t="s">
        <v>437</v>
      </c>
      <c r="BL169" s="15" t="s">
        <v>437</v>
      </c>
      <c r="BM169" s="15" t="s">
        <v>437</v>
      </c>
      <c r="BN169" s="16" t="s">
        <v>437</v>
      </c>
      <c r="BP169" s="18" t="s">
        <v>437</v>
      </c>
      <c r="BQ169" s="15" t="s">
        <v>437</v>
      </c>
      <c r="BR169" s="15" t="s">
        <v>437</v>
      </c>
      <c r="BS169" s="16" t="s">
        <v>437</v>
      </c>
      <c r="BU169" s="18" t="s">
        <v>437</v>
      </c>
      <c r="BV169" s="15" t="s">
        <v>437</v>
      </c>
      <c r="BW169" s="15" t="s">
        <v>437</v>
      </c>
      <c r="BX169" s="16" t="s">
        <v>437</v>
      </c>
      <c r="BZ169" s="18" t="s">
        <v>437</v>
      </c>
      <c r="CA169" s="15" t="s">
        <v>437</v>
      </c>
      <c r="CB169" s="15" t="s">
        <v>437</v>
      </c>
      <c r="CC169" s="16" t="s">
        <v>437</v>
      </c>
    </row>
    <row r="170" spans="2:81" ht="18" customHeight="1" x14ac:dyDescent="0.2">
      <c r="B170" s="8">
        <f>garage!B170</f>
        <v>170</v>
      </c>
      <c r="C170" s="8">
        <f>garage!C170</f>
        <v>5</v>
      </c>
      <c r="D170" s="8">
        <f>garage!D170</f>
        <v>8</v>
      </c>
      <c r="E170" s="8">
        <f>garage!E170</f>
        <v>0</v>
      </c>
      <c r="F170" s="8" t="str">
        <f>garage!F170</f>
        <v>L</v>
      </c>
      <c r="G170" s="8" t="str">
        <f>garage!G170</f>
        <v>O</v>
      </c>
      <c r="H170" s="8" t="str">
        <f>garage!H170</f>
        <v>O</v>
      </c>
      <c r="I170" s="8" t="str">
        <f>garage!I170</f>
        <v>O</v>
      </c>
      <c r="J170" s="8" t="str">
        <f>garage!J170</f>
        <v>N</v>
      </c>
      <c r="K170" s="8" t="str">
        <f>garage!K170</f>
        <v>S</v>
      </c>
      <c r="L170" s="9" t="str">
        <f>garage!L170</f>
        <v>Lamborghini</v>
      </c>
      <c r="M170" s="9" t="str">
        <f>garage!M170</f>
        <v>Egoista</v>
      </c>
      <c r="O170" s="17">
        <v>1</v>
      </c>
      <c r="P170" s="13">
        <v>1</v>
      </c>
      <c r="Q170" s="13">
        <v>1</v>
      </c>
      <c r="R170" s="14">
        <v>1</v>
      </c>
      <c r="S170" s="13">
        <v>1</v>
      </c>
      <c r="T170" s="13">
        <v>1</v>
      </c>
      <c r="U170" s="13">
        <v>1</v>
      </c>
      <c r="V170" s="14">
        <v>1</v>
      </c>
      <c r="W170" s="13">
        <v>1</v>
      </c>
      <c r="X170" s="13">
        <v>1</v>
      </c>
      <c r="Y170" s="13">
        <v>1</v>
      </c>
      <c r="Z170" s="14">
        <v>1</v>
      </c>
      <c r="AA170" s="13">
        <v>1</v>
      </c>
      <c r="AB170" s="13">
        <v>1</v>
      </c>
      <c r="AC170" s="13">
        <v>1</v>
      </c>
      <c r="AD170" s="14">
        <v>1</v>
      </c>
      <c r="AE170" s="13">
        <v>1</v>
      </c>
      <c r="AF170" s="13">
        <v>1</v>
      </c>
      <c r="AG170" s="13">
        <v>1</v>
      </c>
      <c r="AH170" s="14">
        <v>1</v>
      </c>
      <c r="AI170" s="13">
        <v>1</v>
      </c>
      <c r="AJ170" s="13">
        <v>1</v>
      </c>
      <c r="AK170" s="13">
        <v>1</v>
      </c>
      <c r="AL170" s="14">
        <v>1</v>
      </c>
      <c r="AM170" s="13">
        <v>1</v>
      </c>
      <c r="AN170" s="13">
        <v>1</v>
      </c>
      <c r="AO170" s="13">
        <v>1</v>
      </c>
      <c r="AP170" s="14">
        <v>1</v>
      </c>
      <c r="AQ170" s="13">
        <v>1</v>
      </c>
      <c r="AR170" s="13">
        <v>1</v>
      </c>
      <c r="AS170" s="13">
        <v>1</v>
      </c>
      <c r="AT170" s="14">
        <v>1</v>
      </c>
      <c r="AU170" s="13">
        <v>1</v>
      </c>
      <c r="AV170" s="13">
        <v>1</v>
      </c>
      <c r="AW170" s="13">
        <v>1</v>
      </c>
      <c r="AX170" s="14">
        <v>1</v>
      </c>
      <c r="AY170" s="13">
        <v>1</v>
      </c>
      <c r="AZ170" s="13">
        <v>1</v>
      </c>
      <c r="BA170" s="13">
        <v>1</v>
      </c>
      <c r="BB170" s="14">
        <v>1</v>
      </c>
      <c r="BC170" s="13">
        <v>1</v>
      </c>
      <c r="BD170" s="13">
        <v>1</v>
      </c>
      <c r="BE170" s="13">
        <v>1</v>
      </c>
      <c r="BF170" s="14">
        <v>1</v>
      </c>
      <c r="BG170" s="13">
        <v>1</v>
      </c>
      <c r="BH170" s="13">
        <v>1</v>
      </c>
      <c r="BI170" s="13">
        <v>1</v>
      </c>
      <c r="BJ170" s="14">
        <v>1</v>
      </c>
      <c r="BK170" s="13">
        <v>1</v>
      </c>
      <c r="BL170" s="13">
        <v>1</v>
      </c>
      <c r="BM170" s="13">
        <v>1</v>
      </c>
      <c r="BN170" s="14">
        <v>1</v>
      </c>
      <c r="BP170" s="17">
        <v>7</v>
      </c>
      <c r="BQ170" s="13">
        <v>7</v>
      </c>
      <c r="BR170" s="13">
        <v>7</v>
      </c>
      <c r="BS170" s="14">
        <v>7</v>
      </c>
      <c r="BU170" s="17">
        <v>5</v>
      </c>
      <c r="BV170" s="13">
        <v>5</v>
      </c>
      <c r="BW170" s="13">
        <v>5</v>
      </c>
      <c r="BX170" s="14">
        <v>5</v>
      </c>
      <c r="BZ170" s="17">
        <v>4</v>
      </c>
      <c r="CA170" s="13">
        <v>4</v>
      </c>
      <c r="CB170" s="13">
        <v>4</v>
      </c>
      <c r="CC170" s="14">
        <v>4</v>
      </c>
    </row>
    <row r="171" spans="2:81" ht="18" hidden="1" customHeight="1" x14ac:dyDescent="0.2">
      <c r="B171" s="10">
        <f>garage!B171</f>
        <v>171</v>
      </c>
      <c r="C171" s="10">
        <f>garage!C171</f>
        <v>5</v>
      </c>
      <c r="D171" s="10">
        <f>garage!D171</f>
        <v>9</v>
      </c>
      <c r="E171" s="10">
        <f>garage!E171</f>
        <v>28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garage!J171</f>
        <v>N</v>
      </c>
      <c r="K171" s="10" t="str">
        <f>garage!K171</f>
        <v>S</v>
      </c>
      <c r="L171" s="11" t="str">
        <f>garage!L171</f>
        <v>Chrysler</v>
      </c>
      <c r="M171" s="11" t="str">
        <f>garage!M171</f>
        <v>ME412</v>
      </c>
      <c r="O171" s="18" t="s">
        <v>437</v>
      </c>
      <c r="P171" s="15" t="s">
        <v>437</v>
      </c>
      <c r="Q171" s="15" t="s">
        <v>437</v>
      </c>
      <c r="R171" s="16" t="s">
        <v>437</v>
      </c>
      <c r="S171" s="15" t="s">
        <v>437</v>
      </c>
      <c r="T171" s="15" t="s">
        <v>437</v>
      </c>
      <c r="U171" s="15" t="s">
        <v>437</v>
      </c>
      <c r="V171" s="16" t="s">
        <v>437</v>
      </c>
      <c r="W171" s="15" t="s">
        <v>437</v>
      </c>
      <c r="X171" s="15" t="s">
        <v>437</v>
      </c>
      <c r="Y171" s="15" t="s">
        <v>437</v>
      </c>
      <c r="Z171" s="16" t="s">
        <v>437</v>
      </c>
      <c r="AA171" s="15" t="s">
        <v>437</v>
      </c>
      <c r="AB171" s="15" t="s">
        <v>437</v>
      </c>
      <c r="AC171" s="15" t="s">
        <v>437</v>
      </c>
      <c r="AD171" s="16" t="s">
        <v>437</v>
      </c>
      <c r="AE171" s="15" t="s">
        <v>437</v>
      </c>
      <c r="AF171" s="15" t="s">
        <v>437</v>
      </c>
      <c r="AG171" s="15" t="s">
        <v>437</v>
      </c>
      <c r="AH171" s="16" t="s">
        <v>437</v>
      </c>
      <c r="AI171" s="15" t="s">
        <v>437</v>
      </c>
      <c r="AJ171" s="15" t="s">
        <v>437</v>
      </c>
      <c r="AK171" s="15" t="s">
        <v>437</v>
      </c>
      <c r="AL171" s="16" t="s">
        <v>437</v>
      </c>
      <c r="AM171" s="15" t="s">
        <v>437</v>
      </c>
      <c r="AN171" s="15" t="s">
        <v>437</v>
      </c>
      <c r="AO171" s="15" t="s">
        <v>437</v>
      </c>
      <c r="AP171" s="16" t="s">
        <v>437</v>
      </c>
      <c r="AQ171" s="15" t="s">
        <v>437</v>
      </c>
      <c r="AR171" s="15" t="s">
        <v>437</v>
      </c>
      <c r="AS171" s="15" t="s">
        <v>437</v>
      </c>
      <c r="AT171" s="16" t="s">
        <v>437</v>
      </c>
      <c r="AU171" s="15" t="s">
        <v>437</v>
      </c>
      <c r="AV171" s="15" t="s">
        <v>437</v>
      </c>
      <c r="AW171" s="15" t="s">
        <v>437</v>
      </c>
      <c r="AX171" s="16" t="s">
        <v>437</v>
      </c>
      <c r="AY171" s="15" t="s">
        <v>437</v>
      </c>
      <c r="AZ171" s="15" t="s">
        <v>437</v>
      </c>
      <c r="BA171" s="15" t="s">
        <v>437</v>
      </c>
      <c r="BB171" s="16" t="s">
        <v>437</v>
      </c>
      <c r="BC171" s="15" t="s">
        <v>437</v>
      </c>
      <c r="BD171" s="15" t="s">
        <v>437</v>
      </c>
      <c r="BE171" s="15" t="s">
        <v>437</v>
      </c>
      <c r="BF171" s="16" t="s">
        <v>437</v>
      </c>
      <c r="BG171" s="15" t="s">
        <v>437</v>
      </c>
      <c r="BH171" s="15" t="s">
        <v>437</v>
      </c>
      <c r="BI171" s="15" t="s">
        <v>437</v>
      </c>
      <c r="BJ171" s="16" t="s">
        <v>437</v>
      </c>
      <c r="BK171" s="15" t="s">
        <v>437</v>
      </c>
      <c r="BL171" s="15" t="s">
        <v>437</v>
      </c>
      <c r="BM171" s="15" t="s">
        <v>437</v>
      </c>
      <c r="BN171" s="16" t="s">
        <v>437</v>
      </c>
      <c r="BP171" s="18" t="s">
        <v>437</v>
      </c>
      <c r="BQ171" s="15" t="s">
        <v>437</v>
      </c>
      <c r="BR171" s="15" t="s">
        <v>437</v>
      </c>
      <c r="BS171" s="16" t="s">
        <v>437</v>
      </c>
      <c r="BU171" s="18" t="s">
        <v>437</v>
      </c>
      <c r="BV171" s="15" t="s">
        <v>437</v>
      </c>
      <c r="BW171" s="15" t="s">
        <v>437</v>
      </c>
      <c r="BX171" s="16" t="s">
        <v>437</v>
      </c>
      <c r="BZ171" s="18" t="s">
        <v>437</v>
      </c>
      <c r="CA171" s="15" t="s">
        <v>437</v>
      </c>
      <c r="CB171" s="15" t="s">
        <v>437</v>
      </c>
      <c r="CC171" s="16" t="s">
        <v>437</v>
      </c>
    </row>
    <row r="172" spans="2:81" ht="18" customHeight="1" x14ac:dyDescent="0.2">
      <c r="B172" s="8">
        <f>garage!B172</f>
        <v>172</v>
      </c>
      <c r="C172" s="8">
        <f>garage!C172</f>
        <v>5</v>
      </c>
      <c r="D172" s="8">
        <f>garage!D172</f>
        <v>10</v>
      </c>
      <c r="E172" s="8">
        <f>garage!E172</f>
        <v>0</v>
      </c>
      <c r="F172" s="8" t="str">
        <f>garage!F172</f>
        <v>--</v>
      </c>
      <c r="G172" s="8" t="str">
        <f>garage!G172</f>
        <v>O</v>
      </c>
      <c r="H172" s="8" t="str">
        <f>garage!H172</f>
        <v>O</v>
      </c>
      <c r="I172" s="8" t="str">
        <f>garage!I172</f>
        <v>O</v>
      </c>
      <c r="J172" s="8" t="str">
        <f>garage!J172</f>
        <v>N</v>
      </c>
      <c r="K172" s="8" t="str">
        <f>garage!K172</f>
        <v>S</v>
      </c>
      <c r="L172" s="9" t="str">
        <f>garage!L172</f>
        <v>Trion</v>
      </c>
      <c r="M172" s="9" t="str">
        <f>garage!M172</f>
        <v>Nemesis</v>
      </c>
      <c r="O172" s="17">
        <v>1</v>
      </c>
      <c r="P172" s="13">
        <v>1</v>
      </c>
      <c r="Q172" s="13">
        <v>1</v>
      </c>
      <c r="R172" s="14">
        <v>1</v>
      </c>
      <c r="S172" s="13">
        <v>1</v>
      </c>
      <c r="T172" s="13">
        <v>1</v>
      </c>
      <c r="U172" s="13">
        <v>1</v>
      </c>
      <c r="V172" s="14">
        <v>1</v>
      </c>
      <c r="W172" s="13">
        <v>1</v>
      </c>
      <c r="X172" s="13">
        <v>1</v>
      </c>
      <c r="Y172" s="13">
        <v>1</v>
      </c>
      <c r="Z172" s="14">
        <v>1</v>
      </c>
      <c r="AA172" s="13">
        <v>1</v>
      </c>
      <c r="AB172" s="13">
        <v>1</v>
      </c>
      <c r="AC172" s="13">
        <v>1</v>
      </c>
      <c r="AD172" s="14">
        <v>1</v>
      </c>
      <c r="AE172" s="13">
        <v>1</v>
      </c>
      <c r="AF172" s="13">
        <v>1</v>
      </c>
      <c r="AG172" s="13">
        <v>1</v>
      </c>
      <c r="AH172" s="14">
        <v>1</v>
      </c>
      <c r="AI172" s="13">
        <v>1</v>
      </c>
      <c r="AJ172" s="13">
        <v>1</v>
      </c>
      <c r="AK172" s="13">
        <v>1</v>
      </c>
      <c r="AL172" s="14">
        <v>1</v>
      </c>
      <c r="AM172" s="13">
        <v>1</v>
      </c>
      <c r="AN172" s="13">
        <v>1</v>
      </c>
      <c r="AO172" s="13">
        <v>1</v>
      </c>
      <c r="AP172" s="14">
        <v>1</v>
      </c>
      <c r="AQ172" s="13">
        <v>1</v>
      </c>
      <c r="AR172" s="13">
        <v>1</v>
      </c>
      <c r="AS172" s="13">
        <v>1</v>
      </c>
      <c r="AT172" s="14">
        <v>1</v>
      </c>
      <c r="AU172" s="13">
        <v>1</v>
      </c>
      <c r="AV172" s="13">
        <v>1</v>
      </c>
      <c r="AW172" s="13">
        <v>1</v>
      </c>
      <c r="AX172" s="14">
        <v>1</v>
      </c>
      <c r="AY172" s="13">
        <v>1</v>
      </c>
      <c r="AZ172" s="13">
        <v>1</v>
      </c>
      <c r="BA172" s="13">
        <v>1</v>
      </c>
      <c r="BB172" s="14">
        <v>1</v>
      </c>
      <c r="BC172" s="13">
        <v>1</v>
      </c>
      <c r="BD172" s="13">
        <v>1</v>
      </c>
      <c r="BE172" s="13">
        <v>1</v>
      </c>
      <c r="BF172" s="14">
        <v>1</v>
      </c>
      <c r="BG172" s="13">
        <v>1</v>
      </c>
      <c r="BH172" s="13">
        <v>1</v>
      </c>
      <c r="BI172" s="13">
        <v>1</v>
      </c>
      <c r="BJ172" s="14">
        <v>1</v>
      </c>
      <c r="BK172" s="13">
        <v>1</v>
      </c>
      <c r="BL172" s="13">
        <v>1</v>
      </c>
      <c r="BM172" s="13">
        <v>1</v>
      </c>
      <c r="BN172" s="14">
        <v>1</v>
      </c>
      <c r="BP172" s="17">
        <v>7</v>
      </c>
      <c r="BQ172" s="13">
        <v>7</v>
      </c>
      <c r="BR172" s="13">
        <v>7</v>
      </c>
      <c r="BS172" s="14">
        <v>7</v>
      </c>
      <c r="BU172" s="17">
        <v>5</v>
      </c>
      <c r="BV172" s="13">
        <v>5</v>
      </c>
      <c r="BW172" s="13">
        <v>5</v>
      </c>
      <c r="BX172" s="14">
        <v>5</v>
      </c>
      <c r="BZ172" s="17">
        <v>4</v>
      </c>
      <c r="CA172" s="13">
        <v>4</v>
      </c>
      <c r="CB172" s="13">
        <v>4</v>
      </c>
      <c r="CC172" s="14">
        <v>4</v>
      </c>
    </row>
    <row r="173" spans="2:81" ht="18" hidden="1" customHeight="1" x14ac:dyDescent="0.2">
      <c r="B173" s="10">
        <f>garage!B173</f>
        <v>173</v>
      </c>
      <c r="C173" s="10">
        <f>garage!C173</f>
        <v>5</v>
      </c>
      <c r="D173" s="10">
        <f>garage!D173</f>
        <v>11</v>
      </c>
      <c r="E173" s="10">
        <f>garage!E173</f>
        <v>29</v>
      </c>
      <c r="F173" s="10" t="str">
        <f>garage!F173</f>
        <v>--</v>
      </c>
      <c r="G173" s="10" t="str">
        <f>garage!G173</f>
        <v>N</v>
      </c>
      <c r="H173" s="10" t="str">
        <f>garage!H173</f>
        <v>N</v>
      </c>
      <c r="I173" s="10" t="str">
        <f>garage!I173</f>
        <v>N</v>
      </c>
      <c r="J173" s="10" t="str">
        <f>garage!J173</f>
        <v>N</v>
      </c>
      <c r="K173" s="10" t="str">
        <f>garage!K173</f>
        <v>S</v>
      </c>
      <c r="L173" s="11" t="str">
        <f>garage!L173</f>
        <v>Spania GTA</v>
      </c>
      <c r="M173" s="11" t="str">
        <f>garage!M173</f>
        <v>2015 GTA Spano</v>
      </c>
      <c r="O173" s="18" t="s">
        <v>437</v>
      </c>
      <c r="P173" s="15" t="s">
        <v>437</v>
      </c>
      <c r="Q173" s="15" t="s">
        <v>437</v>
      </c>
      <c r="R173" s="16" t="s">
        <v>437</v>
      </c>
      <c r="S173" s="15" t="s">
        <v>437</v>
      </c>
      <c r="T173" s="15" t="s">
        <v>437</v>
      </c>
      <c r="U173" s="15" t="s">
        <v>437</v>
      </c>
      <c r="V173" s="16" t="s">
        <v>437</v>
      </c>
      <c r="W173" s="15" t="s">
        <v>437</v>
      </c>
      <c r="X173" s="15" t="s">
        <v>437</v>
      </c>
      <c r="Y173" s="15" t="s">
        <v>437</v>
      </c>
      <c r="Z173" s="16" t="s">
        <v>437</v>
      </c>
      <c r="AA173" s="15" t="s">
        <v>437</v>
      </c>
      <c r="AB173" s="15" t="s">
        <v>437</v>
      </c>
      <c r="AC173" s="15" t="s">
        <v>437</v>
      </c>
      <c r="AD173" s="16" t="s">
        <v>437</v>
      </c>
      <c r="AE173" s="15" t="s">
        <v>437</v>
      </c>
      <c r="AF173" s="15" t="s">
        <v>437</v>
      </c>
      <c r="AG173" s="15" t="s">
        <v>437</v>
      </c>
      <c r="AH173" s="16" t="s">
        <v>437</v>
      </c>
      <c r="AI173" s="15" t="s">
        <v>437</v>
      </c>
      <c r="AJ173" s="15" t="s">
        <v>437</v>
      </c>
      <c r="AK173" s="15" t="s">
        <v>437</v>
      </c>
      <c r="AL173" s="16" t="s">
        <v>437</v>
      </c>
      <c r="AM173" s="15" t="s">
        <v>437</v>
      </c>
      <c r="AN173" s="15" t="s">
        <v>437</v>
      </c>
      <c r="AO173" s="15" t="s">
        <v>437</v>
      </c>
      <c r="AP173" s="16" t="s">
        <v>437</v>
      </c>
      <c r="AQ173" s="15" t="s">
        <v>437</v>
      </c>
      <c r="AR173" s="15" t="s">
        <v>437</v>
      </c>
      <c r="AS173" s="15" t="s">
        <v>437</v>
      </c>
      <c r="AT173" s="16" t="s">
        <v>437</v>
      </c>
      <c r="AU173" s="15" t="s">
        <v>437</v>
      </c>
      <c r="AV173" s="15" t="s">
        <v>437</v>
      </c>
      <c r="AW173" s="15" t="s">
        <v>437</v>
      </c>
      <c r="AX173" s="16" t="s">
        <v>437</v>
      </c>
      <c r="AY173" s="15" t="s">
        <v>437</v>
      </c>
      <c r="AZ173" s="15" t="s">
        <v>437</v>
      </c>
      <c r="BA173" s="15" t="s">
        <v>437</v>
      </c>
      <c r="BB173" s="16" t="s">
        <v>437</v>
      </c>
      <c r="BC173" s="15" t="s">
        <v>437</v>
      </c>
      <c r="BD173" s="15" t="s">
        <v>437</v>
      </c>
      <c r="BE173" s="15" t="s">
        <v>437</v>
      </c>
      <c r="BF173" s="16" t="s">
        <v>437</v>
      </c>
      <c r="BG173" s="15" t="s">
        <v>437</v>
      </c>
      <c r="BH173" s="15" t="s">
        <v>437</v>
      </c>
      <c r="BI173" s="15" t="s">
        <v>437</v>
      </c>
      <c r="BJ173" s="16" t="s">
        <v>437</v>
      </c>
      <c r="BK173" s="15" t="s">
        <v>437</v>
      </c>
      <c r="BL173" s="15" t="s">
        <v>437</v>
      </c>
      <c r="BM173" s="15" t="s">
        <v>437</v>
      </c>
      <c r="BN173" s="16" t="s">
        <v>437</v>
      </c>
      <c r="BP173" s="18" t="s">
        <v>437</v>
      </c>
      <c r="BQ173" s="15" t="s">
        <v>437</v>
      </c>
      <c r="BR173" s="15" t="s">
        <v>437</v>
      </c>
      <c r="BS173" s="16" t="s">
        <v>437</v>
      </c>
      <c r="BU173" s="18" t="s">
        <v>437</v>
      </c>
      <c r="BV173" s="15" t="s">
        <v>437</v>
      </c>
      <c r="BW173" s="15" t="s">
        <v>437</v>
      </c>
      <c r="BX173" s="16" t="s">
        <v>437</v>
      </c>
      <c r="BZ173" s="18" t="s">
        <v>437</v>
      </c>
      <c r="CA173" s="15" t="s">
        <v>437</v>
      </c>
      <c r="CB173" s="15" t="s">
        <v>437</v>
      </c>
      <c r="CC173" s="16" t="s">
        <v>437</v>
      </c>
    </row>
    <row r="174" spans="2:81" ht="18" customHeight="1" x14ac:dyDescent="0.2">
      <c r="B174" s="8">
        <f>garage!B174</f>
        <v>174</v>
      </c>
      <c r="C174" s="8">
        <f>garage!C174</f>
        <v>5</v>
      </c>
      <c r="D174" s="8">
        <f>garage!D174</f>
        <v>12</v>
      </c>
      <c r="E174" s="8">
        <f>garage!E174</f>
        <v>15</v>
      </c>
      <c r="F174" s="8" t="str">
        <f>garage!F174</f>
        <v>F</v>
      </c>
      <c r="G174" s="8" t="str">
        <f>garage!G174</f>
        <v>O</v>
      </c>
      <c r="H174" s="8" t="str">
        <f>garage!H174</f>
        <v>N</v>
      </c>
      <c r="I174" s="8" t="str">
        <f>garage!I174</f>
        <v>N</v>
      </c>
      <c r="J174" s="8" t="str">
        <f>garage!J174</f>
        <v>N</v>
      </c>
      <c r="K174" s="8" t="str">
        <f>garage!K174</f>
        <v>S</v>
      </c>
      <c r="L174" s="9" t="str">
        <f>garage!L174</f>
        <v>Ferrari</v>
      </c>
      <c r="M174" s="9" t="str">
        <f>garage!M174</f>
        <v>SF90 Stradale</v>
      </c>
      <c r="O174" s="17">
        <v>1</v>
      </c>
      <c r="P174" s="13">
        <v>1</v>
      </c>
      <c r="Q174" s="13">
        <v>1</v>
      </c>
      <c r="R174" s="14">
        <v>1</v>
      </c>
      <c r="S174" s="13">
        <v>1</v>
      </c>
      <c r="T174" s="13">
        <v>1</v>
      </c>
      <c r="U174" s="13">
        <v>1</v>
      </c>
      <c r="V174" s="14">
        <v>1</v>
      </c>
      <c r="W174" s="13">
        <v>1</v>
      </c>
      <c r="X174" s="13" t="s">
        <v>437</v>
      </c>
      <c r="Y174" s="13" t="s">
        <v>437</v>
      </c>
      <c r="Z174" s="14" t="s">
        <v>437</v>
      </c>
      <c r="AA174" s="13" t="s">
        <v>437</v>
      </c>
      <c r="AB174" s="13" t="s">
        <v>437</v>
      </c>
      <c r="AC174" s="13" t="s">
        <v>437</v>
      </c>
      <c r="AD174" s="14" t="s">
        <v>437</v>
      </c>
      <c r="AE174" s="13" t="s">
        <v>437</v>
      </c>
      <c r="AF174" s="13" t="s">
        <v>437</v>
      </c>
      <c r="AG174" s="13" t="s">
        <v>437</v>
      </c>
      <c r="AH174" s="14" t="s">
        <v>437</v>
      </c>
      <c r="AI174" s="13" t="s">
        <v>437</v>
      </c>
      <c r="AJ174" s="13" t="s">
        <v>437</v>
      </c>
      <c r="AK174" s="13" t="s">
        <v>437</v>
      </c>
      <c r="AL174" s="14" t="s">
        <v>437</v>
      </c>
      <c r="AM174" s="13" t="s">
        <v>437</v>
      </c>
      <c r="AN174" s="13" t="s">
        <v>437</v>
      </c>
      <c r="AO174" s="13" t="s">
        <v>437</v>
      </c>
      <c r="AP174" s="14" t="s">
        <v>437</v>
      </c>
      <c r="AQ174" s="13" t="s">
        <v>437</v>
      </c>
      <c r="AR174" s="13" t="s">
        <v>437</v>
      </c>
      <c r="AS174" s="13" t="s">
        <v>437</v>
      </c>
      <c r="AT174" s="14" t="s">
        <v>437</v>
      </c>
      <c r="AU174" s="13" t="s">
        <v>437</v>
      </c>
      <c r="AV174" s="13" t="s">
        <v>437</v>
      </c>
      <c r="AW174" s="13" t="s">
        <v>437</v>
      </c>
      <c r="AX174" s="14" t="s">
        <v>437</v>
      </c>
      <c r="AY174" s="13" t="s">
        <v>437</v>
      </c>
      <c r="AZ174" s="13" t="s">
        <v>437</v>
      </c>
      <c r="BA174" s="13" t="s">
        <v>437</v>
      </c>
      <c r="BB174" s="14" t="s">
        <v>437</v>
      </c>
      <c r="BC174" s="13" t="s">
        <v>437</v>
      </c>
      <c r="BD174" s="13" t="s">
        <v>437</v>
      </c>
      <c r="BE174" s="13" t="s">
        <v>437</v>
      </c>
      <c r="BF174" s="14" t="s">
        <v>437</v>
      </c>
      <c r="BG174" s="13" t="s">
        <v>437</v>
      </c>
      <c r="BH174" s="13" t="s">
        <v>437</v>
      </c>
      <c r="BI174" s="13" t="s">
        <v>437</v>
      </c>
      <c r="BJ174" s="14" t="s">
        <v>437</v>
      </c>
      <c r="BK174" s="13" t="s">
        <v>437</v>
      </c>
      <c r="BL174" s="13" t="s">
        <v>437</v>
      </c>
      <c r="BM174" s="13" t="s">
        <v>437</v>
      </c>
      <c r="BN174" s="14" t="s">
        <v>437</v>
      </c>
      <c r="BP174" s="17" t="s">
        <v>437</v>
      </c>
      <c r="BQ174" s="13" t="s">
        <v>437</v>
      </c>
      <c r="BR174" s="13" t="s">
        <v>437</v>
      </c>
      <c r="BS174" s="14" t="s">
        <v>437</v>
      </c>
      <c r="BU174" s="17" t="s">
        <v>437</v>
      </c>
      <c r="BV174" s="13" t="s">
        <v>437</v>
      </c>
      <c r="BW174" s="13" t="s">
        <v>437</v>
      </c>
      <c r="BX174" s="14" t="s">
        <v>437</v>
      </c>
      <c r="BZ174" s="17" t="s">
        <v>437</v>
      </c>
      <c r="CA174" s="13" t="s">
        <v>437</v>
      </c>
      <c r="CB174" s="13" t="s">
        <v>437</v>
      </c>
      <c r="CC174" s="14" t="s">
        <v>437</v>
      </c>
    </row>
    <row r="175" spans="2:81" ht="18" hidden="1" customHeight="1" x14ac:dyDescent="0.2">
      <c r="B175" s="10">
        <f>garage!B175</f>
        <v>175</v>
      </c>
      <c r="C175" s="10">
        <f>garage!C175</f>
        <v>5</v>
      </c>
      <c r="D175" s="10">
        <f>garage!D175</f>
        <v>13</v>
      </c>
      <c r="E175" s="10">
        <f>garage!E175</f>
        <v>30</v>
      </c>
      <c r="F175" s="10" t="str">
        <f>garage!F175</f>
        <v>--</v>
      </c>
      <c r="G175" s="10" t="str">
        <f>garage!G175</f>
        <v>N</v>
      </c>
      <c r="H175" s="10" t="str">
        <f>garage!H175</f>
        <v>N</v>
      </c>
      <c r="I175" s="10" t="str">
        <f>garage!I175</f>
        <v>N</v>
      </c>
      <c r="J175" s="10" t="str">
        <f>garage!J175</f>
        <v>N</v>
      </c>
      <c r="K175" s="10" t="str">
        <f>garage!K175</f>
        <v>S</v>
      </c>
      <c r="L175" s="11" t="str">
        <f>garage!L175</f>
        <v>FV Frangivento</v>
      </c>
      <c r="M175" s="11" t="str">
        <f>garage!M175</f>
        <v>Sorpasso GT3</v>
      </c>
      <c r="O175" s="18" t="s">
        <v>437</v>
      </c>
      <c r="P175" s="15" t="s">
        <v>437</v>
      </c>
      <c r="Q175" s="15" t="s">
        <v>437</v>
      </c>
      <c r="R175" s="16" t="s">
        <v>437</v>
      </c>
      <c r="S175" s="15" t="s">
        <v>437</v>
      </c>
      <c r="T175" s="15" t="s">
        <v>437</v>
      </c>
      <c r="U175" s="15" t="s">
        <v>437</v>
      </c>
      <c r="V175" s="16" t="s">
        <v>437</v>
      </c>
      <c r="W175" s="15" t="s">
        <v>437</v>
      </c>
      <c r="X175" s="15" t="s">
        <v>437</v>
      </c>
      <c r="Y175" s="15" t="s">
        <v>437</v>
      </c>
      <c r="Z175" s="16" t="s">
        <v>437</v>
      </c>
      <c r="AA175" s="15" t="s">
        <v>437</v>
      </c>
      <c r="AB175" s="15" t="s">
        <v>437</v>
      </c>
      <c r="AC175" s="15" t="s">
        <v>437</v>
      </c>
      <c r="AD175" s="16" t="s">
        <v>437</v>
      </c>
      <c r="AE175" s="15" t="s">
        <v>437</v>
      </c>
      <c r="AF175" s="15" t="s">
        <v>437</v>
      </c>
      <c r="AG175" s="15" t="s">
        <v>437</v>
      </c>
      <c r="AH175" s="16" t="s">
        <v>437</v>
      </c>
      <c r="AI175" s="15" t="s">
        <v>437</v>
      </c>
      <c r="AJ175" s="15" t="s">
        <v>437</v>
      </c>
      <c r="AK175" s="15" t="s">
        <v>437</v>
      </c>
      <c r="AL175" s="16" t="s">
        <v>437</v>
      </c>
      <c r="AM175" s="15" t="s">
        <v>437</v>
      </c>
      <c r="AN175" s="15" t="s">
        <v>437</v>
      </c>
      <c r="AO175" s="15" t="s">
        <v>437</v>
      </c>
      <c r="AP175" s="16" t="s">
        <v>437</v>
      </c>
      <c r="AQ175" s="15" t="s">
        <v>437</v>
      </c>
      <c r="AR175" s="15" t="s">
        <v>437</v>
      </c>
      <c r="AS175" s="15" t="s">
        <v>437</v>
      </c>
      <c r="AT175" s="16" t="s">
        <v>437</v>
      </c>
      <c r="AU175" s="15" t="s">
        <v>437</v>
      </c>
      <c r="AV175" s="15" t="s">
        <v>437</v>
      </c>
      <c r="AW175" s="15" t="s">
        <v>437</v>
      </c>
      <c r="AX175" s="16" t="s">
        <v>437</v>
      </c>
      <c r="AY175" s="15" t="s">
        <v>437</v>
      </c>
      <c r="AZ175" s="15" t="s">
        <v>437</v>
      </c>
      <c r="BA175" s="15" t="s">
        <v>437</v>
      </c>
      <c r="BB175" s="16" t="s">
        <v>437</v>
      </c>
      <c r="BC175" s="15" t="s">
        <v>437</v>
      </c>
      <c r="BD175" s="15" t="s">
        <v>437</v>
      </c>
      <c r="BE175" s="15" t="s">
        <v>437</v>
      </c>
      <c r="BF175" s="16" t="s">
        <v>437</v>
      </c>
      <c r="BG175" s="15" t="s">
        <v>437</v>
      </c>
      <c r="BH175" s="15" t="s">
        <v>437</v>
      </c>
      <c r="BI175" s="15" t="s">
        <v>437</v>
      </c>
      <c r="BJ175" s="16" t="s">
        <v>437</v>
      </c>
      <c r="BK175" s="15" t="s">
        <v>437</v>
      </c>
      <c r="BL175" s="15" t="s">
        <v>437</v>
      </c>
      <c r="BM175" s="15" t="s">
        <v>437</v>
      </c>
      <c r="BN175" s="16" t="s">
        <v>437</v>
      </c>
      <c r="BP175" s="18" t="s">
        <v>437</v>
      </c>
      <c r="BQ175" s="15" t="s">
        <v>437</v>
      </c>
      <c r="BR175" s="15" t="s">
        <v>437</v>
      </c>
      <c r="BS175" s="16" t="s">
        <v>437</v>
      </c>
      <c r="BU175" s="18" t="s">
        <v>437</v>
      </c>
      <c r="BV175" s="15" t="s">
        <v>437</v>
      </c>
      <c r="BW175" s="15" t="s">
        <v>437</v>
      </c>
      <c r="BX175" s="16" t="s">
        <v>437</v>
      </c>
      <c r="BZ175" s="18" t="s">
        <v>437</v>
      </c>
      <c r="CA175" s="15" t="s">
        <v>437</v>
      </c>
      <c r="CB175" s="15" t="s">
        <v>437</v>
      </c>
      <c r="CC175" s="16" t="s">
        <v>437</v>
      </c>
    </row>
    <row r="176" spans="2:81" ht="18" customHeight="1" x14ac:dyDescent="0.2">
      <c r="B176" s="8">
        <f>garage!B176</f>
        <v>176</v>
      </c>
      <c r="C176" s="8">
        <f>garage!C176</f>
        <v>5</v>
      </c>
      <c r="D176" s="8">
        <f>garage!D176</f>
        <v>14</v>
      </c>
      <c r="E176" s="8">
        <f>garage!E176</f>
        <v>7</v>
      </c>
      <c r="F176" s="8" t="str">
        <f>garage!F176</f>
        <v>M</v>
      </c>
      <c r="G176" s="8" t="str">
        <f>garage!G176</f>
        <v>O</v>
      </c>
      <c r="H176" s="8" t="str">
        <f>garage!H176</f>
        <v>N</v>
      </c>
      <c r="I176" s="8" t="str">
        <f>garage!I176</f>
        <v>N</v>
      </c>
      <c r="J176" s="8" t="str">
        <f>garage!J176</f>
        <v>N</v>
      </c>
      <c r="K176" s="8" t="str">
        <f>garage!K176</f>
        <v>S</v>
      </c>
      <c r="L176" s="9" t="str">
        <f>garage!L176</f>
        <v>McLaren</v>
      </c>
      <c r="M176" s="9" t="str">
        <f>garage!M176</f>
        <v>Senna</v>
      </c>
      <c r="O176" s="17">
        <v>1</v>
      </c>
      <c r="P176" s="13">
        <v>1</v>
      </c>
      <c r="Q176" s="13">
        <v>1</v>
      </c>
      <c r="R176" s="14">
        <v>1</v>
      </c>
      <c r="S176" s="13">
        <v>1</v>
      </c>
      <c r="T176" s="13">
        <v>1</v>
      </c>
      <c r="U176" s="13">
        <v>1</v>
      </c>
      <c r="V176" s="14">
        <v>1</v>
      </c>
      <c r="W176" s="13">
        <v>1</v>
      </c>
      <c r="X176" s="13">
        <v>1</v>
      </c>
      <c r="Y176" s="13">
        <v>1</v>
      </c>
      <c r="Z176" s="14">
        <v>1</v>
      </c>
      <c r="AA176" s="13">
        <v>1</v>
      </c>
      <c r="AB176" s="13">
        <v>1</v>
      </c>
      <c r="AC176" s="13">
        <v>1</v>
      </c>
      <c r="AD176" s="14">
        <v>1</v>
      </c>
      <c r="AE176" s="13">
        <v>1</v>
      </c>
      <c r="AF176" s="13">
        <v>1</v>
      </c>
      <c r="AG176" s="13">
        <v>1</v>
      </c>
      <c r="AH176" s="14">
        <v>1</v>
      </c>
      <c r="AI176" s="13">
        <v>1</v>
      </c>
      <c r="AJ176" s="13">
        <v>1</v>
      </c>
      <c r="AK176" s="13">
        <v>1</v>
      </c>
      <c r="AL176" s="14">
        <v>1</v>
      </c>
      <c r="AM176" s="13">
        <v>1</v>
      </c>
      <c r="AN176" s="13">
        <v>1</v>
      </c>
      <c r="AO176" s="13">
        <v>1</v>
      </c>
      <c r="AP176" s="14">
        <v>1</v>
      </c>
      <c r="AQ176" s="13">
        <v>1</v>
      </c>
      <c r="AR176" s="13">
        <v>1</v>
      </c>
      <c r="AS176" s="13">
        <v>1</v>
      </c>
      <c r="AT176" s="14">
        <v>1</v>
      </c>
      <c r="AU176" s="13">
        <v>1</v>
      </c>
      <c r="AV176" s="13">
        <v>1</v>
      </c>
      <c r="AW176" s="13">
        <v>1</v>
      </c>
      <c r="AX176" s="14">
        <v>1</v>
      </c>
      <c r="AY176" s="13">
        <v>1</v>
      </c>
      <c r="AZ176" s="13">
        <v>1</v>
      </c>
      <c r="BA176" s="13">
        <v>1</v>
      </c>
      <c r="BB176" s="14">
        <v>1</v>
      </c>
      <c r="BC176" s="13">
        <v>1</v>
      </c>
      <c r="BD176" s="13">
        <v>1</v>
      </c>
      <c r="BE176" s="13">
        <v>1</v>
      </c>
      <c r="BF176" s="14">
        <v>1</v>
      </c>
      <c r="BG176" s="13">
        <v>1</v>
      </c>
      <c r="BH176" s="13">
        <v>1</v>
      </c>
      <c r="BI176" s="13">
        <v>1</v>
      </c>
      <c r="BJ176" s="14">
        <v>1</v>
      </c>
      <c r="BK176" s="13" t="s">
        <v>437</v>
      </c>
      <c r="BL176" s="13" t="s">
        <v>437</v>
      </c>
      <c r="BM176" s="13" t="s">
        <v>437</v>
      </c>
      <c r="BN176" s="14" t="s">
        <v>437</v>
      </c>
      <c r="BP176" s="17">
        <v>7</v>
      </c>
      <c r="BQ176" s="13">
        <v>6</v>
      </c>
      <c r="BR176" s="13">
        <v>6</v>
      </c>
      <c r="BS176" s="14">
        <v>7</v>
      </c>
      <c r="BU176" s="17">
        <v>3</v>
      </c>
      <c r="BV176" s="13">
        <v>5</v>
      </c>
      <c r="BW176" s="13">
        <v>5</v>
      </c>
      <c r="BX176" s="14">
        <v>3</v>
      </c>
      <c r="BZ176" s="17" t="s">
        <v>437</v>
      </c>
      <c r="CA176" s="13" t="s">
        <v>437</v>
      </c>
      <c r="CB176" s="13" t="s">
        <v>437</v>
      </c>
      <c r="CC176" s="14" t="s">
        <v>437</v>
      </c>
    </row>
    <row r="177" spans="2:81" ht="18" hidden="1" customHeight="1" x14ac:dyDescent="0.2">
      <c r="B177" s="10">
        <f>garage!B177</f>
        <v>177</v>
      </c>
      <c r="C177" s="10">
        <f>garage!C177</f>
        <v>5</v>
      </c>
      <c r="D177" s="10">
        <f>garage!D177</f>
        <v>15</v>
      </c>
      <c r="E177" s="10">
        <f>garage!E177</f>
        <v>20</v>
      </c>
      <c r="F177" s="10" t="str">
        <f>garage!F177</f>
        <v>B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 t="str">
        <f>garage!J177</f>
        <v>N</v>
      </c>
      <c r="K177" s="10" t="str">
        <f>garage!K177</f>
        <v>S</v>
      </c>
      <c r="L177" s="11" t="str">
        <f>garage!L177</f>
        <v>Bugatti</v>
      </c>
      <c r="M177" s="11" t="str">
        <f>garage!M177</f>
        <v>Veyron 16.4 Grand Sport Vitesse</v>
      </c>
      <c r="O177" s="18" t="s">
        <v>437</v>
      </c>
      <c r="P177" s="15" t="s">
        <v>437</v>
      </c>
      <c r="Q177" s="15" t="s">
        <v>437</v>
      </c>
      <c r="R177" s="16" t="s">
        <v>437</v>
      </c>
      <c r="S177" s="15" t="s">
        <v>437</v>
      </c>
      <c r="T177" s="15" t="s">
        <v>437</v>
      </c>
      <c r="U177" s="15" t="s">
        <v>437</v>
      </c>
      <c r="V177" s="16" t="s">
        <v>437</v>
      </c>
      <c r="W177" s="15" t="s">
        <v>437</v>
      </c>
      <c r="X177" s="15" t="s">
        <v>437</v>
      </c>
      <c r="Y177" s="15" t="s">
        <v>437</v>
      </c>
      <c r="Z177" s="16" t="s">
        <v>437</v>
      </c>
      <c r="AA177" s="15" t="s">
        <v>437</v>
      </c>
      <c r="AB177" s="15" t="s">
        <v>437</v>
      </c>
      <c r="AC177" s="15" t="s">
        <v>437</v>
      </c>
      <c r="AD177" s="16" t="s">
        <v>437</v>
      </c>
      <c r="AE177" s="15" t="s">
        <v>437</v>
      </c>
      <c r="AF177" s="15" t="s">
        <v>437</v>
      </c>
      <c r="AG177" s="15" t="s">
        <v>437</v>
      </c>
      <c r="AH177" s="16" t="s">
        <v>437</v>
      </c>
      <c r="AI177" s="15" t="s">
        <v>437</v>
      </c>
      <c r="AJ177" s="15" t="s">
        <v>437</v>
      </c>
      <c r="AK177" s="15" t="s">
        <v>437</v>
      </c>
      <c r="AL177" s="16" t="s">
        <v>437</v>
      </c>
      <c r="AM177" s="15" t="s">
        <v>437</v>
      </c>
      <c r="AN177" s="15" t="s">
        <v>437</v>
      </c>
      <c r="AO177" s="15" t="s">
        <v>437</v>
      </c>
      <c r="AP177" s="16" t="s">
        <v>437</v>
      </c>
      <c r="AQ177" s="15" t="s">
        <v>437</v>
      </c>
      <c r="AR177" s="15" t="s">
        <v>437</v>
      </c>
      <c r="AS177" s="15" t="s">
        <v>437</v>
      </c>
      <c r="AT177" s="16" t="s">
        <v>437</v>
      </c>
      <c r="AU177" s="15" t="s">
        <v>437</v>
      </c>
      <c r="AV177" s="15" t="s">
        <v>437</v>
      </c>
      <c r="AW177" s="15" t="s">
        <v>437</v>
      </c>
      <c r="AX177" s="16" t="s">
        <v>437</v>
      </c>
      <c r="AY177" s="15" t="s">
        <v>437</v>
      </c>
      <c r="AZ177" s="15" t="s">
        <v>437</v>
      </c>
      <c r="BA177" s="15" t="s">
        <v>437</v>
      </c>
      <c r="BB177" s="16" t="s">
        <v>437</v>
      </c>
      <c r="BC177" s="15" t="s">
        <v>437</v>
      </c>
      <c r="BD177" s="15" t="s">
        <v>437</v>
      </c>
      <c r="BE177" s="15" t="s">
        <v>437</v>
      </c>
      <c r="BF177" s="16" t="s">
        <v>437</v>
      </c>
      <c r="BG177" s="15" t="s">
        <v>437</v>
      </c>
      <c r="BH177" s="15" t="s">
        <v>437</v>
      </c>
      <c r="BI177" s="15" t="s">
        <v>437</v>
      </c>
      <c r="BJ177" s="16" t="s">
        <v>437</v>
      </c>
      <c r="BK177" s="15" t="s">
        <v>437</v>
      </c>
      <c r="BL177" s="15" t="s">
        <v>437</v>
      </c>
      <c r="BM177" s="15" t="s">
        <v>437</v>
      </c>
      <c r="BN177" s="16" t="s">
        <v>437</v>
      </c>
      <c r="BP177" s="18" t="s">
        <v>437</v>
      </c>
      <c r="BQ177" s="15" t="s">
        <v>437</v>
      </c>
      <c r="BR177" s="15" t="s">
        <v>437</v>
      </c>
      <c r="BS177" s="16" t="s">
        <v>437</v>
      </c>
      <c r="BU177" s="18" t="s">
        <v>437</v>
      </c>
      <c r="BV177" s="15" t="s">
        <v>437</v>
      </c>
      <c r="BW177" s="15" t="s">
        <v>437</v>
      </c>
      <c r="BX177" s="16" t="s">
        <v>437</v>
      </c>
      <c r="BZ177" s="18" t="s">
        <v>437</v>
      </c>
      <c r="CA177" s="15" t="s">
        <v>437</v>
      </c>
      <c r="CB177" s="15" t="s">
        <v>437</v>
      </c>
      <c r="CC177" s="16" t="s">
        <v>437</v>
      </c>
    </row>
    <row r="178" spans="2:81" ht="18" customHeight="1" x14ac:dyDescent="0.2">
      <c r="B178" s="8">
        <f>garage!B178</f>
        <v>178</v>
      </c>
      <c r="C178" s="8">
        <f>garage!C178</f>
        <v>5</v>
      </c>
      <c r="D178" s="8">
        <f>garage!D178</f>
        <v>16</v>
      </c>
      <c r="E178" s="8">
        <f>garage!E178</f>
        <v>0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 t="str">
        <f>garage!J178</f>
        <v>N</v>
      </c>
      <c r="K178" s="8" t="str">
        <f>garage!K178</f>
        <v>S</v>
      </c>
      <c r="L178" s="9" t="str">
        <f>garage!L178</f>
        <v>Lamborghini</v>
      </c>
      <c r="M178" s="9" t="str">
        <f>garage!M178</f>
        <v>Terzo Millennio</v>
      </c>
      <c r="O178" s="17">
        <v>1</v>
      </c>
      <c r="P178" s="13">
        <v>1</v>
      </c>
      <c r="Q178" s="13">
        <v>1</v>
      </c>
      <c r="R178" s="14">
        <v>1</v>
      </c>
      <c r="S178" s="13">
        <v>1</v>
      </c>
      <c r="T178" s="13">
        <v>1</v>
      </c>
      <c r="U178" s="13">
        <v>1</v>
      </c>
      <c r="V178" s="14">
        <v>1</v>
      </c>
      <c r="W178" s="13">
        <v>1</v>
      </c>
      <c r="X178" s="13">
        <v>1</v>
      </c>
      <c r="Y178" s="13">
        <v>1</v>
      </c>
      <c r="Z178" s="14">
        <v>1</v>
      </c>
      <c r="AA178" s="13">
        <v>1</v>
      </c>
      <c r="AB178" s="13">
        <v>1</v>
      </c>
      <c r="AC178" s="13">
        <v>1</v>
      </c>
      <c r="AD178" s="14">
        <v>1</v>
      </c>
      <c r="AE178" s="13">
        <v>1</v>
      </c>
      <c r="AF178" s="13">
        <v>1</v>
      </c>
      <c r="AG178" s="13">
        <v>1</v>
      </c>
      <c r="AH178" s="14">
        <v>1</v>
      </c>
      <c r="AI178" s="13">
        <v>1</v>
      </c>
      <c r="AJ178" s="13">
        <v>1</v>
      </c>
      <c r="AK178" s="13">
        <v>1</v>
      </c>
      <c r="AL178" s="14">
        <v>1</v>
      </c>
      <c r="AM178" s="13">
        <v>1</v>
      </c>
      <c r="AN178" s="13">
        <v>1</v>
      </c>
      <c r="AO178" s="13">
        <v>1</v>
      </c>
      <c r="AP178" s="14">
        <v>1</v>
      </c>
      <c r="AQ178" s="13">
        <v>1</v>
      </c>
      <c r="AR178" s="13">
        <v>1</v>
      </c>
      <c r="AS178" s="13">
        <v>1</v>
      </c>
      <c r="AT178" s="14">
        <v>1</v>
      </c>
      <c r="AU178" s="13">
        <v>1</v>
      </c>
      <c r="AV178" s="13">
        <v>1</v>
      </c>
      <c r="AW178" s="13">
        <v>1</v>
      </c>
      <c r="AX178" s="14">
        <v>1</v>
      </c>
      <c r="AY178" s="13">
        <v>1</v>
      </c>
      <c r="AZ178" s="13">
        <v>1</v>
      </c>
      <c r="BA178" s="13">
        <v>1</v>
      </c>
      <c r="BB178" s="14">
        <v>1</v>
      </c>
      <c r="BC178" s="13">
        <v>1</v>
      </c>
      <c r="BD178" s="13">
        <v>1</v>
      </c>
      <c r="BE178" s="13">
        <v>1</v>
      </c>
      <c r="BF178" s="14">
        <v>1</v>
      </c>
      <c r="BG178" s="13">
        <v>1</v>
      </c>
      <c r="BH178" s="13">
        <v>1</v>
      </c>
      <c r="BI178" s="13">
        <v>1</v>
      </c>
      <c r="BJ178" s="14">
        <v>1</v>
      </c>
      <c r="BK178" s="13">
        <v>1</v>
      </c>
      <c r="BL178" s="13">
        <v>1</v>
      </c>
      <c r="BM178" s="13">
        <v>1</v>
      </c>
      <c r="BN178" s="14">
        <v>1</v>
      </c>
      <c r="BP178" s="17">
        <v>7</v>
      </c>
      <c r="BQ178" s="13">
        <v>7</v>
      </c>
      <c r="BR178" s="13">
        <v>7</v>
      </c>
      <c r="BS178" s="14">
        <v>7</v>
      </c>
      <c r="BU178" s="17">
        <v>5</v>
      </c>
      <c r="BV178" s="13">
        <v>5</v>
      </c>
      <c r="BW178" s="13">
        <v>5</v>
      </c>
      <c r="BX178" s="14">
        <v>5</v>
      </c>
      <c r="BZ178" s="17">
        <v>4</v>
      </c>
      <c r="CA178" s="13">
        <v>4</v>
      </c>
      <c r="CB178" s="13">
        <v>4</v>
      </c>
      <c r="CC178" s="14">
        <v>4</v>
      </c>
    </row>
    <row r="179" spans="2:81" ht="18" customHeight="1" x14ac:dyDescent="0.2">
      <c r="B179" s="10">
        <f>garage!B179</f>
        <v>179</v>
      </c>
      <c r="C179" s="10">
        <f>garage!C179</f>
        <v>5</v>
      </c>
      <c r="D179" s="10">
        <f>garage!D179</f>
        <v>17</v>
      </c>
      <c r="E179" s="10">
        <f>garage!E179</f>
        <v>24</v>
      </c>
      <c r="F179" s="10" t="str">
        <f>garage!F179</f>
        <v>--</v>
      </c>
      <c r="G179" s="10" t="str">
        <f>garage!G179</f>
        <v>O</v>
      </c>
      <c r="H179" s="10" t="str">
        <f>garage!H179</f>
        <v>N</v>
      </c>
      <c r="I179" s="10" t="str">
        <f>garage!I179</f>
        <v>N</v>
      </c>
      <c r="J179" s="10" t="str">
        <f>garage!J179</f>
        <v>N</v>
      </c>
      <c r="K179" s="10" t="str">
        <f>garage!K179</f>
        <v>S</v>
      </c>
      <c r="L179" s="11" t="str">
        <f>garage!L179</f>
        <v>Vision</v>
      </c>
      <c r="M179" s="11">
        <f>garage!M179</f>
        <v>1789</v>
      </c>
      <c r="O179" s="18" t="s">
        <v>437</v>
      </c>
      <c r="P179" s="15" t="s">
        <v>437</v>
      </c>
      <c r="Q179" s="15" t="s">
        <v>437</v>
      </c>
      <c r="R179" s="16" t="s">
        <v>437</v>
      </c>
      <c r="S179" s="15" t="s">
        <v>437</v>
      </c>
      <c r="T179" s="15" t="s">
        <v>437</v>
      </c>
      <c r="U179" s="15" t="s">
        <v>437</v>
      </c>
      <c r="V179" s="16" t="s">
        <v>437</v>
      </c>
      <c r="W179" s="15" t="s">
        <v>437</v>
      </c>
      <c r="X179" s="15" t="s">
        <v>437</v>
      </c>
      <c r="Y179" s="15" t="s">
        <v>437</v>
      </c>
      <c r="Z179" s="16" t="s">
        <v>437</v>
      </c>
      <c r="AA179" s="15" t="s">
        <v>437</v>
      </c>
      <c r="AB179" s="15" t="s">
        <v>437</v>
      </c>
      <c r="AC179" s="15" t="s">
        <v>437</v>
      </c>
      <c r="AD179" s="16" t="s">
        <v>437</v>
      </c>
      <c r="AE179" s="15" t="s">
        <v>437</v>
      </c>
      <c r="AF179" s="15" t="s">
        <v>437</v>
      </c>
      <c r="AG179" s="15" t="s">
        <v>437</v>
      </c>
      <c r="AH179" s="16" t="s">
        <v>437</v>
      </c>
      <c r="AI179" s="15" t="s">
        <v>437</v>
      </c>
      <c r="AJ179" s="15" t="s">
        <v>437</v>
      </c>
      <c r="AK179" s="15" t="s">
        <v>437</v>
      </c>
      <c r="AL179" s="16" t="s">
        <v>437</v>
      </c>
      <c r="AM179" s="15" t="s">
        <v>437</v>
      </c>
      <c r="AN179" s="15" t="s">
        <v>437</v>
      </c>
      <c r="AO179" s="15" t="s">
        <v>437</v>
      </c>
      <c r="AP179" s="16" t="s">
        <v>437</v>
      </c>
      <c r="AQ179" s="15" t="s">
        <v>437</v>
      </c>
      <c r="AR179" s="15" t="s">
        <v>437</v>
      </c>
      <c r="AS179" s="15" t="s">
        <v>437</v>
      </c>
      <c r="AT179" s="16" t="s">
        <v>437</v>
      </c>
      <c r="AU179" s="15" t="s">
        <v>437</v>
      </c>
      <c r="AV179" s="15" t="s">
        <v>437</v>
      </c>
      <c r="AW179" s="15" t="s">
        <v>437</v>
      </c>
      <c r="AX179" s="16" t="s">
        <v>437</v>
      </c>
      <c r="AY179" s="15" t="s">
        <v>437</v>
      </c>
      <c r="AZ179" s="15" t="s">
        <v>437</v>
      </c>
      <c r="BA179" s="15" t="s">
        <v>437</v>
      </c>
      <c r="BB179" s="16" t="s">
        <v>437</v>
      </c>
      <c r="BC179" s="15" t="s">
        <v>437</v>
      </c>
      <c r="BD179" s="15" t="s">
        <v>437</v>
      </c>
      <c r="BE179" s="15" t="s">
        <v>437</v>
      </c>
      <c r="BF179" s="16" t="s">
        <v>437</v>
      </c>
      <c r="BG179" s="15" t="s">
        <v>437</v>
      </c>
      <c r="BH179" s="15" t="s">
        <v>437</v>
      </c>
      <c r="BI179" s="15" t="s">
        <v>437</v>
      </c>
      <c r="BJ179" s="16" t="s">
        <v>437</v>
      </c>
      <c r="BK179" s="15" t="s">
        <v>437</v>
      </c>
      <c r="BL179" s="15" t="s">
        <v>437</v>
      </c>
      <c r="BM179" s="15" t="s">
        <v>437</v>
      </c>
      <c r="BN179" s="16" t="s">
        <v>437</v>
      </c>
      <c r="BP179" s="18" t="s">
        <v>437</v>
      </c>
      <c r="BQ179" s="15" t="s">
        <v>437</v>
      </c>
      <c r="BR179" s="15" t="s">
        <v>437</v>
      </c>
      <c r="BS179" s="16" t="s">
        <v>437</v>
      </c>
      <c r="BU179" s="18" t="s">
        <v>437</v>
      </c>
      <c r="BV179" s="15" t="s">
        <v>437</v>
      </c>
      <c r="BW179" s="15" t="s">
        <v>437</v>
      </c>
      <c r="BX179" s="16" t="s">
        <v>437</v>
      </c>
      <c r="BZ179" s="18" t="s">
        <v>437</v>
      </c>
      <c r="CA179" s="15" t="s">
        <v>437</v>
      </c>
      <c r="CB179" s="15" t="s">
        <v>437</v>
      </c>
      <c r="CC179" s="16" t="s">
        <v>437</v>
      </c>
    </row>
    <row r="180" spans="2:81" ht="18" customHeight="1" x14ac:dyDescent="0.2">
      <c r="B180" s="8">
        <f>garage!B180</f>
        <v>180</v>
      </c>
      <c r="C180" s="8">
        <f>garage!C180</f>
        <v>5</v>
      </c>
      <c r="D180" s="8">
        <f>garage!D180</f>
        <v>18</v>
      </c>
      <c r="E180" s="8">
        <f>garage!E180</f>
        <v>0</v>
      </c>
      <c r="F180" s="8" t="str">
        <f>garage!F180</f>
        <v>--</v>
      </c>
      <c r="G180" s="8" t="str">
        <f>garage!G180</f>
        <v>O</v>
      </c>
      <c r="H180" s="8" t="str">
        <f>garage!H180</f>
        <v>O</v>
      </c>
      <c r="I180" s="8" t="str">
        <f>garage!I180</f>
        <v>N</v>
      </c>
      <c r="J180" s="8" t="str">
        <f>garage!J180</f>
        <v>N</v>
      </c>
      <c r="K180" s="8" t="str">
        <f>garage!K180</f>
        <v>S</v>
      </c>
      <c r="L180" s="9" t="str">
        <f>garage!L180</f>
        <v>W Motors</v>
      </c>
      <c r="M180" s="9" t="str">
        <f>garage!M180</f>
        <v>Fenyr Supersport</v>
      </c>
      <c r="O180" s="17">
        <v>1</v>
      </c>
      <c r="P180" s="13">
        <v>1</v>
      </c>
      <c r="Q180" s="13">
        <v>1</v>
      </c>
      <c r="R180" s="14">
        <v>1</v>
      </c>
      <c r="S180" s="13">
        <v>1</v>
      </c>
      <c r="T180" s="13">
        <v>1</v>
      </c>
      <c r="U180" s="13">
        <v>1</v>
      </c>
      <c r="V180" s="14">
        <v>1</v>
      </c>
      <c r="W180" s="13">
        <v>1</v>
      </c>
      <c r="X180" s="13">
        <v>1</v>
      </c>
      <c r="Y180" s="13">
        <v>1</v>
      </c>
      <c r="Z180" s="14">
        <v>1</v>
      </c>
      <c r="AA180" s="13">
        <v>1</v>
      </c>
      <c r="AB180" s="13">
        <v>1</v>
      </c>
      <c r="AC180" s="13">
        <v>1</v>
      </c>
      <c r="AD180" s="14">
        <v>1</v>
      </c>
      <c r="AE180" s="13">
        <v>1</v>
      </c>
      <c r="AF180" s="13">
        <v>1</v>
      </c>
      <c r="AG180" s="13">
        <v>1</v>
      </c>
      <c r="AH180" s="14">
        <v>1</v>
      </c>
      <c r="AI180" s="13">
        <v>1</v>
      </c>
      <c r="AJ180" s="13">
        <v>1</v>
      </c>
      <c r="AK180" s="13">
        <v>1</v>
      </c>
      <c r="AL180" s="14">
        <v>1</v>
      </c>
      <c r="AM180" s="13">
        <v>1</v>
      </c>
      <c r="AN180" s="13">
        <v>1</v>
      </c>
      <c r="AO180" s="13">
        <v>1</v>
      </c>
      <c r="AP180" s="14">
        <v>1</v>
      </c>
      <c r="AQ180" s="13">
        <v>1</v>
      </c>
      <c r="AR180" s="13">
        <v>1</v>
      </c>
      <c r="AS180" s="13">
        <v>1</v>
      </c>
      <c r="AT180" s="14">
        <v>1</v>
      </c>
      <c r="AU180" s="13">
        <v>1</v>
      </c>
      <c r="AV180" s="13">
        <v>1</v>
      </c>
      <c r="AW180" s="13">
        <v>1</v>
      </c>
      <c r="AX180" s="14">
        <v>1</v>
      </c>
      <c r="AY180" s="13">
        <v>1</v>
      </c>
      <c r="AZ180" s="13">
        <v>1</v>
      </c>
      <c r="BA180" s="13">
        <v>1</v>
      </c>
      <c r="BB180" s="14">
        <v>1</v>
      </c>
      <c r="BC180" s="13">
        <v>1</v>
      </c>
      <c r="BD180" s="13">
        <v>1</v>
      </c>
      <c r="BE180" s="13">
        <v>1</v>
      </c>
      <c r="BF180" s="14">
        <v>1</v>
      </c>
      <c r="BG180" s="13">
        <v>1</v>
      </c>
      <c r="BH180" s="13">
        <v>1</v>
      </c>
      <c r="BI180" s="13">
        <v>1</v>
      </c>
      <c r="BJ180" s="14">
        <v>1</v>
      </c>
      <c r="BK180" s="13">
        <v>1</v>
      </c>
      <c r="BL180" s="13">
        <v>1</v>
      </c>
      <c r="BM180" s="13">
        <v>1</v>
      </c>
      <c r="BN180" s="14">
        <v>1</v>
      </c>
      <c r="BP180" s="17">
        <v>7</v>
      </c>
      <c r="BQ180" s="13">
        <v>7</v>
      </c>
      <c r="BR180" s="13">
        <v>7</v>
      </c>
      <c r="BS180" s="14">
        <v>7</v>
      </c>
      <c r="BU180" s="17">
        <v>5</v>
      </c>
      <c r="BV180" s="13">
        <v>5</v>
      </c>
      <c r="BW180" s="13">
        <v>5</v>
      </c>
      <c r="BX180" s="14">
        <v>5</v>
      </c>
      <c r="BZ180" s="17" t="s">
        <v>437</v>
      </c>
      <c r="CA180" s="13">
        <v>4</v>
      </c>
      <c r="CB180" s="13" t="s">
        <v>437</v>
      </c>
      <c r="CC180" s="14">
        <v>4</v>
      </c>
    </row>
    <row r="181" spans="2:81" ht="18" hidden="1" customHeight="1" x14ac:dyDescent="0.2">
      <c r="B181" s="10">
        <f>garage!B181</f>
        <v>181</v>
      </c>
      <c r="C181" s="10">
        <f>garage!C181</f>
        <v>5</v>
      </c>
      <c r="D181" s="10">
        <f>garage!D181</f>
        <v>19</v>
      </c>
      <c r="E181" s="10">
        <f>garage!E181</f>
        <v>19</v>
      </c>
      <c r="F181" s="10" t="str">
        <f>garage!F181</f>
        <v>AM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 t="str">
        <f>garage!J181</f>
        <v>N</v>
      </c>
      <c r="K181" s="10" t="str">
        <f>garage!K181</f>
        <v>S</v>
      </c>
      <c r="L181" s="11" t="str">
        <f>garage!L181</f>
        <v>Aston Martin</v>
      </c>
      <c r="M181" s="11" t="str">
        <f>garage!M181</f>
        <v>Valkyrie</v>
      </c>
      <c r="O181" s="18" t="s">
        <v>437</v>
      </c>
      <c r="P181" s="15" t="s">
        <v>437</v>
      </c>
      <c r="Q181" s="15" t="s">
        <v>437</v>
      </c>
      <c r="R181" s="16" t="s">
        <v>437</v>
      </c>
      <c r="S181" s="15" t="s">
        <v>437</v>
      </c>
      <c r="T181" s="15" t="s">
        <v>437</v>
      </c>
      <c r="U181" s="15" t="s">
        <v>437</v>
      </c>
      <c r="V181" s="16" t="s">
        <v>437</v>
      </c>
      <c r="W181" s="15" t="s">
        <v>437</v>
      </c>
      <c r="X181" s="15" t="s">
        <v>437</v>
      </c>
      <c r="Y181" s="15" t="s">
        <v>437</v>
      </c>
      <c r="Z181" s="16" t="s">
        <v>437</v>
      </c>
      <c r="AA181" s="15" t="s">
        <v>437</v>
      </c>
      <c r="AB181" s="15" t="s">
        <v>437</v>
      </c>
      <c r="AC181" s="15" t="s">
        <v>437</v>
      </c>
      <c r="AD181" s="16" t="s">
        <v>437</v>
      </c>
      <c r="AE181" s="15" t="s">
        <v>437</v>
      </c>
      <c r="AF181" s="15" t="s">
        <v>437</v>
      </c>
      <c r="AG181" s="15" t="s">
        <v>437</v>
      </c>
      <c r="AH181" s="16" t="s">
        <v>437</v>
      </c>
      <c r="AI181" s="15" t="s">
        <v>437</v>
      </c>
      <c r="AJ181" s="15" t="s">
        <v>437</v>
      </c>
      <c r="AK181" s="15" t="s">
        <v>437</v>
      </c>
      <c r="AL181" s="16" t="s">
        <v>437</v>
      </c>
      <c r="AM181" s="15" t="s">
        <v>437</v>
      </c>
      <c r="AN181" s="15" t="s">
        <v>437</v>
      </c>
      <c r="AO181" s="15" t="s">
        <v>437</v>
      </c>
      <c r="AP181" s="16" t="s">
        <v>437</v>
      </c>
      <c r="AQ181" s="15" t="s">
        <v>437</v>
      </c>
      <c r="AR181" s="15" t="s">
        <v>437</v>
      </c>
      <c r="AS181" s="15" t="s">
        <v>437</v>
      </c>
      <c r="AT181" s="16" t="s">
        <v>437</v>
      </c>
      <c r="AU181" s="15" t="s">
        <v>437</v>
      </c>
      <c r="AV181" s="15" t="s">
        <v>437</v>
      </c>
      <c r="AW181" s="15" t="s">
        <v>437</v>
      </c>
      <c r="AX181" s="16" t="s">
        <v>437</v>
      </c>
      <c r="AY181" s="15" t="s">
        <v>437</v>
      </c>
      <c r="AZ181" s="15" t="s">
        <v>437</v>
      </c>
      <c r="BA181" s="15" t="s">
        <v>437</v>
      </c>
      <c r="BB181" s="16" t="s">
        <v>437</v>
      </c>
      <c r="BC181" s="15" t="s">
        <v>437</v>
      </c>
      <c r="BD181" s="15" t="s">
        <v>437</v>
      </c>
      <c r="BE181" s="15" t="s">
        <v>437</v>
      </c>
      <c r="BF181" s="16" t="s">
        <v>437</v>
      </c>
      <c r="BG181" s="15" t="s">
        <v>437</v>
      </c>
      <c r="BH181" s="15" t="s">
        <v>437</v>
      </c>
      <c r="BI181" s="15" t="s">
        <v>437</v>
      </c>
      <c r="BJ181" s="16" t="s">
        <v>437</v>
      </c>
      <c r="BK181" s="15" t="s">
        <v>437</v>
      </c>
      <c r="BL181" s="15" t="s">
        <v>437</v>
      </c>
      <c r="BM181" s="15" t="s">
        <v>437</v>
      </c>
      <c r="BN181" s="16" t="s">
        <v>437</v>
      </c>
      <c r="BP181" s="18" t="s">
        <v>437</v>
      </c>
      <c r="BQ181" s="15" t="s">
        <v>437</v>
      </c>
      <c r="BR181" s="15" t="s">
        <v>437</v>
      </c>
      <c r="BS181" s="16" t="s">
        <v>437</v>
      </c>
      <c r="BU181" s="18" t="s">
        <v>437</v>
      </c>
      <c r="BV181" s="15" t="s">
        <v>437</v>
      </c>
      <c r="BW181" s="15" t="s">
        <v>437</v>
      </c>
      <c r="BX181" s="16" t="s">
        <v>437</v>
      </c>
      <c r="BZ181" s="18" t="s">
        <v>437</v>
      </c>
      <c r="CA181" s="15" t="s">
        <v>437</v>
      </c>
      <c r="CB181" s="15" t="s">
        <v>437</v>
      </c>
      <c r="CC181" s="16" t="s">
        <v>437</v>
      </c>
    </row>
    <row r="182" spans="2:81" ht="18" customHeight="1" x14ac:dyDescent="0.2">
      <c r="B182" s="8">
        <f>garage!B182</f>
        <v>182</v>
      </c>
      <c r="C182" s="8">
        <f>garage!C182</f>
        <v>5</v>
      </c>
      <c r="D182" s="8">
        <f>garage!D182</f>
        <v>20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N</v>
      </c>
      <c r="J182" s="8" t="str">
        <f>garage!J182</f>
        <v>N</v>
      </c>
      <c r="K182" s="8" t="str">
        <f>garage!K182</f>
        <v>S</v>
      </c>
      <c r="L182" s="9" t="str">
        <f>garage!L182</f>
        <v>Zenvo</v>
      </c>
      <c r="M182" s="9" t="str">
        <f>garage!M182</f>
        <v>TS1 GT Anniversary</v>
      </c>
      <c r="O182" s="17">
        <v>1</v>
      </c>
      <c r="P182" s="13">
        <v>1</v>
      </c>
      <c r="Q182" s="13">
        <v>1</v>
      </c>
      <c r="R182" s="14">
        <v>1</v>
      </c>
      <c r="S182" s="13">
        <v>1</v>
      </c>
      <c r="T182" s="13">
        <v>1</v>
      </c>
      <c r="U182" s="13">
        <v>1</v>
      </c>
      <c r="V182" s="14">
        <v>1</v>
      </c>
      <c r="W182" s="13">
        <v>1</v>
      </c>
      <c r="X182" s="13">
        <v>1</v>
      </c>
      <c r="Y182" s="13">
        <v>1</v>
      </c>
      <c r="Z182" s="14">
        <v>1</v>
      </c>
      <c r="AA182" s="13">
        <v>1</v>
      </c>
      <c r="AB182" s="13">
        <v>1</v>
      </c>
      <c r="AC182" s="13">
        <v>1</v>
      </c>
      <c r="AD182" s="14">
        <v>1</v>
      </c>
      <c r="AE182" s="13">
        <v>1</v>
      </c>
      <c r="AF182" s="13">
        <v>1</v>
      </c>
      <c r="AG182" s="13">
        <v>1</v>
      </c>
      <c r="AH182" s="14">
        <v>1</v>
      </c>
      <c r="AI182" s="13">
        <v>1</v>
      </c>
      <c r="AJ182" s="13">
        <v>1</v>
      </c>
      <c r="AK182" s="13">
        <v>1</v>
      </c>
      <c r="AL182" s="14">
        <v>1</v>
      </c>
      <c r="AM182" s="13">
        <v>1</v>
      </c>
      <c r="AN182" s="13">
        <v>1</v>
      </c>
      <c r="AO182" s="13">
        <v>1</v>
      </c>
      <c r="AP182" s="14">
        <v>1</v>
      </c>
      <c r="AQ182" s="13">
        <v>1</v>
      </c>
      <c r="AR182" s="13">
        <v>1</v>
      </c>
      <c r="AS182" s="13">
        <v>1</v>
      </c>
      <c r="AT182" s="14">
        <v>1</v>
      </c>
      <c r="AU182" s="13">
        <v>1</v>
      </c>
      <c r="AV182" s="13">
        <v>1</v>
      </c>
      <c r="AW182" s="13">
        <v>1</v>
      </c>
      <c r="AX182" s="14">
        <v>1</v>
      </c>
      <c r="AY182" s="13">
        <v>1</v>
      </c>
      <c r="AZ182" s="13">
        <v>1</v>
      </c>
      <c r="BA182" s="13">
        <v>1</v>
      </c>
      <c r="BB182" s="14">
        <v>1</v>
      </c>
      <c r="BC182" s="13">
        <v>1</v>
      </c>
      <c r="BD182" s="13">
        <v>1</v>
      </c>
      <c r="BE182" s="13">
        <v>1</v>
      </c>
      <c r="BF182" s="14">
        <v>1</v>
      </c>
      <c r="BG182" s="13">
        <v>1</v>
      </c>
      <c r="BH182" s="13">
        <v>1</v>
      </c>
      <c r="BI182" s="13">
        <v>1</v>
      </c>
      <c r="BJ182" s="14">
        <v>1</v>
      </c>
      <c r="BK182" s="13">
        <v>1</v>
      </c>
      <c r="BL182" s="13">
        <v>1</v>
      </c>
      <c r="BM182" s="13">
        <v>1</v>
      </c>
      <c r="BN182" s="14">
        <v>1</v>
      </c>
      <c r="BP182" s="17">
        <v>7</v>
      </c>
      <c r="BQ182" s="13">
        <v>7</v>
      </c>
      <c r="BR182" s="13">
        <v>7</v>
      </c>
      <c r="BS182" s="14">
        <v>7</v>
      </c>
      <c r="BU182" s="17">
        <v>5</v>
      </c>
      <c r="BV182" s="13">
        <v>5</v>
      </c>
      <c r="BW182" s="13">
        <v>5</v>
      </c>
      <c r="BX182" s="14">
        <v>5</v>
      </c>
      <c r="BZ182" s="17">
        <v>0</v>
      </c>
      <c r="CA182" s="13">
        <v>2</v>
      </c>
      <c r="CB182" s="13">
        <v>0</v>
      </c>
      <c r="CC182" s="14">
        <v>4</v>
      </c>
    </row>
    <row r="183" spans="2:81" ht="18" customHeight="1" x14ac:dyDescent="0.2">
      <c r="B183" s="10">
        <f>garage!B183</f>
        <v>183</v>
      </c>
      <c r="C183" s="10">
        <f>garage!C183</f>
        <v>5</v>
      </c>
      <c r="D183" s="10">
        <f>garage!D183</f>
        <v>21</v>
      </c>
      <c r="E183" s="10">
        <f>garage!E183</f>
        <v>8</v>
      </c>
      <c r="F183" s="10" t="str">
        <f>garage!F183</f>
        <v>--</v>
      </c>
      <c r="G183" s="10" t="str">
        <f>garage!G183</f>
        <v>O</v>
      </c>
      <c r="H183" s="10" t="str">
        <f>garage!H183</f>
        <v>N</v>
      </c>
      <c r="I183" s="10" t="str">
        <f>garage!I183</f>
        <v>N</v>
      </c>
      <c r="J183" s="10" t="str">
        <f>garage!J183</f>
        <v>N</v>
      </c>
      <c r="K183" s="10" t="str">
        <f>garage!K183</f>
        <v>S</v>
      </c>
      <c r="L183" s="11" t="str">
        <f>garage!L183</f>
        <v>Automobili Pininfarina</v>
      </c>
      <c r="M183" s="11" t="str">
        <f>garage!M183</f>
        <v>Battista</v>
      </c>
      <c r="O183" s="18">
        <v>1</v>
      </c>
      <c r="P183" s="15">
        <v>1</v>
      </c>
      <c r="Q183" s="15">
        <v>1</v>
      </c>
      <c r="R183" s="16">
        <v>1</v>
      </c>
      <c r="S183" s="15">
        <v>1</v>
      </c>
      <c r="T183" s="15">
        <v>1</v>
      </c>
      <c r="U183" s="15">
        <v>1</v>
      </c>
      <c r="V183" s="16">
        <v>1</v>
      </c>
      <c r="W183" s="15">
        <v>1</v>
      </c>
      <c r="X183" s="15">
        <v>1</v>
      </c>
      <c r="Y183" s="15">
        <v>1</v>
      </c>
      <c r="Z183" s="16">
        <v>1</v>
      </c>
      <c r="AA183" s="15">
        <v>1</v>
      </c>
      <c r="AB183" s="15">
        <v>1</v>
      </c>
      <c r="AC183" s="15">
        <v>1</v>
      </c>
      <c r="AD183" s="16">
        <v>1</v>
      </c>
      <c r="AE183" s="15">
        <v>1</v>
      </c>
      <c r="AF183" s="15">
        <v>1</v>
      </c>
      <c r="AG183" s="15">
        <v>1</v>
      </c>
      <c r="AH183" s="16">
        <v>1</v>
      </c>
      <c r="AI183" s="15">
        <v>1</v>
      </c>
      <c r="AJ183" s="15">
        <v>1</v>
      </c>
      <c r="AK183" s="15">
        <v>1</v>
      </c>
      <c r="AL183" s="16">
        <v>1</v>
      </c>
      <c r="AM183" s="15">
        <v>1</v>
      </c>
      <c r="AN183" s="15">
        <v>1</v>
      </c>
      <c r="AO183" s="15">
        <v>1</v>
      </c>
      <c r="AP183" s="16">
        <v>1</v>
      </c>
      <c r="AQ183" s="15">
        <v>1</v>
      </c>
      <c r="AR183" s="15">
        <v>1</v>
      </c>
      <c r="AS183" s="15">
        <v>1</v>
      </c>
      <c r="AT183" s="16">
        <v>1</v>
      </c>
      <c r="AU183" s="15">
        <v>1</v>
      </c>
      <c r="AV183" s="15">
        <v>1</v>
      </c>
      <c r="AW183" s="15">
        <v>1</v>
      </c>
      <c r="AX183" s="16">
        <v>1</v>
      </c>
      <c r="AY183" s="15">
        <v>1</v>
      </c>
      <c r="AZ183" s="15">
        <v>1</v>
      </c>
      <c r="BA183" s="15">
        <v>1</v>
      </c>
      <c r="BB183" s="16">
        <v>1</v>
      </c>
      <c r="BC183" s="15" t="s">
        <v>437</v>
      </c>
      <c r="BD183" s="15" t="s">
        <v>437</v>
      </c>
      <c r="BE183" s="15" t="s">
        <v>437</v>
      </c>
      <c r="BF183" s="16" t="s">
        <v>437</v>
      </c>
      <c r="BG183" s="15" t="s">
        <v>437</v>
      </c>
      <c r="BH183" s="15" t="s">
        <v>437</v>
      </c>
      <c r="BI183" s="15" t="s">
        <v>437</v>
      </c>
      <c r="BJ183" s="16" t="s">
        <v>437</v>
      </c>
      <c r="BK183" s="15" t="s">
        <v>437</v>
      </c>
      <c r="BL183" s="15" t="s">
        <v>437</v>
      </c>
      <c r="BM183" s="15" t="s">
        <v>437</v>
      </c>
      <c r="BN183" s="16" t="s">
        <v>437</v>
      </c>
      <c r="BP183" s="18">
        <v>7</v>
      </c>
      <c r="BQ183" s="15">
        <v>6</v>
      </c>
      <c r="BR183" s="15">
        <v>4</v>
      </c>
      <c r="BS183" s="16">
        <v>4</v>
      </c>
      <c r="BU183" s="18">
        <v>2</v>
      </c>
      <c r="BV183" s="15">
        <v>2</v>
      </c>
      <c r="BW183" s="15">
        <v>3</v>
      </c>
      <c r="BX183" s="16">
        <v>2</v>
      </c>
      <c r="BZ183" s="18" t="s">
        <v>437</v>
      </c>
      <c r="CA183" s="15" t="s">
        <v>437</v>
      </c>
      <c r="CB183" s="15" t="s">
        <v>437</v>
      </c>
      <c r="CC183" s="16" t="s">
        <v>437</v>
      </c>
    </row>
    <row r="184" spans="2:81" ht="18" hidden="1" customHeight="1" x14ac:dyDescent="0.2">
      <c r="B184" s="8">
        <f>garage!B184</f>
        <v>184</v>
      </c>
      <c r="C184" s="8">
        <f>garage!C184</f>
        <v>5</v>
      </c>
      <c r="D184" s="8">
        <f>garage!D184</f>
        <v>22</v>
      </c>
      <c r="E184" s="8">
        <f>garage!E184</f>
        <v>22</v>
      </c>
      <c r="F184" s="8" t="str">
        <f>garage!F184</f>
        <v>--</v>
      </c>
      <c r="G184" s="8" t="str">
        <f>garage!G184</f>
        <v>N</v>
      </c>
      <c r="H184" s="8" t="str">
        <f>garage!H184</f>
        <v>N</v>
      </c>
      <c r="I184" s="8" t="str">
        <f>garage!I184</f>
        <v>N</v>
      </c>
      <c r="J184" s="8" t="str">
        <f>garage!J184</f>
        <v>N</v>
      </c>
      <c r="K184" s="8" t="str">
        <f>garage!K184</f>
        <v>S</v>
      </c>
      <c r="L184" s="9" t="str">
        <f>garage!L184</f>
        <v>Naran</v>
      </c>
      <c r="M184" s="9" t="str">
        <f>garage!M184</f>
        <v>Hyper Coupé</v>
      </c>
      <c r="O184" s="17" t="s">
        <v>437</v>
      </c>
      <c r="P184" s="13" t="s">
        <v>437</v>
      </c>
      <c r="Q184" s="13" t="s">
        <v>437</v>
      </c>
      <c r="R184" s="14" t="s">
        <v>437</v>
      </c>
      <c r="S184" s="13" t="s">
        <v>437</v>
      </c>
      <c r="T184" s="13" t="s">
        <v>437</v>
      </c>
      <c r="U184" s="13" t="s">
        <v>437</v>
      </c>
      <c r="V184" s="14" t="s">
        <v>437</v>
      </c>
      <c r="W184" s="13" t="s">
        <v>437</v>
      </c>
      <c r="X184" s="13" t="s">
        <v>437</v>
      </c>
      <c r="Y184" s="13" t="s">
        <v>437</v>
      </c>
      <c r="Z184" s="14" t="s">
        <v>437</v>
      </c>
      <c r="AA184" s="13" t="s">
        <v>437</v>
      </c>
      <c r="AB184" s="13" t="s">
        <v>437</v>
      </c>
      <c r="AC184" s="13" t="s">
        <v>437</v>
      </c>
      <c r="AD184" s="14" t="s">
        <v>437</v>
      </c>
      <c r="AE184" s="13" t="s">
        <v>437</v>
      </c>
      <c r="AF184" s="13" t="s">
        <v>437</v>
      </c>
      <c r="AG184" s="13" t="s">
        <v>437</v>
      </c>
      <c r="AH184" s="14" t="s">
        <v>437</v>
      </c>
      <c r="AI184" s="13" t="s">
        <v>437</v>
      </c>
      <c r="AJ184" s="13" t="s">
        <v>437</v>
      </c>
      <c r="AK184" s="13" t="s">
        <v>437</v>
      </c>
      <c r="AL184" s="14" t="s">
        <v>437</v>
      </c>
      <c r="AM184" s="13" t="s">
        <v>437</v>
      </c>
      <c r="AN184" s="13" t="s">
        <v>437</v>
      </c>
      <c r="AO184" s="13" t="s">
        <v>437</v>
      </c>
      <c r="AP184" s="14" t="s">
        <v>437</v>
      </c>
      <c r="AQ184" s="13" t="s">
        <v>437</v>
      </c>
      <c r="AR184" s="13" t="s">
        <v>437</v>
      </c>
      <c r="AS184" s="13" t="s">
        <v>437</v>
      </c>
      <c r="AT184" s="14" t="s">
        <v>437</v>
      </c>
      <c r="AU184" s="13" t="s">
        <v>437</v>
      </c>
      <c r="AV184" s="13" t="s">
        <v>437</v>
      </c>
      <c r="AW184" s="13" t="s">
        <v>437</v>
      </c>
      <c r="AX184" s="14" t="s">
        <v>437</v>
      </c>
      <c r="AY184" s="13" t="s">
        <v>437</v>
      </c>
      <c r="AZ184" s="13" t="s">
        <v>437</v>
      </c>
      <c r="BA184" s="13" t="s">
        <v>437</v>
      </c>
      <c r="BB184" s="14" t="s">
        <v>437</v>
      </c>
      <c r="BC184" s="13" t="s">
        <v>437</v>
      </c>
      <c r="BD184" s="13" t="s">
        <v>437</v>
      </c>
      <c r="BE184" s="13" t="s">
        <v>437</v>
      </c>
      <c r="BF184" s="14" t="s">
        <v>437</v>
      </c>
      <c r="BG184" s="13" t="s">
        <v>437</v>
      </c>
      <c r="BH184" s="13" t="s">
        <v>437</v>
      </c>
      <c r="BI184" s="13" t="s">
        <v>437</v>
      </c>
      <c r="BJ184" s="14" t="s">
        <v>437</v>
      </c>
      <c r="BK184" s="13" t="s">
        <v>437</v>
      </c>
      <c r="BL184" s="13" t="s">
        <v>437</v>
      </c>
      <c r="BM184" s="13" t="s">
        <v>437</v>
      </c>
      <c r="BN184" s="14" t="s">
        <v>437</v>
      </c>
      <c r="BP184" s="17" t="s">
        <v>437</v>
      </c>
      <c r="BQ184" s="13" t="s">
        <v>437</v>
      </c>
      <c r="BR184" s="13" t="s">
        <v>437</v>
      </c>
      <c r="BS184" s="14" t="s">
        <v>437</v>
      </c>
      <c r="BU184" s="17" t="s">
        <v>437</v>
      </c>
      <c r="BV184" s="13" t="s">
        <v>437</v>
      </c>
      <c r="BW184" s="13" t="s">
        <v>437</v>
      </c>
      <c r="BX184" s="14" t="s">
        <v>437</v>
      </c>
      <c r="BZ184" s="17" t="s">
        <v>437</v>
      </c>
      <c r="CA184" s="13" t="s">
        <v>437</v>
      </c>
      <c r="CB184" s="13" t="s">
        <v>437</v>
      </c>
      <c r="CC184" s="14" t="s">
        <v>437</v>
      </c>
    </row>
    <row r="185" spans="2:81" ht="18" customHeight="1" x14ac:dyDescent="0.2">
      <c r="B185" s="10">
        <f>garage!B185</f>
        <v>185</v>
      </c>
      <c r="C185" s="10">
        <f>garage!C185</f>
        <v>5</v>
      </c>
      <c r="D185" s="10">
        <f>garage!D185</f>
        <v>23</v>
      </c>
      <c r="E185" s="10">
        <f>garage!E185</f>
        <v>14</v>
      </c>
      <c r="F185" s="10" t="str">
        <f>garage!F185</f>
        <v>M</v>
      </c>
      <c r="G185" s="10" t="str">
        <f>garage!G185</f>
        <v>O</v>
      </c>
      <c r="H185" s="10" t="str">
        <f>garage!H185</f>
        <v>N</v>
      </c>
      <c r="I185" s="10" t="str">
        <f>garage!I185</f>
        <v>N</v>
      </c>
      <c r="J185" s="10" t="str">
        <f>garage!J185</f>
        <v>N</v>
      </c>
      <c r="K185" s="10" t="str">
        <f>garage!K185</f>
        <v>S</v>
      </c>
      <c r="L185" s="11" t="str">
        <f>garage!L185</f>
        <v>McLaren</v>
      </c>
      <c r="M185" s="11" t="str">
        <f>garage!M185</f>
        <v>Speedtail</v>
      </c>
      <c r="O185" s="18">
        <v>1</v>
      </c>
      <c r="P185" s="15">
        <v>1</v>
      </c>
      <c r="Q185" s="15">
        <v>1</v>
      </c>
      <c r="R185" s="16">
        <v>1</v>
      </c>
      <c r="S185" s="15">
        <v>1</v>
      </c>
      <c r="T185" s="15">
        <v>1</v>
      </c>
      <c r="U185" s="15">
        <v>1</v>
      </c>
      <c r="V185" s="16">
        <v>1</v>
      </c>
      <c r="W185" s="15">
        <v>1</v>
      </c>
      <c r="X185" s="15">
        <v>1</v>
      </c>
      <c r="Y185" s="15">
        <v>1</v>
      </c>
      <c r="Z185" s="16">
        <v>1</v>
      </c>
      <c r="AA185" s="15">
        <v>1</v>
      </c>
      <c r="AB185" s="15">
        <v>1</v>
      </c>
      <c r="AC185" s="15">
        <v>1</v>
      </c>
      <c r="AD185" s="16">
        <v>1</v>
      </c>
      <c r="AE185" s="15">
        <v>1</v>
      </c>
      <c r="AF185" s="15">
        <v>1</v>
      </c>
      <c r="AG185" s="15">
        <v>1</v>
      </c>
      <c r="AH185" s="16">
        <v>1</v>
      </c>
      <c r="AI185" s="15">
        <v>1</v>
      </c>
      <c r="AJ185" s="15">
        <v>1</v>
      </c>
      <c r="AK185" s="15">
        <v>1</v>
      </c>
      <c r="AL185" s="16">
        <v>1</v>
      </c>
      <c r="AM185" s="15">
        <v>1</v>
      </c>
      <c r="AN185" s="15">
        <v>1</v>
      </c>
      <c r="AO185" s="15">
        <v>1</v>
      </c>
      <c r="AP185" s="16">
        <v>1</v>
      </c>
      <c r="AQ185" s="15">
        <v>1</v>
      </c>
      <c r="AR185" s="15">
        <v>1</v>
      </c>
      <c r="AS185" s="15">
        <v>1</v>
      </c>
      <c r="AT185" s="16">
        <v>1</v>
      </c>
      <c r="AU185" s="15">
        <v>1</v>
      </c>
      <c r="AV185" s="15">
        <v>1</v>
      </c>
      <c r="AW185" s="15">
        <v>1</v>
      </c>
      <c r="AX185" s="16">
        <v>1</v>
      </c>
      <c r="AY185" s="15">
        <v>1</v>
      </c>
      <c r="AZ185" s="15">
        <v>1</v>
      </c>
      <c r="BA185" s="15">
        <v>1</v>
      </c>
      <c r="BB185" s="16">
        <v>1</v>
      </c>
      <c r="BC185" s="15">
        <v>1</v>
      </c>
      <c r="BD185" s="15">
        <v>1</v>
      </c>
      <c r="BE185" s="15">
        <v>1</v>
      </c>
      <c r="BF185" s="16">
        <v>1</v>
      </c>
      <c r="BG185" s="15">
        <v>1</v>
      </c>
      <c r="BH185" s="15">
        <v>1</v>
      </c>
      <c r="BI185" s="15">
        <v>1</v>
      </c>
      <c r="BJ185" s="16">
        <v>1</v>
      </c>
      <c r="BK185" s="15" t="s">
        <v>437</v>
      </c>
      <c r="BL185" s="15" t="s">
        <v>437</v>
      </c>
      <c r="BM185" s="15" t="s">
        <v>437</v>
      </c>
      <c r="BN185" s="16" t="s">
        <v>437</v>
      </c>
      <c r="BP185" s="18">
        <v>7</v>
      </c>
      <c r="BQ185" s="15">
        <v>6</v>
      </c>
      <c r="BR185" s="15">
        <v>6</v>
      </c>
      <c r="BS185" s="16">
        <v>7</v>
      </c>
      <c r="BU185" s="18">
        <v>3</v>
      </c>
      <c r="BV185" s="15">
        <v>3</v>
      </c>
      <c r="BW185" s="15">
        <v>3</v>
      </c>
      <c r="BX185" s="16">
        <v>3</v>
      </c>
      <c r="BZ185" s="18" t="s">
        <v>437</v>
      </c>
      <c r="CA185" s="15" t="s">
        <v>437</v>
      </c>
      <c r="CB185" s="15" t="s">
        <v>437</v>
      </c>
      <c r="CC185" s="16" t="s">
        <v>437</v>
      </c>
    </row>
    <row r="186" spans="2:81" ht="18" hidden="1" customHeight="1" x14ac:dyDescent="0.2">
      <c r="B186" s="8">
        <f>garage!B186</f>
        <v>186</v>
      </c>
      <c r="C186" s="8">
        <f>garage!C186</f>
        <v>5</v>
      </c>
      <c r="D186" s="8">
        <f>garage!D186</f>
        <v>24</v>
      </c>
      <c r="E186" s="8">
        <f>garage!E186</f>
        <v>28</v>
      </c>
      <c r="F186" s="8" t="str">
        <f>garage!F186</f>
        <v>--</v>
      </c>
      <c r="G186" s="8" t="str">
        <f>garage!G186</f>
        <v>N</v>
      </c>
      <c r="H186" s="8" t="str">
        <f>garage!H186</f>
        <v>N</v>
      </c>
      <c r="I186" s="8" t="str">
        <f>garage!I186</f>
        <v>N</v>
      </c>
      <c r="J186" s="8" t="str">
        <f>garage!J186</f>
        <v>N</v>
      </c>
      <c r="K186" s="8" t="str">
        <f>garage!K186</f>
        <v>S</v>
      </c>
      <c r="L186" s="9" t="str">
        <f>garage!L186</f>
        <v>Faraday</v>
      </c>
      <c r="M186" s="9" t="str">
        <f>garage!M186</f>
        <v>FFZero1</v>
      </c>
      <c r="O186" s="17" t="s">
        <v>437</v>
      </c>
      <c r="P186" s="13" t="s">
        <v>437</v>
      </c>
      <c r="Q186" s="13" t="s">
        <v>437</v>
      </c>
      <c r="R186" s="14" t="s">
        <v>437</v>
      </c>
      <c r="S186" s="13" t="s">
        <v>437</v>
      </c>
      <c r="T186" s="13" t="s">
        <v>437</v>
      </c>
      <c r="U186" s="13" t="s">
        <v>437</v>
      </c>
      <c r="V186" s="14" t="s">
        <v>437</v>
      </c>
      <c r="W186" s="13" t="s">
        <v>437</v>
      </c>
      <c r="X186" s="13" t="s">
        <v>437</v>
      </c>
      <c r="Y186" s="13" t="s">
        <v>437</v>
      </c>
      <c r="Z186" s="14" t="s">
        <v>437</v>
      </c>
      <c r="AA186" s="13" t="s">
        <v>437</v>
      </c>
      <c r="AB186" s="13" t="s">
        <v>437</v>
      </c>
      <c r="AC186" s="13" t="s">
        <v>437</v>
      </c>
      <c r="AD186" s="14" t="s">
        <v>437</v>
      </c>
      <c r="AE186" s="13" t="s">
        <v>437</v>
      </c>
      <c r="AF186" s="13" t="s">
        <v>437</v>
      </c>
      <c r="AG186" s="13" t="s">
        <v>437</v>
      </c>
      <c r="AH186" s="14" t="s">
        <v>437</v>
      </c>
      <c r="AI186" s="13" t="s">
        <v>437</v>
      </c>
      <c r="AJ186" s="13" t="s">
        <v>437</v>
      </c>
      <c r="AK186" s="13" t="s">
        <v>437</v>
      </c>
      <c r="AL186" s="14" t="s">
        <v>437</v>
      </c>
      <c r="AM186" s="13" t="s">
        <v>437</v>
      </c>
      <c r="AN186" s="13" t="s">
        <v>437</v>
      </c>
      <c r="AO186" s="13" t="s">
        <v>437</v>
      </c>
      <c r="AP186" s="14" t="s">
        <v>437</v>
      </c>
      <c r="AQ186" s="13" t="s">
        <v>437</v>
      </c>
      <c r="AR186" s="13" t="s">
        <v>437</v>
      </c>
      <c r="AS186" s="13" t="s">
        <v>437</v>
      </c>
      <c r="AT186" s="14" t="s">
        <v>437</v>
      </c>
      <c r="AU186" s="13" t="s">
        <v>437</v>
      </c>
      <c r="AV186" s="13" t="s">
        <v>437</v>
      </c>
      <c r="AW186" s="13" t="s">
        <v>437</v>
      </c>
      <c r="AX186" s="14" t="s">
        <v>437</v>
      </c>
      <c r="AY186" s="13" t="s">
        <v>437</v>
      </c>
      <c r="AZ186" s="13" t="s">
        <v>437</v>
      </c>
      <c r="BA186" s="13" t="s">
        <v>437</v>
      </c>
      <c r="BB186" s="14" t="s">
        <v>437</v>
      </c>
      <c r="BC186" s="13" t="s">
        <v>437</v>
      </c>
      <c r="BD186" s="13" t="s">
        <v>437</v>
      </c>
      <c r="BE186" s="13" t="s">
        <v>437</v>
      </c>
      <c r="BF186" s="14" t="s">
        <v>437</v>
      </c>
      <c r="BG186" s="13" t="s">
        <v>437</v>
      </c>
      <c r="BH186" s="13" t="s">
        <v>437</v>
      </c>
      <c r="BI186" s="13" t="s">
        <v>437</v>
      </c>
      <c r="BJ186" s="14" t="s">
        <v>437</v>
      </c>
      <c r="BK186" s="13" t="s">
        <v>437</v>
      </c>
      <c r="BL186" s="13" t="s">
        <v>437</v>
      </c>
      <c r="BM186" s="13" t="s">
        <v>437</v>
      </c>
      <c r="BN186" s="14" t="s">
        <v>437</v>
      </c>
      <c r="BP186" s="17" t="s">
        <v>437</v>
      </c>
      <c r="BQ186" s="13" t="s">
        <v>437</v>
      </c>
      <c r="BR186" s="13" t="s">
        <v>437</v>
      </c>
      <c r="BS186" s="14" t="s">
        <v>437</v>
      </c>
      <c r="BU186" s="17" t="s">
        <v>437</v>
      </c>
      <c r="BV186" s="13" t="s">
        <v>437</v>
      </c>
      <c r="BW186" s="13" t="s">
        <v>437</v>
      </c>
      <c r="BX186" s="14" t="s">
        <v>437</v>
      </c>
      <c r="BZ186" s="17" t="s">
        <v>437</v>
      </c>
      <c r="CA186" s="13" t="s">
        <v>437</v>
      </c>
      <c r="CB186" s="13" t="s">
        <v>437</v>
      </c>
      <c r="CC186" s="14" t="s">
        <v>437</v>
      </c>
    </row>
    <row r="187" spans="2:81" ht="18" customHeight="1" x14ac:dyDescent="0.2">
      <c r="B187" s="10">
        <f>garage!B187</f>
        <v>187</v>
      </c>
      <c r="C187" s="10">
        <f>garage!C187</f>
        <v>5</v>
      </c>
      <c r="D187" s="10">
        <f>garage!D187</f>
        <v>25</v>
      </c>
      <c r="E187" s="10">
        <f>garage!E187</f>
        <v>0</v>
      </c>
      <c r="F187" s="10" t="str">
        <f>garage!F187</f>
        <v>--</v>
      </c>
      <c r="G187" s="10" t="str">
        <f>garage!G187</f>
        <v>O</v>
      </c>
      <c r="H187" s="10" t="str">
        <f>garage!H187</f>
        <v>O</v>
      </c>
      <c r="I187" s="10" t="str">
        <f>garage!I187</f>
        <v>O</v>
      </c>
      <c r="J187" s="10" t="str">
        <f>garage!J187</f>
        <v>N</v>
      </c>
      <c r="K187" s="10" t="str">
        <f>garage!K187</f>
        <v>S</v>
      </c>
      <c r="L187" s="11" t="str">
        <f>garage!L187</f>
        <v>Koenigsegg</v>
      </c>
      <c r="M187" s="11" t="str">
        <f>garage!M187</f>
        <v>Regera</v>
      </c>
      <c r="O187" s="18">
        <v>1</v>
      </c>
      <c r="P187" s="15">
        <v>1</v>
      </c>
      <c r="Q187" s="15">
        <v>1</v>
      </c>
      <c r="R187" s="16">
        <v>1</v>
      </c>
      <c r="S187" s="15">
        <v>1</v>
      </c>
      <c r="T187" s="15">
        <v>1</v>
      </c>
      <c r="U187" s="15">
        <v>1</v>
      </c>
      <c r="V187" s="16">
        <v>1</v>
      </c>
      <c r="W187" s="15">
        <v>1</v>
      </c>
      <c r="X187" s="15">
        <v>1</v>
      </c>
      <c r="Y187" s="15">
        <v>1</v>
      </c>
      <c r="Z187" s="16">
        <v>1</v>
      </c>
      <c r="AA187" s="15">
        <v>1</v>
      </c>
      <c r="AB187" s="15">
        <v>1</v>
      </c>
      <c r="AC187" s="15">
        <v>1</v>
      </c>
      <c r="AD187" s="16">
        <v>1</v>
      </c>
      <c r="AE187" s="15">
        <v>1</v>
      </c>
      <c r="AF187" s="15">
        <v>1</v>
      </c>
      <c r="AG187" s="15">
        <v>1</v>
      </c>
      <c r="AH187" s="16">
        <v>1</v>
      </c>
      <c r="AI187" s="15">
        <v>1</v>
      </c>
      <c r="AJ187" s="15">
        <v>1</v>
      </c>
      <c r="AK187" s="15">
        <v>1</v>
      </c>
      <c r="AL187" s="16">
        <v>1</v>
      </c>
      <c r="AM187" s="15">
        <v>1</v>
      </c>
      <c r="AN187" s="15">
        <v>1</v>
      </c>
      <c r="AO187" s="15">
        <v>1</v>
      </c>
      <c r="AP187" s="16">
        <v>1</v>
      </c>
      <c r="AQ187" s="15">
        <v>1</v>
      </c>
      <c r="AR187" s="15">
        <v>1</v>
      </c>
      <c r="AS187" s="15">
        <v>1</v>
      </c>
      <c r="AT187" s="16">
        <v>1</v>
      </c>
      <c r="AU187" s="15">
        <v>1</v>
      </c>
      <c r="AV187" s="15">
        <v>1</v>
      </c>
      <c r="AW187" s="15">
        <v>1</v>
      </c>
      <c r="AX187" s="16">
        <v>1</v>
      </c>
      <c r="AY187" s="15">
        <v>1</v>
      </c>
      <c r="AZ187" s="15">
        <v>1</v>
      </c>
      <c r="BA187" s="15">
        <v>1</v>
      </c>
      <c r="BB187" s="16">
        <v>1</v>
      </c>
      <c r="BC187" s="15">
        <v>1</v>
      </c>
      <c r="BD187" s="15">
        <v>1</v>
      </c>
      <c r="BE187" s="15">
        <v>1</v>
      </c>
      <c r="BF187" s="16">
        <v>1</v>
      </c>
      <c r="BG187" s="15">
        <v>1</v>
      </c>
      <c r="BH187" s="15">
        <v>1</v>
      </c>
      <c r="BI187" s="15">
        <v>1</v>
      </c>
      <c r="BJ187" s="16">
        <v>1</v>
      </c>
      <c r="BK187" s="15">
        <v>1</v>
      </c>
      <c r="BL187" s="15">
        <v>1</v>
      </c>
      <c r="BM187" s="15">
        <v>1</v>
      </c>
      <c r="BN187" s="16">
        <v>1</v>
      </c>
      <c r="BP187" s="18">
        <v>7</v>
      </c>
      <c r="BQ187" s="15">
        <v>7</v>
      </c>
      <c r="BR187" s="15">
        <v>7</v>
      </c>
      <c r="BS187" s="16">
        <v>7</v>
      </c>
      <c r="BU187" s="18">
        <v>5</v>
      </c>
      <c r="BV187" s="15">
        <v>5</v>
      </c>
      <c r="BW187" s="15">
        <v>5</v>
      </c>
      <c r="BX187" s="16">
        <v>5</v>
      </c>
      <c r="BZ187" s="18">
        <v>4</v>
      </c>
      <c r="CA187" s="15">
        <v>4</v>
      </c>
      <c r="CB187" s="15">
        <v>4</v>
      </c>
      <c r="CC187" s="16">
        <v>4</v>
      </c>
    </row>
    <row r="188" spans="2:81" ht="18" hidden="1" customHeight="1" x14ac:dyDescent="0.2">
      <c r="B188" s="8">
        <f>garage!B188</f>
        <v>188</v>
      </c>
      <c r="C188" s="8">
        <f>garage!C188</f>
        <v>5</v>
      </c>
      <c r="D188" s="8">
        <f>garage!D188</f>
        <v>26</v>
      </c>
      <c r="E188" s="8">
        <f>garage!E188</f>
        <v>23</v>
      </c>
      <c r="F188" s="8" t="str">
        <f>garage!F188</f>
        <v>--</v>
      </c>
      <c r="G188" s="8" t="str">
        <f>garage!G188</f>
        <v>N</v>
      </c>
      <c r="H188" s="8" t="str">
        <f>garage!H188</f>
        <v>N</v>
      </c>
      <c r="I188" s="8" t="str">
        <f>garage!I188</f>
        <v>N</v>
      </c>
      <c r="J188" s="8" t="str">
        <f>garage!J188</f>
        <v>N</v>
      </c>
      <c r="K188" s="8" t="str">
        <f>garage!K188</f>
        <v>S</v>
      </c>
      <c r="L188" s="9" t="str">
        <f>garage!L188</f>
        <v>Ultima</v>
      </c>
      <c r="M188" s="9" t="str">
        <f>garage!M188</f>
        <v>RS</v>
      </c>
      <c r="O188" s="17" t="s">
        <v>437</v>
      </c>
      <c r="P188" s="13" t="s">
        <v>437</v>
      </c>
      <c r="Q188" s="13" t="s">
        <v>437</v>
      </c>
      <c r="R188" s="14" t="s">
        <v>437</v>
      </c>
      <c r="S188" s="13" t="s">
        <v>437</v>
      </c>
      <c r="T188" s="13" t="s">
        <v>437</v>
      </c>
      <c r="U188" s="13" t="s">
        <v>437</v>
      </c>
      <c r="V188" s="14" t="s">
        <v>437</v>
      </c>
      <c r="W188" s="13" t="s">
        <v>437</v>
      </c>
      <c r="X188" s="13" t="s">
        <v>437</v>
      </c>
      <c r="Y188" s="13" t="s">
        <v>437</v>
      </c>
      <c r="Z188" s="14" t="s">
        <v>437</v>
      </c>
      <c r="AA188" s="13" t="s">
        <v>437</v>
      </c>
      <c r="AB188" s="13" t="s">
        <v>437</v>
      </c>
      <c r="AC188" s="13" t="s">
        <v>437</v>
      </c>
      <c r="AD188" s="14" t="s">
        <v>437</v>
      </c>
      <c r="AE188" s="13" t="s">
        <v>437</v>
      </c>
      <c r="AF188" s="13" t="s">
        <v>437</v>
      </c>
      <c r="AG188" s="13" t="s">
        <v>437</v>
      </c>
      <c r="AH188" s="14" t="s">
        <v>437</v>
      </c>
      <c r="AI188" s="13" t="s">
        <v>437</v>
      </c>
      <c r="AJ188" s="13" t="s">
        <v>437</v>
      </c>
      <c r="AK188" s="13" t="s">
        <v>437</v>
      </c>
      <c r="AL188" s="14" t="s">
        <v>437</v>
      </c>
      <c r="AM188" s="13" t="s">
        <v>437</v>
      </c>
      <c r="AN188" s="13" t="s">
        <v>437</v>
      </c>
      <c r="AO188" s="13" t="s">
        <v>437</v>
      </c>
      <c r="AP188" s="14" t="s">
        <v>437</v>
      </c>
      <c r="AQ188" s="13" t="s">
        <v>437</v>
      </c>
      <c r="AR188" s="13" t="s">
        <v>437</v>
      </c>
      <c r="AS188" s="13" t="s">
        <v>437</v>
      </c>
      <c r="AT188" s="14" t="s">
        <v>437</v>
      </c>
      <c r="AU188" s="13" t="s">
        <v>437</v>
      </c>
      <c r="AV188" s="13" t="s">
        <v>437</v>
      </c>
      <c r="AW188" s="13" t="s">
        <v>437</v>
      </c>
      <c r="AX188" s="14" t="s">
        <v>437</v>
      </c>
      <c r="AY188" s="13" t="s">
        <v>437</v>
      </c>
      <c r="AZ188" s="13" t="s">
        <v>437</v>
      </c>
      <c r="BA188" s="13" t="s">
        <v>437</v>
      </c>
      <c r="BB188" s="14" t="s">
        <v>437</v>
      </c>
      <c r="BC188" s="13" t="s">
        <v>437</v>
      </c>
      <c r="BD188" s="13" t="s">
        <v>437</v>
      </c>
      <c r="BE188" s="13" t="s">
        <v>437</v>
      </c>
      <c r="BF188" s="14" t="s">
        <v>437</v>
      </c>
      <c r="BG188" s="13" t="s">
        <v>437</v>
      </c>
      <c r="BH188" s="13" t="s">
        <v>437</v>
      </c>
      <c r="BI188" s="13" t="s">
        <v>437</v>
      </c>
      <c r="BJ188" s="14" t="s">
        <v>437</v>
      </c>
      <c r="BK188" s="13" t="s">
        <v>437</v>
      </c>
      <c r="BL188" s="13" t="s">
        <v>437</v>
      </c>
      <c r="BM188" s="13" t="s">
        <v>437</v>
      </c>
      <c r="BN188" s="14" t="s">
        <v>437</v>
      </c>
      <c r="BP188" s="17" t="s">
        <v>437</v>
      </c>
      <c r="BQ188" s="13" t="s">
        <v>437</v>
      </c>
      <c r="BR188" s="13" t="s">
        <v>437</v>
      </c>
      <c r="BS188" s="14" t="s">
        <v>437</v>
      </c>
      <c r="BU188" s="17" t="s">
        <v>437</v>
      </c>
      <c r="BV188" s="13" t="s">
        <v>437</v>
      </c>
      <c r="BW188" s="13" t="s">
        <v>437</v>
      </c>
      <c r="BX188" s="14" t="s">
        <v>437</v>
      </c>
      <c r="BZ188" s="17" t="s">
        <v>437</v>
      </c>
      <c r="CA188" s="13" t="s">
        <v>437</v>
      </c>
      <c r="CB188" s="13" t="s">
        <v>437</v>
      </c>
      <c r="CC188" s="14" t="s">
        <v>437</v>
      </c>
    </row>
    <row r="189" spans="2:81" ht="18" hidden="1" customHeight="1" x14ac:dyDescent="0.2">
      <c r="B189" s="10">
        <f>garage!B189</f>
        <v>189</v>
      </c>
      <c r="C189" s="10">
        <f>garage!C189</f>
        <v>5</v>
      </c>
      <c r="D189" s="10">
        <f>garage!D189</f>
        <v>27</v>
      </c>
      <c r="E189" s="10">
        <f>garage!E189</f>
        <v>12</v>
      </c>
      <c r="F189" s="10" t="str">
        <f>garage!F189</f>
        <v>L</v>
      </c>
      <c r="G189" s="10" t="str">
        <f>garage!G189</f>
        <v>N</v>
      </c>
      <c r="H189" s="10" t="str">
        <f>garage!H189</f>
        <v>N</v>
      </c>
      <c r="I189" s="10" t="str">
        <f>garage!I189</f>
        <v>N</v>
      </c>
      <c r="J189" s="10" t="str">
        <f>garage!J189</f>
        <v>N</v>
      </c>
      <c r="K189" s="10" t="str">
        <f>garage!K189</f>
        <v>S</v>
      </c>
      <c r="L189" s="11" t="str">
        <f>garage!L189</f>
        <v>Lamborghini</v>
      </c>
      <c r="M189" s="11" t="str">
        <f>garage!M189</f>
        <v>Sián FKP 37</v>
      </c>
      <c r="O189" s="18" t="s">
        <v>437</v>
      </c>
      <c r="P189" s="15" t="s">
        <v>437</v>
      </c>
      <c r="Q189" s="15" t="s">
        <v>437</v>
      </c>
      <c r="R189" s="16" t="s">
        <v>437</v>
      </c>
      <c r="S189" s="15" t="s">
        <v>437</v>
      </c>
      <c r="T189" s="15" t="s">
        <v>437</v>
      </c>
      <c r="U189" s="15" t="s">
        <v>437</v>
      </c>
      <c r="V189" s="16" t="s">
        <v>437</v>
      </c>
      <c r="W189" s="15" t="s">
        <v>437</v>
      </c>
      <c r="X189" s="15" t="s">
        <v>437</v>
      </c>
      <c r="Y189" s="15" t="s">
        <v>437</v>
      </c>
      <c r="Z189" s="16" t="s">
        <v>437</v>
      </c>
      <c r="AA189" s="15" t="s">
        <v>437</v>
      </c>
      <c r="AB189" s="15" t="s">
        <v>437</v>
      </c>
      <c r="AC189" s="15" t="s">
        <v>437</v>
      </c>
      <c r="AD189" s="16" t="s">
        <v>437</v>
      </c>
      <c r="AE189" s="15" t="s">
        <v>437</v>
      </c>
      <c r="AF189" s="15" t="s">
        <v>437</v>
      </c>
      <c r="AG189" s="15" t="s">
        <v>437</v>
      </c>
      <c r="AH189" s="16" t="s">
        <v>437</v>
      </c>
      <c r="AI189" s="15" t="s">
        <v>437</v>
      </c>
      <c r="AJ189" s="15" t="s">
        <v>437</v>
      </c>
      <c r="AK189" s="15" t="s">
        <v>437</v>
      </c>
      <c r="AL189" s="16" t="s">
        <v>437</v>
      </c>
      <c r="AM189" s="15" t="s">
        <v>437</v>
      </c>
      <c r="AN189" s="15" t="s">
        <v>437</v>
      </c>
      <c r="AO189" s="15" t="s">
        <v>437</v>
      </c>
      <c r="AP189" s="16" t="s">
        <v>437</v>
      </c>
      <c r="AQ189" s="15" t="s">
        <v>437</v>
      </c>
      <c r="AR189" s="15" t="s">
        <v>437</v>
      </c>
      <c r="AS189" s="15" t="s">
        <v>437</v>
      </c>
      <c r="AT189" s="16" t="s">
        <v>437</v>
      </c>
      <c r="AU189" s="15" t="s">
        <v>437</v>
      </c>
      <c r="AV189" s="15" t="s">
        <v>437</v>
      </c>
      <c r="AW189" s="15" t="s">
        <v>437</v>
      </c>
      <c r="AX189" s="16" t="s">
        <v>437</v>
      </c>
      <c r="AY189" s="15" t="s">
        <v>437</v>
      </c>
      <c r="AZ189" s="15" t="s">
        <v>437</v>
      </c>
      <c r="BA189" s="15" t="s">
        <v>437</v>
      </c>
      <c r="BB189" s="16" t="s">
        <v>437</v>
      </c>
      <c r="BC189" s="15" t="s">
        <v>437</v>
      </c>
      <c r="BD189" s="15" t="s">
        <v>437</v>
      </c>
      <c r="BE189" s="15" t="s">
        <v>437</v>
      </c>
      <c r="BF189" s="16" t="s">
        <v>437</v>
      </c>
      <c r="BG189" s="15" t="s">
        <v>437</v>
      </c>
      <c r="BH189" s="15" t="s">
        <v>437</v>
      </c>
      <c r="BI189" s="15" t="s">
        <v>437</v>
      </c>
      <c r="BJ189" s="16" t="s">
        <v>437</v>
      </c>
      <c r="BK189" s="15" t="s">
        <v>437</v>
      </c>
      <c r="BL189" s="15" t="s">
        <v>437</v>
      </c>
      <c r="BM189" s="15" t="s">
        <v>437</v>
      </c>
      <c r="BN189" s="16" t="s">
        <v>437</v>
      </c>
      <c r="BP189" s="18" t="s">
        <v>437</v>
      </c>
      <c r="BQ189" s="15" t="s">
        <v>437</v>
      </c>
      <c r="BR189" s="15" t="s">
        <v>437</v>
      </c>
      <c r="BS189" s="16" t="s">
        <v>437</v>
      </c>
      <c r="BU189" s="18" t="s">
        <v>437</v>
      </c>
      <c r="BV189" s="15" t="s">
        <v>437</v>
      </c>
      <c r="BW189" s="15" t="s">
        <v>437</v>
      </c>
      <c r="BX189" s="16" t="s">
        <v>437</v>
      </c>
      <c r="BZ189" s="18" t="s">
        <v>437</v>
      </c>
      <c r="CA189" s="15" t="s">
        <v>437</v>
      </c>
      <c r="CB189" s="15" t="s">
        <v>437</v>
      </c>
      <c r="CC189" s="16" t="s">
        <v>437</v>
      </c>
    </row>
    <row r="190" spans="2:81" ht="18" hidden="1" customHeight="1" x14ac:dyDescent="0.2">
      <c r="B190" s="8">
        <f>garage!B190</f>
        <v>190</v>
      </c>
      <c r="C190" s="8">
        <f>garage!C190</f>
        <v>5</v>
      </c>
      <c r="D190" s="8">
        <f>garage!D190</f>
        <v>28</v>
      </c>
      <c r="E190" s="8">
        <f>garage!E190</f>
        <v>27</v>
      </c>
      <c r="F190" s="8" t="str">
        <f>garage!F190</f>
        <v>--</v>
      </c>
      <c r="G190" s="8" t="str">
        <f>garage!G190</f>
        <v>N</v>
      </c>
      <c r="H190" s="8" t="str">
        <f>garage!H190</f>
        <v>N</v>
      </c>
      <c r="I190" s="8" t="str">
        <f>garage!I190</f>
        <v>N</v>
      </c>
      <c r="J190" s="8" t="str">
        <f>garage!J190</f>
        <v>N</v>
      </c>
      <c r="K190" s="8" t="str">
        <f>garage!K190</f>
        <v>S</v>
      </c>
      <c r="L190" s="9" t="str">
        <f>garage!L190</f>
        <v>Ajlani</v>
      </c>
      <c r="M190" s="9" t="str">
        <f>garage!M190</f>
        <v>Drakuma</v>
      </c>
      <c r="O190" s="17" t="s">
        <v>437</v>
      </c>
      <c r="P190" s="13" t="s">
        <v>437</v>
      </c>
      <c r="Q190" s="13" t="s">
        <v>437</v>
      </c>
      <c r="R190" s="14" t="s">
        <v>437</v>
      </c>
      <c r="S190" s="13" t="s">
        <v>437</v>
      </c>
      <c r="T190" s="13" t="s">
        <v>437</v>
      </c>
      <c r="U190" s="13" t="s">
        <v>437</v>
      </c>
      <c r="V190" s="14" t="s">
        <v>437</v>
      </c>
      <c r="W190" s="13" t="s">
        <v>437</v>
      </c>
      <c r="X190" s="13" t="s">
        <v>437</v>
      </c>
      <c r="Y190" s="13" t="s">
        <v>437</v>
      </c>
      <c r="Z190" s="14" t="s">
        <v>437</v>
      </c>
      <c r="AA190" s="13" t="s">
        <v>437</v>
      </c>
      <c r="AB190" s="13" t="s">
        <v>437</v>
      </c>
      <c r="AC190" s="13" t="s">
        <v>437</v>
      </c>
      <c r="AD190" s="14" t="s">
        <v>437</v>
      </c>
      <c r="AE190" s="13" t="s">
        <v>437</v>
      </c>
      <c r="AF190" s="13" t="s">
        <v>437</v>
      </c>
      <c r="AG190" s="13" t="s">
        <v>437</v>
      </c>
      <c r="AH190" s="14" t="s">
        <v>437</v>
      </c>
      <c r="AI190" s="13" t="s">
        <v>437</v>
      </c>
      <c r="AJ190" s="13" t="s">
        <v>437</v>
      </c>
      <c r="AK190" s="13" t="s">
        <v>437</v>
      </c>
      <c r="AL190" s="14" t="s">
        <v>437</v>
      </c>
      <c r="AM190" s="13" t="s">
        <v>437</v>
      </c>
      <c r="AN190" s="13" t="s">
        <v>437</v>
      </c>
      <c r="AO190" s="13" t="s">
        <v>437</v>
      </c>
      <c r="AP190" s="14" t="s">
        <v>437</v>
      </c>
      <c r="AQ190" s="13" t="s">
        <v>437</v>
      </c>
      <c r="AR190" s="13" t="s">
        <v>437</v>
      </c>
      <c r="AS190" s="13" t="s">
        <v>437</v>
      </c>
      <c r="AT190" s="14" t="s">
        <v>437</v>
      </c>
      <c r="AU190" s="13" t="s">
        <v>437</v>
      </c>
      <c r="AV190" s="13" t="s">
        <v>437</v>
      </c>
      <c r="AW190" s="13" t="s">
        <v>437</v>
      </c>
      <c r="AX190" s="14" t="s">
        <v>437</v>
      </c>
      <c r="AY190" s="13" t="s">
        <v>437</v>
      </c>
      <c r="AZ190" s="13" t="s">
        <v>437</v>
      </c>
      <c r="BA190" s="13" t="s">
        <v>437</v>
      </c>
      <c r="BB190" s="14" t="s">
        <v>437</v>
      </c>
      <c r="BC190" s="13" t="s">
        <v>437</v>
      </c>
      <c r="BD190" s="13" t="s">
        <v>437</v>
      </c>
      <c r="BE190" s="13" t="s">
        <v>437</v>
      </c>
      <c r="BF190" s="14" t="s">
        <v>437</v>
      </c>
      <c r="BG190" s="13" t="s">
        <v>437</v>
      </c>
      <c r="BH190" s="13" t="s">
        <v>437</v>
      </c>
      <c r="BI190" s="13" t="s">
        <v>437</v>
      </c>
      <c r="BJ190" s="14" t="s">
        <v>437</v>
      </c>
      <c r="BK190" s="13" t="s">
        <v>437</v>
      </c>
      <c r="BL190" s="13" t="s">
        <v>437</v>
      </c>
      <c r="BM190" s="13" t="s">
        <v>437</v>
      </c>
      <c r="BN190" s="14" t="s">
        <v>437</v>
      </c>
      <c r="BP190" s="17" t="s">
        <v>437</v>
      </c>
      <c r="BQ190" s="13" t="s">
        <v>437</v>
      </c>
      <c r="BR190" s="13" t="s">
        <v>437</v>
      </c>
      <c r="BS190" s="14" t="s">
        <v>437</v>
      </c>
      <c r="BU190" s="17" t="s">
        <v>437</v>
      </c>
      <c r="BV190" s="13" t="s">
        <v>437</v>
      </c>
      <c r="BW190" s="13" t="s">
        <v>437</v>
      </c>
      <c r="BX190" s="14" t="s">
        <v>437</v>
      </c>
      <c r="BZ190" s="17" t="s">
        <v>437</v>
      </c>
      <c r="CA190" s="13" t="s">
        <v>437</v>
      </c>
      <c r="CB190" s="13" t="s">
        <v>437</v>
      </c>
      <c r="CC190" s="14" t="s">
        <v>437</v>
      </c>
    </row>
    <row r="191" spans="2:81" ht="18" hidden="1" customHeight="1" x14ac:dyDescent="0.2">
      <c r="B191" s="10">
        <f>garage!B191</f>
        <v>191</v>
      </c>
      <c r="C191" s="10">
        <f>garage!C191</f>
        <v>5</v>
      </c>
      <c r="D191" s="10">
        <f>garage!D191</f>
        <v>29</v>
      </c>
      <c r="E191" s="10">
        <f>garage!E191</f>
        <v>29</v>
      </c>
      <c r="F191" s="10" t="str">
        <f>garage!F191</f>
        <v>--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 t="str">
        <f>garage!J191</f>
        <v>N</v>
      </c>
      <c r="K191" s="10" t="str">
        <f>garage!K191</f>
        <v>S</v>
      </c>
      <c r="L191" s="11" t="str">
        <f>garage!L191</f>
        <v>Torino Design</v>
      </c>
      <c r="M191" s="11" t="str">
        <f>garage!M191</f>
        <v>Super Sport</v>
      </c>
      <c r="O191" s="18" t="s">
        <v>437</v>
      </c>
      <c r="P191" s="15" t="s">
        <v>437</v>
      </c>
      <c r="Q191" s="15" t="s">
        <v>437</v>
      </c>
      <c r="R191" s="16" t="s">
        <v>437</v>
      </c>
      <c r="S191" s="15" t="s">
        <v>437</v>
      </c>
      <c r="T191" s="15" t="s">
        <v>437</v>
      </c>
      <c r="U191" s="15" t="s">
        <v>437</v>
      </c>
      <c r="V191" s="16" t="s">
        <v>437</v>
      </c>
      <c r="W191" s="15" t="s">
        <v>437</v>
      </c>
      <c r="X191" s="15" t="s">
        <v>437</v>
      </c>
      <c r="Y191" s="15" t="s">
        <v>437</v>
      </c>
      <c r="Z191" s="16" t="s">
        <v>437</v>
      </c>
      <c r="AA191" s="15" t="s">
        <v>437</v>
      </c>
      <c r="AB191" s="15" t="s">
        <v>437</v>
      </c>
      <c r="AC191" s="15" t="s">
        <v>437</v>
      </c>
      <c r="AD191" s="16" t="s">
        <v>437</v>
      </c>
      <c r="AE191" s="15" t="s">
        <v>437</v>
      </c>
      <c r="AF191" s="15" t="s">
        <v>437</v>
      </c>
      <c r="AG191" s="15" t="s">
        <v>437</v>
      </c>
      <c r="AH191" s="16" t="s">
        <v>437</v>
      </c>
      <c r="AI191" s="15" t="s">
        <v>437</v>
      </c>
      <c r="AJ191" s="15" t="s">
        <v>437</v>
      </c>
      <c r="AK191" s="15" t="s">
        <v>437</v>
      </c>
      <c r="AL191" s="16" t="s">
        <v>437</v>
      </c>
      <c r="AM191" s="15" t="s">
        <v>437</v>
      </c>
      <c r="AN191" s="15" t="s">
        <v>437</v>
      </c>
      <c r="AO191" s="15" t="s">
        <v>437</v>
      </c>
      <c r="AP191" s="16" t="s">
        <v>437</v>
      </c>
      <c r="AQ191" s="15" t="s">
        <v>437</v>
      </c>
      <c r="AR191" s="15" t="s">
        <v>437</v>
      </c>
      <c r="AS191" s="15" t="s">
        <v>437</v>
      </c>
      <c r="AT191" s="16" t="s">
        <v>437</v>
      </c>
      <c r="AU191" s="15" t="s">
        <v>437</v>
      </c>
      <c r="AV191" s="15" t="s">
        <v>437</v>
      </c>
      <c r="AW191" s="15" t="s">
        <v>437</v>
      </c>
      <c r="AX191" s="16" t="s">
        <v>437</v>
      </c>
      <c r="AY191" s="15" t="s">
        <v>437</v>
      </c>
      <c r="AZ191" s="15" t="s">
        <v>437</v>
      </c>
      <c r="BA191" s="15" t="s">
        <v>437</v>
      </c>
      <c r="BB191" s="16" t="s">
        <v>437</v>
      </c>
      <c r="BC191" s="15" t="s">
        <v>437</v>
      </c>
      <c r="BD191" s="15" t="s">
        <v>437</v>
      </c>
      <c r="BE191" s="15" t="s">
        <v>437</v>
      </c>
      <c r="BF191" s="16" t="s">
        <v>437</v>
      </c>
      <c r="BG191" s="15" t="s">
        <v>437</v>
      </c>
      <c r="BH191" s="15" t="s">
        <v>437</v>
      </c>
      <c r="BI191" s="15" t="s">
        <v>437</v>
      </c>
      <c r="BJ191" s="16" t="s">
        <v>437</v>
      </c>
      <c r="BK191" s="15" t="s">
        <v>437</v>
      </c>
      <c r="BL191" s="15" t="s">
        <v>437</v>
      </c>
      <c r="BM191" s="15" t="s">
        <v>437</v>
      </c>
      <c r="BN191" s="16" t="s">
        <v>437</v>
      </c>
      <c r="BP191" s="18" t="s">
        <v>437</v>
      </c>
      <c r="BQ191" s="15" t="s">
        <v>437</v>
      </c>
      <c r="BR191" s="15" t="s">
        <v>437</v>
      </c>
      <c r="BS191" s="16" t="s">
        <v>437</v>
      </c>
      <c r="BU191" s="18" t="s">
        <v>437</v>
      </c>
      <c r="BV191" s="15" t="s">
        <v>437</v>
      </c>
      <c r="BW191" s="15" t="s">
        <v>437</v>
      </c>
      <c r="BX191" s="16" t="s">
        <v>437</v>
      </c>
      <c r="BZ191" s="18" t="s">
        <v>437</v>
      </c>
      <c r="CA191" s="15" t="s">
        <v>437</v>
      </c>
      <c r="CB191" s="15" t="s">
        <v>437</v>
      </c>
      <c r="CC191" s="16" t="s">
        <v>437</v>
      </c>
    </row>
    <row r="192" spans="2:81" ht="18" customHeight="1" x14ac:dyDescent="0.2">
      <c r="B192" s="8">
        <f>garage!B192</f>
        <v>192</v>
      </c>
      <c r="C192" s="8">
        <f>garage!C192</f>
        <v>5</v>
      </c>
      <c r="D192" s="8">
        <f>garage!D192</f>
        <v>30</v>
      </c>
      <c r="E192" s="8">
        <f>garage!E192</f>
        <v>17</v>
      </c>
      <c r="F192" s="8" t="str">
        <f>garage!F192</f>
        <v>--</v>
      </c>
      <c r="G192" s="8" t="str">
        <f>garage!G192</f>
        <v>O</v>
      </c>
      <c r="H192" s="8" t="str">
        <f>garage!H192</f>
        <v>N</v>
      </c>
      <c r="I192" s="8" t="str">
        <f>garage!I192</f>
        <v>N</v>
      </c>
      <c r="J192" s="8" t="str">
        <f>garage!J192</f>
        <v>N</v>
      </c>
      <c r="K192" s="8" t="str">
        <f>garage!K192</f>
        <v>S</v>
      </c>
      <c r="L192" s="9" t="str">
        <f>garage!L192</f>
        <v>Inferno Automobili</v>
      </c>
      <c r="M192" s="9" t="str">
        <f>garage!M192</f>
        <v>Inferno</v>
      </c>
      <c r="O192" s="17">
        <v>1</v>
      </c>
      <c r="P192" s="13">
        <v>1</v>
      </c>
      <c r="Q192" s="13">
        <v>1</v>
      </c>
      <c r="R192" s="14">
        <v>1</v>
      </c>
      <c r="S192" s="13">
        <v>1</v>
      </c>
      <c r="T192" s="13">
        <v>1</v>
      </c>
      <c r="U192" s="13">
        <v>1</v>
      </c>
      <c r="V192" s="14">
        <v>1</v>
      </c>
      <c r="W192" s="13">
        <v>1</v>
      </c>
      <c r="X192" s="13">
        <v>1</v>
      </c>
      <c r="Y192" s="13">
        <v>1</v>
      </c>
      <c r="Z192" s="14">
        <v>1</v>
      </c>
      <c r="AA192" s="13">
        <v>1</v>
      </c>
      <c r="AB192" s="13">
        <v>1</v>
      </c>
      <c r="AC192" s="13">
        <v>1</v>
      </c>
      <c r="AD192" s="14">
        <v>1</v>
      </c>
      <c r="AE192" s="13">
        <v>1</v>
      </c>
      <c r="AF192" s="13">
        <v>1</v>
      </c>
      <c r="AG192" s="13">
        <v>1</v>
      </c>
      <c r="AH192" s="14">
        <v>1</v>
      </c>
      <c r="AI192" s="13">
        <v>1</v>
      </c>
      <c r="AJ192" s="13">
        <v>1</v>
      </c>
      <c r="AK192" s="13">
        <v>1</v>
      </c>
      <c r="AL192" s="14">
        <v>1</v>
      </c>
      <c r="AM192" s="13">
        <v>1</v>
      </c>
      <c r="AN192" s="13">
        <v>1</v>
      </c>
      <c r="AO192" s="13">
        <v>1</v>
      </c>
      <c r="AP192" s="14">
        <v>1</v>
      </c>
      <c r="AQ192" s="13" t="s">
        <v>437</v>
      </c>
      <c r="AR192" s="13" t="s">
        <v>437</v>
      </c>
      <c r="AS192" s="13" t="s">
        <v>437</v>
      </c>
      <c r="AT192" s="14" t="s">
        <v>437</v>
      </c>
      <c r="AU192" s="13" t="s">
        <v>437</v>
      </c>
      <c r="AV192" s="13" t="s">
        <v>437</v>
      </c>
      <c r="AW192" s="13" t="s">
        <v>437</v>
      </c>
      <c r="AX192" s="14" t="s">
        <v>437</v>
      </c>
      <c r="AY192" s="13" t="s">
        <v>437</v>
      </c>
      <c r="AZ192" s="13" t="s">
        <v>437</v>
      </c>
      <c r="BA192" s="13" t="s">
        <v>437</v>
      </c>
      <c r="BB192" s="14" t="s">
        <v>437</v>
      </c>
      <c r="BC192" s="13" t="s">
        <v>437</v>
      </c>
      <c r="BD192" s="13" t="s">
        <v>437</v>
      </c>
      <c r="BE192" s="13" t="s">
        <v>437</v>
      </c>
      <c r="BF192" s="14" t="s">
        <v>437</v>
      </c>
      <c r="BG192" s="13" t="s">
        <v>437</v>
      </c>
      <c r="BH192" s="13" t="s">
        <v>437</v>
      </c>
      <c r="BI192" s="13" t="s">
        <v>437</v>
      </c>
      <c r="BJ192" s="14" t="s">
        <v>437</v>
      </c>
      <c r="BK192" s="13" t="s">
        <v>437</v>
      </c>
      <c r="BL192" s="13" t="s">
        <v>437</v>
      </c>
      <c r="BM192" s="13" t="s">
        <v>437</v>
      </c>
      <c r="BN192" s="14" t="s">
        <v>437</v>
      </c>
      <c r="BP192" s="17">
        <v>4</v>
      </c>
      <c r="BQ192" s="13">
        <v>4</v>
      </c>
      <c r="BR192" s="13">
        <v>4</v>
      </c>
      <c r="BS192" s="14">
        <v>4</v>
      </c>
      <c r="BU192" s="17">
        <v>2</v>
      </c>
      <c r="BV192" s="13">
        <v>2</v>
      </c>
      <c r="BW192" s="13">
        <v>2</v>
      </c>
      <c r="BX192" s="14">
        <v>2</v>
      </c>
      <c r="BZ192" s="17" t="s">
        <v>437</v>
      </c>
      <c r="CA192" s="13" t="s">
        <v>437</v>
      </c>
      <c r="CB192" s="13" t="s">
        <v>437</v>
      </c>
      <c r="CC192" s="14" t="s">
        <v>437</v>
      </c>
    </row>
    <row r="193" spans="2:81" ht="18" customHeight="1" x14ac:dyDescent="0.2">
      <c r="B193" s="10">
        <f>garage!B193</f>
        <v>193</v>
      </c>
      <c r="C193" s="10">
        <f>garage!C193</f>
        <v>5</v>
      </c>
      <c r="D193" s="10">
        <f>garage!D193</f>
        <v>31</v>
      </c>
      <c r="E193" s="10">
        <f>garage!E193</f>
        <v>0</v>
      </c>
      <c r="F193" s="10" t="str">
        <f>garage!F193</f>
        <v>B</v>
      </c>
      <c r="G193" s="10" t="str">
        <f>garage!G193</f>
        <v>O</v>
      </c>
      <c r="H193" s="10" t="str">
        <f>garage!H193</f>
        <v>O</v>
      </c>
      <c r="I193" s="10" t="str">
        <f>garage!I193</f>
        <v>O</v>
      </c>
      <c r="J193" s="10" t="str">
        <f>garage!J193</f>
        <v>N</v>
      </c>
      <c r="K193" s="10" t="str">
        <f>garage!K193</f>
        <v>S</v>
      </c>
      <c r="L193" s="11" t="str">
        <f>garage!L193</f>
        <v>Bugatti</v>
      </c>
      <c r="M193" s="11" t="str">
        <f>garage!M193</f>
        <v>Chiron</v>
      </c>
      <c r="O193" s="18">
        <v>1</v>
      </c>
      <c r="P193" s="15">
        <v>1</v>
      </c>
      <c r="Q193" s="15">
        <v>1</v>
      </c>
      <c r="R193" s="16">
        <v>1</v>
      </c>
      <c r="S193" s="15">
        <v>1</v>
      </c>
      <c r="T193" s="15">
        <v>1</v>
      </c>
      <c r="U193" s="15">
        <v>1</v>
      </c>
      <c r="V193" s="16">
        <v>1</v>
      </c>
      <c r="W193" s="15">
        <v>1</v>
      </c>
      <c r="X193" s="15">
        <v>1</v>
      </c>
      <c r="Y193" s="15">
        <v>1</v>
      </c>
      <c r="Z193" s="16">
        <v>1</v>
      </c>
      <c r="AA193" s="15">
        <v>1</v>
      </c>
      <c r="AB193" s="15">
        <v>1</v>
      </c>
      <c r="AC193" s="15">
        <v>1</v>
      </c>
      <c r="AD193" s="16">
        <v>1</v>
      </c>
      <c r="AE193" s="15">
        <v>1</v>
      </c>
      <c r="AF193" s="15">
        <v>1</v>
      </c>
      <c r="AG193" s="15">
        <v>1</v>
      </c>
      <c r="AH193" s="16">
        <v>1</v>
      </c>
      <c r="AI193" s="15">
        <v>1</v>
      </c>
      <c r="AJ193" s="15">
        <v>1</v>
      </c>
      <c r="AK193" s="15">
        <v>1</v>
      </c>
      <c r="AL193" s="16">
        <v>1</v>
      </c>
      <c r="AM193" s="15">
        <v>1</v>
      </c>
      <c r="AN193" s="15">
        <v>1</v>
      </c>
      <c r="AO193" s="15">
        <v>1</v>
      </c>
      <c r="AP193" s="16">
        <v>1</v>
      </c>
      <c r="AQ193" s="15">
        <v>1</v>
      </c>
      <c r="AR193" s="15">
        <v>1</v>
      </c>
      <c r="AS193" s="15">
        <v>1</v>
      </c>
      <c r="AT193" s="16">
        <v>1</v>
      </c>
      <c r="AU193" s="15">
        <v>1</v>
      </c>
      <c r="AV193" s="15">
        <v>1</v>
      </c>
      <c r="AW193" s="15">
        <v>1</v>
      </c>
      <c r="AX193" s="16">
        <v>1</v>
      </c>
      <c r="AY193" s="15">
        <v>1</v>
      </c>
      <c r="AZ193" s="15">
        <v>1</v>
      </c>
      <c r="BA193" s="15">
        <v>1</v>
      </c>
      <c r="BB193" s="16">
        <v>1</v>
      </c>
      <c r="BC193" s="15">
        <v>1</v>
      </c>
      <c r="BD193" s="15">
        <v>1</v>
      </c>
      <c r="BE193" s="15">
        <v>1</v>
      </c>
      <c r="BF193" s="16">
        <v>1</v>
      </c>
      <c r="BG193" s="15">
        <v>1</v>
      </c>
      <c r="BH193" s="15">
        <v>1</v>
      </c>
      <c r="BI193" s="15">
        <v>1</v>
      </c>
      <c r="BJ193" s="16">
        <v>1</v>
      </c>
      <c r="BK193" s="15">
        <v>1</v>
      </c>
      <c r="BL193" s="15">
        <v>1</v>
      </c>
      <c r="BM193" s="15">
        <v>1</v>
      </c>
      <c r="BN193" s="16">
        <v>1</v>
      </c>
      <c r="BP193" s="18">
        <v>7</v>
      </c>
      <c r="BQ193" s="15">
        <v>7</v>
      </c>
      <c r="BR193" s="15">
        <v>7</v>
      </c>
      <c r="BS193" s="16">
        <v>7</v>
      </c>
      <c r="BU193" s="18">
        <v>5</v>
      </c>
      <c r="BV193" s="15">
        <v>5</v>
      </c>
      <c r="BW193" s="15">
        <v>5</v>
      </c>
      <c r="BX193" s="16">
        <v>5</v>
      </c>
      <c r="BZ193" s="18">
        <v>4</v>
      </c>
      <c r="CA193" s="15">
        <v>4</v>
      </c>
      <c r="CB193" s="15">
        <v>4</v>
      </c>
      <c r="CC193" s="16">
        <v>4</v>
      </c>
    </row>
    <row r="194" spans="2:81" ht="18" customHeight="1" x14ac:dyDescent="0.2">
      <c r="B194" s="8">
        <f>garage!B194</f>
        <v>194</v>
      </c>
      <c r="C194" s="8">
        <f>garage!C194</f>
        <v>5</v>
      </c>
      <c r="D194" s="8">
        <f>garage!D194</f>
        <v>32</v>
      </c>
      <c r="E194" s="8">
        <f>garage!E194</f>
        <v>13</v>
      </c>
      <c r="F194" s="8" t="str">
        <f>garage!F194</f>
        <v>--</v>
      </c>
      <c r="G194" s="8" t="str">
        <f>garage!G194</f>
        <v>O</v>
      </c>
      <c r="H194" s="8" t="str">
        <f>garage!H194</f>
        <v>O</v>
      </c>
      <c r="I194" s="8" t="str">
        <f>garage!I194</f>
        <v>N</v>
      </c>
      <c r="J194" s="8" t="str">
        <f>garage!J194</f>
        <v>N</v>
      </c>
      <c r="K194" s="8" t="str">
        <f>garage!K194</f>
        <v>S</v>
      </c>
      <c r="L194" s="9" t="str">
        <f>garage!L194</f>
        <v>BXR</v>
      </c>
      <c r="M194" s="9" t="str">
        <f>garage!M194</f>
        <v>Bailey Blade GT1</v>
      </c>
      <c r="O194" s="17">
        <v>1</v>
      </c>
      <c r="P194" s="13">
        <v>1</v>
      </c>
      <c r="Q194" s="13">
        <v>1</v>
      </c>
      <c r="R194" s="14">
        <v>1</v>
      </c>
      <c r="S194" s="13">
        <v>1</v>
      </c>
      <c r="T194" s="13">
        <v>1</v>
      </c>
      <c r="U194" s="13">
        <v>1</v>
      </c>
      <c r="V194" s="14">
        <v>1</v>
      </c>
      <c r="W194" s="13">
        <v>1</v>
      </c>
      <c r="X194" s="13">
        <v>1</v>
      </c>
      <c r="Y194" s="13">
        <v>1</v>
      </c>
      <c r="Z194" s="14">
        <v>1</v>
      </c>
      <c r="AA194" s="13">
        <v>1</v>
      </c>
      <c r="AB194" s="13">
        <v>1</v>
      </c>
      <c r="AC194" s="13">
        <v>1</v>
      </c>
      <c r="AD194" s="14">
        <v>1</v>
      </c>
      <c r="AE194" s="13">
        <v>1</v>
      </c>
      <c r="AF194" s="13">
        <v>1</v>
      </c>
      <c r="AG194" s="13">
        <v>1</v>
      </c>
      <c r="AH194" s="14">
        <v>1</v>
      </c>
      <c r="AI194" s="13">
        <v>1</v>
      </c>
      <c r="AJ194" s="13">
        <v>1</v>
      </c>
      <c r="AK194" s="13">
        <v>1</v>
      </c>
      <c r="AL194" s="14">
        <v>1</v>
      </c>
      <c r="AM194" s="13">
        <v>1</v>
      </c>
      <c r="AN194" s="13">
        <v>1</v>
      </c>
      <c r="AO194" s="13">
        <v>1</v>
      </c>
      <c r="AP194" s="14">
        <v>1</v>
      </c>
      <c r="AQ194" s="13">
        <v>1</v>
      </c>
      <c r="AR194" s="13">
        <v>1</v>
      </c>
      <c r="AS194" s="13">
        <v>1</v>
      </c>
      <c r="AT194" s="14">
        <v>1</v>
      </c>
      <c r="AU194" s="13">
        <v>1</v>
      </c>
      <c r="AV194" s="13">
        <v>1</v>
      </c>
      <c r="AW194" s="13">
        <v>1</v>
      </c>
      <c r="AX194" s="14">
        <v>1</v>
      </c>
      <c r="AY194" s="13">
        <v>1</v>
      </c>
      <c r="AZ194" s="13">
        <v>1</v>
      </c>
      <c r="BA194" s="13">
        <v>1</v>
      </c>
      <c r="BB194" s="14">
        <v>1</v>
      </c>
      <c r="BC194" s="13">
        <v>1</v>
      </c>
      <c r="BD194" s="13">
        <v>1</v>
      </c>
      <c r="BE194" s="13">
        <v>1</v>
      </c>
      <c r="BF194" s="14">
        <v>1</v>
      </c>
      <c r="BG194" s="13">
        <v>1</v>
      </c>
      <c r="BH194" s="13">
        <v>1</v>
      </c>
      <c r="BI194" s="13">
        <v>1</v>
      </c>
      <c r="BJ194" s="14">
        <v>1</v>
      </c>
      <c r="BK194" s="13">
        <v>1</v>
      </c>
      <c r="BL194" s="13">
        <v>1</v>
      </c>
      <c r="BM194" s="13">
        <v>1</v>
      </c>
      <c r="BN194" s="14">
        <v>1</v>
      </c>
      <c r="BP194" s="17">
        <v>7</v>
      </c>
      <c r="BQ194" s="13">
        <v>7</v>
      </c>
      <c r="BR194" s="13">
        <v>7</v>
      </c>
      <c r="BS194" s="14">
        <v>7</v>
      </c>
      <c r="BU194" s="17">
        <v>5</v>
      </c>
      <c r="BV194" s="13">
        <v>5</v>
      </c>
      <c r="BW194" s="13">
        <v>5</v>
      </c>
      <c r="BX194" s="14">
        <v>5</v>
      </c>
      <c r="BZ194" s="17">
        <v>2</v>
      </c>
      <c r="CA194" s="13">
        <v>4</v>
      </c>
      <c r="CB194" s="13">
        <v>2</v>
      </c>
      <c r="CC194" s="14">
        <v>4</v>
      </c>
    </row>
    <row r="195" spans="2:81" ht="18" hidden="1" customHeight="1" x14ac:dyDescent="0.2">
      <c r="B195" s="10">
        <f>garage!B195</f>
        <v>195</v>
      </c>
      <c r="C195" s="10">
        <f>garage!C195</f>
        <v>5</v>
      </c>
      <c r="D195" s="10">
        <f>garage!D195</f>
        <v>33</v>
      </c>
      <c r="E195" s="10">
        <f>garage!E195</f>
        <v>18</v>
      </c>
      <c r="F195" s="10" t="str">
        <f>garage!F195</f>
        <v>--</v>
      </c>
      <c r="G195" s="10" t="str">
        <f>garage!G195</f>
        <v>N</v>
      </c>
      <c r="H195" s="10" t="str">
        <f>garage!H195</f>
        <v>N</v>
      </c>
      <c r="I195" s="10" t="str">
        <f>garage!I195</f>
        <v>N</v>
      </c>
      <c r="J195" s="10" t="str">
        <f>garage!J195</f>
        <v>N</v>
      </c>
      <c r="K195" s="10" t="str">
        <f>garage!K195</f>
        <v>S</v>
      </c>
      <c r="L195" s="11" t="str">
        <f>garage!L195</f>
        <v>Mazzanti</v>
      </c>
      <c r="M195" s="11" t="str">
        <f>garage!M195</f>
        <v>Evantra Millecavalli</v>
      </c>
      <c r="O195" s="18" t="s">
        <v>437</v>
      </c>
      <c r="P195" s="15" t="s">
        <v>437</v>
      </c>
      <c r="Q195" s="15" t="s">
        <v>437</v>
      </c>
      <c r="R195" s="16" t="s">
        <v>437</v>
      </c>
      <c r="S195" s="15" t="s">
        <v>437</v>
      </c>
      <c r="T195" s="15" t="s">
        <v>437</v>
      </c>
      <c r="U195" s="15" t="s">
        <v>437</v>
      </c>
      <c r="V195" s="16" t="s">
        <v>437</v>
      </c>
      <c r="W195" s="15" t="s">
        <v>437</v>
      </c>
      <c r="X195" s="15" t="s">
        <v>437</v>
      </c>
      <c r="Y195" s="15" t="s">
        <v>437</v>
      </c>
      <c r="Z195" s="16" t="s">
        <v>437</v>
      </c>
      <c r="AA195" s="15" t="s">
        <v>437</v>
      </c>
      <c r="AB195" s="15" t="s">
        <v>437</v>
      </c>
      <c r="AC195" s="15" t="s">
        <v>437</v>
      </c>
      <c r="AD195" s="16" t="s">
        <v>437</v>
      </c>
      <c r="AE195" s="15" t="s">
        <v>437</v>
      </c>
      <c r="AF195" s="15" t="s">
        <v>437</v>
      </c>
      <c r="AG195" s="15" t="s">
        <v>437</v>
      </c>
      <c r="AH195" s="16" t="s">
        <v>437</v>
      </c>
      <c r="AI195" s="15" t="s">
        <v>437</v>
      </c>
      <c r="AJ195" s="15" t="s">
        <v>437</v>
      </c>
      <c r="AK195" s="15" t="s">
        <v>437</v>
      </c>
      <c r="AL195" s="16" t="s">
        <v>437</v>
      </c>
      <c r="AM195" s="15" t="s">
        <v>437</v>
      </c>
      <c r="AN195" s="15" t="s">
        <v>437</v>
      </c>
      <c r="AO195" s="15" t="s">
        <v>437</v>
      </c>
      <c r="AP195" s="16" t="s">
        <v>437</v>
      </c>
      <c r="AQ195" s="15" t="s">
        <v>437</v>
      </c>
      <c r="AR195" s="15" t="s">
        <v>437</v>
      </c>
      <c r="AS195" s="15" t="s">
        <v>437</v>
      </c>
      <c r="AT195" s="16" t="s">
        <v>437</v>
      </c>
      <c r="AU195" s="15" t="s">
        <v>437</v>
      </c>
      <c r="AV195" s="15" t="s">
        <v>437</v>
      </c>
      <c r="AW195" s="15" t="s">
        <v>437</v>
      </c>
      <c r="AX195" s="16" t="s">
        <v>437</v>
      </c>
      <c r="AY195" s="15" t="s">
        <v>437</v>
      </c>
      <c r="AZ195" s="15" t="s">
        <v>437</v>
      </c>
      <c r="BA195" s="15" t="s">
        <v>437</v>
      </c>
      <c r="BB195" s="16" t="s">
        <v>437</v>
      </c>
      <c r="BC195" s="15" t="s">
        <v>437</v>
      </c>
      <c r="BD195" s="15" t="s">
        <v>437</v>
      </c>
      <c r="BE195" s="15" t="s">
        <v>437</v>
      </c>
      <c r="BF195" s="16" t="s">
        <v>437</v>
      </c>
      <c r="BG195" s="15" t="s">
        <v>437</v>
      </c>
      <c r="BH195" s="15" t="s">
        <v>437</v>
      </c>
      <c r="BI195" s="15" t="s">
        <v>437</v>
      </c>
      <c r="BJ195" s="16" t="s">
        <v>437</v>
      </c>
      <c r="BK195" s="15" t="s">
        <v>437</v>
      </c>
      <c r="BL195" s="15" t="s">
        <v>437</v>
      </c>
      <c r="BM195" s="15" t="s">
        <v>437</v>
      </c>
      <c r="BN195" s="16" t="s">
        <v>437</v>
      </c>
      <c r="BP195" s="18" t="s">
        <v>437</v>
      </c>
      <c r="BQ195" s="15" t="s">
        <v>437</v>
      </c>
      <c r="BR195" s="15" t="s">
        <v>437</v>
      </c>
      <c r="BS195" s="16" t="s">
        <v>437</v>
      </c>
      <c r="BU195" s="18" t="s">
        <v>437</v>
      </c>
      <c r="BV195" s="15" t="s">
        <v>437</v>
      </c>
      <c r="BW195" s="15" t="s">
        <v>437</v>
      </c>
      <c r="BX195" s="16" t="s">
        <v>437</v>
      </c>
      <c r="BZ195" s="18" t="s">
        <v>437</v>
      </c>
      <c r="CA195" s="15" t="s">
        <v>437</v>
      </c>
      <c r="CB195" s="15" t="s">
        <v>437</v>
      </c>
      <c r="CC195" s="16" t="s">
        <v>437</v>
      </c>
    </row>
    <row r="196" spans="2:81" ht="18" hidden="1" customHeight="1" x14ac:dyDescent="0.2">
      <c r="B196" s="8">
        <f>garage!B196</f>
        <v>196</v>
      </c>
      <c r="C196" s="8">
        <f>garage!C196</f>
        <v>5</v>
      </c>
      <c r="D196" s="8">
        <f>garage!D196</f>
        <v>34</v>
      </c>
      <c r="E196" s="8">
        <f>garage!E196</f>
        <v>21</v>
      </c>
      <c r="F196" s="8" t="str">
        <f>garage!F196</f>
        <v>TD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 t="str">
        <f>garage!J196</f>
        <v>N</v>
      </c>
      <c r="K196" s="8" t="str">
        <f>garage!K196</f>
        <v>S</v>
      </c>
      <c r="L196" s="9" t="str">
        <f>garage!L196</f>
        <v>Toroidion</v>
      </c>
      <c r="M196" s="9" t="str">
        <f>garage!M196</f>
        <v>1MW</v>
      </c>
      <c r="O196" s="17" t="s">
        <v>437</v>
      </c>
      <c r="P196" s="13" t="s">
        <v>437</v>
      </c>
      <c r="Q196" s="13" t="s">
        <v>437</v>
      </c>
      <c r="R196" s="14" t="s">
        <v>437</v>
      </c>
      <c r="S196" s="13" t="s">
        <v>437</v>
      </c>
      <c r="T196" s="13" t="s">
        <v>437</v>
      </c>
      <c r="U196" s="13" t="s">
        <v>437</v>
      </c>
      <c r="V196" s="14" t="s">
        <v>437</v>
      </c>
      <c r="W196" s="13" t="s">
        <v>437</v>
      </c>
      <c r="X196" s="13" t="s">
        <v>437</v>
      </c>
      <c r="Y196" s="13" t="s">
        <v>437</v>
      </c>
      <c r="Z196" s="14" t="s">
        <v>437</v>
      </c>
      <c r="AA196" s="13" t="s">
        <v>437</v>
      </c>
      <c r="AB196" s="13" t="s">
        <v>437</v>
      </c>
      <c r="AC196" s="13" t="s">
        <v>437</v>
      </c>
      <c r="AD196" s="14" t="s">
        <v>437</v>
      </c>
      <c r="AE196" s="13" t="s">
        <v>437</v>
      </c>
      <c r="AF196" s="13" t="s">
        <v>437</v>
      </c>
      <c r="AG196" s="13" t="s">
        <v>437</v>
      </c>
      <c r="AH196" s="14" t="s">
        <v>437</v>
      </c>
      <c r="AI196" s="13" t="s">
        <v>437</v>
      </c>
      <c r="AJ196" s="13" t="s">
        <v>437</v>
      </c>
      <c r="AK196" s="13" t="s">
        <v>437</v>
      </c>
      <c r="AL196" s="14" t="s">
        <v>437</v>
      </c>
      <c r="AM196" s="13" t="s">
        <v>437</v>
      </c>
      <c r="AN196" s="13" t="s">
        <v>437</v>
      </c>
      <c r="AO196" s="13" t="s">
        <v>437</v>
      </c>
      <c r="AP196" s="14" t="s">
        <v>437</v>
      </c>
      <c r="AQ196" s="13" t="s">
        <v>437</v>
      </c>
      <c r="AR196" s="13" t="s">
        <v>437</v>
      </c>
      <c r="AS196" s="13" t="s">
        <v>437</v>
      </c>
      <c r="AT196" s="14" t="s">
        <v>437</v>
      </c>
      <c r="AU196" s="13" t="s">
        <v>437</v>
      </c>
      <c r="AV196" s="13" t="s">
        <v>437</v>
      </c>
      <c r="AW196" s="13" t="s">
        <v>437</v>
      </c>
      <c r="AX196" s="14" t="s">
        <v>437</v>
      </c>
      <c r="AY196" s="13" t="s">
        <v>437</v>
      </c>
      <c r="AZ196" s="13" t="s">
        <v>437</v>
      </c>
      <c r="BA196" s="13" t="s">
        <v>437</v>
      </c>
      <c r="BB196" s="14" t="s">
        <v>437</v>
      </c>
      <c r="BC196" s="13" t="s">
        <v>437</v>
      </c>
      <c r="BD196" s="13" t="s">
        <v>437</v>
      </c>
      <c r="BE196" s="13" t="s">
        <v>437</v>
      </c>
      <c r="BF196" s="14" t="s">
        <v>437</v>
      </c>
      <c r="BG196" s="13" t="s">
        <v>437</v>
      </c>
      <c r="BH196" s="13" t="s">
        <v>437</v>
      </c>
      <c r="BI196" s="13" t="s">
        <v>437</v>
      </c>
      <c r="BJ196" s="14" t="s">
        <v>437</v>
      </c>
      <c r="BK196" s="13" t="s">
        <v>437</v>
      </c>
      <c r="BL196" s="13" t="s">
        <v>437</v>
      </c>
      <c r="BM196" s="13" t="s">
        <v>437</v>
      </c>
      <c r="BN196" s="14" t="s">
        <v>437</v>
      </c>
      <c r="BP196" s="17" t="s">
        <v>437</v>
      </c>
      <c r="BQ196" s="13" t="s">
        <v>437</v>
      </c>
      <c r="BR196" s="13" t="s">
        <v>437</v>
      </c>
      <c r="BS196" s="14" t="s">
        <v>437</v>
      </c>
      <c r="BU196" s="17" t="s">
        <v>437</v>
      </c>
      <c r="BV196" s="13" t="s">
        <v>437</v>
      </c>
      <c r="BW196" s="13" t="s">
        <v>437</v>
      </c>
      <c r="BX196" s="14" t="s">
        <v>437</v>
      </c>
      <c r="BZ196" s="17" t="s">
        <v>437</v>
      </c>
      <c r="CA196" s="13" t="s">
        <v>437</v>
      </c>
      <c r="CB196" s="13" t="s">
        <v>437</v>
      </c>
      <c r="CC196" s="14" t="s">
        <v>437</v>
      </c>
    </row>
    <row r="197" spans="2:81" ht="18" hidden="1" customHeight="1" x14ac:dyDescent="0.2">
      <c r="B197" s="10">
        <f>garage!B197</f>
        <v>197</v>
      </c>
      <c r="C197" s="10">
        <f>garage!C197</f>
        <v>5</v>
      </c>
      <c r="D197" s="10">
        <f>garage!D197</f>
        <v>35</v>
      </c>
      <c r="E197" s="10">
        <f>garage!E197</f>
        <v>27</v>
      </c>
      <c r="F197" s="10" t="str">
        <f>garage!F197</f>
        <v>--</v>
      </c>
      <c r="G197" s="10" t="str">
        <f>garage!G197</f>
        <v>N</v>
      </c>
      <c r="H197" s="10" t="str">
        <f>garage!H197</f>
        <v>N</v>
      </c>
      <c r="I197" s="10" t="str">
        <f>garage!I197</f>
        <v>N</v>
      </c>
      <c r="J197" s="10" t="str">
        <f>garage!J197</f>
        <v>N</v>
      </c>
      <c r="K197" s="10" t="str">
        <f>garage!K197</f>
        <v>S</v>
      </c>
      <c r="L197" s="11" t="str">
        <f>garage!L197</f>
        <v>Inferno Automobili</v>
      </c>
      <c r="M197" s="11" t="str">
        <f>garage!M197</f>
        <v>Settimo Cerchio</v>
      </c>
      <c r="O197" s="18" t="s">
        <v>437</v>
      </c>
      <c r="P197" s="15" t="s">
        <v>437</v>
      </c>
      <c r="Q197" s="15" t="s">
        <v>437</v>
      </c>
      <c r="R197" s="16" t="s">
        <v>437</v>
      </c>
      <c r="S197" s="15" t="s">
        <v>437</v>
      </c>
      <c r="T197" s="15" t="s">
        <v>437</v>
      </c>
      <c r="U197" s="15" t="s">
        <v>437</v>
      </c>
      <c r="V197" s="16" t="s">
        <v>437</v>
      </c>
      <c r="W197" s="15" t="s">
        <v>437</v>
      </c>
      <c r="X197" s="15" t="s">
        <v>437</v>
      </c>
      <c r="Y197" s="15" t="s">
        <v>437</v>
      </c>
      <c r="Z197" s="16" t="s">
        <v>437</v>
      </c>
      <c r="AA197" s="15" t="s">
        <v>437</v>
      </c>
      <c r="AB197" s="15" t="s">
        <v>437</v>
      </c>
      <c r="AC197" s="15" t="s">
        <v>437</v>
      </c>
      <c r="AD197" s="16" t="s">
        <v>437</v>
      </c>
      <c r="AE197" s="15" t="s">
        <v>437</v>
      </c>
      <c r="AF197" s="15" t="s">
        <v>437</v>
      </c>
      <c r="AG197" s="15" t="s">
        <v>437</v>
      </c>
      <c r="AH197" s="16" t="s">
        <v>437</v>
      </c>
      <c r="AI197" s="15" t="s">
        <v>437</v>
      </c>
      <c r="AJ197" s="15" t="s">
        <v>437</v>
      </c>
      <c r="AK197" s="15" t="s">
        <v>437</v>
      </c>
      <c r="AL197" s="16" t="s">
        <v>437</v>
      </c>
      <c r="AM197" s="15" t="s">
        <v>437</v>
      </c>
      <c r="AN197" s="15" t="s">
        <v>437</v>
      </c>
      <c r="AO197" s="15" t="s">
        <v>437</v>
      </c>
      <c r="AP197" s="16" t="s">
        <v>437</v>
      </c>
      <c r="AQ197" s="15" t="s">
        <v>437</v>
      </c>
      <c r="AR197" s="15" t="s">
        <v>437</v>
      </c>
      <c r="AS197" s="15" t="s">
        <v>437</v>
      </c>
      <c r="AT197" s="16" t="s">
        <v>437</v>
      </c>
      <c r="AU197" s="15" t="s">
        <v>437</v>
      </c>
      <c r="AV197" s="15" t="s">
        <v>437</v>
      </c>
      <c r="AW197" s="15" t="s">
        <v>437</v>
      </c>
      <c r="AX197" s="16" t="s">
        <v>437</v>
      </c>
      <c r="AY197" s="15" t="s">
        <v>437</v>
      </c>
      <c r="AZ197" s="15" t="s">
        <v>437</v>
      </c>
      <c r="BA197" s="15" t="s">
        <v>437</v>
      </c>
      <c r="BB197" s="16" t="s">
        <v>437</v>
      </c>
      <c r="BC197" s="15" t="s">
        <v>437</v>
      </c>
      <c r="BD197" s="15" t="s">
        <v>437</v>
      </c>
      <c r="BE197" s="15" t="s">
        <v>437</v>
      </c>
      <c r="BF197" s="16" t="s">
        <v>437</v>
      </c>
      <c r="BG197" s="15" t="s">
        <v>437</v>
      </c>
      <c r="BH197" s="15" t="s">
        <v>437</v>
      </c>
      <c r="BI197" s="15" t="s">
        <v>437</v>
      </c>
      <c r="BJ197" s="16" t="s">
        <v>437</v>
      </c>
      <c r="BK197" s="15" t="s">
        <v>437</v>
      </c>
      <c r="BL197" s="15" t="s">
        <v>437</v>
      </c>
      <c r="BM197" s="15" t="s">
        <v>437</v>
      </c>
      <c r="BN197" s="16" t="s">
        <v>437</v>
      </c>
      <c r="BP197" s="18" t="s">
        <v>437</v>
      </c>
      <c r="BQ197" s="15" t="s">
        <v>437</v>
      </c>
      <c r="BR197" s="15" t="s">
        <v>437</v>
      </c>
      <c r="BS197" s="16" t="s">
        <v>437</v>
      </c>
      <c r="BU197" s="18" t="s">
        <v>437</v>
      </c>
      <c r="BV197" s="15" t="s">
        <v>437</v>
      </c>
      <c r="BW197" s="15" t="s">
        <v>437</v>
      </c>
      <c r="BX197" s="16" t="s">
        <v>437</v>
      </c>
      <c r="BZ197" s="18" t="s">
        <v>437</v>
      </c>
      <c r="CA197" s="15" t="s">
        <v>437</v>
      </c>
      <c r="CB197" s="15" t="s">
        <v>437</v>
      </c>
      <c r="CC197" s="16" t="s">
        <v>437</v>
      </c>
    </row>
    <row r="198" spans="2:81" ht="18" hidden="1" customHeight="1" x14ac:dyDescent="0.2">
      <c r="B198" s="8">
        <f>garage!B198</f>
        <v>198</v>
      </c>
      <c r="C198" s="8">
        <f>garage!C198</f>
        <v>5</v>
      </c>
      <c r="D198" s="8">
        <f>garage!D198</f>
        <v>36</v>
      </c>
      <c r="E198" s="8">
        <f>garage!E198</f>
        <v>6</v>
      </c>
      <c r="F198" s="8" t="str">
        <f>garage!F198</f>
        <v>--</v>
      </c>
      <c r="G198" s="8" t="str">
        <f>garage!G198</f>
        <v>N</v>
      </c>
      <c r="H198" s="8" t="str">
        <f>garage!H198</f>
        <v>O</v>
      </c>
      <c r="I198" s="8" t="str">
        <f>garage!I198</f>
        <v>N</v>
      </c>
      <c r="J198" s="8" t="str">
        <f>garage!J198</f>
        <v>N</v>
      </c>
      <c r="K198" s="8" t="str">
        <f>garage!K198</f>
        <v>S</v>
      </c>
      <c r="L198" s="9" t="str">
        <f>garage!L198</f>
        <v>Koenigsegg</v>
      </c>
      <c r="M198" s="9" t="str">
        <f>garage!M198</f>
        <v>Jesko</v>
      </c>
      <c r="O198" s="17" t="s">
        <v>437</v>
      </c>
      <c r="P198" s="13" t="s">
        <v>437</v>
      </c>
      <c r="Q198" s="13" t="s">
        <v>437</v>
      </c>
      <c r="R198" s="14" t="s">
        <v>437</v>
      </c>
      <c r="S198" s="13" t="s">
        <v>437</v>
      </c>
      <c r="T198" s="13" t="s">
        <v>437</v>
      </c>
      <c r="U198" s="13" t="s">
        <v>437</v>
      </c>
      <c r="V198" s="14" t="s">
        <v>437</v>
      </c>
      <c r="W198" s="13" t="s">
        <v>437</v>
      </c>
      <c r="X198" s="13" t="s">
        <v>437</v>
      </c>
      <c r="Y198" s="13" t="s">
        <v>437</v>
      </c>
      <c r="Z198" s="14" t="s">
        <v>437</v>
      </c>
      <c r="AA198" s="13" t="s">
        <v>437</v>
      </c>
      <c r="AB198" s="13" t="s">
        <v>437</v>
      </c>
      <c r="AC198" s="13" t="s">
        <v>437</v>
      </c>
      <c r="AD198" s="14" t="s">
        <v>437</v>
      </c>
      <c r="AE198" s="13" t="s">
        <v>437</v>
      </c>
      <c r="AF198" s="13" t="s">
        <v>437</v>
      </c>
      <c r="AG198" s="13" t="s">
        <v>437</v>
      </c>
      <c r="AH198" s="14" t="s">
        <v>437</v>
      </c>
      <c r="AI198" s="13" t="s">
        <v>437</v>
      </c>
      <c r="AJ198" s="13" t="s">
        <v>437</v>
      </c>
      <c r="AK198" s="13" t="s">
        <v>437</v>
      </c>
      <c r="AL198" s="14" t="s">
        <v>437</v>
      </c>
      <c r="AM198" s="13" t="s">
        <v>437</v>
      </c>
      <c r="AN198" s="13" t="s">
        <v>437</v>
      </c>
      <c r="AO198" s="13" t="s">
        <v>437</v>
      </c>
      <c r="AP198" s="14" t="s">
        <v>437</v>
      </c>
      <c r="AQ198" s="13" t="s">
        <v>437</v>
      </c>
      <c r="AR198" s="13" t="s">
        <v>437</v>
      </c>
      <c r="AS198" s="13" t="s">
        <v>437</v>
      </c>
      <c r="AT198" s="14" t="s">
        <v>437</v>
      </c>
      <c r="AU198" s="13" t="s">
        <v>437</v>
      </c>
      <c r="AV198" s="13" t="s">
        <v>437</v>
      </c>
      <c r="AW198" s="13" t="s">
        <v>437</v>
      </c>
      <c r="AX198" s="14" t="s">
        <v>437</v>
      </c>
      <c r="AY198" s="13" t="s">
        <v>437</v>
      </c>
      <c r="AZ198" s="13" t="s">
        <v>437</v>
      </c>
      <c r="BA198" s="13" t="s">
        <v>437</v>
      </c>
      <c r="BB198" s="14" t="s">
        <v>437</v>
      </c>
      <c r="BC198" s="13" t="s">
        <v>437</v>
      </c>
      <c r="BD198" s="13" t="s">
        <v>437</v>
      </c>
      <c r="BE198" s="13" t="s">
        <v>437</v>
      </c>
      <c r="BF198" s="14" t="s">
        <v>437</v>
      </c>
      <c r="BG198" s="13" t="s">
        <v>437</v>
      </c>
      <c r="BH198" s="13" t="s">
        <v>437</v>
      </c>
      <c r="BI198" s="13" t="s">
        <v>437</v>
      </c>
      <c r="BJ198" s="14" t="s">
        <v>437</v>
      </c>
      <c r="BK198" s="13" t="s">
        <v>437</v>
      </c>
      <c r="BL198" s="13" t="s">
        <v>437</v>
      </c>
      <c r="BM198" s="13" t="s">
        <v>437</v>
      </c>
      <c r="BN198" s="14" t="s">
        <v>437</v>
      </c>
      <c r="BP198" s="17" t="s">
        <v>437</v>
      </c>
      <c r="BQ198" s="13" t="s">
        <v>437</v>
      </c>
      <c r="BR198" s="13" t="s">
        <v>437</v>
      </c>
      <c r="BS198" s="14" t="s">
        <v>437</v>
      </c>
      <c r="BU198" s="17" t="s">
        <v>437</v>
      </c>
      <c r="BV198" s="13" t="s">
        <v>437</v>
      </c>
      <c r="BW198" s="13" t="s">
        <v>437</v>
      </c>
      <c r="BX198" s="14" t="s">
        <v>437</v>
      </c>
      <c r="BZ198" s="17" t="s">
        <v>437</v>
      </c>
      <c r="CA198" s="13" t="s">
        <v>437</v>
      </c>
      <c r="CB198" s="13" t="s">
        <v>437</v>
      </c>
      <c r="CC198" s="14" t="s">
        <v>437</v>
      </c>
    </row>
    <row r="199" spans="2:81" ht="18" hidden="1" customHeight="1" x14ac:dyDescent="0.2">
      <c r="B199" s="10">
        <f>garage!B199</f>
        <v>199</v>
      </c>
      <c r="C199" s="10">
        <f>garage!C199</f>
        <v>5</v>
      </c>
      <c r="D199" s="10">
        <f>garage!D199</f>
        <v>37</v>
      </c>
      <c r="E199" s="10">
        <f>garage!E199</f>
        <v>26</v>
      </c>
      <c r="F199" s="10" t="str">
        <f>garage!F199</f>
        <v>B</v>
      </c>
      <c r="G199" s="10" t="str">
        <f>garage!G199</f>
        <v>N</v>
      </c>
      <c r="H199" s="10" t="str">
        <f>garage!H199</f>
        <v>N</v>
      </c>
      <c r="I199" s="10" t="str">
        <f>garage!I199</f>
        <v>N</v>
      </c>
      <c r="J199" s="10" t="str">
        <f>garage!J199</f>
        <v>N</v>
      </c>
      <c r="K199" s="10" t="str">
        <f>garage!K199</f>
        <v>S</v>
      </c>
      <c r="L199" s="11" t="str">
        <f>garage!L199</f>
        <v>Bugatti</v>
      </c>
      <c r="M199" s="11" t="str">
        <f>garage!M199</f>
        <v>Centodieci</v>
      </c>
      <c r="O199" s="18" t="s">
        <v>437</v>
      </c>
      <c r="P199" s="15" t="s">
        <v>437</v>
      </c>
      <c r="Q199" s="15" t="s">
        <v>437</v>
      </c>
      <c r="R199" s="16" t="s">
        <v>437</v>
      </c>
      <c r="S199" s="15" t="s">
        <v>437</v>
      </c>
      <c r="T199" s="15" t="s">
        <v>437</v>
      </c>
      <c r="U199" s="15" t="s">
        <v>437</v>
      </c>
      <c r="V199" s="16" t="s">
        <v>437</v>
      </c>
      <c r="W199" s="15" t="s">
        <v>437</v>
      </c>
      <c r="X199" s="15" t="s">
        <v>437</v>
      </c>
      <c r="Y199" s="15" t="s">
        <v>437</v>
      </c>
      <c r="Z199" s="16" t="s">
        <v>437</v>
      </c>
      <c r="AA199" s="15" t="s">
        <v>437</v>
      </c>
      <c r="AB199" s="15" t="s">
        <v>437</v>
      </c>
      <c r="AC199" s="15" t="s">
        <v>437</v>
      </c>
      <c r="AD199" s="16" t="s">
        <v>437</v>
      </c>
      <c r="AE199" s="15" t="s">
        <v>437</v>
      </c>
      <c r="AF199" s="15" t="s">
        <v>437</v>
      </c>
      <c r="AG199" s="15" t="s">
        <v>437</v>
      </c>
      <c r="AH199" s="16" t="s">
        <v>437</v>
      </c>
      <c r="AI199" s="15" t="s">
        <v>437</v>
      </c>
      <c r="AJ199" s="15" t="s">
        <v>437</v>
      </c>
      <c r="AK199" s="15" t="s">
        <v>437</v>
      </c>
      <c r="AL199" s="16" t="s">
        <v>437</v>
      </c>
      <c r="AM199" s="15" t="s">
        <v>437</v>
      </c>
      <c r="AN199" s="15" t="s">
        <v>437</v>
      </c>
      <c r="AO199" s="15" t="s">
        <v>437</v>
      </c>
      <c r="AP199" s="16" t="s">
        <v>437</v>
      </c>
      <c r="AQ199" s="15" t="s">
        <v>437</v>
      </c>
      <c r="AR199" s="15" t="s">
        <v>437</v>
      </c>
      <c r="AS199" s="15" t="s">
        <v>437</v>
      </c>
      <c r="AT199" s="16" t="s">
        <v>437</v>
      </c>
      <c r="AU199" s="15" t="s">
        <v>437</v>
      </c>
      <c r="AV199" s="15" t="s">
        <v>437</v>
      </c>
      <c r="AW199" s="15" t="s">
        <v>437</v>
      </c>
      <c r="AX199" s="16" t="s">
        <v>437</v>
      </c>
      <c r="AY199" s="15" t="s">
        <v>437</v>
      </c>
      <c r="AZ199" s="15" t="s">
        <v>437</v>
      </c>
      <c r="BA199" s="15" t="s">
        <v>437</v>
      </c>
      <c r="BB199" s="16" t="s">
        <v>437</v>
      </c>
      <c r="BC199" s="15" t="s">
        <v>437</v>
      </c>
      <c r="BD199" s="15" t="s">
        <v>437</v>
      </c>
      <c r="BE199" s="15" t="s">
        <v>437</v>
      </c>
      <c r="BF199" s="16" t="s">
        <v>437</v>
      </c>
      <c r="BG199" s="15" t="s">
        <v>437</v>
      </c>
      <c r="BH199" s="15" t="s">
        <v>437</v>
      </c>
      <c r="BI199" s="15" t="s">
        <v>437</v>
      </c>
      <c r="BJ199" s="16" t="s">
        <v>437</v>
      </c>
      <c r="BK199" s="15" t="s">
        <v>437</v>
      </c>
      <c r="BL199" s="15" t="s">
        <v>437</v>
      </c>
      <c r="BM199" s="15" t="s">
        <v>437</v>
      </c>
      <c r="BN199" s="16" t="s">
        <v>437</v>
      </c>
      <c r="BP199" s="18" t="s">
        <v>437</v>
      </c>
      <c r="BQ199" s="15" t="s">
        <v>437</v>
      </c>
      <c r="BR199" s="15" t="s">
        <v>437</v>
      </c>
      <c r="BS199" s="16" t="s">
        <v>437</v>
      </c>
      <c r="BU199" s="18" t="s">
        <v>437</v>
      </c>
      <c r="BV199" s="15" t="s">
        <v>437</v>
      </c>
      <c r="BW199" s="15" t="s">
        <v>437</v>
      </c>
      <c r="BX199" s="16" t="s">
        <v>437</v>
      </c>
      <c r="BZ199" s="18" t="s">
        <v>437</v>
      </c>
      <c r="CA199" s="15" t="s">
        <v>437</v>
      </c>
      <c r="CB199" s="15" t="s">
        <v>437</v>
      </c>
      <c r="CC199" s="16" t="s">
        <v>437</v>
      </c>
    </row>
    <row r="200" spans="2:81" ht="18" hidden="1" customHeight="1" x14ac:dyDescent="0.2">
      <c r="B200" s="8">
        <f>garage!B200</f>
        <v>200</v>
      </c>
      <c r="C200" s="8">
        <f>garage!C200</f>
        <v>5</v>
      </c>
      <c r="D200" s="8">
        <f>garage!D200</f>
        <v>38</v>
      </c>
      <c r="E200" s="8">
        <f>garage!E200</f>
        <v>17</v>
      </c>
      <c r="F200" s="8" t="str">
        <f>garage!F200</f>
        <v>--</v>
      </c>
      <c r="G200" s="8" t="str">
        <f>garage!G200</f>
        <v>N</v>
      </c>
      <c r="H200" s="8" t="str">
        <f>garage!H200</f>
        <v>N</v>
      </c>
      <c r="I200" s="8" t="str">
        <f>garage!I200</f>
        <v>N</v>
      </c>
      <c r="J200" s="8" t="str">
        <f>garage!J200</f>
        <v>N</v>
      </c>
      <c r="K200" s="8" t="str">
        <f>garage!K200</f>
        <v>S</v>
      </c>
      <c r="L200" s="9" t="str">
        <f>garage!L200</f>
        <v>Aspark</v>
      </c>
      <c r="M200" s="9" t="str">
        <f>garage!M200</f>
        <v>Owl</v>
      </c>
      <c r="O200" s="17" t="s">
        <v>437</v>
      </c>
      <c r="P200" s="13" t="s">
        <v>437</v>
      </c>
      <c r="Q200" s="13" t="s">
        <v>437</v>
      </c>
      <c r="R200" s="14" t="s">
        <v>437</v>
      </c>
      <c r="S200" s="13" t="s">
        <v>437</v>
      </c>
      <c r="T200" s="13" t="s">
        <v>437</v>
      </c>
      <c r="U200" s="13" t="s">
        <v>437</v>
      </c>
      <c r="V200" s="14" t="s">
        <v>437</v>
      </c>
      <c r="W200" s="13" t="s">
        <v>437</v>
      </c>
      <c r="X200" s="13" t="s">
        <v>437</v>
      </c>
      <c r="Y200" s="13" t="s">
        <v>437</v>
      </c>
      <c r="Z200" s="14" t="s">
        <v>437</v>
      </c>
      <c r="AA200" s="13" t="s">
        <v>437</v>
      </c>
      <c r="AB200" s="13" t="s">
        <v>437</v>
      </c>
      <c r="AC200" s="13" t="s">
        <v>437</v>
      </c>
      <c r="AD200" s="14" t="s">
        <v>437</v>
      </c>
      <c r="AE200" s="13" t="s">
        <v>437</v>
      </c>
      <c r="AF200" s="13" t="s">
        <v>437</v>
      </c>
      <c r="AG200" s="13" t="s">
        <v>437</v>
      </c>
      <c r="AH200" s="14" t="s">
        <v>437</v>
      </c>
      <c r="AI200" s="13" t="s">
        <v>437</v>
      </c>
      <c r="AJ200" s="13" t="s">
        <v>437</v>
      </c>
      <c r="AK200" s="13" t="s">
        <v>437</v>
      </c>
      <c r="AL200" s="14" t="s">
        <v>437</v>
      </c>
      <c r="AM200" s="13" t="s">
        <v>437</v>
      </c>
      <c r="AN200" s="13" t="s">
        <v>437</v>
      </c>
      <c r="AO200" s="13" t="s">
        <v>437</v>
      </c>
      <c r="AP200" s="14" t="s">
        <v>437</v>
      </c>
      <c r="AQ200" s="13" t="s">
        <v>437</v>
      </c>
      <c r="AR200" s="13" t="s">
        <v>437</v>
      </c>
      <c r="AS200" s="13" t="s">
        <v>437</v>
      </c>
      <c r="AT200" s="14" t="s">
        <v>437</v>
      </c>
      <c r="AU200" s="13" t="s">
        <v>437</v>
      </c>
      <c r="AV200" s="13" t="s">
        <v>437</v>
      </c>
      <c r="AW200" s="13" t="s">
        <v>437</v>
      </c>
      <c r="AX200" s="14" t="s">
        <v>437</v>
      </c>
      <c r="AY200" s="13" t="s">
        <v>437</v>
      </c>
      <c r="AZ200" s="13" t="s">
        <v>437</v>
      </c>
      <c r="BA200" s="13" t="s">
        <v>437</v>
      </c>
      <c r="BB200" s="14" t="s">
        <v>437</v>
      </c>
      <c r="BC200" s="13" t="s">
        <v>437</v>
      </c>
      <c r="BD200" s="13" t="s">
        <v>437</v>
      </c>
      <c r="BE200" s="13" t="s">
        <v>437</v>
      </c>
      <c r="BF200" s="14" t="s">
        <v>437</v>
      </c>
      <c r="BG200" s="13" t="s">
        <v>437</v>
      </c>
      <c r="BH200" s="13" t="s">
        <v>437</v>
      </c>
      <c r="BI200" s="13" t="s">
        <v>437</v>
      </c>
      <c r="BJ200" s="14" t="s">
        <v>437</v>
      </c>
      <c r="BK200" s="13" t="s">
        <v>437</v>
      </c>
      <c r="BL200" s="13" t="s">
        <v>437</v>
      </c>
      <c r="BM200" s="13" t="s">
        <v>437</v>
      </c>
      <c r="BN200" s="14" t="s">
        <v>437</v>
      </c>
      <c r="BP200" s="17" t="s">
        <v>437</v>
      </c>
      <c r="BQ200" s="13" t="s">
        <v>437</v>
      </c>
      <c r="BR200" s="13" t="s">
        <v>437</v>
      </c>
      <c r="BS200" s="14" t="s">
        <v>437</v>
      </c>
      <c r="BU200" s="17" t="s">
        <v>437</v>
      </c>
      <c r="BV200" s="13" t="s">
        <v>437</v>
      </c>
      <c r="BW200" s="13" t="s">
        <v>437</v>
      </c>
      <c r="BX200" s="14" t="s">
        <v>437</v>
      </c>
      <c r="BZ200" s="17" t="s">
        <v>437</v>
      </c>
      <c r="CA200" s="13" t="s">
        <v>437</v>
      </c>
      <c r="CB200" s="13" t="s">
        <v>437</v>
      </c>
      <c r="CC200" s="14" t="s">
        <v>437</v>
      </c>
    </row>
    <row r="201" spans="2:81" ht="18" hidden="1" customHeight="1" x14ac:dyDescent="0.2">
      <c r="B201" s="10">
        <f>garage!B201</f>
        <v>201</v>
      </c>
      <c r="C201" s="10">
        <f>garage!C201</f>
        <v>5</v>
      </c>
      <c r="D201" s="10">
        <f>garage!D201</f>
        <v>39</v>
      </c>
      <c r="E201" s="10">
        <f>garage!E201</f>
        <v>0</v>
      </c>
      <c r="F201" s="10" t="str">
        <f>garage!F201</f>
        <v>--</v>
      </c>
      <c r="G201" s="10" t="str">
        <f>garage!G201</f>
        <v>N</v>
      </c>
      <c r="H201" s="10" t="str">
        <f>garage!H201</f>
        <v>N</v>
      </c>
      <c r="I201" s="10" t="str">
        <f>garage!I201</f>
        <v>N</v>
      </c>
      <c r="J201" s="10" t="str">
        <f>garage!J201</f>
        <v>N</v>
      </c>
      <c r="K201" s="10" t="str">
        <f>garage!K201</f>
        <v>S</v>
      </c>
      <c r="L201" s="11" t="str">
        <f>garage!L201</f>
        <v>Rimac</v>
      </c>
      <c r="M201" s="11" t="str">
        <f>garage!M201</f>
        <v>Nevera</v>
      </c>
      <c r="O201" s="18" t="s">
        <v>437</v>
      </c>
      <c r="P201" s="15" t="s">
        <v>437</v>
      </c>
      <c r="Q201" s="15" t="s">
        <v>437</v>
      </c>
      <c r="R201" s="16" t="s">
        <v>437</v>
      </c>
      <c r="S201" s="15" t="s">
        <v>437</v>
      </c>
      <c r="T201" s="15" t="s">
        <v>437</v>
      </c>
      <c r="U201" s="15" t="s">
        <v>437</v>
      </c>
      <c r="V201" s="16" t="s">
        <v>437</v>
      </c>
      <c r="W201" s="15" t="s">
        <v>437</v>
      </c>
      <c r="X201" s="15" t="s">
        <v>437</v>
      </c>
      <c r="Y201" s="15" t="s">
        <v>437</v>
      </c>
      <c r="Z201" s="16" t="s">
        <v>437</v>
      </c>
      <c r="AA201" s="15" t="s">
        <v>437</v>
      </c>
      <c r="AB201" s="15" t="s">
        <v>437</v>
      </c>
      <c r="AC201" s="15" t="s">
        <v>437</v>
      </c>
      <c r="AD201" s="16" t="s">
        <v>437</v>
      </c>
      <c r="AE201" s="15" t="s">
        <v>437</v>
      </c>
      <c r="AF201" s="15" t="s">
        <v>437</v>
      </c>
      <c r="AG201" s="15" t="s">
        <v>437</v>
      </c>
      <c r="AH201" s="16" t="s">
        <v>437</v>
      </c>
      <c r="AI201" s="15" t="s">
        <v>437</v>
      </c>
      <c r="AJ201" s="15" t="s">
        <v>437</v>
      </c>
      <c r="AK201" s="15" t="s">
        <v>437</v>
      </c>
      <c r="AL201" s="16" t="s">
        <v>437</v>
      </c>
      <c r="AM201" s="15" t="s">
        <v>437</v>
      </c>
      <c r="AN201" s="15" t="s">
        <v>437</v>
      </c>
      <c r="AO201" s="15" t="s">
        <v>437</v>
      </c>
      <c r="AP201" s="16" t="s">
        <v>437</v>
      </c>
      <c r="AQ201" s="15" t="s">
        <v>437</v>
      </c>
      <c r="AR201" s="15" t="s">
        <v>437</v>
      </c>
      <c r="AS201" s="15" t="s">
        <v>437</v>
      </c>
      <c r="AT201" s="16" t="s">
        <v>437</v>
      </c>
      <c r="AU201" s="15" t="s">
        <v>437</v>
      </c>
      <c r="AV201" s="15" t="s">
        <v>437</v>
      </c>
      <c r="AW201" s="15" t="s">
        <v>437</v>
      </c>
      <c r="AX201" s="16" t="s">
        <v>437</v>
      </c>
      <c r="AY201" s="15" t="s">
        <v>437</v>
      </c>
      <c r="AZ201" s="15" t="s">
        <v>437</v>
      </c>
      <c r="BA201" s="15" t="s">
        <v>437</v>
      </c>
      <c r="BB201" s="16" t="s">
        <v>437</v>
      </c>
      <c r="BC201" s="15" t="s">
        <v>437</v>
      </c>
      <c r="BD201" s="15" t="s">
        <v>437</v>
      </c>
      <c r="BE201" s="15" t="s">
        <v>437</v>
      </c>
      <c r="BF201" s="16" t="s">
        <v>437</v>
      </c>
      <c r="BG201" s="15" t="s">
        <v>437</v>
      </c>
      <c r="BH201" s="15" t="s">
        <v>437</v>
      </c>
      <c r="BI201" s="15" t="s">
        <v>437</v>
      </c>
      <c r="BJ201" s="16" t="s">
        <v>437</v>
      </c>
      <c r="BK201" s="15" t="s">
        <v>437</v>
      </c>
      <c r="BL201" s="15" t="s">
        <v>437</v>
      </c>
      <c r="BM201" s="15" t="s">
        <v>437</v>
      </c>
      <c r="BN201" s="16" t="s">
        <v>437</v>
      </c>
      <c r="BP201" s="18" t="s">
        <v>437</v>
      </c>
      <c r="BQ201" s="15" t="s">
        <v>437</v>
      </c>
      <c r="BR201" s="15" t="s">
        <v>437</v>
      </c>
      <c r="BS201" s="16" t="s">
        <v>437</v>
      </c>
      <c r="BU201" s="18" t="s">
        <v>437</v>
      </c>
      <c r="BV201" s="15" t="s">
        <v>437</v>
      </c>
      <c r="BW201" s="15" t="s">
        <v>437</v>
      </c>
      <c r="BX201" s="16" t="s">
        <v>437</v>
      </c>
      <c r="BZ201" s="18" t="s">
        <v>437</v>
      </c>
      <c r="CA201" s="15" t="s">
        <v>437</v>
      </c>
      <c r="CB201" s="15" t="s">
        <v>437</v>
      </c>
      <c r="CC201" s="16" t="s">
        <v>437</v>
      </c>
    </row>
    <row r="202" spans="2:81" ht="18" hidden="1" customHeight="1" x14ac:dyDescent="0.2">
      <c r="B202" s="8">
        <f>garage!B202</f>
        <v>202</v>
      </c>
      <c r="C202" s="8">
        <f>garage!C202</f>
        <v>5</v>
      </c>
      <c r="D202" s="8">
        <f>garage!D202</f>
        <v>40</v>
      </c>
      <c r="E202" s="8">
        <f>garage!E202</f>
        <v>27</v>
      </c>
      <c r="F202" s="8" t="str">
        <f>garage!F202</f>
        <v>--</v>
      </c>
      <c r="G202" s="8" t="str">
        <f>garage!G202</f>
        <v>N</v>
      </c>
      <c r="H202" s="8" t="str">
        <f>garage!H202</f>
        <v>N</v>
      </c>
      <c r="I202" s="8" t="str">
        <f>garage!I202</f>
        <v>N</v>
      </c>
      <c r="J202" s="8" t="str">
        <f>garage!J202</f>
        <v>N</v>
      </c>
      <c r="K202" s="8" t="str">
        <f>garage!K202</f>
        <v>S</v>
      </c>
      <c r="L202" s="9" t="str">
        <f>garage!L202</f>
        <v>Koenigsegg</v>
      </c>
      <c r="M202" s="9" t="str">
        <f>garage!M202</f>
        <v>Agera RS</v>
      </c>
      <c r="O202" s="17" t="s">
        <v>437</v>
      </c>
      <c r="P202" s="13" t="s">
        <v>437</v>
      </c>
      <c r="Q202" s="13" t="s">
        <v>437</v>
      </c>
      <c r="R202" s="14" t="s">
        <v>437</v>
      </c>
      <c r="S202" s="13" t="s">
        <v>437</v>
      </c>
      <c r="T202" s="13" t="s">
        <v>437</v>
      </c>
      <c r="U202" s="13" t="s">
        <v>437</v>
      </c>
      <c r="V202" s="14" t="s">
        <v>437</v>
      </c>
      <c r="W202" s="13" t="s">
        <v>437</v>
      </c>
      <c r="X202" s="13" t="s">
        <v>437</v>
      </c>
      <c r="Y202" s="13" t="s">
        <v>437</v>
      </c>
      <c r="Z202" s="14" t="s">
        <v>437</v>
      </c>
      <c r="AA202" s="13" t="s">
        <v>437</v>
      </c>
      <c r="AB202" s="13" t="s">
        <v>437</v>
      </c>
      <c r="AC202" s="13" t="s">
        <v>437</v>
      </c>
      <c r="AD202" s="14" t="s">
        <v>437</v>
      </c>
      <c r="AE202" s="13" t="s">
        <v>437</v>
      </c>
      <c r="AF202" s="13" t="s">
        <v>437</v>
      </c>
      <c r="AG202" s="13" t="s">
        <v>437</v>
      </c>
      <c r="AH202" s="14" t="s">
        <v>437</v>
      </c>
      <c r="AI202" s="13" t="s">
        <v>437</v>
      </c>
      <c r="AJ202" s="13" t="s">
        <v>437</v>
      </c>
      <c r="AK202" s="13" t="s">
        <v>437</v>
      </c>
      <c r="AL202" s="14" t="s">
        <v>437</v>
      </c>
      <c r="AM202" s="13" t="s">
        <v>437</v>
      </c>
      <c r="AN202" s="13" t="s">
        <v>437</v>
      </c>
      <c r="AO202" s="13" t="s">
        <v>437</v>
      </c>
      <c r="AP202" s="14" t="s">
        <v>437</v>
      </c>
      <c r="AQ202" s="13" t="s">
        <v>437</v>
      </c>
      <c r="AR202" s="13" t="s">
        <v>437</v>
      </c>
      <c r="AS202" s="13" t="s">
        <v>437</v>
      </c>
      <c r="AT202" s="14" t="s">
        <v>437</v>
      </c>
      <c r="AU202" s="13" t="s">
        <v>437</v>
      </c>
      <c r="AV202" s="13" t="s">
        <v>437</v>
      </c>
      <c r="AW202" s="13" t="s">
        <v>437</v>
      </c>
      <c r="AX202" s="14" t="s">
        <v>437</v>
      </c>
      <c r="AY202" s="13" t="s">
        <v>437</v>
      </c>
      <c r="AZ202" s="13" t="s">
        <v>437</v>
      </c>
      <c r="BA202" s="13" t="s">
        <v>437</v>
      </c>
      <c r="BB202" s="14" t="s">
        <v>437</v>
      </c>
      <c r="BC202" s="13" t="s">
        <v>437</v>
      </c>
      <c r="BD202" s="13" t="s">
        <v>437</v>
      </c>
      <c r="BE202" s="13" t="s">
        <v>437</v>
      </c>
      <c r="BF202" s="14" t="s">
        <v>437</v>
      </c>
      <c r="BG202" s="13" t="s">
        <v>437</v>
      </c>
      <c r="BH202" s="13" t="s">
        <v>437</v>
      </c>
      <c r="BI202" s="13" t="s">
        <v>437</v>
      </c>
      <c r="BJ202" s="14" t="s">
        <v>437</v>
      </c>
      <c r="BK202" s="13" t="s">
        <v>437</v>
      </c>
      <c r="BL202" s="13" t="s">
        <v>437</v>
      </c>
      <c r="BM202" s="13" t="s">
        <v>437</v>
      </c>
      <c r="BN202" s="14" t="s">
        <v>437</v>
      </c>
      <c r="BP202" s="17" t="s">
        <v>437</v>
      </c>
      <c r="BQ202" s="13" t="s">
        <v>437</v>
      </c>
      <c r="BR202" s="13" t="s">
        <v>437</v>
      </c>
      <c r="BS202" s="14" t="s">
        <v>437</v>
      </c>
      <c r="BU202" s="17" t="s">
        <v>437</v>
      </c>
      <c r="BV202" s="13" t="s">
        <v>437</v>
      </c>
      <c r="BW202" s="13" t="s">
        <v>437</v>
      </c>
      <c r="BX202" s="14" t="s">
        <v>437</v>
      </c>
      <c r="BZ202" s="17" t="s">
        <v>437</v>
      </c>
      <c r="CA202" s="13" t="s">
        <v>437</v>
      </c>
      <c r="CB202" s="13" t="s">
        <v>437</v>
      </c>
      <c r="CC202" s="14" t="s">
        <v>437</v>
      </c>
    </row>
    <row r="203" spans="2:81" ht="18" hidden="1" customHeight="1" x14ac:dyDescent="0.2">
      <c r="B203" s="10">
        <f>garage!B203</f>
        <v>203</v>
      </c>
      <c r="C203" s="10">
        <f>garage!C203</f>
        <v>5</v>
      </c>
      <c r="D203" s="10">
        <f>garage!D203</f>
        <v>41</v>
      </c>
      <c r="E203" s="10">
        <f>garage!E203</f>
        <v>13</v>
      </c>
      <c r="F203" s="10" t="str">
        <f>garage!F203</f>
        <v>--</v>
      </c>
      <c r="G203" s="10" t="str">
        <f>garage!G203</f>
        <v>N</v>
      </c>
      <c r="H203" s="10" t="str">
        <f>garage!H203</f>
        <v>O</v>
      </c>
      <c r="I203" s="10" t="str">
        <f>garage!I203</f>
        <v>N</v>
      </c>
      <c r="J203" s="10" t="str">
        <f>garage!J203</f>
        <v>N</v>
      </c>
      <c r="K203" s="10" t="str">
        <f>garage!K203</f>
        <v>S</v>
      </c>
      <c r="L203" s="11" t="str">
        <f>garage!L203</f>
        <v>SSC</v>
      </c>
      <c r="M203" s="11" t="str">
        <f>garage!M203</f>
        <v>Tuatara</v>
      </c>
      <c r="O203" s="18">
        <v>1</v>
      </c>
      <c r="P203" s="15">
        <v>1</v>
      </c>
      <c r="Q203" s="15">
        <v>1</v>
      </c>
      <c r="R203" s="16">
        <v>1</v>
      </c>
      <c r="S203" s="15">
        <v>1</v>
      </c>
      <c r="T203" s="15">
        <v>1</v>
      </c>
      <c r="U203" s="15">
        <v>1</v>
      </c>
      <c r="V203" s="16">
        <v>1</v>
      </c>
      <c r="W203" s="15">
        <v>1</v>
      </c>
      <c r="X203" s="15">
        <v>1</v>
      </c>
      <c r="Y203" s="15">
        <v>1</v>
      </c>
      <c r="Z203" s="16">
        <v>1</v>
      </c>
      <c r="AA203" s="15">
        <v>1</v>
      </c>
      <c r="AB203" s="15">
        <v>1</v>
      </c>
      <c r="AC203" s="15">
        <v>1</v>
      </c>
      <c r="AD203" s="16">
        <v>1</v>
      </c>
      <c r="AE203" s="15">
        <v>1</v>
      </c>
      <c r="AF203" s="15">
        <v>1</v>
      </c>
      <c r="AG203" s="15">
        <v>1</v>
      </c>
      <c r="AH203" s="16">
        <v>1</v>
      </c>
      <c r="AI203" s="15">
        <v>1</v>
      </c>
      <c r="AJ203" s="15">
        <v>1</v>
      </c>
      <c r="AK203" s="15">
        <v>1</v>
      </c>
      <c r="AL203" s="16">
        <v>1</v>
      </c>
      <c r="AM203" s="15">
        <v>1</v>
      </c>
      <c r="AN203" s="15">
        <v>1</v>
      </c>
      <c r="AO203" s="15">
        <v>1</v>
      </c>
      <c r="AP203" s="16">
        <v>1</v>
      </c>
      <c r="AQ203" s="15">
        <v>1</v>
      </c>
      <c r="AR203" s="15">
        <v>1</v>
      </c>
      <c r="AS203" s="15">
        <v>1</v>
      </c>
      <c r="AT203" s="16">
        <v>1</v>
      </c>
      <c r="AU203" s="15">
        <v>1</v>
      </c>
      <c r="AV203" s="15">
        <v>1</v>
      </c>
      <c r="AW203" s="15">
        <v>1</v>
      </c>
      <c r="AX203" s="16">
        <v>1</v>
      </c>
      <c r="AY203" s="15">
        <v>1</v>
      </c>
      <c r="AZ203" s="15">
        <v>1</v>
      </c>
      <c r="BA203" s="15">
        <v>1</v>
      </c>
      <c r="BB203" s="16">
        <v>1</v>
      </c>
      <c r="BC203" s="15">
        <v>1</v>
      </c>
      <c r="BD203" s="15">
        <v>1</v>
      </c>
      <c r="BE203" s="15">
        <v>1</v>
      </c>
      <c r="BF203" s="16">
        <v>1</v>
      </c>
      <c r="BG203" s="15">
        <v>1</v>
      </c>
      <c r="BH203" s="15">
        <v>1</v>
      </c>
      <c r="BI203" s="15">
        <v>1</v>
      </c>
      <c r="BJ203" s="16">
        <v>1</v>
      </c>
      <c r="BK203" s="15">
        <v>1</v>
      </c>
      <c r="BL203" s="15">
        <v>1</v>
      </c>
      <c r="BM203" s="15">
        <v>1</v>
      </c>
      <c r="BN203" s="16">
        <v>1</v>
      </c>
      <c r="BP203" s="18">
        <v>7</v>
      </c>
      <c r="BQ203" s="15">
        <v>7</v>
      </c>
      <c r="BR203" s="15">
        <v>7</v>
      </c>
      <c r="BS203" s="16">
        <v>7</v>
      </c>
      <c r="BU203" s="18">
        <v>5</v>
      </c>
      <c r="BV203" s="15">
        <v>5</v>
      </c>
      <c r="BW203" s="15">
        <v>5</v>
      </c>
      <c r="BX203" s="16">
        <v>5</v>
      </c>
      <c r="BZ203" s="18" t="s">
        <v>437</v>
      </c>
      <c r="CA203" s="15">
        <v>3</v>
      </c>
      <c r="CB203" s="15">
        <v>4</v>
      </c>
      <c r="CC203" s="16">
        <v>4</v>
      </c>
    </row>
    <row r="204" spans="2:81" ht="18" hidden="1" customHeight="1" x14ac:dyDescent="0.2">
      <c r="B204" s="8">
        <f>garage!B204</f>
        <v>204</v>
      </c>
      <c r="C204" s="8">
        <f>garage!C204</f>
        <v>5</v>
      </c>
      <c r="D204" s="8">
        <f>garage!D204</f>
        <v>42</v>
      </c>
      <c r="E204" s="8">
        <f>garage!E204</f>
        <v>16</v>
      </c>
      <c r="F204" s="8" t="str">
        <f>garage!F204</f>
        <v>B</v>
      </c>
      <c r="G204" s="8" t="str">
        <f>garage!G204</f>
        <v>N</v>
      </c>
      <c r="H204" s="8" t="str">
        <f>garage!H204</f>
        <v>N</v>
      </c>
      <c r="I204" s="8" t="str">
        <f>garage!I204</f>
        <v>N</v>
      </c>
      <c r="J204" s="8" t="str">
        <f>garage!J204</f>
        <v>N</v>
      </c>
      <c r="K204" s="8" t="str">
        <f>garage!K204</f>
        <v>S</v>
      </c>
      <c r="L204" s="9" t="str">
        <f>garage!L204</f>
        <v>Bugatti</v>
      </c>
      <c r="M204" s="9" t="str">
        <f>garage!M204</f>
        <v>La Voiture Noire</v>
      </c>
      <c r="O204" s="17" t="s">
        <v>437</v>
      </c>
      <c r="P204" s="13" t="s">
        <v>437</v>
      </c>
      <c r="Q204" s="13" t="s">
        <v>437</v>
      </c>
      <c r="R204" s="14" t="s">
        <v>437</v>
      </c>
      <c r="S204" s="13" t="s">
        <v>437</v>
      </c>
      <c r="T204" s="13" t="s">
        <v>437</v>
      </c>
      <c r="U204" s="13" t="s">
        <v>437</v>
      </c>
      <c r="V204" s="14" t="s">
        <v>437</v>
      </c>
      <c r="W204" s="13" t="s">
        <v>437</v>
      </c>
      <c r="X204" s="13" t="s">
        <v>437</v>
      </c>
      <c r="Y204" s="13" t="s">
        <v>437</v>
      </c>
      <c r="Z204" s="14" t="s">
        <v>437</v>
      </c>
      <c r="AA204" s="13" t="s">
        <v>437</v>
      </c>
      <c r="AB204" s="13" t="s">
        <v>437</v>
      </c>
      <c r="AC204" s="13" t="s">
        <v>437</v>
      </c>
      <c r="AD204" s="14" t="s">
        <v>437</v>
      </c>
      <c r="AE204" s="13" t="s">
        <v>437</v>
      </c>
      <c r="AF204" s="13" t="s">
        <v>437</v>
      </c>
      <c r="AG204" s="13" t="s">
        <v>437</v>
      </c>
      <c r="AH204" s="14" t="s">
        <v>437</v>
      </c>
      <c r="AI204" s="13" t="s">
        <v>437</v>
      </c>
      <c r="AJ204" s="13" t="s">
        <v>437</v>
      </c>
      <c r="AK204" s="13" t="s">
        <v>437</v>
      </c>
      <c r="AL204" s="14" t="s">
        <v>437</v>
      </c>
      <c r="AM204" s="13" t="s">
        <v>437</v>
      </c>
      <c r="AN204" s="13" t="s">
        <v>437</v>
      </c>
      <c r="AO204" s="13" t="s">
        <v>437</v>
      </c>
      <c r="AP204" s="14" t="s">
        <v>437</v>
      </c>
      <c r="AQ204" s="13" t="s">
        <v>437</v>
      </c>
      <c r="AR204" s="13" t="s">
        <v>437</v>
      </c>
      <c r="AS204" s="13" t="s">
        <v>437</v>
      </c>
      <c r="AT204" s="14" t="s">
        <v>437</v>
      </c>
      <c r="AU204" s="13" t="s">
        <v>437</v>
      </c>
      <c r="AV204" s="13" t="s">
        <v>437</v>
      </c>
      <c r="AW204" s="13" t="s">
        <v>437</v>
      </c>
      <c r="AX204" s="14" t="s">
        <v>437</v>
      </c>
      <c r="AY204" s="13" t="s">
        <v>437</v>
      </c>
      <c r="AZ204" s="13" t="s">
        <v>437</v>
      </c>
      <c r="BA204" s="13" t="s">
        <v>437</v>
      </c>
      <c r="BB204" s="14" t="s">
        <v>437</v>
      </c>
      <c r="BC204" s="13" t="s">
        <v>437</v>
      </c>
      <c r="BD204" s="13" t="s">
        <v>437</v>
      </c>
      <c r="BE204" s="13" t="s">
        <v>437</v>
      </c>
      <c r="BF204" s="14" t="s">
        <v>437</v>
      </c>
      <c r="BG204" s="13" t="s">
        <v>437</v>
      </c>
      <c r="BH204" s="13" t="s">
        <v>437</v>
      </c>
      <c r="BI204" s="13" t="s">
        <v>437</v>
      </c>
      <c r="BJ204" s="14" t="s">
        <v>437</v>
      </c>
      <c r="BK204" s="13" t="s">
        <v>437</v>
      </c>
      <c r="BL204" s="13" t="s">
        <v>437</v>
      </c>
      <c r="BM204" s="13" t="s">
        <v>437</v>
      </c>
      <c r="BN204" s="14" t="s">
        <v>437</v>
      </c>
      <c r="BP204" s="17" t="s">
        <v>437</v>
      </c>
      <c r="BQ204" s="13" t="s">
        <v>437</v>
      </c>
      <c r="BR204" s="13" t="s">
        <v>437</v>
      </c>
      <c r="BS204" s="14" t="s">
        <v>437</v>
      </c>
      <c r="BU204" s="17" t="s">
        <v>437</v>
      </c>
      <c r="BV204" s="13" t="s">
        <v>437</v>
      </c>
      <c r="BW204" s="13" t="s">
        <v>437</v>
      </c>
      <c r="BX204" s="14" t="s">
        <v>437</v>
      </c>
      <c r="BZ204" s="17" t="s">
        <v>437</v>
      </c>
      <c r="CA204" s="13" t="s">
        <v>437</v>
      </c>
      <c r="CB204" s="13" t="s">
        <v>437</v>
      </c>
      <c r="CC204" s="14" t="s">
        <v>437</v>
      </c>
    </row>
    <row r="205" spans="2:81" ht="18" hidden="1" customHeight="1" x14ac:dyDescent="0.2">
      <c r="B205" s="10">
        <f>garage!B205</f>
        <v>205</v>
      </c>
      <c r="C205" s="10">
        <f>garage!C205</f>
        <v>5</v>
      </c>
      <c r="D205" s="10">
        <f>garage!D205</f>
        <v>43</v>
      </c>
      <c r="E205" s="10">
        <f>garage!E205</f>
        <v>20</v>
      </c>
      <c r="F205" s="10" t="str">
        <f>garage!F205</f>
        <v>TD</v>
      </c>
      <c r="G205" s="10" t="str">
        <f>garage!G205</f>
        <v>N</v>
      </c>
      <c r="H205" s="10" t="str">
        <f>garage!H205</f>
        <v>N</v>
      </c>
      <c r="I205" s="10" t="str">
        <f>garage!I205</f>
        <v>N</v>
      </c>
      <c r="J205" s="10" t="str">
        <f>garage!J205</f>
        <v>N</v>
      </c>
      <c r="K205" s="10" t="str">
        <f>garage!K205</f>
        <v>S</v>
      </c>
      <c r="L205" s="11" t="str">
        <f>garage!L205</f>
        <v>Hennessey</v>
      </c>
      <c r="M205" s="11" t="str">
        <f>garage!M205</f>
        <v>Venom F5</v>
      </c>
      <c r="O205" s="18" t="s">
        <v>437</v>
      </c>
      <c r="P205" s="15" t="s">
        <v>437</v>
      </c>
      <c r="Q205" s="15" t="s">
        <v>437</v>
      </c>
      <c r="R205" s="16" t="s">
        <v>437</v>
      </c>
      <c r="S205" s="15" t="s">
        <v>437</v>
      </c>
      <c r="T205" s="15" t="s">
        <v>437</v>
      </c>
      <c r="U205" s="15" t="s">
        <v>437</v>
      </c>
      <c r="V205" s="16" t="s">
        <v>437</v>
      </c>
      <c r="W205" s="15" t="s">
        <v>437</v>
      </c>
      <c r="X205" s="15" t="s">
        <v>437</v>
      </c>
      <c r="Y205" s="15" t="s">
        <v>437</v>
      </c>
      <c r="Z205" s="16" t="s">
        <v>437</v>
      </c>
      <c r="AA205" s="15" t="s">
        <v>437</v>
      </c>
      <c r="AB205" s="15" t="s">
        <v>437</v>
      </c>
      <c r="AC205" s="15" t="s">
        <v>437</v>
      </c>
      <c r="AD205" s="16" t="s">
        <v>437</v>
      </c>
      <c r="AE205" s="15" t="s">
        <v>437</v>
      </c>
      <c r="AF205" s="15" t="s">
        <v>437</v>
      </c>
      <c r="AG205" s="15" t="s">
        <v>437</v>
      </c>
      <c r="AH205" s="16" t="s">
        <v>437</v>
      </c>
      <c r="AI205" s="15" t="s">
        <v>437</v>
      </c>
      <c r="AJ205" s="15" t="s">
        <v>437</v>
      </c>
      <c r="AK205" s="15" t="s">
        <v>437</v>
      </c>
      <c r="AL205" s="16" t="s">
        <v>437</v>
      </c>
      <c r="AM205" s="15" t="s">
        <v>437</v>
      </c>
      <c r="AN205" s="15" t="s">
        <v>437</v>
      </c>
      <c r="AO205" s="15" t="s">
        <v>437</v>
      </c>
      <c r="AP205" s="16" t="s">
        <v>437</v>
      </c>
      <c r="AQ205" s="15" t="s">
        <v>437</v>
      </c>
      <c r="AR205" s="15" t="s">
        <v>437</v>
      </c>
      <c r="AS205" s="15" t="s">
        <v>437</v>
      </c>
      <c r="AT205" s="16" t="s">
        <v>437</v>
      </c>
      <c r="AU205" s="15" t="s">
        <v>437</v>
      </c>
      <c r="AV205" s="15" t="s">
        <v>437</v>
      </c>
      <c r="AW205" s="15" t="s">
        <v>437</v>
      </c>
      <c r="AX205" s="16" t="s">
        <v>437</v>
      </c>
      <c r="AY205" s="15" t="s">
        <v>437</v>
      </c>
      <c r="AZ205" s="15" t="s">
        <v>437</v>
      </c>
      <c r="BA205" s="15" t="s">
        <v>437</v>
      </c>
      <c r="BB205" s="16" t="s">
        <v>437</v>
      </c>
      <c r="BC205" s="15" t="s">
        <v>437</v>
      </c>
      <c r="BD205" s="15" t="s">
        <v>437</v>
      </c>
      <c r="BE205" s="15" t="s">
        <v>437</v>
      </c>
      <c r="BF205" s="16" t="s">
        <v>437</v>
      </c>
      <c r="BG205" s="15" t="s">
        <v>437</v>
      </c>
      <c r="BH205" s="15" t="s">
        <v>437</v>
      </c>
      <c r="BI205" s="15" t="s">
        <v>437</v>
      </c>
      <c r="BJ205" s="16" t="s">
        <v>437</v>
      </c>
      <c r="BK205" s="15" t="s">
        <v>437</v>
      </c>
      <c r="BL205" s="15" t="s">
        <v>437</v>
      </c>
      <c r="BM205" s="15" t="s">
        <v>437</v>
      </c>
      <c r="BN205" s="16" t="s">
        <v>437</v>
      </c>
      <c r="BP205" s="18" t="s">
        <v>437</v>
      </c>
      <c r="BQ205" s="15" t="s">
        <v>437</v>
      </c>
      <c r="BR205" s="15" t="s">
        <v>437</v>
      </c>
      <c r="BS205" s="16" t="s">
        <v>437</v>
      </c>
      <c r="BU205" s="18" t="s">
        <v>437</v>
      </c>
      <c r="BV205" s="15" t="s">
        <v>437</v>
      </c>
      <c r="BW205" s="15" t="s">
        <v>437</v>
      </c>
      <c r="BX205" s="16" t="s">
        <v>437</v>
      </c>
      <c r="BZ205" s="18" t="s">
        <v>437</v>
      </c>
      <c r="CA205" s="15" t="s">
        <v>437</v>
      </c>
      <c r="CB205" s="15" t="s">
        <v>437</v>
      </c>
      <c r="CC205" s="16" t="s">
        <v>437</v>
      </c>
    </row>
    <row r="206" spans="2:81" ht="18" hidden="1" customHeight="1" x14ac:dyDescent="0.2">
      <c r="B206" s="8">
        <f>garage!B206</f>
        <v>206</v>
      </c>
      <c r="C206" s="8">
        <f>garage!C206</f>
        <v>5</v>
      </c>
      <c r="D206" s="8">
        <f>garage!D206</f>
        <v>44</v>
      </c>
      <c r="E206" s="8">
        <f>garage!E206</f>
        <v>22</v>
      </c>
      <c r="F206" s="8" t="str">
        <f>garage!F206</f>
        <v>--</v>
      </c>
      <c r="G206" s="8" t="str">
        <f>garage!G206</f>
        <v>N</v>
      </c>
      <c r="H206" s="8" t="str">
        <f>garage!H206</f>
        <v>N</v>
      </c>
      <c r="I206" s="8" t="str">
        <f>garage!I206</f>
        <v>N</v>
      </c>
      <c r="J206" s="8" t="str">
        <f>garage!J206</f>
        <v>N</v>
      </c>
      <c r="K206" s="8" t="str">
        <f>garage!K206</f>
        <v>S</v>
      </c>
      <c r="L206" s="9" t="str">
        <f>garage!L206</f>
        <v>Koenigsegg</v>
      </c>
      <c r="M206" s="9" t="str">
        <f>garage!M206</f>
        <v>Gemera</v>
      </c>
      <c r="O206" s="17" t="s">
        <v>437</v>
      </c>
      <c r="P206" s="13" t="s">
        <v>437</v>
      </c>
      <c r="Q206" s="13" t="s">
        <v>437</v>
      </c>
      <c r="R206" s="14" t="s">
        <v>437</v>
      </c>
      <c r="S206" s="13" t="s">
        <v>437</v>
      </c>
      <c r="T206" s="13" t="s">
        <v>437</v>
      </c>
      <c r="U206" s="13" t="s">
        <v>437</v>
      </c>
      <c r="V206" s="14" t="s">
        <v>437</v>
      </c>
      <c r="W206" s="13" t="s">
        <v>437</v>
      </c>
      <c r="X206" s="13" t="s">
        <v>437</v>
      </c>
      <c r="Y206" s="13" t="s">
        <v>437</v>
      </c>
      <c r="Z206" s="14" t="s">
        <v>437</v>
      </c>
      <c r="AA206" s="13" t="s">
        <v>437</v>
      </c>
      <c r="AB206" s="13" t="s">
        <v>437</v>
      </c>
      <c r="AC206" s="13" t="s">
        <v>437</v>
      </c>
      <c r="AD206" s="14" t="s">
        <v>437</v>
      </c>
      <c r="AE206" s="13" t="s">
        <v>437</v>
      </c>
      <c r="AF206" s="13" t="s">
        <v>437</v>
      </c>
      <c r="AG206" s="13" t="s">
        <v>437</v>
      </c>
      <c r="AH206" s="14" t="s">
        <v>437</v>
      </c>
      <c r="AI206" s="13" t="s">
        <v>437</v>
      </c>
      <c r="AJ206" s="13" t="s">
        <v>437</v>
      </c>
      <c r="AK206" s="13" t="s">
        <v>437</v>
      </c>
      <c r="AL206" s="14" t="s">
        <v>437</v>
      </c>
      <c r="AM206" s="13" t="s">
        <v>437</v>
      </c>
      <c r="AN206" s="13" t="s">
        <v>437</v>
      </c>
      <c r="AO206" s="13" t="s">
        <v>437</v>
      </c>
      <c r="AP206" s="14" t="s">
        <v>437</v>
      </c>
      <c r="AQ206" s="13" t="s">
        <v>437</v>
      </c>
      <c r="AR206" s="13" t="s">
        <v>437</v>
      </c>
      <c r="AS206" s="13" t="s">
        <v>437</v>
      </c>
      <c r="AT206" s="14" t="s">
        <v>437</v>
      </c>
      <c r="AU206" s="13" t="s">
        <v>437</v>
      </c>
      <c r="AV206" s="13" t="s">
        <v>437</v>
      </c>
      <c r="AW206" s="13" t="s">
        <v>437</v>
      </c>
      <c r="AX206" s="14" t="s">
        <v>437</v>
      </c>
      <c r="AY206" s="13" t="s">
        <v>437</v>
      </c>
      <c r="AZ206" s="13" t="s">
        <v>437</v>
      </c>
      <c r="BA206" s="13" t="s">
        <v>437</v>
      </c>
      <c r="BB206" s="14" t="s">
        <v>437</v>
      </c>
      <c r="BC206" s="13" t="s">
        <v>437</v>
      </c>
      <c r="BD206" s="13" t="s">
        <v>437</v>
      </c>
      <c r="BE206" s="13" t="s">
        <v>437</v>
      </c>
      <c r="BF206" s="14" t="s">
        <v>437</v>
      </c>
      <c r="BG206" s="13" t="s">
        <v>437</v>
      </c>
      <c r="BH206" s="13" t="s">
        <v>437</v>
      </c>
      <c r="BI206" s="13" t="s">
        <v>437</v>
      </c>
      <c r="BJ206" s="14" t="s">
        <v>437</v>
      </c>
      <c r="BK206" s="13" t="s">
        <v>437</v>
      </c>
      <c r="BL206" s="13" t="s">
        <v>437</v>
      </c>
      <c r="BM206" s="13" t="s">
        <v>437</v>
      </c>
      <c r="BN206" s="14" t="s">
        <v>437</v>
      </c>
      <c r="BP206" s="17" t="s">
        <v>437</v>
      </c>
      <c r="BQ206" s="13" t="s">
        <v>437</v>
      </c>
      <c r="BR206" s="13" t="s">
        <v>437</v>
      </c>
      <c r="BS206" s="14" t="s">
        <v>437</v>
      </c>
      <c r="BU206" s="17" t="s">
        <v>437</v>
      </c>
      <c r="BV206" s="13" t="s">
        <v>437</v>
      </c>
      <c r="BW206" s="13" t="s">
        <v>437</v>
      </c>
      <c r="BX206" s="14" t="s">
        <v>437</v>
      </c>
      <c r="BZ206" s="17" t="s">
        <v>437</v>
      </c>
      <c r="CA206" s="13" t="s">
        <v>437</v>
      </c>
      <c r="CB206" s="13" t="s">
        <v>437</v>
      </c>
      <c r="CC206" s="14" t="s">
        <v>437</v>
      </c>
    </row>
    <row r="207" spans="2:81" ht="18" hidden="1" customHeight="1" x14ac:dyDescent="0.2">
      <c r="B207" s="10">
        <f>garage!B207</f>
        <v>207</v>
      </c>
      <c r="C207" s="10">
        <f>garage!C207</f>
        <v>5</v>
      </c>
      <c r="D207" s="10">
        <f>garage!D207</f>
        <v>45</v>
      </c>
      <c r="E207" s="10">
        <f>garage!E207</f>
        <v>24</v>
      </c>
      <c r="F207" s="10" t="str">
        <f>garage!F207</f>
        <v>--</v>
      </c>
      <c r="G207" s="10" t="str">
        <f>garage!G207</f>
        <v>N</v>
      </c>
      <c r="H207" s="10" t="str">
        <f>garage!H207</f>
        <v>N</v>
      </c>
      <c r="I207" s="10" t="str">
        <f>garage!I207</f>
        <v>N</v>
      </c>
      <c r="J207" s="10" t="str">
        <f>garage!J207</f>
        <v>N</v>
      </c>
      <c r="K207" s="10" t="str">
        <f>garage!K207</f>
        <v>S</v>
      </c>
      <c r="L207" s="11" t="str">
        <f>garage!L207</f>
        <v>Tushek</v>
      </c>
      <c r="M207" s="11" t="str">
        <f>garage!M207</f>
        <v>TS 900 Racer Pro</v>
      </c>
      <c r="O207" s="18" t="s">
        <v>437</v>
      </c>
      <c r="P207" s="15" t="s">
        <v>437</v>
      </c>
      <c r="Q207" s="15" t="s">
        <v>437</v>
      </c>
      <c r="R207" s="16" t="s">
        <v>437</v>
      </c>
      <c r="S207" s="15" t="s">
        <v>437</v>
      </c>
      <c r="T207" s="15" t="s">
        <v>437</v>
      </c>
      <c r="U207" s="15" t="s">
        <v>437</v>
      </c>
      <c r="V207" s="16" t="s">
        <v>437</v>
      </c>
      <c r="W207" s="15" t="s">
        <v>437</v>
      </c>
      <c r="X207" s="15" t="s">
        <v>437</v>
      </c>
      <c r="Y207" s="15" t="s">
        <v>437</v>
      </c>
      <c r="Z207" s="16" t="s">
        <v>437</v>
      </c>
      <c r="AA207" s="15" t="s">
        <v>437</v>
      </c>
      <c r="AB207" s="15" t="s">
        <v>437</v>
      </c>
      <c r="AC207" s="15" t="s">
        <v>437</v>
      </c>
      <c r="AD207" s="16" t="s">
        <v>437</v>
      </c>
      <c r="AE207" s="15" t="s">
        <v>437</v>
      </c>
      <c r="AF207" s="15" t="s">
        <v>437</v>
      </c>
      <c r="AG207" s="15" t="s">
        <v>437</v>
      </c>
      <c r="AH207" s="16" t="s">
        <v>437</v>
      </c>
      <c r="AI207" s="15" t="s">
        <v>437</v>
      </c>
      <c r="AJ207" s="15" t="s">
        <v>437</v>
      </c>
      <c r="AK207" s="15" t="s">
        <v>437</v>
      </c>
      <c r="AL207" s="16" t="s">
        <v>437</v>
      </c>
      <c r="AM207" s="15" t="s">
        <v>437</v>
      </c>
      <c r="AN207" s="15" t="s">
        <v>437</v>
      </c>
      <c r="AO207" s="15" t="s">
        <v>437</v>
      </c>
      <c r="AP207" s="16" t="s">
        <v>437</v>
      </c>
      <c r="AQ207" s="15" t="s">
        <v>437</v>
      </c>
      <c r="AR207" s="15" t="s">
        <v>437</v>
      </c>
      <c r="AS207" s="15" t="s">
        <v>437</v>
      </c>
      <c r="AT207" s="16" t="s">
        <v>437</v>
      </c>
      <c r="AU207" s="15" t="s">
        <v>437</v>
      </c>
      <c r="AV207" s="15" t="s">
        <v>437</v>
      </c>
      <c r="AW207" s="15" t="s">
        <v>437</v>
      </c>
      <c r="AX207" s="16" t="s">
        <v>437</v>
      </c>
      <c r="AY207" s="15" t="s">
        <v>437</v>
      </c>
      <c r="AZ207" s="15" t="s">
        <v>437</v>
      </c>
      <c r="BA207" s="15" t="s">
        <v>437</v>
      </c>
      <c r="BB207" s="16" t="s">
        <v>437</v>
      </c>
      <c r="BC207" s="15" t="s">
        <v>437</v>
      </c>
      <c r="BD207" s="15" t="s">
        <v>437</v>
      </c>
      <c r="BE207" s="15" t="s">
        <v>437</v>
      </c>
      <c r="BF207" s="16" t="s">
        <v>437</v>
      </c>
      <c r="BG207" s="15" t="s">
        <v>437</v>
      </c>
      <c r="BH207" s="15" t="s">
        <v>437</v>
      </c>
      <c r="BI207" s="15" t="s">
        <v>437</v>
      </c>
      <c r="BJ207" s="16" t="s">
        <v>437</v>
      </c>
      <c r="BK207" s="15" t="s">
        <v>437</v>
      </c>
      <c r="BL207" s="15" t="s">
        <v>437</v>
      </c>
      <c r="BM207" s="15" t="s">
        <v>437</v>
      </c>
      <c r="BN207" s="16" t="s">
        <v>437</v>
      </c>
      <c r="BP207" s="18" t="s">
        <v>437</v>
      </c>
      <c r="BQ207" s="15" t="s">
        <v>437</v>
      </c>
      <c r="BR207" s="15" t="s">
        <v>437</v>
      </c>
      <c r="BS207" s="16" t="s">
        <v>437</v>
      </c>
      <c r="BU207" s="18" t="s">
        <v>437</v>
      </c>
      <c r="BV207" s="15" t="s">
        <v>437</v>
      </c>
      <c r="BW207" s="15" t="s">
        <v>437</v>
      </c>
      <c r="BX207" s="16" t="s">
        <v>437</v>
      </c>
      <c r="BZ207" s="18" t="s">
        <v>437</v>
      </c>
      <c r="CA207" s="15" t="s">
        <v>437</v>
      </c>
      <c r="CB207" s="15" t="s">
        <v>437</v>
      </c>
      <c r="CC207" s="16" t="s">
        <v>437</v>
      </c>
    </row>
    <row r="208" spans="2:81" ht="18" hidden="1" customHeight="1" x14ac:dyDescent="0.2">
      <c r="B208" s="8">
        <f>garage!B208</f>
        <v>208</v>
      </c>
      <c r="C208" s="8">
        <f>garage!C208</f>
        <v>5</v>
      </c>
      <c r="D208" s="8">
        <f>garage!D208</f>
        <v>46</v>
      </c>
      <c r="E208" s="8">
        <f>garage!E208</f>
        <v>28</v>
      </c>
      <c r="F208" s="8" t="str">
        <f>garage!F208</f>
        <v>B</v>
      </c>
      <c r="G208" s="8" t="str">
        <f>garage!G208</f>
        <v>N</v>
      </c>
      <c r="H208" s="8" t="str">
        <f>garage!H208</f>
        <v>N</v>
      </c>
      <c r="I208" s="8" t="str">
        <f>garage!I208</f>
        <v>N</v>
      </c>
      <c r="J208" s="8" t="str">
        <f>garage!J208</f>
        <v>N</v>
      </c>
      <c r="K208" s="8" t="str">
        <f>garage!K208</f>
        <v>S</v>
      </c>
      <c r="L208" s="9" t="str">
        <f>garage!L208</f>
        <v>Bugatti</v>
      </c>
      <c r="M208" s="9" t="str">
        <f>garage!M208</f>
        <v>Bolide</v>
      </c>
      <c r="O208" s="17">
        <v>1</v>
      </c>
      <c r="P208" s="13">
        <v>1</v>
      </c>
      <c r="Q208" s="13">
        <v>1</v>
      </c>
      <c r="R208" s="14">
        <v>1</v>
      </c>
      <c r="S208" s="13">
        <v>1</v>
      </c>
      <c r="T208" s="13">
        <v>1</v>
      </c>
      <c r="U208" s="13">
        <v>1</v>
      </c>
      <c r="V208" s="14">
        <v>1</v>
      </c>
      <c r="W208" s="13" t="s">
        <v>437</v>
      </c>
      <c r="X208" s="13" t="s">
        <v>437</v>
      </c>
      <c r="Y208" s="13" t="s">
        <v>437</v>
      </c>
      <c r="Z208" s="14" t="s">
        <v>437</v>
      </c>
      <c r="AA208" s="13" t="s">
        <v>437</v>
      </c>
      <c r="AB208" s="13" t="s">
        <v>437</v>
      </c>
      <c r="AC208" s="13" t="s">
        <v>437</v>
      </c>
      <c r="AD208" s="14" t="s">
        <v>437</v>
      </c>
      <c r="AE208" s="13" t="s">
        <v>437</v>
      </c>
      <c r="AF208" s="13" t="s">
        <v>437</v>
      </c>
      <c r="AG208" s="13" t="s">
        <v>437</v>
      </c>
      <c r="AH208" s="14" t="s">
        <v>437</v>
      </c>
      <c r="AI208" s="13" t="s">
        <v>437</v>
      </c>
      <c r="AJ208" s="13" t="s">
        <v>437</v>
      </c>
      <c r="AK208" s="13" t="s">
        <v>437</v>
      </c>
      <c r="AL208" s="14" t="s">
        <v>437</v>
      </c>
      <c r="AM208" s="13" t="s">
        <v>437</v>
      </c>
      <c r="AN208" s="13" t="s">
        <v>437</v>
      </c>
      <c r="AO208" s="13" t="s">
        <v>437</v>
      </c>
      <c r="AP208" s="14" t="s">
        <v>437</v>
      </c>
      <c r="AQ208" s="13" t="s">
        <v>437</v>
      </c>
      <c r="AR208" s="13" t="s">
        <v>437</v>
      </c>
      <c r="AS208" s="13" t="s">
        <v>437</v>
      </c>
      <c r="AT208" s="14" t="s">
        <v>437</v>
      </c>
      <c r="AU208" s="13" t="s">
        <v>437</v>
      </c>
      <c r="AV208" s="13" t="s">
        <v>437</v>
      </c>
      <c r="AW208" s="13" t="s">
        <v>437</v>
      </c>
      <c r="AX208" s="14" t="s">
        <v>437</v>
      </c>
      <c r="AY208" s="13" t="s">
        <v>437</v>
      </c>
      <c r="AZ208" s="13" t="s">
        <v>437</v>
      </c>
      <c r="BA208" s="13" t="s">
        <v>437</v>
      </c>
      <c r="BB208" s="14" t="s">
        <v>437</v>
      </c>
      <c r="BC208" s="13" t="s">
        <v>437</v>
      </c>
      <c r="BD208" s="13" t="s">
        <v>437</v>
      </c>
      <c r="BE208" s="13" t="s">
        <v>437</v>
      </c>
      <c r="BF208" s="14" t="s">
        <v>437</v>
      </c>
      <c r="BG208" s="13" t="s">
        <v>437</v>
      </c>
      <c r="BH208" s="13" t="s">
        <v>437</v>
      </c>
      <c r="BI208" s="13" t="s">
        <v>437</v>
      </c>
      <c r="BJ208" s="14" t="s">
        <v>437</v>
      </c>
      <c r="BK208" s="13" t="s">
        <v>437</v>
      </c>
      <c r="BL208" s="13" t="s">
        <v>437</v>
      </c>
      <c r="BM208" s="13" t="s">
        <v>437</v>
      </c>
      <c r="BN208" s="14" t="s">
        <v>437</v>
      </c>
      <c r="BP208" s="17" t="s">
        <v>437</v>
      </c>
      <c r="BQ208" s="13" t="s">
        <v>437</v>
      </c>
      <c r="BR208" s="13" t="s">
        <v>437</v>
      </c>
      <c r="BS208" s="14" t="s">
        <v>437</v>
      </c>
      <c r="BU208" s="17" t="s">
        <v>437</v>
      </c>
      <c r="BV208" s="13" t="s">
        <v>437</v>
      </c>
      <c r="BW208" s="13" t="s">
        <v>437</v>
      </c>
      <c r="BX208" s="14" t="s">
        <v>437</v>
      </c>
      <c r="BZ208" s="17" t="s">
        <v>437</v>
      </c>
      <c r="CA208" s="13" t="s">
        <v>437</v>
      </c>
      <c r="CB208" s="13" t="s">
        <v>437</v>
      </c>
      <c r="CC208" s="14" t="s">
        <v>437</v>
      </c>
    </row>
    <row r="209" spans="2:81" ht="18" hidden="1" customHeight="1" x14ac:dyDescent="0.2">
      <c r="B209" s="10">
        <f>garage!B209</f>
        <v>209</v>
      </c>
      <c r="C209" s="10">
        <f>garage!C209</f>
        <v>5</v>
      </c>
      <c r="D209" s="10">
        <f>garage!D209</f>
        <v>47</v>
      </c>
      <c r="E209" s="10">
        <f>garage!E209</f>
        <v>0</v>
      </c>
      <c r="F209" s="10" t="str">
        <f>garage!F209</f>
        <v>--</v>
      </c>
      <c r="G209" s="10" t="str">
        <f>garage!G209</f>
        <v>N</v>
      </c>
      <c r="H209" s="10" t="str">
        <f>garage!H209</f>
        <v>N</v>
      </c>
      <c r="I209" s="10" t="str">
        <f>garage!I209</f>
        <v>N</v>
      </c>
      <c r="J209" s="10" t="str">
        <f>garage!J209</f>
        <v>N</v>
      </c>
      <c r="K209" s="10" t="str">
        <f>garage!K209</f>
        <v>S</v>
      </c>
      <c r="L209" s="11" t="str">
        <f>garage!L209</f>
        <v>Rimac</v>
      </c>
      <c r="M209" s="11" t="str">
        <f>garage!M209</f>
        <v>C TWO</v>
      </c>
      <c r="O209" s="18" t="s">
        <v>437</v>
      </c>
      <c r="P209" s="15" t="s">
        <v>437</v>
      </c>
      <c r="Q209" s="15" t="s">
        <v>437</v>
      </c>
      <c r="R209" s="16" t="s">
        <v>437</v>
      </c>
      <c r="S209" s="15" t="s">
        <v>437</v>
      </c>
      <c r="T209" s="15" t="s">
        <v>437</v>
      </c>
      <c r="U209" s="15" t="s">
        <v>437</v>
      </c>
      <c r="V209" s="16" t="s">
        <v>437</v>
      </c>
      <c r="W209" s="15" t="s">
        <v>437</v>
      </c>
      <c r="X209" s="15" t="s">
        <v>437</v>
      </c>
      <c r="Y209" s="15" t="s">
        <v>437</v>
      </c>
      <c r="Z209" s="16" t="s">
        <v>437</v>
      </c>
      <c r="AA209" s="15" t="s">
        <v>437</v>
      </c>
      <c r="AB209" s="15" t="s">
        <v>437</v>
      </c>
      <c r="AC209" s="15" t="s">
        <v>437</v>
      </c>
      <c r="AD209" s="16" t="s">
        <v>437</v>
      </c>
      <c r="AE209" s="15" t="s">
        <v>437</v>
      </c>
      <c r="AF209" s="15" t="s">
        <v>437</v>
      </c>
      <c r="AG209" s="15" t="s">
        <v>437</v>
      </c>
      <c r="AH209" s="16" t="s">
        <v>437</v>
      </c>
      <c r="AI209" s="15" t="s">
        <v>437</v>
      </c>
      <c r="AJ209" s="15" t="s">
        <v>437</v>
      </c>
      <c r="AK209" s="15" t="s">
        <v>437</v>
      </c>
      <c r="AL209" s="16" t="s">
        <v>437</v>
      </c>
      <c r="AM209" s="15" t="s">
        <v>437</v>
      </c>
      <c r="AN209" s="15" t="s">
        <v>437</v>
      </c>
      <c r="AO209" s="15" t="s">
        <v>437</v>
      </c>
      <c r="AP209" s="16" t="s">
        <v>437</v>
      </c>
      <c r="AQ209" s="15" t="s">
        <v>437</v>
      </c>
      <c r="AR209" s="15" t="s">
        <v>437</v>
      </c>
      <c r="AS209" s="15" t="s">
        <v>437</v>
      </c>
      <c r="AT209" s="16" t="s">
        <v>437</v>
      </c>
      <c r="AU209" s="15" t="s">
        <v>437</v>
      </c>
      <c r="AV209" s="15" t="s">
        <v>437</v>
      </c>
      <c r="AW209" s="15" t="s">
        <v>437</v>
      </c>
      <c r="AX209" s="16" t="s">
        <v>437</v>
      </c>
      <c r="AY209" s="15" t="s">
        <v>437</v>
      </c>
      <c r="AZ209" s="15" t="s">
        <v>437</v>
      </c>
      <c r="BA209" s="15" t="s">
        <v>437</v>
      </c>
      <c r="BB209" s="16" t="s">
        <v>437</v>
      </c>
      <c r="BC209" s="15" t="s">
        <v>437</v>
      </c>
      <c r="BD209" s="15" t="s">
        <v>437</v>
      </c>
      <c r="BE209" s="15" t="s">
        <v>437</v>
      </c>
      <c r="BF209" s="16" t="s">
        <v>437</v>
      </c>
      <c r="BG209" s="15" t="s">
        <v>437</v>
      </c>
      <c r="BH209" s="15" t="s">
        <v>437</v>
      </c>
      <c r="BI209" s="15" t="s">
        <v>437</v>
      </c>
      <c r="BJ209" s="16" t="s">
        <v>437</v>
      </c>
      <c r="BK209" s="15" t="s">
        <v>437</v>
      </c>
      <c r="BL209" s="15" t="s">
        <v>437</v>
      </c>
      <c r="BM209" s="15" t="s">
        <v>437</v>
      </c>
      <c r="BN209" s="16" t="s">
        <v>437</v>
      </c>
      <c r="BP209" s="18" t="s">
        <v>437</v>
      </c>
      <c r="BQ209" s="15" t="s">
        <v>437</v>
      </c>
      <c r="BR209" s="15" t="s">
        <v>437</v>
      </c>
      <c r="BS209" s="16" t="s">
        <v>437</v>
      </c>
      <c r="BU209" s="18" t="s">
        <v>437</v>
      </c>
      <c r="BV209" s="15" t="s">
        <v>437</v>
      </c>
      <c r="BW209" s="15" t="s">
        <v>437</v>
      </c>
      <c r="BX209" s="16" t="s">
        <v>437</v>
      </c>
      <c r="BZ209" s="18" t="s">
        <v>437</v>
      </c>
      <c r="CA209" s="15" t="s">
        <v>437</v>
      </c>
      <c r="CB209" s="15" t="s">
        <v>437</v>
      </c>
      <c r="CC209" s="16" t="s">
        <v>437</v>
      </c>
    </row>
    <row r="210" spans="2:81" ht="18" hidden="1" customHeight="1" x14ac:dyDescent="0.2">
      <c r="B210" s="8">
        <f>garage!B210</f>
        <v>210</v>
      </c>
      <c r="C210" s="8">
        <f>garage!C210</f>
        <v>5</v>
      </c>
      <c r="D210" s="8">
        <f>garage!D210</f>
        <v>48</v>
      </c>
      <c r="E210" s="8">
        <f>garage!E210</f>
        <v>16</v>
      </c>
      <c r="F210" s="8" t="str">
        <f>garage!F210</f>
        <v>B</v>
      </c>
      <c r="G210" s="8" t="str">
        <f>garage!G210</f>
        <v>N</v>
      </c>
      <c r="H210" s="8" t="str">
        <f>garage!H210</f>
        <v>N</v>
      </c>
      <c r="I210" s="8" t="str">
        <f>garage!I210</f>
        <v>N</v>
      </c>
      <c r="J210" s="8" t="str">
        <f>garage!J210</f>
        <v>N</v>
      </c>
      <c r="K210" s="8" t="str">
        <f>garage!K210</f>
        <v>S</v>
      </c>
      <c r="L210" s="9" t="str">
        <f>garage!L210</f>
        <v>Bugatti</v>
      </c>
      <c r="M210" s="9" t="str">
        <f>garage!M210</f>
        <v>Divo</v>
      </c>
      <c r="O210" s="17" t="s">
        <v>437</v>
      </c>
      <c r="P210" s="13" t="s">
        <v>437</v>
      </c>
      <c r="Q210" s="13" t="s">
        <v>437</v>
      </c>
      <c r="R210" s="14" t="s">
        <v>437</v>
      </c>
      <c r="S210" s="13" t="s">
        <v>437</v>
      </c>
      <c r="T210" s="13" t="s">
        <v>437</v>
      </c>
      <c r="U210" s="13" t="s">
        <v>437</v>
      </c>
      <c r="V210" s="14" t="s">
        <v>437</v>
      </c>
      <c r="W210" s="13" t="s">
        <v>437</v>
      </c>
      <c r="X210" s="13" t="s">
        <v>437</v>
      </c>
      <c r="Y210" s="13" t="s">
        <v>437</v>
      </c>
      <c r="Z210" s="14" t="s">
        <v>437</v>
      </c>
      <c r="AA210" s="13" t="s">
        <v>437</v>
      </c>
      <c r="AB210" s="13" t="s">
        <v>437</v>
      </c>
      <c r="AC210" s="13" t="s">
        <v>437</v>
      </c>
      <c r="AD210" s="14" t="s">
        <v>437</v>
      </c>
      <c r="AE210" s="13" t="s">
        <v>437</v>
      </c>
      <c r="AF210" s="13" t="s">
        <v>437</v>
      </c>
      <c r="AG210" s="13" t="s">
        <v>437</v>
      </c>
      <c r="AH210" s="14" t="s">
        <v>437</v>
      </c>
      <c r="AI210" s="13" t="s">
        <v>437</v>
      </c>
      <c r="AJ210" s="13" t="s">
        <v>437</v>
      </c>
      <c r="AK210" s="13" t="s">
        <v>437</v>
      </c>
      <c r="AL210" s="14" t="s">
        <v>437</v>
      </c>
      <c r="AM210" s="13" t="s">
        <v>437</v>
      </c>
      <c r="AN210" s="13" t="s">
        <v>437</v>
      </c>
      <c r="AO210" s="13" t="s">
        <v>437</v>
      </c>
      <c r="AP210" s="14" t="s">
        <v>437</v>
      </c>
      <c r="AQ210" s="13" t="s">
        <v>437</v>
      </c>
      <c r="AR210" s="13" t="s">
        <v>437</v>
      </c>
      <c r="AS210" s="13" t="s">
        <v>437</v>
      </c>
      <c r="AT210" s="14" t="s">
        <v>437</v>
      </c>
      <c r="AU210" s="13" t="s">
        <v>437</v>
      </c>
      <c r="AV210" s="13" t="s">
        <v>437</v>
      </c>
      <c r="AW210" s="13" t="s">
        <v>437</v>
      </c>
      <c r="AX210" s="14" t="s">
        <v>437</v>
      </c>
      <c r="AY210" s="13" t="s">
        <v>437</v>
      </c>
      <c r="AZ210" s="13" t="s">
        <v>437</v>
      </c>
      <c r="BA210" s="13" t="s">
        <v>437</v>
      </c>
      <c r="BB210" s="14" t="s">
        <v>437</v>
      </c>
      <c r="BC210" s="13" t="s">
        <v>437</v>
      </c>
      <c r="BD210" s="13" t="s">
        <v>437</v>
      </c>
      <c r="BE210" s="13" t="s">
        <v>437</v>
      </c>
      <c r="BF210" s="14" t="s">
        <v>437</v>
      </c>
      <c r="BG210" s="13" t="s">
        <v>437</v>
      </c>
      <c r="BH210" s="13" t="s">
        <v>437</v>
      </c>
      <c r="BI210" s="13" t="s">
        <v>437</v>
      </c>
      <c r="BJ210" s="14" t="s">
        <v>437</v>
      </c>
      <c r="BK210" s="13" t="s">
        <v>437</v>
      </c>
      <c r="BL210" s="13" t="s">
        <v>437</v>
      </c>
      <c r="BM210" s="13" t="s">
        <v>437</v>
      </c>
      <c r="BN210" s="14" t="s">
        <v>437</v>
      </c>
      <c r="BP210" s="17" t="s">
        <v>437</v>
      </c>
      <c r="BQ210" s="13" t="s">
        <v>437</v>
      </c>
      <c r="BR210" s="13" t="s">
        <v>437</v>
      </c>
      <c r="BS210" s="14" t="s">
        <v>437</v>
      </c>
      <c r="BU210" s="17" t="s">
        <v>437</v>
      </c>
      <c r="BV210" s="13" t="s">
        <v>437</v>
      </c>
      <c r="BW210" s="13" t="s">
        <v>437</v>
      </c>
      <c r="BX210" s="14" t="s">
        <v>437</v>
      </c>
      <c r="BZ210" s="17" t="s">
        <v>437</v>
      </c>
      <c r="CA210" s="13" t="s">
        <v>437</v>
      </c>
      <c r="CB210" s="13" t="s">
        <v>437</v>
      </c>
      <c r="CC210" s="14" t="s">
        <v>437</v>
      </c>
    </row>
  </sheetData>
  <autoFilter ref="E1:L210">
    <filterColumn colId="2">
      <filters>
        <filter val="O"/>
      </filters>
    </filterColumn>
  </autoFilter>
  <sortState ref="B2:CC210">
    <sortCondition ref="C2:C210"/>
    <sortCondition ref="D2:D210"/>
    <sortCondition ref="K2:K210"/>
    <sortCondition ref="E2:E210"/>
  </sortState>
  <mergeCells count="13">
    <mergeCell ref="AI1:AL1"/>
    <mergeCell ref="O1:R1"/>
    <mergeCell ref="S1:V1"/>
    <mergeCell ref="W1:Z1"/>
    <mergeCell ref="AA1:AD1"/>
    <mergeCell ref="AE1:AH1"/>
    <mergeCell ref="BK1:BN1"/>
    <mergeCell ref="AM1:AP1"/>
    <mergeCell ref="AQ1:AT1"/>
    <mergeCell ref="AU1:AX1"/>
    <mergeCell ref="AY1:BB1"/>
    <mergeCell ref="BC1:BF1"/>
    <mergeCell ref="BG1:BJ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W210"/>
  <sheetViews>
    <sheetView showGridLines="0" workbookViewId="0">
      <pane ySplit="1" topLeftCell="A2" activePane="bottomLeft" state="frozen"/>
      <selection activeCell="A175" sqref="A175:XFD175"/>
      <selection pane="bottomLeft" activeCell="A2" sqref="A2"/>
    </sheetView>
  </sheetViews>
  <sheetFormatPr baseColWidth="10" defaultColWidth="3.7109375" defaultRowHeight="18" customHeight="1" x14ac:dyDescent="0.2"/>
  <cols>
    <col min="2" max="8" width="3.7109375" style="2" customWidth="1"/>
    <col min="9" max="10" width="3.7109375" customWidth="1"/>
    <col min="11" max="11" width="3.7109375" style="4" customWidth="1"/>
    <col min="12" max="12" width="20.7109375" style="4" customWidth="1"/>
    <col min="13" max="13" width="30.7109375" customWidth="1"/>
    <col min="15" max="21" width="10.7109375" style="2" customWidth="1"/>
    <col min="23" max="23" width="3.7109375" style="2"/>
  </cols>
  <sheetData>
    <row r="1" spans="2:23" ht="50.1" customHeight="1" x14ac:dyDescent="0.2">
      <c r="B1" s="7" t="s">
        <v>113</v>
      </c>
      <c r="C1" s="7" t="s">
        <v>114</v>
      </c>
      <c r="D1" s="7" t="s">
        <v>115</v>
      </c>
      <c r="E1" s="7" t="s">
        <v>116</v>
      </c>
      <c r="F1" s="7" t="s">
        <v>117</v>
      </c>
      <c r="G1" s="7" t="s">
        <v>69</v>
      </c>
      <c r="H1" s="7" t="s">
        <v>70</v>
      </c>
      <c r="I1" s="7" t="s">
        <v>71</v>
      </c>
      <c r="J1" s="7" t="s">
        <v>118</v>
      </c>
      <c r="K1" s="6" t="s">
        <v>119</v>
      </c>
      <c r="L1" s="6" t="s">
        <v>120</v>
      </c>
      <c r="M1" s="6" t="s">
        <v>121</v>
      </c>
      <c r="O1" s="7" t="s">
        <v>438</v>
      </c>
      <c r="P1" s="6" t="s">
        <v>424</v>
      </c>
      <c r="Q1" s="6" t="s">
        <v>425</v>
      </c>
      <c r="R1" s="6" t="s">
        <v>426</v>
      </c>
      <c r="S1" s="6" t="s">
        <v>427</v>
      </c>
      <c r="T1" s="6" t="s">
        <v>428</v>
      </c>
      <c r="U1" s="6" t="s">
        <v>429</v>
      </c>
      <c r="W1" s="7" t="s">
        <v>115</v>
      </c>
    </row>
    <row r="2" spans="2:23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garage!J2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39">
        <v>467</v>
      </c>
      <c r="P2" s="39">
        <v>789</v>
      </c>
      <c r="Q2" s="39">
        <v>1066</v>
      </c>
      <c r="R2" s="39">
        <v>1381</v>
      </c>
      <c r="S2" s="39"/>
      <c r="T2" s="39"/>
      <c r="U2" s="39"/>
      <c r="W2" s="8">
        <v>1</v>
      </c>
    </row>
    <row r="3" spans="2:23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garage!J3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10">
        <v>518</v>
      </c>
      <c r="P3" s="10">
        <v>855</v>
      </c>
      <c r="Q3" s="10">
        <v>1111</v>
      </c>
      <c r="R3" s="10">
        <v>1476</v>
      </c>
      <c r="S3" s="10"/>
      <c r="T3" s="10"/>
      <c r="U3" s="10"/>
      <c r="W3" s="10">
        <v>2</v>
      </c>
    </row>
    <row r="4" spans="2:23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39">
        <v>556</v>
      </c>
      <c r="P4" s="39">
        <v>904</v>
      </c>
      <c r="Q4" s="39">
        <v>1232</v>
      </c>
      <c r="R4" s="39">
        <v>1546</v>
      </c>
      <c r="S4" s="39"/>
      <c r="T4" s="39"/>
      <c r="U4" s="39"/>
      <c r="W4" s="8">
        <v>3</v>
      </c>
    </row>
    <row r="5" spans="2:23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garage!J5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10">
        <v>311</v>
      </c>
      <c r="P5" s="10">
        <v>761</v>
      </c>
      <c r="Q5" s="10">
        <v>1179</v>
      </c>
      <c r="R5" s="10">
        <v>1569</v>
      </c>
      <c r="S5" s="10"/>
      <c r="T5" s="10"/>
      <c r="U5" s="10"/>
      <c r="W5" s="10">
        <v>4</v>
      </c>
    </row>
    <row r="6" spans="2:23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garage!J6</f>
        <v>N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39">
        <v>620</v>
      </c>
      <c r="P6" s="39">
        <v>991</v>
      </c>
      <c r="Q6" s="39">
        <v>1337</v>
      </c>
      <c r="R6" s="39">
        <v>1662</v>
      </c>
      <c r="S6" s="39"/>
      <c r="T6" s="39"/>
      <c r="U6" s="39"/>
      <c r="W6" s="8">
        <v>5</v>
      </c>
    </row>
    <row r="7" spans="2:23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garage!J7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10">
        <v>662</v>
      </c>
      <c r="P7" s="10">
        <v>1042</v>
      </c>
      <c r="Q7" s="10" t="s">
        <v>127</v>
      </c>
      <c r="R7" s="10" t="s">
        <v>127</v>
      </c>
      <c r="S7" s="10"/>
      <c r="T7" s="10"/>
      <c r="U7" s="10"/>
      <c r="W7" s="10"/>
    </row>
    <row r="8" spans="2:23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garage!J8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39">
        <v>706</v>
      </c>
      <c r="P8" s="39">
        <v>1101</v>
      </c>
      <c r="Q8" s="39">
        <v>1466</v>
      </c>
      <c r="R8" s="39">
        <v>1814</v>
      </c>
      <c r="S8" s="39"/>
      <c r="T8" s="39"/>
      <c r="U8" s="39"/>
      <c r="W8" s="8">
        <v>6</v>
      </c>
    </row>
    <row r="9" spans="2:23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garage!J9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10">
        <v>799</v>
      </c>
      <c r="P9" s="10">
        <v>1216</v>
      </c>
      <c r="Q9" s="10">
        <v>1607</v>
      </c>
      <c r="R9" s="10">
        <v>1976</v>
      </c>
      <c r="S9" s="10"/>
      <c r="T9" s="10"/>
      <c r="U9" s="10"/>
      <c r="W9" s="10">
        <v>7</v>
      </c>
    </row>
    <row r="10" spans="2:23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garage!J10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39">
        <v>899</v>
      </c>
      <c r="P10" s="39">
        <v>1337</v>
      </c>
      <c r="Q10" s="39">
        <v>1757</v>
      </c>
      <c r="R10" s="39">
        <v>2144</v>
      </c>
      <c r="S10" s="39"/>
      <c r="T10" s="39"/>
      <c r="U10" s="39"/>
      <c r="W10" s="8">
        <v>8</v>
      </c>
    </row>
    <row r="11" spans="2:23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garage!J11</f>
        <v>O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10">
        <v>899</v>
      </c>
      <c r="P11" s="10">
        <v>1192</v>
      </c>
      <c r="Q11" s="10">
        <v>1531</v>
      </c>
      <c r="R11" s="10">
        <v>1879</v>
      </c>
      <c r="S11" s="10">
        <v>2213</v>
      </c>
      <c r="T11" s="10"/>
      <c r="U11" s="10"/>
      <c r="W11" s="10">
        <v>9</v>
      </c>
    </row>
    <row r="12" spans="2:23" ht="18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garage!J12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39">
        <v>848</v>
      </c>
      <c r="P12" s="39">
        <v>1163</v>
      </c>
      <c r="Q12" s="39">
        <v>1515</v>
      </c>
      <c r="R12" s="39">
        <v>1875</v>
      </c>
      <c r="S12" s="39">
        <v>2217</v>
      </c>
      <c r="T12" s="39"/>
      <c r="U12" s="39"/>
      <c r="W12" s="8">
        <v>10</v>
      </c>
    </row>
    <row r="13" spans="2:23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garage!J13</f>
        <v>O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10">
        <v>715</v>
      </c>
      <c r="P13" s="10">
        <v>1069</v>
      </c>
      <c r="Q13" s="10">
        <v>1462</v>
      </c>
      <c r="R13" s="10">
        <v>1864</v>
      </c>
      <c r="S13" s="10">
        <v>2247</v>
      </c>
      <c r="T13" s="10"/>
      <c r="U13" s="10"/>
      <c r="W13" s="10">
        <v>11</v>
      </c>
    </row>
    <row r="14" spans="2:23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garage!J14</f>
        <v>N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39" t="s">
        <v>127</v>
      </c>
      <c r="P14" s="39">
        <v>1076</v>
      </c>
      <c r="Q14" s="39" t="s">
        <v>127</v>
      </c>
      <c r="R14" s="39" t="s">
        <v>127</v>
      </c>
      <c r="S14" s="39" t="s">
        <v>127</v>
      </c>
      <c r="T14" s="39"/>
      <c r="U14" s="39"/>
      <c r="W14" s="8">
        <v>12</v>
      </c>
    </row>
    <row r="15" spans="2:23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garage!J15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10">
        <v>1006</v>
      </c>
      <c r="P15" s="10">
        <v>1310</v>
      </c>
      <c r="Q15" s="10">
        <v>1658</v>
      </c>
      <c r="R15" s="10">
        <v>2016</v>
      </c>
      <c r="S15" s="10">
        <v>2360</v>
      </c>
      <c r="T15" s="10"/>
      <c r="U15" s="10"/>
      <c r="W15" s="10">
        <v>13</v>
      </c>
    </row>
    <row r="16" spans="2:23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garage!J16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39">
        <v>729</v>
      </c>
      <c r="P16" s="39">
        <v>1119</v>
      </c>
      <c r="Q16" s="39">
        <v>1540</v>
      </c>
      <c r="R16" s="39">
        <v>1970</v>
      </c>
      <c r="S16" s="39">
        <v>2368</v>
      </c>
      <c r="T16" s="39"/>
      <c r="U16" s="39"/>
      <c r="W16" s="8">
        <v>14</v>
      </c>
    </row>
    <row r="17" spans="2:23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garage!J17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10">
        <v>587</v>
      </c>
      <c r="P17" s="10">
        <v>1004</v>
      </c>
      <c r="Q17" s="10">
        <v>1468</v>
      </c>
      <c r="R17" s="10">
        <v>1942</v>
      </c>
      <c r="S17" s="10">
        <v>2390</v>
      </c>
      <c r="T17" s="10"/>
      <c r="U17" s="10"/>
      <c r="W17" s="10">
        <v>15</v>
      </c>
    </row>
    <row r="18" spans="2:23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garage!J18</f>
        <v>O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39">
        <v>1063</v>
      </c>
      <c r="P18" s="39">
        <v>1389</v>
      </c>
      <c r="Q18" s="39">
        <v>1757</v>
      </c>
      <c r="R18" s="39">
        <v>2135</v>
      </c>
      <c r="S18" s="39">
        <v>2498</v>
      </c>
      <c r="T18" s="39"/>
      <c r="U18" s="39"/>
      <c r="W18" s="8">
        <v>16</v>
      </c>
    </row>
    <row r="19" spans="2:23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garage!J19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10">
        <v>1121</v>
      </c>
      <c r="P19" s="10">
        <v>1437</v>
      </c>
      <c r="Q19" s="10">
        <v>1810</v>
      </c>
      <c r="R19" s="10">
        <v>2179</v>
      </c>
      <c r="S19" s="10">
        <v>2548</v>
      </c>
      <c r="T19" s="10"/>
      <c r="U19" s="10"/>
      <c r="W19" s="10">
        <v>17</v>
      </c>
    </row>
    <row r="20" spans="2:23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garage!J20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39">
        <v>1063</v>
      </c>
      <c r="P20" s="39">
        <v>1397</v>
      </c>
      <c r="Q20" s="39">
        <v>1790</v>
      </c>
      <c r="R20" s="39">
        <v>2192</v>
      </c>
      <c r="S20" s="39">
        <v>2589</v>
      </c>
      <c r="T20" s="39"/>
      <c r="U20" s="39"/>
      <c r="W20" s="8">
        <v>18</v>
      </c>
    </row>
    <row r="21" spans="2:23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garage!J21</f>
        <v>O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10">
        <v>1109</v>
      </c>
      <c r="P21" s="10">
        <v>1448</v>
      </c>
      <c r="Q21" s="10">
        <v>1834</v>
      </c>
      <c r="R21" s="10">
        <v>2228</v>
      </c>
      <c r="S21" s="10">
        <v>2611</v>
      </c>
      <c r="T21" s="10"/>
      <c r="U21" s="10"/>
      <c r="W21" s="10">
        <v>19</v>
      </c>
    </row>
    <row r="22" spans="2:23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garage!J22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39">
        <v>1151</v>
      </c>
      <c r="P22" s="39">
        <v>1488</v>
      </c>
      <c r="Q22" s="39">
        <v>1864</v>
      </c>
      <c r="R22" s="39" t="s">
        <v>127</v>
      </c>
      <c r="S22" s="39">
        <v>2624</v>
      </c>
      <c r="T22" s="39"/>
      <c r="U22" s="39"/>
      <c r="W22" s="8">
        <v>20</v>
      </c>
    </row>
    <row r="23" spans="2:23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garage!J23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10">
        <v>1181</v>
      </c>
      <c r="P23" s="10">
        <v>1517</v>
      </c>
      <c r="Q23" s="10">
        <v>1891</v>
      </c>
      <c r="R23" s="10">
        <v>2277</v>
      </c>
      <c r="S23" s="10">
        <v>2646</v>
      </c>
      <c r="T23" s="10"/>
      <c r="U23" s="10"/>
      <c r="W23" s="10">
        <v>21</v>
      </c>
    </row>
    <row r="24" spans="2:23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garage!J24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39">
        <v>1212</v>
      </c>
      <c r="P24" s="39">
        <v>1541</v>
      </c>
      <c r="Q24" s="39">
        <v>1914</v>
      </c>
      <c r="R24" s="39">
        <v>2296</v>
      </c>
      <c r="S24" s="39">
        <v>2667</v>
      </c>
      <c r="T24" s="39"/>
      <c r="U24" s="39"/>
      <c r="W24" s="8">
        <v>22</v>
      </c>
    </row>
    <row r="25" spans="2:23" ht="18" customHeight="1" x14ac:dyDescent="0.2">
      <c r="B25" s="10">
        <f>garage!B25</f>
        <v>25</v>
      </c>
      <c r="C25" s="10">
        <f>garage!C25</f>
        <v>1</v>
      </c>
      <c r="D25" s="10">
        <f>garage!D25</f>
        <v>24</v>
      </c>
      <c r="E25" s="10">
        <f>garage!E25</f>
        <v>10</v>
      </c>
      <c r="F25" s="10" t="str">
        <f>garage!F25</f>
        <v>--</v>
      </c>
      <c r="G25" s="10" t="str">
        <f>garage!G25</f>
        <v>O</v>
      </c>
      <c r="H25" s="10" t="str">
        <f>garage!H25</f>
        <v>O</v>
      </c>
      <c r="I25" s="10" t="str">
        <f>garage!I25</f>
        <v>N</v>
      </c>
      <c r="J25" s="10" t="str">
        <f>garage!J25</f>
        <v>N</v>
      </c>
      <c r="K25" s="10" t="str">
        <f>garage!K25</f>
        <v>D</v>
      </c>
      <c r="L25" s="11" t="str">
        <f>garage!L25</f>
        <v>Honda</v>
      </c>
      <c r="M25" s="11" t="str">
        <f>garage!M25</f>
        <v>Civic Type-R</v>
      </c>
      <c r="O25" s="10">
        <v>1243</v>
      </c>
      <c r="P25" s="10">
        <v>1578</v>
      </c>
      <c r="Q25" s="10">
        <v>1951</v>
      </c>
      <c r="R25" s="10">
        <v>2334</v>
      </c>
      <c r="S25" s="10">
        <v>2698</v>
      </c>
      <c r="T25" s="10"/>
      <c r="U25" s="10"/>
      <c r="W25" s="10">
        <v>23</v>
      </c>
    </row>
    <row r="26" spans="2:23" ht="18" customHeight="1" x14ac:dyDescent="0.2">
      <c r="B26" s="8">
        <f>garage!B26</f>
        <v>26</v>
      </c>
      <c r="C26" s="8">
        <f>garage!C26</f>
        <v>1</v>
      </c>
      <c r="D26" s="8">
        <f>garage!D26</f>
        <v>25</v>
      </c>
      <c r="E26" s="8">
        <f>garage!E26</f>
        <v>11</v>
      </c>
      <c r="F26" s="8" t="str">
        <f>garage!F26</f>
        <v>P</v>
      </c>
      <c r="G26" s="8" t="str">
        <f>garage!G26</f>
        <v>O</v>
      </c>
      <c r="H26" s="8" t="str">
        <f>garage!H26</f>
        <v>O</v>
      </c>
      <c r="I26" s="8" t="str">
        <f>garage!I26</f>
        <v>O</v>
      </c>
      <c r="J26" s="8" t="str">
        <f>garage!J26</f>
        <v>N</v>
      </c>
      <c r="K26" s="8" t="str">
        <f>garage!K26</f>
        <v>D</v>
      </c>
      <c r="L26" s="9" t="str">
        <f>garage!L26</f>
        <v>Porsche</v>
      </c>
      <c r="M26" s="9" t="str">
        <f>garage!M26</f>
        <v>Taycan Turbo S</v>
      </c>
      <c r="O26" s="39">
        <v>1274</v>
      </c>
      <c r="P26" s="39">
        <v>1616</v>
      </c>
      <c r="Q26" s="39">
        <v>1988</v>
      </c>
      <c r="R26" s="39">
        <v>2369</v>
      </c>
      <c r="S26" s="39">
        <v>2724</v>
      </c>
      <c r="T26" s="39"/>
      <c r="U26" s="39"/>
      <c r="W26" s="8">
        <v>24</v>
      </c>
    </row>
    <row r="27" spans="2:23" ht="18" customHeight="1" x14ac:dyDescent="0.2">
      <c r="B27" s="10">
        <f>garage!B27</f>
        <v>27</v>
      </c>
      <c r="C27" s="10">
        <f>garage!C27</f>
        <v>1</v>
      </c>
      <c r="D27" s="10">
        <f>garage!D27</f>
        <v>26</v>
      </c>
      <c r="E27" s="10">
        <f>garage!E27</f>
        <v>7</v>
      </c>
      <c r="F27" s="10" t="str">
        <f>garage!F27</f>
        <v>--</v>
      </c>
      <c r="G27" s="10" t="str">
        <f>garage!G27</f>
        <v>O</v>
      </c>
      <c r="H27" s="10" t="str">
        <f>garage!H27</f>
        <v>O</v>
      </c>
      <c r="I27" s="10" t="str">
        <f>garage!I27</f>
        <v>O</v>
      </c>
      <c r="J27" s="10" t="str">
        <f>garage!J27</f>
        <v>N</v>
      </c>
      <c r="K27" s="10" t="str">
        <f>garage!K27</f>
        <v>D</v>
      </c>
      <c r="L27" s="11" t="str">
        <f>garage!L27</f>
        <v>TVR</v>
      </c>
      <c r="M27" s="11" t="str">
        <f>garage!M27</f>
        <v>Griffith</v>
      </c>
      <c r="O27" s="10">
        <v>1307</v>
      </c>
      <c r="P27" s="10">
        <v>1630</v>
      </c>
      <c r="Q27" s="10">
        <v>2001</v>
      </c>
      <c r="R27" s="10">
        <v>2381</v>
      </c>
      <c r="S27" s="10">
        <v>2751</v>
      </c>
      <c r="T27" s="10"/>
      <c r="U27" s="10"/>
      <c r="W27" s="10">
        <v>25</v>
      </c>
    </row>
    <row r="28" spans="2:23" ht="18" customHeight="1" x14ac:dyDescent="0.2">
      <c r="B28" s="8">
        <f>garage!B28</f>
        <v>28</v>
      </c>
      <c r="C28" s="8">
        <f>garage!C28</f>
        <v>1</v>
      </c>
      <c r="D28" s="8">
        <f>garage!D28</f>
        <v>27</v>
      </c>
      <c r="E28" s="8">
        <f>garage!E28</f>
        <v>14</v>
      </c>
      <c r="F28" s="8" t="str">
        <f>garage!F28</f>
        <v>--</v>
      </c>
      <c r="G28" s="8" t="str">
        <f>garage!G28</f>
        <v>O</v>
      </c>
      <c r="H28" s="8" t="str">
        <f>garage!H28</f>
        <v>O</v>
      </c>
      <c r="I28" s="8" t="str">
        <f>garage!I28</f>
        <v>N</v>
      </c>
      <c r="J28" s="8" t="str">
        <f>garage!J28</f>
        <v>N</v>
      </c>
      <c r="K28" s="8" t="str">
        <f>garage!K28</f>
        <v>D</v>
      </c>
      <c r="L28" s="9" t="str">
        <f>garage!L28</f>
        <v>Bentley</v>
      </c>
      <c r="M28" s="9" t="str">
        <f>garage!M28</f>
        <v>Continental GT3</v>
      </c>
      <c r="O28" s="39">
        <v>1139</v>
      </c>
      <c r="P28" s="39">
        <v>1500</v>
      </c>
      <c r="Q28" s="39">
        <v>1920</v>
      </c>
      <c r="R28" s="39">
        <v>2353</v>
      </c>
      <c r="S28" s="39">
        <v>2783</v>
      </c>
      <c r="T28" s="39"/>
      <c r="U28" s="39"/>
      <c r="W28" s="8">
        <v>26</v>
      </c>
    </row>
    <row r="29" spans="2:23" ht="18" customHeight="1" x14ac:dyDescent="0.2">
      <c r="B29" s="10">
        <f>garage!B29</f>
        <v>29</v>
      </c>
      <c r="C29" s="10">
        <f>garage!C29</f>
        <v>1</v>
      </c>
      <c r="D29" s="10">
        <f>garage!D29</f>
        <v>28</v>
      </c>
      <c r="E29" s="10">
        <f>garage!E29</f>
        <v>0</v>
      </c>
      <c r="F29" s="10" t="str">
        <f>garage!F29</f>
        <v>--</v>
      </c>
      <c r="G29" s="10" t="str">
        <f>garage!G29</f>
        <v>O</v>
      </c>
      <c r="H29" s="10" t="str">
        <f>garage!H29</f>
        <v>O</v>
      </c>
      <c r="I29" s="10" t="str">
        <f>garage!I29</f>
        <v>O</v>
      </c>
      <c r="J29" s="10" t="str">
        <f>garage!J29</f>
        <v>N</v>
      </c>
      <c r="K29" s="10" t="str">
        <f>garage!K29</f>
        <v>D</v>
      </c>
      <c r="L29" s="11" t="str">
        <f>garage!L29</f>
        <v>Mazda</v>
      </c>
      <c r="M29" s="11" t="str">
        <f>garage!M29</f>
        <v>Furai</v>
      </c>
      <c r="O29" s="10">
        <v>1372</v>
      </c>
      <c r="P29" s="10">
        <v>1712</v>
      </c>
      <c r="Q29" s="10">
        <v>2095</v>
      </c>
      <c r="R29" s="10">
        <v>2486</v>
      </c>
      <c r="S29" s="10">
        <v>2853</v>
      </c>
      <c r="T29" s="10"/>
      <c r="U29" s="10"/>
      <c r="W29" s="10">
        <v>27</v>
      </c>
    </row>
    <row r="30" spans="2:23" ht="18" customHeight="1" x14ac:dyDescent="0.2">
      <c r="B30" s="8">
        <f>garage!B30</f>
        <v>30</v>
      </c>
      <c r="C30" s="8">
        <f>garage!C30</f>
        <v>1</v>
      </c>
      <c r="D30" s="8">
        <f>garage!D30</f>
        <v>29</v>
      </c>
      <c r="E30" s="8">
        <f>garage!E30</f>
        <v>13</v>
      </c>
      <c r="F30" s="8" t="str">
        <f>garage!F30</f>
        <v>C</v>
      </c>
      <c r="G30" s="8" t="str">
        <f>garage!G30</f>
        <v>O</v>
      </c>
      <c r="H30" s="8" t="str">
        <f>garage!H30</f>
        <v>O</v>
      </c>
      <c r="I30" s="8" t="str">
        <f>garage!I30</f>
        <v>N</v>
      </c>
      <c r="J30" s="8" t="str">
        <f>garage!J30</f>
        <v>N</v>
      </c>
      <c r="K30" s="8" t="str">
        <f>garage!K30</f>
        <v>D</v>
      </c>
      <c r="L30" s="9" t="str">
        <f>garage!L30</f>
        <v>Chevrolet</v>
      </c>
      <c r="M30" s="9" t="str">
        <f>garage!M30</f>
        <v>Corvette C7.R</v>
      </c>
      <c r="O30" s="39">
        <v>1440</v>
      </c>
      <c r="P30" s="39">
        <v>1637</v>
      </c>
      <c r="Q30" s="39">
        <v>1868</v>
      </c>
      <c r="R30" s="39">
        <v>2122</v>
      </c>
      <c r="S30" s="39">
        <v>2433</v>
      </c>
      <c r="T30" s="39">
        <v>2948</v>
      </c>
      <c r="U30" s="39"/>
      <c r="W30" s="8">
        <v>28</v>
      </c>
    </row>
    <row r="31" spans="2:23" ht="18" customHeight="1" x14ac:dyDescent="0.2">
      <c r="B31" s="10">
        <f>garage!B31</f>
        <v>31</v>
      </c>
      <c r="C31" s="10">
        <f>garage!C31</f>
        <v>1</v>
      </c>
      <c r="D31" s="10">
        <f>garage!D31</f>
        <v>30</v>
      </c>
      <c r="E31" s="10">
        <f>garage!E31</f>
        <v>16</v>
      </c>
      <c r="F31" s="10" t="str">
        <f>garage!F31</f>
        <v>L</v>
      </c>
      <c r="G31" s="10" t="str">
        <f>garage!G31</f>
        <v>N</v>
      </c>
      <c r="H31" s="10" t="str">
        <f>garage!H31</f>
        <v>N</v>
      </c>
      <c r="I31" s="10" t="str">
        <f>garage!I31</f>
        <v>N</v>
      </c>
      <c r="J31" s="10" t="str">
        <f>garage!J31</f>
        <v>N</v>
      </c>
      <c r="K31" s="10" t="str">
        <f>garage!K31</f>
        <v>D</v>
      </c>
      <c r="L31" s="11" t="str">
        <f>garage!L31</f>
        <v>Lamborghini</v>
      </c>
      <c r="M31" s="11" t="str">
        <f>garage!M31</f>
        <v>Huracan Super Trofeo Evo</v>
      </c>
      <c r="O31" s="10">
        <v>1475</v>
      </c>
      <c r="P31" s="10">
        <v>1673</v>
      </c>
      <c r="Q31" s="10">
        <v>1905</v>
      </c>
      <c r="R31" s="10">
        <v>2160</v>
      </c>
      <c r="S31" s="10">
        <v>2479</v>
      </c>
      <c r="T31" s="10">
        <v>3000</v>
      </c>
      <c r="U31" s="10"/>
      <c r="W31" s="10">
        <v>29</v>
      </c>
    </row>
    <row r="32" spans="2:23" ht="18" customHeight="1" x14ac:dyDescent="0.2">
      <c r="B32" s="8">
        <f>garage!B32</f>
        <v>32</v>
      </c>
      <c r="C32" s="8">
        <f>garage!C32</f>
        <v>1</v>
      </c>
      <c r="D32" s="8">
        <f>garage!D32</f>
        <v>31</v>
      </c>
      <c r="E32" s="8">
        <f>garage!E32</f>
        <v>21</v>
      </c>
      <c r="F32" s="8" t="str">
        <f>garage!F32</f>
        <v>--</v>
      </c>
      <c r="G32" s="8" t="str">
        <f>garage!G32</f>
        <v>N</v>
      </c>
      <c r="H32" s="8" t="str">
        <f>garage!H32</f>
        <v>N</v>
      </c>
      <c r="I32" s="8" t="str">
        <f>garage!I32</f>
        <v>N</v>
      </c>
      <c r="J32" s="8" t="str">
        <f>garage!J32</f>
        <v>N</v>
      </c>
      <c r="K32" s="8" t="str">
        <f>garage!K32</f>
        <v>D</v>
      </c>
      <c r="L32" s="9" t="str">
        <f>garage!L32</f>
        <v>Volkswagen</v>
      </c>
      <c r="M32" s="9" t="str">
        <f>garage!M32</f>
        <v>Electric R</v>
      </c>
      <c r="O32" s="39">
        <v>1510</v>
      </c>
      <c r="P32" s="39">
        <v>1711</v>
      </c>
      <c r="Q32" s="39">
        <v>1947</v>
      </c>
      <c r="R32" s="39">
        <v>2214</v>
      </c>
      <c r="S32" s="39">
        <v>2519</v>
      </c>
      <c r="T32" s="39">
        <v>3054</v>
      </c>
      <c r="U32" s="39"/>
      <c r="W32" s="8">
        <v>30</v>
      </c>
    </row>
    <row r="33" spans="2:23" ht="18" customHeight="1" x14ac:dyDescent="0.2">
      <c r="B33" s="10">
        <f>garage!B33</f>
        <v>33</v>
      </c>
      <c r="C33" s="10">
        <f>garage!C33</f>
        <v>1</v>
      </c>
      <c r="D33" s="10">
        <f>garage!D33</f>
        <v>32</v>
      </c>
      <c r="E33" s="10">
        <f>garage!E33</f>
        <v>27</v>
      </c>
      <c r="F33" s="10" t="str">
        <f>garage!F33</f>
        <v>--</v>
      </c>
      <c r="G33" s="10" t="str">
        <f>garage!G33</f>
        <v>N</v>
      </c>
      <c r="H33" s="10" t="str">
        <f>garage!H33</f>
        <v>N</v>
      </c>
      <c r="I33" s="10" t="str">
        <f>garage!I33</f>
        <v>N</v>
      </c>
      <c r="J33" s="10" t="str">
        <f>garage!J33</f>
        <v>N</v>
      </c>
      <c r="K33" s="10" t="str">
        <f>garage!K33</f>
        <v>D</v>
      </c>
      <c r="L33" s="11" t="str">
        <f>garage!L33</f>
        <v>Glickhaus</v>
      </c>
      <c r="M33" s="11" t="str">
        <f>garage!M33</f>
        <v>004C</v>
      </c>
      <c r="O33" s="10" t="s">
        <v>127</v>
      </c>
      <c r="P33" s="10" t="s">
        <v>127</v>
      </c>
      <c r="Q33" s="10">
        <v>1964</v>
      </c>
      <c r="R33" s="10" t="s">
        <v>127</v>
      </c>
      <c r="S33" s="10" t="s">
        <v>127</v>
      </c>
      <c r="T33" s="10" t="s">
        <v>127</v>
      </c>
      <c r="U33" s="10"/>
      <c r="W33" s="10">
        <v>31</v>
      </c>
    </row>
    <row r="34" spans="2:23" ht="18" customHeight="1" x14ac:dyDescent="0.2">
      <c r="B34" s="8">
        <f>garage!B34</f>
        <v>34</v>
      </c>
      <c r="C34" s="8">
        <f>garage!C34</f>
        <v>2</v>
      </c>
      <c r="D34" s="8">
        <f>garage!D34</f>
        <v>1</v>
      </c>
      <c r="E34" s="8">
        <f>garage!E34</f>
        <v>0</v>
      </c>
      <c r="F34" s="8" t="str">
        <f>garage!F34</f>
        <v>--</v>
      </c>
      <c r="G34" s="8" t="str">
        <f>garage!G34</f>
        <v>O</v>
      </c>
      <c r="H34" s="8" t="str">
        <f>garage!H34</f>
        <v>O</v>
      </c>
      <c r="I34" s="8" t="str">
        <f>garage!I34</f>
        <v>O</v>
      </c>
      <c r="J34" s="8" t="str">
        <f>garage!J34</f>
        <v>N</v>
      </c>
      <c r="K34" s="8" t="str">
        <f>garage!K34</f>
        <v>C</v>
      </c>
      <c r="L34" s="9" t="str">
        <f>garage!L34</f>
        <v>Dodge</v>
      </c>
      <c r="M34" s="9" t="str">
        <f>garage!M34</f>
        <v>Challenger SRT8</v>
      </c>
      <c r="O34" s="39">
        <v>799</v>
      </c>
      <c r="P34" s="39">
        <v>1075</v>
      </c>
      <c r="Q34" s="39">
        <v>1425</v>
      </c>
      <c r="R34" s="39">
        <v>1687</v>
      </c>
      <c r="S34" s="39"/>
      <c r="T34" s="39"/>
      <c r="U34" s="39"/>
      <c r="W34" s="8">
        <v>1</v>
      </c>
    </row>
    <row r="35" spans="2:23" ht="18" customHeight="1" x14ac:dyDescent="0.2">
      <c r="B35" s="10">
        <f>garage!B35</f>
        <v>35</v>
      </c>
      <c r="C35" s="10">
        <f>garage!C35</f>
        <v>2</v>
      </c>
      <c r="D35" s="10">
        <f>garage!D35</f>
        <v>2</v>
      </c>
      <c r="E35" s="10">
        <f>garage!E35</f>
        <v>0</v>
      </c>
      <c r="F35" s="10" t="str">
        <f>garage!F35</f>
        <v>--</v>
      </c>
      <c r="G35" s="10" t="str">
        <f>garage!G35</f>
        <v>O</v>
      </c>
      <c r="H35" s="10" t="str">
        <f>garage!H35</f>
        <v>O</v>
      </c>
      <c r="I35" s="10" t="str">
        <f>garage!I35</f>
        <v>O</v>
      </c>
      <c r="J35" s="10" t="str">
        <f>garage!J35</f>
        <v>N</v>
      </c>
      <c r="K35" s="10" t="str">
        <f>garage!K35</f>
        <v>C</v>
      </c>
      <c r="L35" s="11" t="str">
        <f>garage!L35</f>
        <v>BMW</v>
      </c>
      <c r="M35" s="11" t="str">
        <f>garage!M35</f>
        <v>3.0 CSL Hommage</v>
      </c>
      <c r="O35" s="10">
        <v>899</v>
      </c>
      <c r="P35" s="10">
        <v>1180</v>
      </c>
      <c r="Q35" s="10">
        <v>1550</v>
      </c>
      <c r="R35" s="10">
        <v>1826</v>
      </c>
      <c r="S35" s="10"/>
      <c r="T35" s="10"/>
      <c r="U35" s="10"/>
      <c r="W35" s="10">
        <v>1</v>
      </c>
    </row>
    <row r="36" spans="2:23" ht="18" customHeight="1" x14ac:dyDescent="0.2">
      <c r="B36" s="8">
        <f>garage!B36</f>
        <v>36</v>
      </c>
      <c r="C36" s="8">
        <f>garage!C36</f>
        <v>2</v>
      </c>
      <c r="D36" s="8">
        <f>garage!D36</f>
        <v>3</v>
      </c>
      <c r="E36" s="8">
        <f>garage!E36</f>
        <v>28</v>
      </c>
      <c r="F36" s="8" t="str">
        <f>garage!F36</f>
        <v>P</v>
      </c>
      <c r="G36" s="8" t="str">
        <f>garage!G36</f>
        <v>O</v>
      </c>
      <c r="H36" s="8" t="str">
        <f>garage!H36</f>
        <v>O</v>
      </c>
      <c r="I36" s="8" t="str">
        <f>garage!I36</f>
        <v>N</v>
      </c>
      <c r="J36" s="8" t="str">
        <f>garage!J36</f>
        <v>N</v>
      </c>
      <c r="K36" s="8" t="str">
        <f>garage!K36</f>
        <v>C</v>
      </c>
      <c r="L36" s="9" t="str">
        <f>garage!L36</f>
        <v>Porsche</v>
      </c>
      <c r="M36" s="9" t="str">
        <f>garage!M36</f>
        <v>Boxster 25th</v>
      </c>
      <c r="O36" s="39">
        <v>920</v>
      </c>
      <c r="P36" s="39">
        <v>1210</v>
      </c>
      <c r="Q36" s="39" t="s">
        <v>127</v>
      </c>
      <c r="R36" s="39">
        <v>1844</v>
      </c>
      <c r="S36" s="39"/>
      <c r="T36" s="39"/>
      <c r="U36" s="39"/>
      <c r="W36" s="8">
        <v>1</v>
      </c>
    </row>
    <row r="37" spans="2:23" ht="18" customHeight="1" x14ac:dyDescent="0.2">
      <c r="B37" s="10">
        <f>garage!B37</f>
        <v>37</v>
      </c>
      <c r="C37" s="10">
        <f>garage!C37</f>
        <v>2</v>
      </c>
      <c r="D37" s="10">
        <f>garage!D37</f>
        <v>4</v>
      </c>
      <c r="E37" s="10">
        <f>garage!E37</f>
        <v>0</v>
      </c>
      <c r="F37" s="10" t="str">
        <f>garage!F37</f>
        <v>C</v>
      </c>
      <c r="G37" s="10" t="str">
        <f>garage!G37</f>
        <v>O</v>
      </c>
      <c r="H37" s="10" t="str">
        <f>garage!H37</f>
        <v>O</v>
      </c>
      <c r="I37" s="10" t="str">
        <f>garage!I37</f>
        <v>O</v>
      </c>
      <c r="J37" s="10" t="str">
        <f>garage!J37</f>
        <v>N</v>
      </c>
      <c r="K37" s="10" t="str">
        <f>garage!K37</f>
        <v>C</v>
      </c>
      <c r="L37" s="11" t="str">
        <f>garage!L37</f>
        <v>Chevrolet</v>
      </c>
      <c r="M37" s="11" t="str">
        <f>garage!M37</f>
        <v>Camaro ZL1 50th Edition</v>
      </c>
      <c r="O37" s="10">
        <v>984</v>
      </c>
      <c r="P37" s="10">
        <v>1297</v>
      </c>
      <c r="Q37" s="10">
        <v>1682</v>
      </c>
      <c r="R37" s="10">
        <v>1971</v>
      </c>
      <c r="S37" s="10"/>
      <c r="T37" s="10"/>
      <c r="U37" s="10"/>
      <c r="W37" s="10">
        <v>1</v>
      </c>
    </row>
    <row r="38" spans="2:23" ht="18" customHeight="1" x14ac:dyDescent="0.2">
      <c r="B38" s="8">
        <f>garage!B38</f>
        <v>38</v>
      </c>
      <c r="C38" s="8">
        <f>garage!C38</f>
        <v>2</v>
      </c>
      <c r="D38" s="8">
        <f>garage!D38</f>
        <v>5</v>
      </c>
      <c r="E38" s="8">
        <f>garage!E38</f>
        <v>0</v>
      </c>
      <c r="F38" s="8" t="str">
        <f>garage!F38</f>
        <v>--</v>
      </c>
      <c r="G38" s="8" t="str">
        <f>garage!G38</f>
        <v>O</v>
      </c>
      <c r="H38" s="8" t="str">
        <f>garage!H38</f>
        <v>O</v>
      </c>
      <c r="I38" s="8" t="str">
        <f>garage!I38</f>
        <v>O</v>
      </c>
      <c r="J38" s="8" t="str">
        <f>garage!J38</f>
        <v>N</v>
      </c>
      <c r="K38" s="8" t="str">
        <f>garage!K38</f>
        <v>C</v>
      </c>
      <c r="L38" s="9" t="str">
        <f>garage!L38</f>
        <v>Lotus</v>
      </c>
      <c r="M38" s="9" t="str">
        <f>garage!M38</f>
        <v>Evora Sport 410</v>
      </c>
      <c r="O38" s="39">
        <v>1086</v>
      </c>
      <c r="P38" s="39">
        <v>1409</v>
      </c>
      <c r="Q38" s="39">
        <v>1814</v>
      </c>
      <c r="R38" s="39">
        <v>2123</v>
      </c>
      <c r="S38" s="39"/>
      <c r="T38" s="39"/>
      <c r="U38" s="39"/>
      <c r="W38" s="8">
        <v>1</v>
      </c>
    </row>
    <row r="39" spans="2:23" ht="18" customHeight="1" x14ac:dyDescent="0.2">
      <c r="B39" s="10">
        <f>garage!B39</f>
        <v>39</v>
      </c>
      <c r="C39" s="10">
        <f>garage!C39</f>
        <v>2</v>
      </c>
      <c r="D39" s="10">
        <f>garage!D39</f>
        <v>6</v>
      </c>
      <c r="E39" s="10">
        <f>garage!E39</f>
        <v>0</v>
      </c>
      <c r="F39" s="10" t="str">
        <f>garage!F39</f>
        <v>--</v>
      </c>
      <c r="G39" s="10" t="str">
        <f>garage!G39</f>
        <v>O</v>
      </c>
      <c r="H39" s="10" t="str">
        <f>garage!H39</f>
        <v>O</v>
      </c>
      <c r="I39" s="10" t="str">
        <f>garage!I39</f>
        <v>O</v>
      </c>
      <c r="J39" s="10" t="str">
        <f>garage!J39</f>
        <v>N</v>
      </c>
      <c r="K39" s="10" t="str">
        <f>garage!K39</f>
        <v>C</v>
      </c>
      <c r="L39" s="11" t="str">
        <f>garage!L39</f>
        <v>Mercedes-Benz</v>
      </c>
      <c r="M39" s="11" t="str">
        <f>garage!M39</f>
        <v>AMG GT S</v>
      </c>
      <c r="O39" s="10">
        <v>1193</v>
      </c>
      <c r="P39" s="10">
        <v>1536</v>
      </c>
      <c r="Q39" s="10">
        <v>1959</v>
      </c>
      <c r="R39" s="10">
        <v>2281</v>
      </c>
      <c r="S39" s="10"/>
      <c r="T39" s="10"/>
      <c r="U39" s="10"/>
      <c r="W39" s="10">
        <v>1</v>
      </c>
    </row>
    <row r="40" spans="2:23" ht="18" customHeight="1" x14ac:dyDescent="0.2">
      <c r="B40" s="8">
        <f>garage!B40</f>
        <v>40</v>
      </c>
      <c r="C40" s="8">
        <f>garage!C40</f>
        <v>2</v>
      </c>
      <c r="D40" s="8">
        <f>garage!D40</f>
        <v>7</v>
      </c>
      <c r="E40" s="8">
        <f>garage!E40</f>
        <v>0</v>
      </c>
      <c r="F40" s="8" t="str">
        <f>garage!F40</f>
        <v>--</v>
      </c>
      <c r="G40" s="8" t="str">
        <f>garage!G40</f>
        <v>O</v>
      </c>
      <c r="H40" s="8" t="str">
        <f>garage!H40</f>
        <v>O</v>
      </c>
      <c r="I40" s="8" t="str">
        <f>garage!I40</f>
        <v>O</v>
      </c>
      <c r="J40" s="8" t="str">
        <f>garage!J40</f>
        <v>N</v>
      </c>
      <c r="K40" s="8" t="str">
        <f>garage!K40</f>
        <v>C</v>
      </c>
      <c r="L40" s="9" t="str">
        <f>garage!L40</f>
        <v>BMW</v>
      </c>
      <c r="M40" s="9" t="str">
        <f>garage!M40</f>
        <v>M4 GTS</v>
      </c>
      <c r="O40" s="39">
        <v>1309</v>
      </c>
      <c r="P40" s="39">
        <v>1667</v>
      </c>
      <c r="Q40" s="39">
        <v>2112</v>
      </c>
      <c r="R40" s="39">
        <v>2447</v>
      </c>
      <c r="S40" s="39"/>
      <c r="T40" s="39"/>
      <c r="U40" s="39"/>
      <c r="W40" s="8">
        <v>1</v>
      </c>
    </row>
    <row r="41" spans="2:23" ht="18" customHeight="1" x14ac:dyDescent="0.2">
      <c r="B41" s="10">
        <f>garage!B41</f>
        <v>41</v>
      </c>
      <c r="C41" s="10">
        <f>garage!C41</f>
        <v>2</v>
      </c>
      <c r="D41" s="10">
        <f>garage!D41</f>
        <v>8</v>
      </c>
      <c r="E41" s="10">
        <f>garage!E41</f>
        <v>0</v>
      </c>
      <c r="F41" s="10" t="str">
        <f>garage!F41</f>
        <v>--</v>
      </c>
      <c r="G41" s="10" t="str">
        <f>garage!G41</f>
        <v>O</v>
      </c>
      <c r="H41" s="10" t="str">
        <f>garage!H41</f>
        <v>O</v>
      </c>
      <c r="I41" s="10" t="str">
        <f>garage!I41</f>
        <v>O</v>
      </c>
      <c r="J41" s="10" t="str">
        <f>garage!J41</f>
        <v>N</v>
      </c>
      <c r="K41" s="10" t="str">
        <f>garage!K41</f>
        <v>C</v>
      </c>
      <c r="L41" s="11" t="str">
        <f>garage!L41</f>
        <v>Rezvani</v>
      </c>
      <c r="M41" s="11" t="str">
        <f>garage!M41</f>
        <v>Beast X</v>
      </c>
      <c r="O41" s="10">
        <v>1426</v>
      </c>
      <c r="P41" s="10">
        <v>1684</v>
      </c>
      <c r="Q41" s="10">
        <v>2020</v>
      </c>
      <c r="R41" s="10">
        <v>2353</v>
      </c>
      <c r="S41" s="10">
        <v>2635</v>
      </c>
      <c r="T41" s="10"/>
      <c r="U41" s="10"/>
      <c r="W41" s="10">
        <v>1</v>
      </c>
    </row>
    <row r="42" spans="2:23" ht="18" customHeight="1" x14ac:dyDescent="0.2">
      <c r="B42" s="8">
        <f>garage!B42</f>
        <v>42</v>
      </c>
      <c r="C42" s="8">
        <f>garage!C42</f>
        <v>2</v>
      </c>
      <c r="D42" s="8">
        <f>garage!D42</f>
        <v>9</v>
      </c>
      <c r="E42" s="8">
        <f>garage!E42</f>
        <v>20</v>
      </c>
      <c r="F42" s="8" t="str">
        <f>garage!F42</f>
        <v>AM</v>
      </c>
      <c r="G42" s="8" t="str">
        <f>garage!G42</f>
        <v>O</v>
      </c>
      <c r="H42" s="8" t="str">
        <f>garage!H42</f>
        <v>N</v>
      </c>
      <c r="I42" s="8" t="str">
        <f>garage!I42</f>
        <v>N</v>
      </c>
      <c r="J42" s="8" t="str">
        <f>garage!J42</f>
        <v>N</v>
      </c>
      <c r="K42" s="8" t="str">
        <f>garage!K42</f>
        <v>C</v>
      </c>
      <c r="L42" s="9" t="str">
        <f>garage!L42</f>
        <v>Aston Martin</v>
      </c>
      <c r="M42" s="9" t="str">
        <f>garage!M42</f>
        <v>V12 Speedster</v>
      </c>
      <c r="O42" s="39">
        <v>1496</v>
      </c>
      <c r="P42" s="39">
        <v>1759</v>
      </c>
      <c r="Q42" s="39">
        <v>2106</v>
      </c>
      <c r="R42" s="39">
        <v>2450</v>
      </c>
      <c r="S42" s="39">
        <v>2735</v>
      </c>
      <c r="T42" s="39"/>
      <c r="U42" s="39"/>
      <c r="W42" s="8">
        <v>1</v>
      </c>
    </row>
    <row r="43" spans="2:23" ht="18" customHeight="1" x14ac:dyDescent="0.2">
      <c r="B43" s="10">
        <f>garage!B43</f>
        <v>43</v>
      </c>
      <c r="C43" s="10">
        <f>garage!C43</f>
        <v>2</v>
      </c>
      <c r="D43" s="10">
        <f>garage!D43</f>
        <v>10</v>
      </c>
      <c r="E43" s="10">
        <f>garage!E43</f>
        <v>29</v>
      </c>
      <c r="F43" s="10" t="str">
        <f>garage!F43</f>
        <v>--</v>
      </c>
      <c r="G43" s="10" t="str">
        <f>garage!G43</f>
        <v>O</v>
      </c>
      <c r="H43" s="10" t="str">
        <f>garage!H43</f>
        <v>N</v>
      </c>
      <c r="I43" s="10" t="str">
        <f>garage!I43</f>
        <v>N</v>
      </c>
      <c r="J43" s="10" t="str">
        <f>garage!J43</f>
        <v>N</v>
      </c>
      <c r="K43" s="10" t="str">
        <f>garage!K43</f>
        <v>C</v>
      </c>
      <c r="L43" s="11" t="str">
        <f>garage!L43</f>
        <v>Donkervoort</v>
      </c>
      <c r="M43" s="11" t="str">
        <f>garage!M43</f>
        <v>D8 GTO</v>
      </c>
      <c r="O43" s="10">
        <v>1524</v>
      </c>
      <c r="P43" s="10">
        <v>1789</v>
      </c>
      <c r="Q43" s="10" t="s">
        <v>127</v>
      </c>
      <c r="R43" s="10" t="s">
        <v>127</v>
      </c>
      <c r="S43" s="10">
        <v>2774</v>
      </c>
      <c r="T43" s="10"/>
      <c r="U43" s="10"/>
      <c r="W43" s="10">
        <v>1</v>
      </c>
    </row>
    <row r="44" spans="2:23" ht="18" customHeight="1" x14ac:dyDescent="0.2">
      <c r="B44" s="8">
        <f>garage!B44</f>
        <v>44</v>
      </c>
      <c r="C44" s="8">
        <f>garage!C44</f>
        <v>2</v>
      </c>
      <c r="D44" s="8">
        <f>garage!D44</f>
        <v>11</v>
      </c>
      <c r="E44" s="8">
        <f>garage!E44</f>
        <v>0</v>
      </c>
      <c r="F44" s="8" t="str">
        <f>garage!F44</f>
        <v>--</v>
      </c>
      <c r="G44" s="8" t="str">
        <f>garage!G44</f>
        <v>O</v>
      </c>
      <c r="H44" s="8" t="str">
        <f>garage!H44</f>
        <v>O</v>
      </c>
      <c r="I44" s="8" t="str">
        <f>garage!I44</f>
        <v>O</v>
      </c>
      <c r="J44" s="8" t="str">
        <f>garage!J44</f>
        <v>N</v>
      </c>
      <c r="K44" s="8" t="str">
        <f>garage!K44</f>
        <v>C</v>
      </c>
      <c r="L44" s="9" t="str">
        <f>garage!L44</f>
        <v>Dodge</v>
      </c>
      <c r="M44" s="9" t="str">
        <f>garage!M44</f>
        <v>Viper ACR</v>
      </c>
      <c r="O44" s="39">
        <v>1553</v>
      </c>
      <c r="P44" s="39">
        <v>1822</v>
      </c>
      <c r="Q44" s="39">
        <v>2179</v>
      </c>
      <c r="R44" s="39">
        <v>2526</v>
      </c>
      <c r="S44" s="39">
        <v>2816</v>
      </c>
      <c r="T44" s="39"/>
      <c r="U44" s="39"/>
      <c r="W44" s="8">
        <v>1</v>
      </c>
    </row>
    <row r="45" spans="2:23" ht="18" customHeight="1" x14ac:dyDescent="0.2">
      <c r="B45" s="10">
        <f>garage!B45</f>
        <v>45</v>
      </c>
      <c r="C45" s="10">
        <f>garage!C45</f>
        <v>2</v>
      </c>
      <c r="D45" s="10">
        <f>garage!D45</f>
        <v>12</v>
      </c>
      <c r="E45" s="10">
        <f>garage!E45</f>
        <v>24</v>
      </c>
      <c r="F45" s="10" t="str">
        <f>garage!F45</f>
        <v>--</v>
      </c>
      <c r="G45" s="10" t="str">
        <f>garage!G45</f>
        <v>O</v>
      </c>
      <c r="H45" s="10" t="str">
        <f>garage!H45</f>
        <v>N</v>
      </c>
      <c r="I45" s="10" t="str">
        <f>garage!I45</f>
        <v>N</v>
      </c>
      <c r="J45" s="10" t="str">
        <f>garage!J45</f>
        <v>O</v>
      </c>
      <c r="K45" s="10" t="str">
        <f>garage!K45</f>
        <v>C</v>
      </c>
      <c r="L45" s="11" t="str">
        <f>garage!L45</f>
        <v>Bolwell</v>
      </c>
      <c r="M45" s="11" t="str">
        <f>garage!M45</f>
        <v>MK X Nagari 500</v>
      </c>
      <c r="O45" s="10">
        <v>1582</v>
      </c>
      <c r="P45" s="10">
        <v>1853</v>
      </c>
      <c r="Q45" s="10">
        <v>2211</v>
      </c>
      <c r="R45" s="10">
        <v>2564</v>
      </c>
      <c r="S45" s="10">
        <v>2857</v>
      </c>
      <c r="T45" s="10"/>
      <c r="U45" s="10"/>
      <c r="W45" s="10">
        <v>1</v>
      </c>
    </row>
    <row r="46" spans="2:23" ht="18" customHeight="1" x14ac:dyDescent="0.2">
      <c r="B46" s="8">
        <f>garage!B46</f>
        <v>46</v>
      </c>
      <c r="C46" s="8">
        <f>garage!C46</f>
        <v>2</v>
      </c>
      <c r="D46" s="8">
        <f>garage!D46</f>
        <v>13</v>
      </c>
      <c r="E46" s="8">
        <f>garage!E46</f>
        <v>0</v>
      </c>
      <c r="F46" s="8" t="str">
        <f>garage!F46</f>
        <v>--</v>
      </c>
      <c r="G46" s="8" t="str">
        <f>garage!G46</f>
        <v>O</v>
      </c>
      <c r="H46" s="8" t="str">
        <f>garage!H46</f>
        <v>O</v>
      </c>
      <c r="I46" s="8" t="str">
        <f>garage!I46</f>
        <v>O</v>
      </c>
      <c r="J46" s="8" t="str">
        <f>garage!J46</f>
        <v>N</v>
      </c>
      <c r="K46" s="8" t="str">
        <f>garage!K46</f>
        <v>C</v>
      </c>
      <c r="L46" s="9" t="str">
        <f>garage!L46</f>
        <v>Ford</v>
      </c>
      <c r="M46" s="9" t="str">
        <f>garage!M46</f>
        <v>Shelby GR-1</v>
      </c>
      <c r="O46" s="39">
        <v>1618</v>
      </c>
      <c r="P46" s="39">
        <v>1892</v>
      </c>
      <c r="Q46" s="39">
        <v>2255</v>
      </c>
      <c r="R46" s="39">
        <v>2613</v>
      </c>
      <c r="S46" s="39">
        <v>2909</v>
      </c>
      <c r="T46" s="39"/>
      <c r="U46" s="39"/>
      <c r="W46" s="8">
        <v>1</v>
      </c>
    </row>
    <row r="47" spans="2:23" ht="18" customHeight="1" x14ac:dyDescent="0.2">
      <c r="B47" s="10">
        <f>garage!B47</f>
        <v>47</v>
      </c>
      <c r="C47" s="10">
        <f>garage!C47</f>
        <v>2</v>
      </c>
      <c r="D47" s="10">
        <f>garage!D47</f>
        <v>14</v>
      </c>
      <c r="E47" s="10">
        <f>garage!E47</f>
        <v>0</v>
      </c>
      <c r="F47" s="10" t="str">
        <f>garage!F47</f>
        <v>--</v>
      </c>
      <c r="G47" s="10" t="str">
        <f>garage!G47</f>
        <v>O</v>
      </c>
      <c r="H47" s="10" t="str">
        <f>garage!H47</f>
        <v>O</v>
      </c>
      <c r="I47" s="10" t="str">
        <f>garage!I47</f>
        <v>O</v>
      </c>
      <c r="J47" s="10" t="str">
        <f>garage!J47</f>
        <v>N</v>
      </c>
      <c r="K47" s="10" t="str">
        <f>garage!K47</f>
        <v>C</v>
      </c>
      <c r="L47" s="11" t="str">
        <f>garage!L47</f>
        <v>Pininfarina</v>
      </c>
      <c r="M47" s="11" t="str">
        <f>garage!M47</f>
        <v>H2 Speed</v>
      </c>
      <c r="O47" s="10">
        <v>1685</v>
      </c>
      <c r="P47" s="10">
        <v>1969</v>
      </c>
      <c r="Q47" s="10">
        <v>2332</v>
      </c>
      <c r="R47" s="10">
        <v>2695</v>
      </c>
      <c r="S47" s="10">
        <v>3003</v>
      </c>
      <c r="T47" s="10"/>
      <c r="U47" s="10"/>
      <c r="W47" s="10">
        <v>1</v>
      </c>
    </row>
    <row r="48" spans="2:23" ht="18" customHeight="1" x14ac:dyDescent="0.2">
      <c r="B48" s="8">
        <f>garage!B48</f>
        <v>48</v>
      </c>
      <c r="C48" s="8">
        <f>garage!C48</f>
        <v>2</v>
      </c>
      <c r="D48" s="8">
        <f>garage!D48</f>
        <v>15</v>
      </c>
      <c r="E48" s="8">
        <f>garage!E48</f>
        <v>7</v>
      </c>
      <c r="F48" s="8" t="str">
        <f>garage!F48</f>
        <v>--</v>
      </c>
      <c r="G48" s="8" t="str">
        <f>garage!G48</f>
        <v>O</v>
      </c>
      <c r="H48" s="8" t="str">
        <f>garage!H48</f>
        <v>O</v>
      </c>
      <c r="I48" s="8" t="str">
        <f>garage!I48</f>
        <v>O</v>
      </c>
      <c r="J48" s="8" t="str">
        <f>garage!J48</f>
        <v>N</v>
      </c>
      <c r="K48" s="8" t="str">
        <f>garage!K48</f>
        <v>C</v>
      </c>
      <c r="L48" s="9" t="str">
        <f>garage!L48</f>
        <v>Artega</v>
      </c>
      <c r="M48" s="9" t="str">
        <f>garage!M48</f>
        <v>Scalo Superelletra</v>
      </c>
      <c r="O48" s="39">
        <v>1739</v>
      </c>
      <c r="P48" s="39">
        <v>2028</v>
      </c>
      <c r="Q48" s="39">
        <v>2405</v>
      </c>
      <c r="R48" s="39">
        <v>2777</v>
      </c>
      <c r="S48" s="39">
        <v>3088</v>
      </c>
      <c r="T48" s="39"/>
      <c r="U48" s="39"/>
      <c r="W48" s="8">
        <v>1</v>
      </c>
    </row>
    <row r="49" spans="2:23" ht="18" customHeight="1" x14ac:dyDescent="0.2">
      <c r="B49" s="10">
        <f>garage!B49</f>
        <v>49</v>
      </c>
      <c r="C49" s="10">
        <f>garage!C49</f>
        <v>2</v>
      </c>
      <c r="D49" s="10">
        <f>garage!D49</f>
        <v>16</v>
      </c>
      <c r="E49" s="10">
        <f>garage!E49</f>
        <v>22</v>
      </c>
      <c r="F49" s="10" t="str">
        <f>garage!F49</f>
        <v>--</v>
      </c>
      <c r="G49" s="10" t="str">
        <f>garage!G49</f>
        <v>O</v>
      </c>
      <c r="H49" s="10" t="str">
        <f>garage!H49</f>
        <v>N</v>
      </c>
      <c r="I49" s="10" t="str">
        <f>garage!I49</f>
        <v>N</v>
      </c>
      <c r="J49" s="10" t="str">
        <f>garage!J49</f>
        <v>N</v>
      </c>
      <c r="K49" s="10" t="str">
        <f>garage!K49</f>
        <v>C</v>
      </c>
      <c r="L49" s="11" t="str">
        <f>garage!L49</f>
        <v>Saleen</v>
      </c>
      <c r="M49" s="11" t="str">
        <f>garage!M49</f>
        <v>S1</v>
      </c>
      <c r="O49" s="10">
        <v>1785</v>
      </c>
      <c r="P49" s="10">
        <v>2079</v>
      </c>
      <c r="Q49" s="10">
        <v>2464</v>
      </c>
      <c r="R49" s="10">
        <v>2834</v>
      </c>
      <c r="S49" s="10">
        <v>3144</v>
      </c>
      <c r="T49" s="10"/>
      <c r="U49" s="10"/>
      <c r="W49" s="10">
        <v>1</v>
      </c>
    </row>
    <row r="50" spans="2:23" ht="18" customHeight="1" x14ac:dyDescent="0.2">
      <c r="B50" s="8">
        <f>garage!B50</f>
        <v>50</v>
      </c>
      <c r="C50" s="8">
        <f>garage!C50</f>
        <v>2</v>
      </c>
      <c r="D50" s="8">
        <f>garage!D50</f>
        <v>17</v>
      </c>
      <c r="E50" s="8">
        <f>garage!E50</f>
        <v>0</v>
      </c>
      <c r="F50" s="8" t="str">
        <f>garage!F50</f>
        <v>--</v>
      </c>
      <c r="G50" s="8" t="str">
        <f>garage!G50</f>
        <v>O</v>
      </c>
      <c r="H50" s="8" t="str">
        <f>garage!H50</f>
        <v>O</v>
      </c>
      <c r="I50" s="8" t="str">
        <f>garage!I50</f>
        <v>O</v>
      </c>
      <c r="J50" s="8" t="str">
        <f>garage!J50</f>
        <v>N</v>
      </c>
      <c r="K50" s="8" t="str">
        <f>garage!K50</f>
        <v>C</v>
      </c>
      <c r="L50" s="9" t="str">
        <f>garage!L50</f>
        <v>Acura</v>
      </c>
      <c r="M50" s="9" t="str">
        <f>garage!M50</f>
        <v>2017 NSX</v>
      </c>
      <c r="O50" s="39">
        <v>1824</v>
      </c>
      <c r="P50" s="39">
        <v>2117</v>
      </c>
      <c r="Q50" s="39">
        <v>2501</v>
      </c>
      <c r="R50" s="39">
        <v>2884</v>
      </c>
      <c r="S50" s="39">
        <v>3199</v>
      </c>
      <c r="T50" s="39"/>
      <c r="U50" s="39"/>
      <c r="W50" s="8">
        <v>1</v>
      </c>
    </row>
    <row r="51" spans="2:23" ht="18" customHeight="1" x14ac:dyDescent="0.2">
      <c r="B51" s="10">
        <f>garage!B51</f>
        <v>51</v>
      </c>
      <c r="C51" s="10">
        <f>garage!C51</f>
        <v>2</v>
      </c>
      <c r="D51" s="10">
        <f>garage!D51</f>
        <v>18</v>
      </c>
      <c r="E51" s="10">
        <f>garage!E51</f>
        <v>0</v>
      </c>
      <c r="F51" s="10" t="str">
        <f>garage!F51</f>
        <v>--</v>
      </c>
      <c r="G51" s="10" t="str">
        <f>garage!G51</f>
        <v>O</v>
      </c>
      <c r="H51" s="10" t="str">
        <f>garage!H51</f>
        <v>O</v>
      </c>
      <c r="I51" s="10" t="str">
        <f>garage!I51</f>
        <v>O</v>
      </c>
      <c r="J51" s="10" t="str">
        <f>garage!J51</f>
        <v>N</v>
      </c>
      <c r="K51" s="10" t="str">
        <f>garage!K51</f>
        <v>C</v>
      </c>
      <c r="L51" s="11" t="str">
        <f>garage!L51</f>
        <v>Maserati</v>
      </c>
      <c r="M51" s="11" t="str">
        <f>garage!M51</f>
        <v>Alfieri</v>
      </c>
      <c r="O51" s="10">
        <v>1218</v>
      </c>
      <c r="P51" s="10">
        <v>1638</v>
      </c>
      <c r="Q51" s="10">
        <v>2198</v>
      </c>
      <c r="R51" s="10">
        <v>2752</v>
      </c>
      <c r="S51" s="10">
        <v>3206</v>
      </c>
      <c r="T51" s="10"/>
      <c r="U51" s="10"/>
      <c r="W51" s="10">
        <v>1</v>
      </c>
    </row>
    <row r="52" spans="2:23" ht="18" customHeight="1" x14ac:dyDescent="0.2">
      <c r="B52" s="8">
        <f>garage!B52</f>
        <v>52</v>
      </c>
      <c r="C52" s="8">
        <f>garage!C52</f>
        <v>2</v>
      </c>
      <c r="D52" s="8">
        <f>garage!D52</f>
        <v>19</v>
      </c>
      <c r="E52" s="8">
        <f>garage!E52</f>
        <v>26</v>
      </c>
      <c r="F52" s="8" t="str">
        <f>garage!F52</f>
        <v>F</v>
      </c>
      <c r="G52" s="8" t="str">
        <f>garage!G52</f>
        <v>O</v>
      </c>
      <c r="H52" s="8" t="str">
        <f>garage!H52</f>
        <v>N</v>
      </c>
      <c r="I52" s="8" t="str">
        <f>garage!I52</f>
        <v>N</v>
      </c>
      <c r="J52" s="8" t="str">
        <f>garage!J52</f>
        <v>O</v>
      </c>
      <c r="K52" s="8" t="str">
        <f>garage!K52</f>
        <v>C</v>
      </c>
      <c r="L52" s="9" t="str">
        <f>garage!L52</f>
        <v>Ferrari</v>
      </c>
      <c r="M52" s="9" t="str">
        <f>garage!M52</f>
        <v>Monza SP1</v>
      </c>
      <c r="O52" s="39">
        <v>1921</v>
      </c>
      <c r="P52" s="39">
        <v>2225</v>
      </c>
      <c r="Q52" s="39">
        <v>2626</v>
      </c>
      <c r="R52" s="39">
        <v>3014</v>
      </c>
      <c r="S52" s="39">
        <v>3334</v>
      </c>
      <c r="T52" s="39"/>
      <c r="U52" s="39"/>
      <c r="W52" s="8">
        <v>1</v>
      </c>
    </row>
    <row r="53" spans="2:23" ht="18" customHeight="1" x14ac:dyDescent="0.2">
      <c r="B53" s="10">
        <f>garage!B53</f>
        <v>53</v>
      </c>
      <c r="C53" s="10">
        <f>garage!C53</f>
        <v>2</v>
      </c>
      <c r="D53" s="10">
        <f>garage!D53</f>
        <v>20</v>
      </c>
      <c r="E53" s="10">
        <f>garage!E53</f>
        <v>18</v>
      </c>
      <c r="F53" s="10" t="str">
        <f>garage!F53</f>
        <v>--</v>
      </c>
      <c r="G53" s="10" t="str">
        <f>garage!G53</f>
        <v>O</v>
      </c>
      <c r="H53" s="10" t="str">
        <f>garage!H53</f>
        <v>O</v>
      </c>
      <c r="I53" s="10" t="str">
        <f>garage!I53</f>
        <v>N</v>
      </c>
      <c r="J53" s="10" t="str">
        <f>garage!J53</f>
        <v>N</v>
      </c>
      <c r="K53" s="10" t="str">
        <f>garage!K53</f>
        <v>C</v>
      </c>
      <c r="L53" s="11" t="str">
        <f>garage!L53</f>
        <v>ATS Automobili</v>
      </c>
      <c r="M53" s="11" t="str">
        <f>garage!M53</f>
        <v>Corsa RRTurbo</v>
      </c>
      <c r="O53" s="10">
        <v>1979</v>
      </c>
      <c r="P53" s="10">
        <v>2279</v>
      </c>
      <c r="Q53" s="10">
        <v>2675</v>
      </c>
      <c r="R53" s="10">
        <v>3060</v>
      </c>
      <c r="S53" s="10">
        <v>3392</v>
      </c>
      <c r="T53" s="10"/>
      <c r="U53" s="10"/>
      <c r="W53" s="10">
        <v>1</v>
      </c>
    </row>
    <row r="54" spans="2:23" ht="18" customHeight="1" x14ac:dyDescent="0.2">
      <c r="B54" s="8">
        <f>garage!B54</f>
        <v>54</v>
      </c>
      <c r="C54" s="8">
        <f>garage!C54</f>
        <v>2</v>
      </c>
      <c r="D54" s="8">
        <f>garage!D54</f>
        <v>21</v>
      </c>
      <c r="E54" s="8">
        <f>garage!E54</f>
        <v>27</v>
      </c>
      <c r="F54" s="8" t="str">
        <f>garage!F54</f>
        <v>--</v>
      </c>
      <c r="G54" s="8" t="str">
        <f>garage!G54</f>
        <v>N</v>
      </c>
      <c r="H54" s="8" t="str">
        <f>garage!H54</f>
        <v>N</v>
      </c>
      <c r="I54" s="8" t="str">
        <f>garage!I54</f>
        <v>N</v>
      </c>
      <c r="J54" s="8" t="str">
        <f>garage!J54</f>
        <v>N</v>
      </c>
      <c r="K54" s="8" t="str">
        <f>garage!K54</f>
        <v>C</v>
      </c>
      <c r="L54" s="9" t="str">
        <f>garage!L54</f>
        <v>Jaguar</v>
      </c>
      <c r="M54" s="9" t="str">
        <f>garage!M54</f>
        <v>XE SV Project 8</v>
      </c>
      <c r="O54" s="39">
        <v>2012</v>
      </c>
      <c r="P54" s="39">
        <v>2199</v>
      </c>
      <c r="Q54" s="39" t="s">
        <v>127</v>
      </c>
      <c r="R54" s="39" t="s">
        <v>127</v>
      </c>
      <c r="S54" s="39" t="s">
        <v>127</v>
      </c>
      <c r="T54" s="39"/>
      <c r="U54" s="39"/>
      <c r="W54" s="8">
        <v>1</v>
      </c>
    </row>
    <row r="55" spans="2:23" ht="18" customHeight="1" x14ac:dyDescent="0.2">
      <c r="B55" s="10">
        <f>garage!B55</f>
        <v>55</v>
      </c>
      <c r="C55" s="10">
        <f>garage!C55</f>
        <v>2</v>
      </c>
      <c r="D55" s="10">
        <f>garage!D55</f>
        <v>22</v>
      </c>
      <c r="E55" s="10">
        <f>garage!E55</f>
        <v>15</v>
      </c>
      <c r="F55" s="10" t="str">
        <f>garage!F55</f>
        <v>F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garage!J55</f>
        <v>N</v>
      </c>
      <c r="K55" s="10" t="str">
        <f>garage!K55</f>
        <v>C</v>
      </c>
      <c r="L55" s="11" t="str">
        <f>garage!L55</f>
        <v>Ferrari</v>
      </c>
      <c r="M55" s="11" t="str">
        <f>garage!M55</f>
        <v>F40</v>
      </c>
      <c r="O55" s="10">
        <v>2054</v>
      </c>
      <c r="P55" s="10">
        <v>2242</v>
      </c>
      <c r="Q55" s="10">
        <v>2512</v>
      </c>
      <c r="R55" s="10">
        <v>2751</v>
      </c>
      <c r="S55" s="10">
        <v>3037</v>
      </c>
      <c r="T55" s="10">
        <v>3531</v>
      </c>
      <c r="U55" s="10"/>
      <c r="W55" s="10">
        <v>1</v>
      </c>
    </row>
    <row r="56" spans="2:23" ht="18" customHeight="1" x14ac:dyDescent="0.2">
      <c r="B56" s="8">
        <f>garage!B56</f>
        <v>56</v>
      </c>
      <c r="C56" s="8">
        <f>garage!C56</f>
        <v>2</v>
      </c>
      <c r="D56" s="8">
        <f>garage!D56</f>
        <v>23</v>
      </c>
      <c r="E56" s="8">
        <f>garage!E56</f>
        <v>19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garage!J56</f>
        <v>N</v>
      </c>
      <c r="K56" s="8" t="str">
        <f>garage!K56</f>
        <v>C</v>
      </c>
      <c r="L56" s="9" t="str">
        <f>garage!L56</f>
        <v>Renault</v>
      </c>
      <c r="M56" s="9" t="str">
        <f>garage!M56</f>
        <v>R.S. 01</v>
      </c>
      <c r="O56" s="39">
        <v>2071</v>
      </c>
      <c r="P56" s="39">
        <v>2262</v>
      </c>
      <c r="Q56" s="39">
        <v>2536</v>
      </c>
      <c r="R56" s="39">
        <v>2775</v>
      </c>
      <c r="S56" s="39">
        <v>3049</v>
      </c>
      <c r="T56" s="39">
        <v>3565</v>
      </c>
      <c r="U56" s="39"/>
      <c r="W56" s="8">
        <v>1</v>
      </c>
    </row>
    <row r="57" spans="2:23" ht="18" customHeight="1" x14ac:dyDescent="0.2">
      <c r="B57" s="10">
        <f>garage!B57</f>
        <v>57</v>
      </c>
      <c r="C57" s="10">
        <f>garage!C57</f>
        <v>2</v>
      </c>
      <c r="D57" s="10">
        <f>garage!D57</f>
        <v>24</v>
      </c>
      <c r="E57" s="10">
        <f>garage!E57</f>
        <v>17</v>
      </c>
      <c r="F57" s="10" t="str">
        <f>garage!F57</f>
        <v>--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garage!J57</f>
        <v>N</v>
      </c>
      <c r="K57" s="10" t="str">
        <f>garage!K57</f>
        <v>C</v>
      </c>
      <c r="L57" s="11" t="str">
        <f>garage!L57</f>
        <v>Acura</v>
      </c>
      <c r="M57" s="11" t="str">
        <f>garage!M57</f>
        <v>NSX GT3 EVO</v>
      </c>
      <c r="O57" s="10">
        <v>2089</v>
      </c>
      <c r="P57" s="10">
        <v>2278</v>
      </c>
      <c r="Q57" s="10">
        <v>2556</v>
      </c>
      <c r="R57" s="10">
        <v>2797</v>
      </c>
      <c r="S57" s="10">
        <v>3077</v>
      </c>
      <c r="T57" s="10">
        <v>3585</v>
      </c>
      <c r="U57" s="10"/>
      <c r="W57" s="10">
        <v>1</v>
      </c>
    </row>
    <row r="58" spans="2:23" ht="18" customHeight="1" x14ac:dyDescent="0.2">
      <c r="B58" s="8">
        <f>garage!B58</f>
        <v>58</v>
      </c>
      <c r="C58" s="8">
        <f>garage!C58</f>
        <v>2</v>
      </c>
      <c r="D58" s="8">
        <f>garage!D58</f>
        <v>25</v>
      </c>
      <c r="E58" s="8">
        <f>garage!E58</f>
        <v>0</v>
      </c>
      <c r="F58" s="8" t="str">
        <f>garage!F58</f>
        <v>--</v>
      </c>
      <c r="G58" s="8" t="str">
        <f>garage!G58</f>
        <v>O</v>
      </c>
      <c r="H58" s="8" t="str">
        <f>garage!H58</f>
        <v>O</v>
      </c>
      <c r="I58" s="8" t="str">
        <f>garage!I58</f>
        <v>O</v>
      </c>
      <c r="J58" s="8" t="str">
        <f>garage!J58</f>
        <v>N</v>
      </c>
      <c r="K58" s="8" t="str">
        <f>garage!K58</f>
        <v>C</v>
      </c>
      <c r="L58" s="9" t="str">
        <f>garage!L58</f>
        <v>Vencer</v>
      </c>
      <c r="M58" s="9" t="str">
        <f>garage!M58</f>
        <v>Sarthe</v>
      </c>
      <c r="O58" s="39">
        <v>1970</v>
      </c>
      <c r="P58" s="39">
        <v>2154</v>
      </c>
      <c r="Q58" s="39">
        <v>2420</v>
      </c>
      <c r="R58" s="39">
        <v>2653</v>
      </c>
      <c r="S58" s="39">
        <v>2941</v>
      </c>
      <c r="T58" s="39">
        <v>3638</v>
      </c>
      <c r="U58" s="39"/>
      <c r="W58" s="8">
        <v>1</v>
      </c>
    </row>
    <row r="59" spans="2:23" ht="18" customHeight="1" x14ac:dyDescent="0.2">
      <c r="B59" s="10">
        <f>garage!B59</f>
        <v>59</v>
      </c>
      <c r="C59" s="10">
        <f>garage!C59</f>
        <v>2</v>
      </c>
      <c r="D59" s="10">
        <f>garage!D59</f>
        <v>26</v>
      </c>
      <c r="E59" s="10">
        <f>garage!E59</f>
        <v>30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garage!J59</f>
        <v>N</v>
      </c>
      <c r="K59" s="10" t="str">
        <f>garage!K59</f>
        <v>C</v>
      </c>
      <c r="L59" s="11" t="str">
        <f>garage!L59</f>
        <v>Maserati</v>
      </c>
      <c r="M59" s="11" t="str">
        <f>garage!M59</f>
        <v>MC12</v>
      </c>
      <c r="O59" s="10">
        <v>2141</v>
      </c>
      <c r="P59" s="10">
        <v>2334</v>
      </c>
      <c r="Q59" s="10" t="s">
        <v>127</v>
      </c>
      <c r="R59" s="10" t="s">
        <v>127</v>
      </c>
      <c r="S59" s="10" t="s">
        <v>127</v>
      </c>
      <c r="T59" s="10">
        <v>3660</v>
      </c>
      <c r="U59" s="10"/>
      <c r="W59" s="10"/>
    </row>
    <row r="60" spans="2:23" ht="18" customHeight="1" x14ac:dyDescent="0.2">
      <c r="B60" s="8">
        <f>garage!B60</f>
        <v>60</v>
      </c>
      <c r="C60" s="8">
        <f>garage!C60</f>
        <v>2</v>
      </c>
      <c r="D60" s="8">
        <f>garage!D60</f>
        <v>27</v>
      </c>
      <c r="E60" s="8">
        <f>garage!E60</f>
        <v>14</v>
      </c>
      <c r="F60" s="8" t="str">
        <f>garage!F60</f>
        <v>--</v>
      </c>
      <c r="G60" s="8" t="str">
        <f>garage!G60</f>
        <v>O</v>
      </c>
      <c r="H60" s="8" t="str">
        <f>garage!H60</f>
        <v>N</v>
      </c>
      <c r="I60" s="8" t="str">
        <f>garage!I60</f>
        <v>N</v>
      </c>
      <c r="J60" s="8" t="str">
        <f>garage!J60</f>
        <v>N</v>
      </c>
      <c r="K60" s="8" t="str">
        <f>garage!K60</f>
        <v>C</v>
      </c>
      <c r="L60" s="9" t="str">
        <f>garage!L60</f>
        <v>Bentley</v>
      </c>
      <c r="M60" s="9" t="str">
        <f>garage!M60</f>
        <v>Mulliner Bacalar</v>
      </c>
      <c r="O60" s="39">
        <v>1840</v>
      </c>
      <c r="P60" s="39">
        <v>2072</v>
      </c>
      <c r="Q60" s="39">
        <v>2402</v>
      </c>
      <c r="R60" s="39">
        <v>2694</v>
      </c>
      <c r="S60" s="39">
        <v>3057</v>
      </c>
      <c r="T60" s="39">
        <v>3665</v>
      </c>
      <c r="U60" s="39"/>
      <c r="W60" s="8">
        <v>1</v>
      </c>
    </row>
    <row r="61" spans="2:23" ht="18" customHeight="1" x14ac:dyDescent="0.2">
      <c r="B61" s="10">
        <f>garage!B61</f>
        <v>61</v>
      </c>
      <c r="C61" s="10">
        <f>garage!C61</f>
        <v>2</v>
      </c>
      <c r="D61" s="10">
        <f>garage!D61</f>
        <v>28</v>
      </c>
      <c r="E61" s="10">
        <f>garage!E61</f>
        <v>25</v>
      </c>
      <c r="F61" s="10" t="str">
        <f>garage!F61</f>
        <v>L</v>
      </c>
      <c r="G61" s="10" t="str">
        <f>garage!G61</f>
        <v>N</v>
      </c>
      <c r="H61" s="10" t="str">
        <f>garage!H61</f>
        <v>N</v>
      </c>
      <c r="I61" s="10" t="str">
        <f>garage!I61</f>
        <v>N</v>
      </c>
      <c r="J61" s="10" t="str">
        <f>garage!J61</f>
        <v>N</v>
      </c>
      <c r="K61" s="10" t="str">
        <f>garage!K61</f>
        <v>C</v>
      </c>
      <c r="L61" s="11" t="str">
        <f>garage!L61</f>
        <v>Lamborghini</v>
      </c>
      <c r="M61" s="11" t="str">
        <f>garage!M61</f>
        <v>Miura Concept</v>
      </c>
      <c r="O61" s="10">
        <v>1864</v>
      </c>
      <c r="P61" s="10">
        <v>2095</v>
      </c>
      <c r="Q61" s="10">
        <v>2427</v>
      </c>
      <c r="R61" s="10">
        <v>2721</v>
      </c>
      <c r="S61" s="10">
        <v>3079</v>
      </c>
      <c r="T61" s="10">
        <v>3690</v>
      </c>
      <c r="U61" s="10"/>
      <c r="W61" s="10">
        <v>1</v>
      </c>
    </row>
    <row r="62" spans="2:23" ht="18" customHeight="1" x14ac:dyDescent="0.2">
      <c r="B62" s="8">
        <f>garage!B62</f>
        <v>62</v>
      </c>
      <c r="C62" s="8">
        <f>garage!C62</f>
        <v>2</v>
      </c>
      <c r="D62" s="8">
        <f>garage!D62</f>
        <v>29</v>
      </c>
      <c r="E62" s="8">
        <f>garage!E62</f>
        <v>11</v>
      </c>
      <c r="F62" s="8" t="str">
        <f>garage!F62</f>
        <v>P</v>
      </c>
      <c r="G62" s="8" t="str">
        <f>garage!G62</f>
        <v>O</v>
      </c>
      <c r="H62" s="8" t="str">
        <f>garage!H62</f>
        <v>O</v>
      </c>
      <c r="I62" s="8" t="str">
        <f>garage!I62</f>
        <v>N</v>
      </c>
      <c r="J62" s="8" t="str">
        <f>garage!J62</f>
        <v>N</v>
      </c>
      <c r="K62" s="8" t="str">
        <f>garage!K62</f>
        <v>C</v>
      </c>
      <c r="L62" s="9" t="str">
        <f>garage!L62</f>
        <v>Porsche</v>
      </c>
      <c r="M62" s="9" t="str">
        <f>garage!M62</f>
        <v>718 Cayman GT4 Clubsport</v>
      </c>
      <c r="O62" s="39">
        <v>1889</v>
      </c>
      <c r="P62" s="39">
        <v>2125</v>
      </c>
      <c r="Q62" s="39">
        <v>2461</v>
      </c>
      <c r="R62" s="39">
        <v>2757</v>
      </c>
      <c r="S62" s="39">
        <v>3113</v>
      </c>
      <c r="T62" s="39">
        <v>3727</v>
      </c>
      <c r="U62" s="39"/>
      <c r="W62" s="8">
        <v>1</v>
      </c>
    </row>
    <row r="63" spans="2:23" ht="18" customHeight="1" x14ac:dyDescent="0.2">
      <c r="B63" s="10">
        <f>garage!B63</f>
        <v>63</v>
      </c>
      <c r="C63" s="10">
        <f>garage!C63</f>
        <v>2</v>
      </c>
      <c r="D63" s="10">
        <f>garage!D63</f>
        <v>30</v>
      </c>
      <c r="E63" s="10">
        <f>garage!E63</f>
        <v>13</v>
      </c>
      <c r="F63" s="10" t="str">
        <f>garage!F63</f>
        <v>C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garage!J63</f>
        <v>N</v>
      </c>
      <c r="K63" s="10" t="str">
        <f>garage!K63</f>
        <v>C</v>
      </c>
      <c r="L63" s="11" t="str">
        <f>garage!L63</f>
        <v>Chevrolet</v>
      </c>
      <c r="M63" s="11" t="str">
        <f>garage!M63</f>
        <v>Corvette Stingray</v>
      </c>
      <c r="O63" s="10">
        <v>2176</v>
      </c>
      <c r="P63" s="10">
        <v>2381</v>
      </c>
      <c r="Q63" s="10">
        <v>2677</v>
      </c>
      <c r="R63" s="10">
        <v>2937</v>
      </c>
      <c r="S63" s="10">
        <v>3250</v>
      </c>
      <c r="T63" s="10">
        <v>3787</v>
      </c>
      <c r="U63" s="10"/>
      <c r="W63" s="10">
        <v>1</v>
      </c>
    </row>
    <row r="64" spans="2:23" ht="18" customHeight="1" x14ac:dyDescent="0.2">
      <c r="B64" s="8">
        <f>garage!B64</f>
        <v>64</v>
      </c>
      <c r="C64" s="8">
        <f>garage!C64</f>
        <v>2</v>
      </c>
      <c r="D64" s="8">
        <f>garage!D64</f>
        <v>31</v>
      </c>
      <c r="E64" s="8">
        <f>garage!E64</f>
        <v>24</v>
      </c>
      <c r="F64" s="8" t="str">
        <f>garage!F64</f>
        <v>--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garage!J64</f>
        <v>O</v>
      </c>
      <c r="K64" s="8" t="str">
        <f>garage!K64</f>
        <v>C</v>
      </c>
      <c r="L64" s="9" t="str">
        <f>garage!L64</f>
        <v>Brabham</v>
      </c>
      <c r="M64" s="9" t="str">
        <f>garage!M64</f>
        <v>BT62</v>
      </c>
      <c r="O64" s="39">
        <v>2188</v>
      </c>
      <c r="P64" s="39">
        <v>2395</v>
      </c>
      <c r="Q64" s="39">
        <v>2693</v>
      </c>
      <c r="R64" s="39">
        <v>2956</v>
      </c>
      <c r="S64" s="39">
        <v>3268</v>
      </c>
      <c r="T64" s="39">
        <v>3817</v>
      </c>
      <c r="U64" s="39"/>
      <c r="W64" s="8">
        <v>1</v>
      </c>
    </row>
    <row r="65" spans="2:23" ht="18" customHeight="1" x14ac:dyDescent="0.2">
      <c r="B65" s="10">
        <f>garage!B65</f>
        <v>65</v>
      </c>
      <c r="C65" s="10">
        <f>garage!C65</f>
        <v>2</v>
      </c>
      <c r="D65" s="10">
        <f>garage!D65</f>
        <v>32</v>
      </c>
      <c r="E65" s="10">
        <f>garage!E65</f>
        <v>15</v>
      </c>
      <c r="F65" s="10" t="str">
        <f>garage!F65</f>
        <v>F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garage!J65</f>
        <v>N</v>
      </c>
      <c r="K65" s="10" t="str">
        <f>garage!K65</f>
        <v>C</v>
      </c>
      <c r="L65" s="11" t="str">
        <f>garage!L65</f>
        <v>Ferrari</v>
      </c>
      <c r="M65" s="11" t="str">
        <f>garage!M65</f>
        <v>599XX EVO</v>
      </c>
      <c r="O65" s="10">
        <v>2202</v>
      </c>
      <c r="P65" s="10">
        <v>2412</v>
      </c>
      <c r="Q65" s="10">
        <v>2716</v>
      </c>
      <c r="R65" s="10">
        <v>2982</v>
      </c>
      <c r="S65" s="10">
        <v>3290</v>
      </c>
      <c r="T65" s="10">
        <v>3843</v>
      </c>
      <c r="U65" s="10"/>
      <c r="W65" s="10">
        <v>1</v>
      </c>
    </row>
    <row r="66" spans="2:23" ht="18" customHeight="1" x14ac:dyDescent="0.2">
      <c r="B66" s="8">
        <f>garage!B66</f>
        <v>66</v>
      </c>
      <c r="C66" s="8">
        <f>garage!C66</f>
        <v>2</v>
      </c>
      <c r="D66" s="8">
        <f>garage!D66</f>
        <v>33</v>
      </c>
      <c r="E66" s="8">
        <f>garage!E66</f>
        <v>28</v>
      </c>
      <c r="F66" s="8" t="str">
        <f>garage!F66</f>
        <v>--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garage!J66</f>
        <v>N</v>
      </c>
      <c r="K66" s="8" t="str">
        <f>garage!K66</f>
        <v>C</v>
      </c>
      <c r="L66" s="9" t="str">
        <f>garage!L66</f>
        <v>Ares</v>
      </c>
      <c r="M66" s="9" t="str">
        <f>garage!M66</f>
        <v>S1</v>
      </c>
      <c r="O66" s="39">
        <v>2206</v>
      </c>
      <c r="P66" s="39">
        <v>2418</v>
      </c>
      <c r="Q66" s="39">
        <v>2723</v>
      </c>
      <c r="R66" s="39">
        <v>2988</v>
      </c>
      <c r="S66" s="39">
        <v>3303</v>
      </c>
      <c r="T66" s="39">
        <v>3859</v>
      </c>
      <c r="U66" s="39"/>
      <c r="W66" s="8">
        <v>1</v>
      </c>
    </row>
    <row r="67" spans="2:23" ht="18" customHeight="1" x14ac:dyDescent="0.2">
      <c r="B67" s="10">
        <f>garage!B67</f>
        <v>67</v>
      </c>
      <c r="C67" s="10">
        <f>garage!C67</f>
        <v>2</v>
      </c>
      <c r="D67" s="10">
        <f>garage!D67</f>
        <v>34</v>
      </c>
      <c r="E67" s="10">
        <f>garage!E67</f>
        <v>25</v>
      </c>
      <c r="F67" s="10" t="str">
        <f>garage!F67</f>
        <v>L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garage!J67</f>
        <v>N</v>
      </c>
      <c r="K67" s="10" t="str">
        <f>garage!K67</f>
        <v>C</v>
      </c>
      <c r="L67" s="11" t="str">
        <f>garage!L67</f>
        <v>Lamborghini</v>
      </c>
      <c r="M67" s="11" t="str">
        <f>garage!M67</f>
        <v>Diablo GT</v>
      </c>
      <c r="O67" s="10">
        <v>2211</v>
      </c>
      <c r="P67" s="10">
        <v>2422</v>
      </c>
      <c r="Q67" s="10">
        <v>2723</v>
      </c>
      <c r="R67" s="10">
        <v>2990</v>
      </c>
      <c r="S67" s="10">
        <v>3316</v>
      </c>
      <c r="T67" s="10">
        <v>3771</v>
      </c>
      <c r="U67" s="10"/>
      <c r="W67" s="10">
        <v>1</v>
      </c>
    </row>
    <row r="68" spans="2:23" ht="18" customHeight="1" x14ac:dyDescent="0.2">
      <c r="B68" s="8">
        <f>garage!B68</f>
        <v>68</v>
      </c>
      <c r="C68" s="8">
        <f>garage!C68</f>
        <v>2</v>
      </c>
      <c r="D68" s="8">
        <f>garage!D68</f>
        <v>35</v>
      </c>
      <c r="E68" s="8">
        <f>garage!E68</f>
        <v>7</v>
      </c>
      <c r="F68" s="8" t="str">
        <f>garage!F68</f>
        <v>--</v>
      </c>
      <c r="G68" s="8" t="str">
        <f>garage!G68</f>
        <v>O</v>
      </c>
      <c r="H68" s="8" t="str">
        <f>garage!H68</f>
        <v>O</v>
      </c>
      <c r="I68" s="8" t="str">
        <f>garage!I68</f>
        <v>O</v>
      </c>
      <c r="J68" s="8" t="str">
        <f>garage!J68</f>
        <v>N</v>
      </c>
      <c r="K68" s="8" t="str">
        <f>garage!K68</f>
        <v>C</v>
      </c>
      <c r="L68" s="9" t="str">
        <f>garage!L68</f>
        <v>Arrinera</v>
      </c>
      <c r="M68" s="9" t="str">
        <f>garage!M68</f>
        <v>Hussarya 33</v>
      </c>
      <c r="O68" s="39">
        <v>2229</v>
      </c>
      <c r="P68" s="39">
        <v>2440</v>
      </c>
      <c r="Q68" s="39">
        <v>2744</v>
      </c>
      <c r="R68" s="39">
        <v>3010</v>
      </c>
      <c r="S68" s="39">
        <v>3343</v>
      </c>
      <c r="T68" s="39">
        <v>3897</v>
      </c>
      <c r="U68" s="39"/>
      <c r="W68" s="8">
        <v>1</v>
      </c>
    </row>
    <row r="69" spans="2:23" ht="18" customHeight="1" x14ac:dyDescent="0.2">
      <c r="B69" s="10">
        <f>garage!B69</f>
        <v>69</v>
      </c>
      <c r="C69" s="10">
        <f>garage!C69</f>
        <v>2</v>
      </c>
      <c r="D69" s="10">
        <f>garage!D69</f>
        <v>36</v>
      </c>
      <c r="E69" s="10">
        <f>garage!E69</f>
        <v>26</v>
      </c>
      <c r="F69" s="10" t="str">
        <f>garage!F69</f>
        <v>B</v>
      </c>
      <c r="G69" s="10" t="str">
        <f>garage!G69</f>
        <v>O</v>
      </c>
      <c r="H69" s="10" t="str">
        <f>garage!H69</f>
        <v>O</v>
      </c>
      <c r="I69" s="10" t="str">
        <f>garage!I69</f>
        <v>N</v>
      </c>
      <c r="J69" s="10" t="str">
        <f>garage!J69</f>
        <v>N</v>
      </c>
      <c r="K69" s="10" t="str">
        <f>garage!K69</f>
        <v>C</v>
      </c>
      <c r="L69" s="11" t="str">
        <f>garage!L69</f>
        <v>Bugatti</v>
      </c>
      <c r="M69" s="11" t="str">
        <f>garage!M69</f>
        <v>EB110</v>
      </c>
      <c r="O69" s="10">
        <v>2265</v>
      </c>
      <c r="P69" s="10">
        <v>2479</v>
      </c>
      <c r="Q69" s="10">
        <v>2783</v>
      </c>
      <c r="R69" s="10">
        <v>3053</v>
      </c>
      <c r="S69" s="10">
        <v>3385</v>
      </c>
      <c r="T69" s="10">
        <v>3946</v>
      </c>
      <c r="U69" s="10"/>
      <c r="W69" s="10">
        <v>1</v>
      </c>
    </row>
    <row r="70" spans="2:23" ht="18" customHeight="1" x14ac:dyDescent="0.2">
      <c r="B70" s="8">
        <f>garage!B70</f>
        <v>70</v>
      </c>
      <c r="C70" s="8">
        <f>garage!C70</f>
        <v>2</v>
      </c>
      <c r="D70" s="8">
        <f>garage!D70</f>
        <v>37</v>
      </c>
      <c r="E70" s="8">
        <f>garage!E70</f>
        <v>12</v>
      </c>
      <c r="F70" s="8" t="str">
        <f>garage!F70</f>
        <v>L</v>
      </c>
      <c r="G70" s="8" t="str">
        <f>garage!G70</f>
        <v>O</v>
      </c>
      <c r="H70" s="8" t="str">
        <f>garage!H70</f>
        <v>N</v>
      </c>
      <c r="I70" s="8" t="str">
        <f>garage!I70</f>
        <v>N</v>
      </c>
      <c r="J70" s="8" t="str">
        <f>garage!J70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Gallardo LP560-4</v>
      </c>
      <c r="O70" s="39">
        <v>2301</v>
      </c>
      <c r="P70" s="39">
        <v>2521</v>
      </c>
      <c r="Q70" s="39">
        <v>2830</v>
      </c>
      <c r="R70" s="39">
        <v>3102</v>
      </c>
      <c r="S70" s="39">
        <v>3438</v>
      </c>
      <c r="T70" s="39">
        <v>3997</v>
      </c>
      <c r="U70" s="39"/>
      <c r="W70" s="8">
        <v>1</v>
      </c>
    </row>
    <row r="71" spans="2:23" ht="18" customHeight="1" x14ac:dyDescent="0.2">
      <c r="B71" s="10">
        <f>garage!B71</f>
        <v>71</v>
      </c>
      <c r="C71" s="10">
        <f>garage!C71</f>
        <v>2</v>
      </c>
      <c r="D71" s="10">
        <f>garage!D71</f>
        <v>38</v>
      </c>
      <c r="E71" s="10">
        <f>garage!E71</f>
        <v>23</v>
      </c>
      <c r="F71" s="10" t="str">
        <f>garage!F71</f>
        <v>M</v>
      </c>
      <c r="G71" s="10" t="str">
        <f>garage!G71</f>
        <v>O</v>
      </c>
      <c r="H71" s="10" t="str">
        <f>garage!H71</f>
        <v>N</v>
      </c>
      <c r="I71" s="10" t="str">
        <f>garage!I71</f>
        <v>N</v>
      </c>
      <c r="J71" s="10" t="str">
        <f>garage!J71</f>
        <v>N</v>
      </c>
      <c r="K71" s="10" t="str">
        <f>garage!K71</f>
        <v>C</v>
      </c>
      <c r="L71" s="11" t="str">
        <f>garage!L71</f>
        <v>McLaren</v>
      </c>
      <c r="M71" s="11" t="str">
        <f>garage!M71</f>
        <v>GT</v>
      </c>
      <c r="O71" s="10">
        <v>2319</v>
      </c>
      <c r="P71" s="10">
        <v>2536</v>
      </c>
      <c r="Q71" s="10">
        <v>2847</v>
      </c>
      <c r="R71" s="10">
        <v>3123</v>
      </c>
      <c r="S71" s="10">
        <v>3452</v>
      </c>
      <c r="T71" s="10">
        <v>4022</v>
      </c>
      <c r="U71" s="10"/>
      <c r="W71" s="10">
        <v>1</v>
      </c>
    </row>
    <row r="72" spans="2:23" ht="18" customHeight="1" x14ac:dyDescent="0.2">
      <c r="B72" s="8">
        <f>garage!B72</f>
        <v>72</v>
      </c>
      <c r="C72" s="8">
        <f>garage!C72</f>
        <v>2</v>
      </c>
      <c r="D72" s="8">
        <f>garage!D72</f>
        <v>39</v>
      </c>
      <c r="E72" s="8">
        <f>garage!E72</f>
        <v>29</v>
      </c>
      <c r="F72" s="8" t="str">
        <f>garage!F72</f>
        <v>--</v>
      </c>
      <c r="G72" s="8" t="str">
        <f>garage!G72</f>
        <v>O</v>
      </c>
      <c r="H72" s="8" t="str">
        <f>garage!H72</f>
        <v>N</v>
      </c>
      <c r="I72" s="8" t="str">
        <f>garage!I72</f>
        <v>N</v>
      </c>
      <c r="J72" s="8" t="str">
        <f>garage!J72</f>
        <v>N</v>
      </c>
      <c r="K72" s="8" t="str">
        <f>garage!K72</f>
        <v>C</v>
      </c>
      <c r="L72" s="9" t="str">
        <f>garage!L72</f>
        <v>Mercedes-Benz</v>
      </c>
      <c r="M72" s="9" t="str">
        <f>garage!M72</f>
        <v>AMG GT Black Series</v>
      </c>
      <c r="O72" s="39">
        <v>2347</v>
      </c>
      <c r="P72" s="39">
        <v>2565</v>
      </c>
      <c r="Q72" s="39" t="s">
        <v>127</v>
      </c>
      <c r="R72" s="39" t="s">
        <v>127</v>
      </c>
      <c r="S72" s="39" t="s">
        <v>127</v>
      </c>
      <c r="T72" s="39"/>
      <c r="U72" s="39"/>
      <c r="W72" s="8">
        <v>1</v>
      </c>
    </row>
    <row r="73" spans="2:23" ht="18" customHeight="1" x14ac:dyDescent="0.2">
      <c r="B73" s="10">
        <f>garage!B73</f>
        <v>73</v>
      </c>
      <c r="C73" s="10">
        <f>garage!C73</f>
        <v>3</v>
      </c>
      <c r="D73" s="10">
        <f>garage!D73</f>
        <v>1</v>
      </c>
      <c r="E73" s="10">
        <f>garage!E73</f>
        <v>0</v>
      </c>
      <c r="F73" s="10" t="str">
        <f>garage!F73</f>
        <v>P</v>
      </c>
      <c r="G73" s="10" t="str">
        <f>garage!G73</f>
        <v>O</v>
      </c>
      <c r="H73" s="10" t="str">
        <f>garage!H73</f>
        <v>O</v>
      </c>
      <c r="I73" s="10" t="str">
        <f>garage!I73</f>
        <v>O</v>
      </c>
      <c r="J73" s="10" t="str">
        <f>garage!J73</f>
        <v>N</v>
      </c>
      <c r="K73" s="10" t="str">
        <f>garage!K73</f>
        <v>B</v>
      </c>
      <c r="L73" s="11" t="str">
        <f>garage!L73</f>
        <v>Porsche</v>
      </c>
      <c r="M73" s="11" t="str">
        <f>garage!M73</f>
        <v>911 GTS Coupé</v>
      </c>
      <c r="O73" s="10">
        <v>1243</v>
      </c>
      <c r="P73" s="10">
        <v>1560</v>
      </c>
      <c r="Q73" s="10">
        <v>1898</v>
      </c>
      <c r="R73" s="10">
        <v>2186</v>
      </c>
      <c r="S73" s="10"/>
      <c r="T73" s="10"/>
      <c r="U73" s="10"/>
      <c r="W73" s="10">
        <v>1</v>
      </c>
    </row>
    <row r="74" spans="2:23" ht="18" customHeight="1" x14ac:dyDescent="0.2">
      <c r="B74" s="8">
        <f>garage!B74</f>
        <v>74</v>
      </c>
      <c r="C74" s="8">
        <f>garage!C74</f>
        <v>3</v>
      </c>
      <c r="D74" s="8">
        <f>garage!D74</f>
        <v>2</v>
      </c>
      <c r="E74" s="8">
        <f>garage!E74</f>
        <v>0</v>
      </c>
      <c r="F74" s="8" t="str">
        <f>garage!F74</f>
        <v>AM</v>
      </c>
      <c r="G74" s="8" t="str">
        <f>garage!G74</f>
        <v>O</v>
      </c>
      <c r="H74" s="8" t="str">
        <f>garage!H74</f>
        <v>O</v>
      </c>
      <c r="I74" s="8" t="str">
        <f>garage!I74</f>
        <v>O</v>
      </c>
      <c r="J74" s="8" t="str">
        <f>garage!J74</f>
        <v>N</v>
      </c>
      <c r="K74" s="8" t="str">
        <f>garage!K74</f>
        <v>B</v>
      </c>
      <c r="L74" s="9" t="str">
        <f>garage!L74</f>
        <v>Aston Martin</v>
      </c>
      <c r="M74" s="9" t="str">
        <f>garage!M74</f>
        <v>DB11</v>
      </c>
      <c r="O74" s="39">
        <v>1302</v>
      </c>
      <c r="P74" s="39">
        <v>1671</v>
      </c>
      <c r="Q74" s="39">
        <v>2029</v>
      </c>
      <c r="R74" s="39">
        <v>2330</v>
      </c>
      <c r="S74" s="39"/>
      <c r="T74" s="39"/>
      <c r="U74" s="39"/>
      <c r="W74" s="8">
        <v>1</v>
      </c>
    </row>
    <row r="75" spans="2:23" ht="18" customHeight="1" x14ac:dyDescent="0.2">
      <c r="B75" s="10">
        <f>garage!B75</f>
        <v>75</v>
      </c>
      <c r="C75" s="10">
        <f>garage!C75</f>
        <v>3</v>
      </c>
      <c r="D75" s="10">
        <f>garage!D75</f>
        <v>3</v>
      </c>
      <c r="E75" s="10">
        <f>garage!E75</f>
        <v>0</v>
      </c>
      <c r="F75" s="10" t="str">
        <f>garage!F75</f>
        <v>--</v>
      </c>
      <c r="G75" s="10" t="str">
        <f>garage!G75</f>
        <v>O</v>
      </c>
      <c r="H75" s="10" t="str">
        <f>garage!H75</f>
        <v>O</v>
      </c>
      <c r="I75" s="10" t="str">
        <f>garage!I75</f>
        <v>O</v>
      </c>
      <c r="J75" s="10" t="str">
        <f>garage!J75</f>
        <v>N</v>
      </c>
      <c r="K75" s="10" t="str">
        <f>garage!K75</f>
        <v>B</v>
      </c>
      <c r="L75" s="11" t="str">
        <f>garage!L75</f>
        <v>Jaguar</v>
      </c>
      <c r="M75" s="11" t="str">
        <f>garage!M75</f>
        <v>F-Type SVR</v>
      </c>
      <c r="O75" s="10">
        <v>1454</v>
      </c>
      <c r="P75" s="10">
        <v>1645</v>
      </c>
      <c r="Q75" s="10">
        <v>1943</v>
      </c>
      <c r="R75" s="10">
        <v>2237</v>
      </c>
      <c r="S75" s="10">
        <v>2500</v>
      </c>
      <c r="T75" s="10"/>
      <c r="U75" s="10"/>
      <c r="W75" s="10">
        <v>1</v>
      </c>
    </row>
    <row r="76" spans="2:23" ht="18" customHeight="1" x14ac:dyDescent="0.2">
      <c r="B76" s="8">
        <f>garage!B76</f>
        <v>76</v>
      </c>
      <c r="C76" s="8">
        <f>garage!C76</f>
        <v>3</v>
      </c>
      <c r="D76" s="8">
        <f>garage!D76</f>
        <v>4</v>
      </c>
      <c r="E76" s="8">
        <f>garage!E76</f>
        <v>29</v>
      </c>
      <c r="F76" s="8" t="str">
        <f>garage!F76</f>
        <v>F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garage!J76</f>
        <v>N</v>
      </c>
      <c r="K76" s="8" t="str">
        <f>garage!K76</f>
        <v>B</v>
      </c>
      <c r="L76" s="9" t="str">
        <f>garage!L76</f>
        <v>Ferrari</v>
      </c>
      <c r="M76" s="9" t="str">
        <f>garage!M76</f>
        <v>F50</v>
      </c>
      <c r="O76" s="39">
        <v>1510</v>
      </c>
      <c r="P76" s="39" t="s">
        <v>127</v>
      </c>
      <c r="Q76" s="39">
        <v>2011</v>
      </c>
      <c r="R76" s="39" t="s">
        <v>127</v>
      </c>
      <c r="S76" s="39" t="s">
        <v>127</v>
      </c>
      <c r="T76" s="39"/>
      <c r="U76" s="39"/>
      <c r="W76" s="8">
        <v>1</v>
      </c>
    </row>
    <row r="77" spans="2:23" ht="18" customHeight="1" x14ac:dyDescent="0.2">
      <c r="B77" s="10">
        <f>garage!B77</f>
        <v>77</v>
      </c>
      <c r="C77" s="10">
        <f>garage!C77</f>
        <v>3</v>
      </c>
      <c r="D77" s="10">
        <f>garage!D77</f>
        <v>5</v>
      </c>
      <c r="E77" s="10">
        <f>garage!E77</f>
        <v>0</v>
      </c>
      <c r="F77" s="10" t="str">
        <f>garage!F77</f>
        <v>--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garage!J77</f>
        <v>N</v>
      </c>
      <c r="K77" s="10" t="str">
        <f>garage!K77</f>
        <v>B</v>
      </c>
      <c r="L77" s="11" t="str">
        <f>garage!L77</f>
        <v>Exotic Rides</v>
      </c>
      <c r="M77" s="11" t="str">
        <f>garage!M77</f>
        <v>W70</v>
      </c>
      <c r="O77" s="10">
        <v>1567</v>
      </c>
      <c r="P77" s="10">
        <v>1920</v>
      </c>
      <c r="Q77" s="10">
        <v>2308</v>
      </c>
      <c r="R77" s="10">
        <v>2633</v>
      </c>
      <c r="S77" s="10"/>
      <c r="T77" s="10"/>
      <c r="U77" s="10"/>
      <c r="W77" s="10">
        <v>1</v>
      </c>
    </row>
    <row r="78" spans="2:23" ht="18" customHeight="1" x14ac:dyDescent="0.2">
      <c r="B78" s="8">
        <f>garage!B78</f>
        <v>78</v>
      </c>
      <c r="C78" s="8">
        <f>garage!C78</f>
        <v>3</v>
      </c>
      <c r="D78" s="8">
        <f>garage!D78</f>
        <v>6</v>
      </c>
      <c r="E78" s="8">
        <f>garage!E78</f>
        <v>11</v>
      </c>
      <c r="F78" s="8" t="str">
        <f>garage!F78</f>
        <v>P</v>
      </c>
      <c r="G78" s="8" t="str">
        <f>garage!G78</f>
        <v>O</v>
      </c>
      <c r="H78" s="8" t="str">
        <f>garage!H78</f>
        <v>O</v>
      </c>
      <c r="I78" s="8" t="str">
        <f>garage!I78</f>
        <v>N</v>
      </c>
      <c r="J78" s="8" t="str">
        <f>garage!J78</f>
        <v>N</v>
      </c>
      <c r="K78" s="8" t="str">
        <f>garage!K78</f>
        <v>B</v>
      </c>
      <c r="L78" s="9" t="str">
        <f>garage!L78</f>
        <v>Porsche</v>
      </c>
      <c r="M78" s="9" t="str">
        <f>garage!M78</f>
        <v>911 GT1 Evolution</v>
      </c>
      <c r="O78" s="39">
        <v>1625</v>
      </c>
      <c r="P78" s="39">
        <v>1835</v>
      </c>
      <c r="Q78" s="39">
        <v>2149</v>
      </c>
      <c r="R78" s="39">
        <v>2460</v>
      </c>
      <c r="S78" s="39">
        <v>2735</v>
      </c>
      <c r="T78" s="39"/>
      <c r="U78" s="39"/>
      <c r="W78" s="8">
        <v>1</v>
      </c>
    </row>
    <row r="79" spans="2:23" ht="18" customHeight="1" x14ac:dyDescent="0.2">
      <c r="B79" s="10">
        <f>garage!B79</f>
        <v>79</v>
      </c>
      <c r="C79" s="10">
        <f>garage!C79</f>
        <v>3</v>
      </c>
      <c r="D79" s="10">
        <f>garage!D79</f>
        <v>7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garage!J79</f>
        <v>N</v>
      </c>
      <c r="K79" s="10" t="str">
        <f>garage!K79</f>
        <v>B</v>
      </c>
      <c r="L79" s="11" t="str">
        <f>garage!L79</f>
        <v>Ford</v>
      </c>
      <c r="M79" s="11" t="str">
        <f>garage!M79</f>
        <v>GT</v>
      </c>
      <c r="O79" s="10">
        <v>1685</v>
      </c>
      <c r="P79" s="10">
        <v>1895</v>
      </c>
      <c r="Q79" s="10">
        <v>2216</v>
      </c>
      <c r="R79" s="10">
        <v>2535</v>
      </c>
      <c r="S79" s="10">
        <v>2816</v>
      </c>
      <c r="T79" s="10"/>
      <c r="U79" s="10"/>
      <c r="W79" s="10">
        <v>1</v>
      </c>
    </row>
    <row r="80" spans="2:23" ht="18" customHeight="1" x14ac:dyDescent="0.2">
      <c r="B80" s="8">
        <f>garage!B80</f>
        <v>80</v>
      </c>
      <c r="C80" s="8">
        <f>garage!C80</f>
        <v>3</v>
      </c>
      <c r="D80" s="8">
        <f>garage!D80</f>
        <v>8</v>
      </c>
      <c r="E80" s="8">
        <f>garage!E80</f>
        <v>0</v>
      </c>
      <c r="F80" s="8" t="str">
        <f>garage!F80</f>
        <v>L</v>
      </c>
      <c r="G80" s="8" t="str">
        <f>garage!G80</f>
        <v>O</v>
      </c>
      <c r="H80" s="8" t="str">
        <f>garage!H80</f>
        <v>O</v>
      </c>
      <c r="I80" s="8" t="str">
        <f>garage!I80</f>
        <v>N</v>
      </c>
      <c r="J80" s="8" t="str">
        <f>garage!J80</f>
        <v>N</v>
      </c>
      <c r="K80" s="8" t="str">
        <f>garage!K80</f>
        <v>B</v>
      </c>
      <c r="L80" s="9" t="str">
        <f>garage!L80</f>
        <v>Lamborghini</v>
      </c>
      <c r="M80" s="9" t="str">
        <f>garage!M80</f>
        <v>Asterion</v>
      </c>
      <c r="O80" s="39">
        <v>1809</v>
      </c>
      <c r="P80" s="39">
        <v>2023</v>
      </c>
      <c r="Q80" s="39">
        <v>2363</v>
      </c>
      <c r="R80" s="39">
        <v>2695</v>
      </c>
      <c r="S80" s="39">
        <v>2983</v>
      </c>
      <c r="T80" s="39"/>
      <c r="U80" s="39"/>
      <c r="W80" s="8">
        <v>1</v>
      </c>
    </row>
    <row r="81" spans="2:23" ht="18" customHeight="1" x14ac:dyDescent="0.2">
      <c r="B81" s="10">
        <f>garage!B81</f>
        <v>81</v>
      </c>
      <c r="C81" s="10">
        <f>garage!C81</f>
        <v>3</v>
      </c>
      <c r="D81" s="10">
        <f>garage!D81</f>
        <v>9</v>
      </c>
      <c r="E81" s="10">
        <f>garage!E81</f>
        <v>18</v>
      </c>
      <c r="F81" s="10" t="str">
        <f>garage!F81</f>
        <v>F</v>
      </c>
      <c r="G81" s="10" t="str">
        <f>garage!G81</f>
        <v>O</v>
      </c>
      <c r="H81" s="10" t="str">
        <f>garage!H81</f>
        <v>O</v>
      </c>
      <c r="I81" s="10" t="str">
        <f>garage!I81</f>
        <v>N</v>
      </c>
      <c r="J81" s="10" t="str">
        <f>garage!J81</f>
        <v>N</v>
      </c>
      <c r="K81" s="10" t="str">
        <f>garage!K81</f>
        <v>B</v>
      </c>
      <c r="L81" s="11" t="str">
        <f>garage!L81</f>
        <v>Ferrari</v>
      </c>
      <c r="M81" s="11" t="str">
        <f>garage!M81</f>
        <v>Roma</v>
      </c>
      <c r="O81" s="10">
        <v>1872</v>
      </c>
      <c r="P81" s="10">
        <v>2091</v>
      </c>
      <c r="Q81" s="10">
        <v>2431</v>
      </c>
      <c r="R81" s="10">
        <v>2766</v>
      </c>
      <c r="S81" s="10">
        <v>3069</v>
      </c>
      <c r="T81" s="10"/>
      <c r="U81" s="10"/>
      <c r="W81" s="10">
        <v>1</v>
      </c>
    </row>
    <row r="82" spans="2:23" ht="18" customHeight="1" x14ac:dyDescent="0.2">
      <c r="B82" s="8">
        <f>garage!B82</f>
        <v>82</v>
      </c>
      <c r="C82" s="8">
        <f>garage!C82</f>
        <v>3</v>
      </c>
      <c r="D82" s="8">
        <f>garage!D82</f>
        <v>10</v>
      </c>
      <c r="E82" s="8">
        <f>garage!E82</f>
        <v>22</v>
      </c>
      <c r="F82" s="8" t="str">
        <f>garage!F82</f>
        <v>--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garage!J82</f>
        <v>N</v>
      </c>
      <c r="K82" s="8" t="str">
        <f>garage!K82</f>
        <v>B</v>
      </c>
      <c r="L82" s="9" t="str">
        <f>garage!L82</f>
        <v>Arash</v>
      </c>
      <c r="M82" s="9" t="str">
        <f>garage!M82</f>
        <v>AF10</v>
      </c>
      <c r="O82" s="39">
        <v>1905</v>
      </c>
      <c r="P82" s="39">
        <v>2128</v>
      </c>
      <c r="Q82" s="39">
        <v>2473</v>
      </c>
      <c r="R82" s="39">
        <v>2814</v>
      </c>
      <c r="S82" s="39">
        <v>3112</v>
      </c>
      <c r="T82" s="39"/>
      <c r="U82" s="39"/>
      <c r="W82" s="8">
        <v>1</v>
      </c>
    </row>
    <row r="83" spans="2:23" ht="18" customHeight="1" x14ac:dyDescent="0.2">
      <c r="B83" s="10">
        <f>garage!B83</f>
        <v>83</v>
      </c>
      <c r="C83" s="10">
        <f>garage!C83</f>
        <v>3</v>
      </c>
      <c r="D83" s="10">
        <f>garage!D83</f>
        <v>11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garage!J83</f>
        <v>N</v>
      </c>
      <c r="K83" s="10" t="str">
        <f>garage!K83</f>
        <v>B</v>
      </c>
      <c r="L83" s="11" t="str">
        <f>garage!L83</f>
        <v>Cadillac</v>
      </c>
      <c r="M83" s="11" t="str">
        <f>garage!M83</f>
        <v>Cien Concept</v>
      </c>
      <c r="O83" s="10">
        <v>1937</v>
      </c>
      <c r="P83" s="10">
        <v>2163</v>
      </c>
      <c r="Q83" s="10">
        <v>2504</v>
      </c>
      <c r="R83" s="10">
        <v>2856</v>
      </c>
      <c r="S83" s="10">
        <v>3155</v>
      </c>
      <c r="T83" s="10"/>
      <c r="U83" s="10"/>
      <c r="W83" s="10">
        <v>1</v>
      </c>
    </row>
    <row r="84" spans="2:23" ht="18" customHeight="1" x14ac:dyDescent="0.2">
      <c r="B84" s="8">
        <f>garage!B84</f>
        <v>84</v>
      </c>
      <c r="C84" s="8">
        <f>garage!C84</f>
        <v>3</v>
      </c>
      <c r="D84" s="8">
        <f>garage!D84</f>
        <v>12</v>
      </c>
      <c r="E84" s="8">
        <f>garage!E84</f>
        <v>13</v>
      </c>
      <c r="F84" s="8" t="str">
        <f>garage!F84</f>
        <v>--</v>
      </c>
      <c r="G84" s="8" t="str">
        <f>garage!G84</f>
        <v>O</v>
      </c>
      <c r="H84" s="8" t="str">
        <f>garage!H84</f>
        <v>N</v>
      </c>
      <c r="I84" s="8" t="str">
        <f>garage!I84</f>
        <v>N</v>
      </c>
      <c r="J84" s="8" t="str">
        <f>garage!J84</f>
        <v>N</v>
      </c>
      <c r="K84" s="8" t="str">
        <f>garage!K84</f>
        <v>B</v>
      </c>
      <c r="L84" s="9" t="str">
        <f>garage!L84</f>
        <v>Ford</v>
      </c>
      <c r="M84" s="9" t="str">
        <f>garage!M84</f>
        <v>GT MK II</v>
      </c>
      <c r="O84" s="39">
        <v>1970</v>
      </c>
      <c r="P84" s="39">
        <v>2199</v>
      </c>
      <c r="Q84" s="39">
        <v>2552</v>
      </c>
      <c r="R84" s="39">
        <v>2898</v>
      </c>
      <c r="S84" s="39">
        <v>3200</v>
      </c>
      <c r="T84" s="39"/>
      <c r="U84" s="39"/>
      <c r="W84" s="8">
        <v>1</v>
      </c>
    </row>
    <row r="85" spans="2:23" ht="18" customHeight="1" x14ac:dyDescent="0.2">
      <c r="B85" s="10">
        <f>garage!B85</f>
        <v>85</v>
      </c>
      <c r="C85" s="10">
        <f>garage!C85</f>
        <v>3</v>
      </c>
      <c r="D85" s="10">
        <f>garage!D85</f>
        <v>13</v>
      </c>
      <c r="E85" s="10">
        <f>garage!E85</f>
        <v>0</v>
      </c>
      <c r="F85" s="10" t="str">
        <f>garage!F85</f>
        <v>--</v>
      </c>
      <c r="G85" s="10" t="str">
        <f>garage!G85</f>
        <v>O</v>
      </c>
      <c r="H85" s="10" t="str">
        <f>garage!H85</f>
        <v>O</v>
      </c>
      <c r="I85" s="10" t="str">
        <f>garage!I85</f>
        <v>O</v>
      </c>
      <c r="J85" s="10" t="str">
        <f>garage!J85</f>
        <v>N</v>
      </c>
      <c r="K85" s="10" t="str">
        <f>garage!K85</f>
        <v>B</v>
      </c>
      <c r="L85" s="11" t="str">
        <f>garage!L85</f>
        <v>Italdesign</v>
      </c>
      <c r="M85" s="11" t="str">
        <f>garage!M85</f>
        <v>Zerouno</v>
      </c>
      <c r="O85" s="10">
        <v>2004</v>
      </c>
      <c r="P85" s="10">
        <v>2234</v>
      </c>
      <c r="Q85" s="10">
        <v>2588</v>
      </c>
      <c r="R85" s="10">
        <v>2937</v>
      </c>
      <c r="S85" s="10">
        <v>3245</v>
      </c>
      <c r="T85" s="10"/>
      <c r="U85" s="10"/>
      <c r="W85" s="10">
        <v>1</v>
      </c>
    </row>
    <row r="86" spans="2:23" ht="18" customHeight="1" x14ac:dyDescent="0.2">
      <c r="B86" s="8">
        <f>garage!B86</f>
        <v>86</v>
      </c>
      <c r="C86" s="8">
        <f>garage!C86</f>
        <v>3</v>
      </c>
      <c r="D86" s="8">
        <f>garage!D86</f>
        <v>14</v>
      </c>
      <c r="E86" s="8">
        <f>garage!E86</f>
        <v>24</v>
      </c>
      <c r="F86" s="8" t="str">
        <f>garage!F86</f>
        <v>--</v>
      </c>
      <c r="G86" s="8" t="str">
        <f>garage!G86</f>
        <v>N</v>
      </c>
      <c r="H86" s="8" t="str">
        <f>garage!H86</f>
        <v>N</v>
      </c>
      <c r="I86" s="8" t="str">
        <f>garage!I86</f>
        <v>N</v>
      </c>
      <c r="J86" s="8" t="str">
        <f>garage!J86</f>
        <v>O</v>
      </c>
      <c r="K86" s="8" t="str">
        <f>garage!K86</f>
        <v>B</v>
      </c>
      <c r="L86" s="9" t="str">
        <f>garage!L86</f>
        <v>Arash</v>
      </c>
      <c r="M86" s="9" t="str">
        <f>garage!M86</f>
        <v>AF8 Falcon Edition</v>
      </c>
      <c r="O86" s="39">
        <v>2037</v>
      </c>
      <c r="P86" s="39">
        <v>2265</v>
      </c>
      <c r="Q86" s="39">
        <v>2620</v>
      </c>
      <c r="R86" s="39">
        <v>2970</v>
      </c>
      <c r="S86" s="39">
        <v>3289</v>
      </c>
      <c r="T86" s="39"/>
      <c r="U86" s="39"/>
      <c r="W86" s="8">
        <v>1</v>
      </c>
    </row>
    <row r="87" spans="2:23" ht="18" customHeight="1" x14ac:dyDescent="0.2">
      <c r="B87" s="10">
        <f>garage!B87</f>
        <v>87</v>
      </c>
      <c r="C87" s="10">
        <f>garage!C87</f>
        <v>3</v>
      </c>
      <c r="D87" s="10">
        <f>garage!D87</f>
        <v>15</v>
      </c>
      <c r="E87" s="10">
        <f>garage!E87</f>
        <v>0</v>
      </c>
      <c r="F87" s="10" t="str">
        <f>garage!F87</f>
        <v>F</v>
      </c>
      <c r="G87" s="10" t="str">
        <f>garage!G87</f>
        <v>O</v>
      </c>
      <c r="H87" s="10" t="str">
        <f>garage!H87</f>
        <v>O</v>
      </c>
      <c r="I87" s="10" t="str">
        <f>garage!I87</f>
        <v>O</v>
      </c>
      <c r="J87" s="10" t="str">
        <f>garage!J87</f>
        <v>N</v>
      </c>
      <c r="K87" s="10" t="str">
        <f>garage!K87</f>
        <v>B</v>
      </c>
      <c r="L87" s="11" t="str">
        <f>garage!L87</f>
        <v>Ferrari</v>
      </c>
      <c r="M87" s="11" t="str">
        <f>garage!M87</f>
        <v>488 GTB</v>
      </c>
      <c r="O87" s="10">
        <v>2071</v>
      </c>
      <c r="P87" s="10">
        <v>2303</v>
      </c>
      <c r="Q87" s="10">
        <v>2664</v>
      </c>
      <c r="R87" s="10">
        <v>3011</v>
      </c>
      <c r="S87" s="10">
        <v>3334</v>
      </c>
      <c r="T87" s="10"/>
      <c r="U87" s="10"/>
      <c r="W87" s="10">
        <v>1</v>
      </c>
    </row>
    <row r="88" spans="2:23" ht="18" customHeight="1" x14ac:dyDescent="0.2">
      <c r="B88" s="8">
        <f>garage!B88</f>
        <v>88</v>
      </c>
      <c r="C88" s="8">
        <f>garage!C88</f>
        <v>3</v>
      </c>
      <c r="D88" s="8">
        <f>garage!D88</f>
        <v>16</v>
      </c>
      <c r="E88" s="8">
        <f>garage!E88</f>
        <v>30</v>
      </c>
      <c r="F88" s="8" t="str">
        <f>garage!F88</f>
        <v>--</v>
      </c>
      <c r="G88" s="8" t="str">
        <f>garage!G88</f>
        <v>N</v>
      </c>
      <c r="H88" s="8" t="str">
        <f>garage!H88</f>
        <v>O</v>
      </c>
      <c r="I88" s="8" t="str">
        <f>garage!I88</f>
        <v>N</v>
      </c>
      <c r="J88" s="8" t="str">
        <f>garage!J88</f>
        <v>N</v>
      </c>
      <c r="K88" s="8" t="str">
        <f>garage!K88</f>
        <v>B</v>
      </c>
      <c r="L88" s="9" t="str">
        <f>garage!L88</f>
        <v>Kepler</v>
      </c>
      <c r="M88" s="9" t="str">
        <f>garage!M88</f>
        <v>Motion</v>
      </c>
      <c r="O88" s="39">
        <v>2106</v>
      </c>
      <c r="P88" s="39">
        <v>2342</v>
      </c>
      <c r="Q88" s="39" t="s">
        <v>127</v>
      </c>
      <c r="R88" s="39" t="s">
        <v>127</v>
      </c>
      <c r="S88" s="39" t="s">
        <v>127</v>
      </c>
      <c r="T88" s="39"/>
      <c r="U88" s="39"/>
      <c r="W88" s="8"/>
    </row>
    <row r="89" spans="2:23" ht="18" customHeight="1" x14ac:dyDescent="0.2">
      <c r="B89" s="10">
        <f>garage!B89</f>
        <v>89</v>
      </c>
      <c r="C89" s="10">
        <f>garage!C89</f>
        <v>3</v>
      </c>
      <c r="D89" s="10">
        <f>garage!D89</f>
        <v>17</v>
      </c>
      <c r="E89" s="10">
        <f>garage!E89</f>
        <v>21</v>
      </c>
      <c r="F89" s="10" t="str">
        <f>garage!F89</f>
        <v>--</v>
      </c>
      <c r="G89" s="10" t="str">
        <f>garage!G89</f>
        <v>O</v>
      </c>
      <c r="H89" s="10" t="str">
        <f>garage!H89</f>
        <v>N</v>
      </c>
      <c r="I89" s="10" t="str">
        <f>garage!I89</f>
        <v>N</v>
      </c>
      <c r="J89" s="10" t="str">
        <f>garage!J89</f>
        <v>O</v>
      </c>
      <c r="K89" s="10" t="str">
        <f>garage!K89</f>
        <v>B</v>
      </c>
      <c r="L89" s="11" t="str">
        <f>garage!L89</f>
        <v>Drako</v>
      </c>
      <c r="M89" s="11" t="str">
        <f>garage!M89</f>
        <v>GTE</v>
      </c>
      <c r="O89" s="10">
        <v>2141</v>
      </c>
      <c r="P89" s="10">
        <v>2376</v>
      </c>
      <c r="Q89" s="10">
        <v>2741</v>
      </c>
      <c r="R89" s="10">
        <v>3102</v>
      </c>
      <c r="S89" s="10">
        <v>3425</v>
      </c>
      <c r="T89" s="10"/>
      <c r="U89" s="10"/>
      <c r="W89" s="10">
        <v>1</v>
      </c>
    </row>
    <row r="90" spans="2:23" ht="18" customHeight="1" x14ac:dyDescent="0.2">
      <c r="B90" s="8">
        <f>garage!B90</f>
        <v>90</v>
      </c>
      <c r="C90" s="8">
        <f>garage!C90</f>
        <v>3</v>
      </c>
      <c r="D90" s="8">
        <f>garage!D90</f>
        <v>18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garage!J90</f>
        <v>N</v>
      </c>
      <c r="K90" s="8" t="str">
        <f>garage!K90</f>
        <v>B</v>
      </c>
      <c r="L90" s="9" t="str">
        <f>garage!L90</f>
        <v>Glickhaus</v>
      </c>
      <c r="M90" s="9" t="str">
        <f>garage!M90</f>
        <v>003S</v>
      </c>
      <c r="O90" s="39">
        <v>2211</v>
      </c>
      <c r="P90" s="39">
        <v>2451</v>
      </c>
      <c r="Q90" s="39">
        <v>2824</v>
      </c>
      <c r="R90" s="39">
        <v>3193</v>
      </c>
      <c r="S90" s="39">
        <v>3519</v>
      </c>
      <c r="T90" s="39"/>
      <c r="U90" s="39"/>
      <c r="W90" s="8">
        <v>1</v>
      </c>
    </row>
    <row r="91" spans="2:23" ht="18" customHeight="1" x14ac:dyDescent="0.2">
      <c r="B91" s="10">
        <f>garage!B91</f>
        <v>91</v>
      </c>
      <c r="C91" s="10">
        <f>garage!C91</f>
        <v>3</v>
      </c>
      <c r="D91" s="10">
        <f>garage!D91</f>
        <v>19</v>
      </c>
      <c r="E91" s="10">
        <f>garage!E91</f>
        <v>20</v>
      </c>
      <c r="F91" s="10" t="str">
        <f>garage!F91</f>
        <v>M</v>
      </c>
      <c r="G91" s="10" t="str">
        <f>garage!G91</f>
        <v>O</v>
      </c>
      <c r="H91" s="10" t="str">
        <f>garage!H91</f>
        <v>N</v>
      </c>
      <c r="I91" s="10" t="str">
        <f>garage!I91</f>
        <v>N</v>
      </c>
      <c r="J91" s="10" t="str">
        <f>garage!J91</f>
        <v>N</v>
      </c>
      <c r="K91" s="10" t="str">
        <f>garage!K91</f>
        <v>B</v>
      </c>
      <c r="L91" s="11" t="str">
        <f>garage!L91</f>
        <v>McLaren</v>
      </c>
      <c r="M91" s="11" t="str">
        <f>garage!M91</f>
        <v>Elva</v>
      </c>
      <c r="O91" s="10">
        <v>2211</v>
      </c>
      <c r="P91" s="10">
        <v>2387</v>
      </c>
      <c r="Q91" s="10">
        <v>2645</v>
      </c>
      <c r="R91" s="10">
        <v>2878</v>
      </c>
      <c r="S91" s="10">
        <v>3213</v>
      </c>
      <c r="T91" s="10">
        <v>3533</v>
      </c>
      <c r="U91" s="10"/>
      <c r="W91" s="10">
        <v>1</v>
      </c>
    </row>
    <row r="92" spans="2:23" ht="18" customHeight="1" x14ac:dyDescent="0.2">
      <c r="B92" s="8">
        <f>garage!B92</f>
        <v>92</v>
      </c>
      <c r="C92" s="8">
        <f>garage!C92</f>
        <v>3</v>
      </c>
      <c r="D92" s="8">
        <f>garage!D92</f>
        <v>20</v>
      </c>
      <c r="E92" s="8">
        <f>garage!E92</f>
        <v>27</v>
      </c>
      <c r="F92" s="8" t="str">
        <f>garage!F92</f>
        <v>--</v>
      </c>
      <c r="G92" s="8" t="str">
        <f>garage!G92</f>
        <v>O</v>
      </c>
      <c r="H92" s="8" t="str">
        <f>garage!H92</f>
        <v>N</v>
      </c>
      <c r="I92" s="8" t="str">
        <f>garage!I92</f>
        <v>N</v>
      </c>
      <c r="J92" s="8" t="str">
        <f>garage!J92</f>
        <v>N</v>
      </c>
      <c r="K92" s="8" t="str">
        <f>garage!K92</f>
        <v>B</v>
      </c>
      <c r="L92" s="9" t="str">
        <f>garage!L92</f>
        <v>Nissan</v>
      </c>
      <c r="M92" s="9" t="str">
        <f>garage!M92</f>
        <v>R390 GT1</v>
      </c>
      <c r="O92" s="39" t="s">
        <v>127</v>
      </c>
      <c r="P92" s="39" t="s">
        <v>127</v>
      </c>
      <c r="Q92" s="39">
        <v>2730</v>
      </c>
      <c r="R92" s="39" t="s">
        <v>127</v>
      </c>
      <c r="S92" s="39" t="s">
        <v>127</v>
      </c>
      <c r="T92" s="39" t="s">
        <v>127</v>
      </c>
      <c r="U92" s="39"/>
      <c r="W92" s="8">
        <v>1</v>
      </c>
    </row>
    <row r="93" spans="2:23" ht="18" customHeight="1" x14ac:dyDescent="0.2">
      <c r="B93" s="10">
        <f>garage!B93</f>
        <v>93</v>
      </c>
      <c r="C93" s="10">
        <f>garage!C93</f>
        <v>3</v>
      </c>
      <c r="D93" s="10">
        <f>garage!D93</f>
        <v>21</v>
      </c>
      <c r="E93" s="10">
        <f>garage!E93</f>
        <v>0</v>
      </c>
      <c r="F93" s="10" t="str">
        <f>garage!F93</f>
        <v>F</v>
      </c>
      <c r="G93" s="10" t="str">
        <f>garage!G93</f>
        <v>O</v>
      </c>
      <c r="H93" s="10" t="str">
        <f>garage!H93</f>
        <v>O</v>
      </c>
      <c r="I93" s="10" t="str">
        <f>garage!I93</f>
        <v>O</v>
      </c>
      <c r="J93" s="10" t="str">
        <f>garage!J93</f>
        <v>N</v>
      </c>
      <c r="K93" s="10" t="str">
        <f>garage!K93</f>
        <v>B</v>
      </c>
      <c r="L93" s="11" t="str">
        <f>garage!L93</f>
        <v>Ferrari</v>
      </c>
      <c r="M93" s="11" t="str">
        <f>garage!M93</f>
        <v>F12TDF</v>
      </c>
      <c r="O93" s="10">
        <v>2356</v>
      </c>
      <c r="P93" s="10">
        <v>2543</v>
      </c>
      <c r="Q93" s="10">
        <v>2810</v>
      </c>
      <c r="R93" s="10">
        <v>3050</v>
      </c>
      <c r="S93" s="10">
        <v>3397</v>
      </c>
      <c r="T93" s="10">
        <v>3724</v>
      </c>
      <c r="U93" s="10"/>
      <c r="W93" s="10">
        <v>1</v>
      </c>
    </row>
    <row r="94" spans="2:23" ht="18" customHeight="1" x14ac:dyDescent="0.2">
      <c r="B94" s="8">
        <f>garage!B94</f>
        <v>94</v>
      </c>
      <c r="C94" s="8">
        <f>garage!C94</f>
        <v>3</v>
      </c>
      <c r="D94" s="8">
        <f>garage!D94</f>
        <v>22</v>
      </c>
      <c r="E94" s="8">
        <f>garage!E94</f>
        <v>18</v>
      </c>
      <c r="F94" s="8" t="str">
        <f>garage!F94</f>
        <v>L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garage!J94</f>
        <v>N</v>
      </c>
      <c r="K94" s="8" t="str">
        <f>garage!K94</f>
        <v>B</v>
      </c>
      <c r="L94" s="9" t="str">
        <f>garage!L94</f>
        <v>Lamborghini</v>
      </c>
      <c r="M94" s="9" t="str">
        <f>garage!M94</f>
        <v>Murcielago LP 640 Roadster</v>
      </c>
      <c r="O94" s="39">
        <v>2516</v>
      </c>
      <c r="P94" s="39">
        <v>2687</v>
      </c>
      <c r="Q94" s="39">
        <v>2937</v>
      </c>
      <c r="R94" s="39">
        <v>3161</v>
      </c>
      <c r="S94" s="39">
        <v>3474</v>
      </c>
      <c r="T94" s="39">
        <v>3792</v>
      </c>
      <c r="U94" s="39"/>
      <c r="W94" s="8">
        <v>1</v>
      </c>
    </row>
    <row r="95" spans="2:23" ht="18" customHeight="1" x14ac:dyDescent="0.2">
      <c r="B95" s="10">
        <f>garage!B95</f>
        <v>95</v>
      </c>
      <c r="C95" s="10">
        <f>garage!C95</f>
        <v>3</v>
      </c>
      <c r="D95" s="10">
        <f>garage!D95</f>
        <v>23</v>
      </c>
      <c r="E95" s="10">
        <f>garage!E95</f>
        <v>26</v>
      </c>
      <c r="F95" s="10" t="str">
        <f>garage!F95</f>
        <v>M</v>
      </c>
      <c r="G95" s="10" t="str">
        <f>garage!G95</f>
        <v>O</v>
      </c>
      <c r="H95" s="10" t="str">
        <f>garage!H95</f>
        <v>N</v>
      </c>
      <c r="I95" s="10" t="str">
        <f>garage!I95</f>
        <v>N</v>
      </c>
      <c r="J95" s="10" t="str">
        <f>garage!J95</f>
        <v>N</v>
      </c>
      <c r="K95" s="10" t="str">
        <f>garage!K95</f>
        <v>B</v>
      </c>
      <c r="L95" s="11" t="str">
        <f>garage!L95</f>
        <v>McLaren</v>
      </c>
      <c r="M95" s="11" t="str">
        <f>garage!M95</f>
        <v>765LT</v>
      </c>
      <c r="O95" s="10">
        <v>2430</v>
      </c>
      <c r="P95" s="10">
        <v>2621</v>
      </c>
      <c r="Q95" s="10">
        <v>2893</v>
      </c>
      <c r="R95" s="10">
        <v>3135</v>
      </c>
      <c r="S95" s="10">
        <v>3487</v>
      </c>
      <c r="T95" s="10">
        <v>3821</v>
      </c>
      <c r="U95" s="10"/>
      <c r="W95" s="10">
        <v>1</v>
      </c>
    </row>
    <row r="96" spans="2:23" ht="18" customHeight="1" x14ac:dyDescent="0.2">
      <c r="B96" s="8">
        <f>garage!B96</f>
        <v>96</v>
      </c>
      <c r="C96" s="8">
        <f>garage!C96</f>
        <v>3</v>
      </c>
      <c r="D96" s="8">
        <f>garage!D96</f>
        <v>24</v>
      </c>
      <c r="E96" s="8">
        <f>garage!E96</f>
        <v>0</v>
      </c>
      <c r="F96" s="8" t="str">
        <f>garage!F96</f>
        <v>C</v>
      </c>
      <c r="G96" s="8" t="str">
        <f>garage!G96</f>
        <v>O</v>
      </c>
      <c r="H96" s="8" t="str">
        <f>garage!H96</f>
        <v>O</v>
      </c>
      <c r="I96" s="8" t="str">
        <f>garage!I96</f>
        <v>O</v>
      </c>
      <c r="J96" s="8" t="str">
        <f>garage!J96</f>
        <v>N</v>
      </c>
      <c r="K96" s="8" t="str">
        <f>garage!K96</f>
        <v>B</v>
      </c>
      <c r="L96" s="9" t="str">
        <f>garage!L96</f>
        <v>Chevrolet</v>
      </c>
      <c r="M96" s="9" t="str">
        <f>garage!M96</f>
        <v>Corvette Grand Sport</v>
      </c>
      <c r="O96" s="39">
        <v>2506</v>
      </c>
      <c r="P96" s="39">
        <v>2702</v>
      </c>
      <c r="Q96" s="39">
        <v>2977</v>
      </c>
      <c r="R96" s="39">
        <v>3227</v>
      </c>
      <c r="S96" s="39">
        <v>3581</v>
      </c>
      <c r="T96" s="39">
        <v>3921</v>
      </c>
      <c r="U96" s="39"/>
      <c r="W96" s="8">
        <v>1</v>
      </c>
    </row>
    <row r="97" spans="2:23" ht="18" customHeight="1" x14ac:dyDescent="0.2">
      <c r="B97" s="10">
        <f>garage!B97</f>
        <v>97</v>
      </c>
      <c r="C97" s="10">
        <f>garage!C97</f>
        <v>3</v>
      </c>
      <c r="D97" s="10">
        <f>garage!D97</f>
        <v>25</v>
      </c>
      <c r="E97" s="10">
        <f>garage!E97</f>
        <v>7</v>
      </c>
      <c r="F97" s="10" t="str">
        <f>garage!F97</f>
        <v>AM</v>
      </c>
      <c r="G97" s="10" t="str">
        <f>garage!G97</f>
        <v>O</v>
      </c>
      <c r="H97" s="10" t="str">
        <f>garage!H97</f>
        <v>O</v>
      </c>
      <c r="I97" s="10" t="str">
        <f>garage!I97</f>
        <v>O</v>
      </c>
      <c r="J97" s="10" t="str">
        <f>garage!J97</f>
        <v>N</v>
      </c>
      <c r="K97" s="10" t="str">
        <f>garage!K97</f>
        <v>B</v>
      </c>
      <c r="L97" s="11" t="str">
        <f>garage!L97</f>
        <v>Aston Martin</v>
      </c>
      <c r="M97" s="11" t="str">
        <f>garage!M97</f>
        <v>Vantage GT12</v>
      </c>
      <c r="O97" s="10">
        <v>2526</v>
      </c>
      <c r="P97" s="10">
        <v>2724</v>
      </c>
      <c r="Q97" s="10">
        <v>3001</v>
      </c>
      <c r="R97" s="10">
        <v>3246</v>
      </c>
      <c r="S97" s="10">
        <v>3575</v>
      </c>
      <c r="T97" s="10">
        <v>3946</v>
      </c>
      <c r="U97" s="10"/>
      <c r="W97" s="10">
        <v>1</v>
      </c>
    </row>
    <row r="98" spans="2:23" ht="18" customHeight="1" x14ac:dyDescent="0.2">
      <c r="B98" s="8">
        <f>garage!B98</f>
        <v>98</v>
      </c>
      <c r="C98" s="8">
        <f>garage!C98</f>
        <v>3</v>
      </c>
      <c r="D98" s="8">
        <f>garage!D98</f>
        <v>26</v>
      </c>
      <c r="E98" s="8">
        <f>garage!E98</f>
        <v>14</v>
      </c>
      <c r="F98" s="8" t="str">
        <f>garage!F98</f>
        <v>--</v>
      </c>
      <c r="G98" s="8" t="str">
        <f>garage!G98</f>
        <v>O</v>
      </c>
      <c r="H98" s="8" t="str">
        <f>garage!H98</f>
        <v>O</v>
      </c>
      <c r="I98" s="8" t="str">
        <f>garage!I98</f>
        <v>N</v>
      </c>
      <c r="J98" s="8" t="str">
        <f>garage!J98</f>
        <v>N</v>
      </c>
      <c r="K98" s="8" t="str">
        <f>garage!K98</f>
        <v>B</v>
      </c>
      <c r="L98" s="9" t="str">
        <f>garage!L98</f>
        <v>Apex</v>
      </c>
      <c r="M98" s="9" t="str">
        <f>garage!M98</f>
        <v>AP-0</v>
      </c>
      <c r="O98" s="39">
        <v>2412</v>
      </c>
      <c r="P98" s="39">
        <v>2626</v>
      </c>
      <c r="Q98" s="39">
        <v>2926</v>
      </c>
      <c r="R98" s="39">
        <v>3189</v>
      </c>
      <c r="S98" s="39">
        <v>3575</v>
      </c>
      <c r="T98" s="39">
        <v>3946</v>
      </c>
      <c r="U98" s="39"/>
      <c r="W98" s="8">
        <v>1</v>
      </c>
    </row>
    <row r="99" spans="2:23" ht="18" customHeight="1" x14ac:dyDescent="0.2">
      <c r="B99" s="10">
        <f>garage!B99</f>
        <v>99</v>
      </c>
      <c r="C99" s="10">
        <f>garage!C99</f>
        <v>3</v>
      </c>
      <c r="D99" s="10">
        <f>garage!D99</f>
        <v>27</v>
      </c>
      <c r="E99" s="10">
        <f>garage!E99</f>
        <v>16</v>
      </c>
      <c r="F99" s="10" t="str">
        <f>garage!F99</f>
        <v>--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garage!J99</f>
        <v>N</v>
      </c>
      <c r="K99" s="10" t="str">
        <f>garage!K99</f>
        <v>B</v>
      </c>
      <c r="L99" s="11" t="str">
        <f>garage!L99</f>
        <v>Apollo</v>
      </c>
      <c r="M99" s="11" t="str">
        <f>garage!M99</f>
        <v>IE</v>
      </c>
      <c r="O99" s="10">
        <v>2430</v>
      </c>
      <c r="P99" s="10">
        <v>2638</v>
      </c>
      <c r="Q99" s="10">
        <v>2939</v>
      </c>
      <c r="R99" s="10">
        <v>3205</v>
      </c>
      <c r="S99" s="10">
        <v>3586</v>
      </c>
      <c r="T99" s="10">
        <v>3953</v>
      </c>
      <c r="U99" s="10"/>
      <c r="W99" s="10">
        <v>1</v>
      </c>
    </row>
    <row r="100" spans="2:23" ht="18" customHeight="1" x14ac:dyDescent="0.2">
      <c r="B100" s="8">
        <f>garage!B100</f>
        <v>100</v>
      </c>
      <c r="C100" s="8">
        <f>garage!C100</f>
        <v>3</v>
      </c>
      <c r="D100" s="8">
        <f>garage!D100</f>
        <v>28</v>
      </c>
      <c r="E100" s="8">
        <f>garage!E100</f>
        <v>0</v>
      </c>
      <c r="F100" s="8" t="str">
        <f>garage!F100</f>
        <v>--</v>
      </c>
      <c r="G100" s="8" t="str">
        <f>garage!G100</f>
        <v>O</v>
      </c>
      <c r="H100" s="8" t="str">
        <f>garage!H100</f>
        <v>O</v>
      </c>
      <c r="I100" s="8" t="str">
        <f>garage!I100</f>
        <v>O</v>
      </c>
      <c r="J100" s="8" t="str">
        <f>garage!J100</f>
        <v>N</v>
      </c>
      <c r="K100" s="8" t="str">
        <f>garage!K100</f>
        <v>B</v>
      </c>
      <c r="L100" s="9" t="str">
        <f>garage!L100</f>
        <v>Sin</v>
      </c>
      <c r="M100" s="9" t="str">
        <f>garage!M100</f>
        <v>R1 550</v>
      </c>
      <c r="O100" s="39">
        <v>2545</v>
      </c>
      <c r="P100" s="39">
        <v>2743</v>
      </c>
      <c r="Q100" s="39">
        <v>3025</v>
      </c>
      <c r="R100" s="39">
        <v>3272</v>
      </c>
      <c r="S100" s="39">
        <v>3628</v>
      </c>
      <c r="T100" s="39">
        <v>3971</v>
      </c>
      <c r="U100" s="39"/>
      <c r="W100" s="8">
        <v>1</v>
      </c>
    </row>
    <row r="101" spans="2:23" ht="18" customHeight="1" x14ac:dyDescent="0.2">
      <c r="B101" s="10">
        <f>garage!B101</f>
        <v>101</v>
      </c>
      <c r="C101" s="10">
        <f>garage!C101</f>
        <v>3</v>
      </c>
      <c r="D101" s="10">
        <f>garage!D101</f>
        <v>29</v>
      </c>
      <c r="E101" s="10">
        <f>garage!E101</f>
        <v>25</v>
      </c>
      <c r="F101" s="10" t="str">
        <f>garage!F101</f>
        <v>L</v>
      </c>
      <c r="G101" s="10" t="str">
        <f>garage!G101</f>
        <v>O</v>
      </c>
      <c r="H101" s="10" t="str">
        <f>garage!H101</f>
        <v>N</v>
      </c>
      <c r="I101" s="10" t="str">
        <f>garage!I101</f>
        <v>N</v>
      </c>
      <c r="J101" s="10" t="str">
        <f>garage!J101</f>
        <v>N</v>
      </c>
      <c r="K101" s="10" t="str">
        <f>garage!K101</f>
        <v>B</v>
      </c>
      <c r="L101" s="11" t="str">
        <f>garage!L101</f>
        <v>Lamborghini</v>
      </c>
      <c r="M101" s="11" t="str">
        <f>garage!M101</f>
        <v>Reventón Roadster</v>
      </c>
      <c r="O101" s="10">
        <v>2555</v>
      </c>
      <c r="P101" s="10">
        <v>2747</v>
      </c>
      <c r="Q101" s="10">
        <v>3021</v>
      </c>
      <c r="R101" s="10">
        <v>3266</v>
      </c>
      <c r="S101" s="10">
        <v>3622</v>
      </c>
      <c r="T101" s="10">
        <v>3984</v>
      </c>
      <c r="U101" s="10"/>
      <c r="W101" s="10">
        <v>1</v>
      </c>
    </row>
    <row r="102" spans="2:23" ht="18" customHeight="1" x14ac:dyDescent="0.2">
      <c r="B102" s="8">
        <f>garage!B102</f>
        <v>102</v>
      </c>
      <c r="C102" s="8">
        <f>garage!C102</f>
        <v>3</v>
      </c>
      <c r="D102" s="8">
        <f>garage!D102</f>
        <v>30</v>
      </c>
      <c r="E102" s="8">
        <f>garage!E102</f>
        <v>15</v>
      </c>
      <c r="F102" s="8" t="str">
        <f>garage!F102</f>
        <v>F</v>
      </c>
      <c r="G102" s="8" t="str">
        <f>garage!G102</f>
        <v>O</v>
      </c>
      <c r="H102" s="8" t="str">
        <f>garage!H102</f>
        <v>O</v>
      </c>
      <c r="I102" s="8" t="str">
        <f>garage!I102</f>
        <v>N</v>
      </c>
      <c r="J102" s="8" t="str">
        <f>garage!J102</f>
        <v>N</v>
      </c>
      <c r="K102" s="8" t="str">
        <f>garage!K102</f>
        <v>B</v>
      </c>
      <c r="L102" s="9" t="str">
        <f>garage!L102</f>
        <v>Ferrari</v>
      </c>
      <c r="M102" s="9" t="str">
        <f>garage!M102</f>
        <v>Enzo Ferrari</v>
      </c>
      <c r="O102" s="39">
        <v>2574</v>
      </c>
      <c r="P102" s="39">
        <v>2769</v>
      </c>
      <c r="Q102" s="39">
        <v>3050</v>
      </c>
      <c r="R102" s="39">
        <v>3304</v>
      </c>
      <c r="S102" s="39">
        <v>3665</v>
      </c>
      <c r="T102" s="39">
        <v>4009</v>
      </c>
      <c r="U102" s="39"/>
      <c r="W102" s="8">
        <v>1</v>
      </c>
    </row>
    <row r="103" spans="2:23" ht="18" customHeight="1" x14ac:dyDescent="0.2">
      <c r="B103" s="10">
        <f>garage!B103</f>
        <v>103</v>
      </c>
      <c r="C103" s="10">
        <f>garage!C103</f>
        <v>3</v>
      </c>
      <c r="D103" s="10">
        <f>garage!D103</f>
        <v>31</v>
      </c>
      <c r="E103" s="10">
        <f>garage!E103</f>
        <v>23</v>
      </c>
      <c r="F103" s="10" t="str">
        <f>garage!F103</f>
        <v>AM</v>
      </c>
      <c r="G103" s="10" t="str">
        <f>garage!G103</f>
        <v>O</v>
      </c>
      <c r="H103" s="10" t="str">
        <f>garage!H103</f>
        <v>N</v>
      </c>
      <c r="I103" s="10" t="str">
        <f>garage!I103</f>
        <v>N</v>
      </c>
      <c r="J103" s="10" t="str">
        <f>garage!J103</f>
        <v>N</v>
      </c>
      <c r="K103" s="10" t="str">
        <f>garage!K103</f>
        <v>B</v>
      </c>
      <c r="L103" s="11" t="str">
        <f>garage!L103</f>
        <v>Aston Martin</v>
      </c>
      <c r="M103" s="11" t="str">
        <f>garage!M103</f>
        <v>One77</v>
      </c>
      <c r="O103" s="10">
        <v>2584</v>
      </c>
      <c r="P103" s="10">
        <v>2777</v>
      </c>
      <c r="Q103" s="10">
        <v>3059</v>
      </c>
      <c r="R103" s="10">
        <v>3312</v>
      </c>
      <c r="S103" s="10">
        <v>3671</v>
      </c>
      <c r="T103" s="10">
        <v>4022</v>
      </c>
      <c r="U103" s="10"/>
      <c r="W103" s="10">
        <v>1</v>
      </c>
    </row>
    <row r="104" spans="2:23" ht="18" customHeight="1" x14ac:dyDescent="0.2">
      <c r="B104" s="8">
        <f>garage!B104</f>
        <v>104</v>
      </c>
      <c r="C104" s="8">
        <f>garage!C104</f>
        <v>3</v>
      </c>
      <c r="D104" s="8">
        <f>garage!D104</f>
        <v>32</v>
      </c>
      <c r="E104" s="8">
        <f>garage!E104</f>
        <v>0</v>
      </c>
      <c r="F104" s="8" t="str">
        <f>garage!F104</f>
        <v>--</v>
      </c>
      <c r="G104" s="8" t="str">
        <f>garage!G104</f>
        <v>O</v>
      </c>
      <c r="H104" s="8" t="str">
        <f>garage!H104</f>
        <v>O</v>
      </c>
      <c r="I104" s="8" t="str">
        <f>garage!I104</f>
        <v>O</v>
      </c>
      <c r="J104" s="8" t="str">
        <f>garage!J104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N</v>
      </c>
      <c r="O104" s="39">
        <v>2603</v>
      </c>
      <c r="P104" s="39">
        <v>2798</v>
      </c>
      <c r="Q104" s="39">
        <v>3078</v>
      </c>
      <c r="R104" s="39">
        <v>3328</v>
      </c>
      <c r="S104" s="39">
        <v>3690</v>
      </c>
      <c r="T104" s="39">
        <v>4047</v>
      </c>
      <c r="U104" s="39"/>
      <c r="W104" s="8">
        <v>1</v>
      </c>
    </row>
    <row r="105" spans="2:23" ht="18" customHeight="1" x14ac:dyDescent="0.2">
      <c r="B105" s="10">
        <f>garage!B105</f>
        <v>105</v>
      </c>
      <c r="C105" s="10">
        <f>garage!C105</f>
        <v>3</v>
      </c>
      <c r="D105" s="10">
        <f>garage!D105</f>
        <v>33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N</v>
      </c>
      <c r="J105" s="10" t="str">
        <f>garage!J105</f>
        <v>N</v>
      </c>
      <c r="K105" s="10" t="str">
        <f>garage!K105</f>
        <v>B</v>
      </c>
      <c r="L105" s="11" t="str">
        <f>garage!L105</f>
        <v>Mercedes-Benz</v>
      </c>
      <c r="M105" s="11" t="str">
        <f>garage!M105</f>
        <v>SLR McLaren</v>
      </c>
      <c r="O105" s="10">
        <v>2097</v>
      </c>
      <c r="P105" s="10">
        <v>2364</v>
      </c>
      <c r="Q105" s="10">
        <v>2747</v>
      </c>
      <c r="R105" s="10">
        <v>3089</v>
      </c>
      <c r="S105" s="10">
        <v>3585</v>
      </c>
      <c r="T105" s="10">
        <v>4058</v>
      </c>
      <c r="U105" s="10"/>
      <c r="W105" s="10">
        <v>1</v>
      </c>
    </row>
    <row r="106" spans="2:23" ht="18" customHeight="1" x14ac:dyDescent="0.2">
      <c r="B106" s="8">
        <f>garage!B106</f>
        <v>106</v>
      </c>
      <c r="C106" s="8">
        <f>garage!C106</f>
        <v>3</v>
      </c>
      <c r="D106" s="8">
        <f>garage!D106</f>
        <v>34</v>
      </c>
      <c r="E106" s="8">
        <f>garage!E106</f>
        <v>8</v>
      </c>
      <c r="F106" s="8" t="str">
        <f>garage!F106</f>
        <v>AM</v>
      </c>
      <c r="G106" s="8" t="str">
        <f>garage!G106</f>
        <v>O</v>
      </c>
      <c r="H106" s="8" t="str">
        <f>garage!H106</f>
        <v>O</v>
      </c>
      <c r="I106" s="8" t="str">
        <f>garage!I106</f>
        <v>O</v>
      </c>
      <c r="J106" s="8" t="str">
        <f>garage!J106</f>
        <v>N</v>
      </c>
      <c r="K106" s="8" t="str">
        <f>garage!K106</f>
        <v>B</v>
      </c>
      <c r="L106" s="9" t="str">
        <f>garage!L106</f>
        <v>Aston Martin</v>
      </c>
      <c r="M106" s="9" t="str">
        <f>garage!M106</f>
        <v>DBS Superleggera</v>
      </c>
      <c r="O106" s="39">
        <v>2412</v>
      </c>
      <c r="P106" s="39">
        <v>2638</v>
      </c>
      <c r="Q106" s="39">
        <v>2963</v>
      </c>
      <c r="R106" s="39">
        <v>3251</v>
      </c>
      <c r="S106" s="39">
        <v>3666</v>
      </c>
      <c r="T106" s="39">
        <v>4059</v>
      </c>
      <c r="U106" s="39"/>
      <c r="W106" s="8">
        <v>1</v>
      </c>
    </row>
    <row r="107" spans="2:23" ht="18" customHeight="1" x14ac:dyDescent="0.2">
      <c r="B107" s="10">
        <f>garage!B107</f>
        <v>107</v>
      </c>
      <c r="C107" s="10">
        <f>garage!C107</f>
        <v>3</v>
      </c>
      <c r="D107" s="10">
        <f>garage!D107</f>
        <v>35</v>
      </c>
      <c r="E107" s="10">
        <f>garage!E107</f>
        <v>18</v>
      </c>
      <c r="F107" s="10" t="str">
        <f>garage!F107</f>
        <v>L</v>
      </c>
      <c r="G107" s="10" t="str">
        <f>garage!G107</f>
        <v>O</v>
      </c>
      <c r="H107" s="10" t="str">
        <f>garage!H107</f>
        <v>N</v>
      </c>
      <c r="I107" s="10" t="str">
        <f>garage!I107</f>
        <v>N</v>
      </c>
      <c r="J107" s="10" t="str">
        <f>garage!J107</f>
        <v>N</v>
      </c>
      <c r="K107" s="10" t="str">
        <f>garage!K107</f>
        <v>B</v>
      </c>
      <c r="L107" s="11" t="str">
        <f>garage!L107</f>
        <v>Lamborghini</v>
      </c>
      <c r="M107" s="11" t="str">
        <f>garage!M107</f>
        <v>Essenza SCV12</v>
      </c>
      <c r="O107" s="10">
        <v>2506</v>
      </c>
      <c r="P107" s="10">
        <v>2719</v>
      </c>
      <c r="Q107" s="10">
        <v>3025</v>
      </c>
      <c r="R107" s="10">
        <v>3294</v>
      </c>
      <c r="S107" s="10">
        <v>3687</v>
      </c>
      <c r="T107" s="10">
        <v>4061</v>
      </c>
      <c r="U107" s="10"/>
      <c r="W107" s="10">
        <v>1</v>
      </c>
    </row>
    <row r="108" spans="2:23" ht="18" customHeight="1" x14ac:dyDescent="0.2">
      <c r="B108" s="8">
        <f>garage!B108</f>
        <v>108</v>
      </c>
      <c r="C108" s="8">
        <f>garage!C108</f>
        <v>3</v>
      </c>
      <c r="D108" s="8">
        <f>garage!D108</f>
        <v>36</v>
      </c>
      <c r="E108" s="8">
        <f>garage!E108</f>
        <v>29</v>
      </c>
      <c r="F108" s="8" t="str">
        <f>garage!F108</f>
        <v>M</v>
      </c>
      <c r="G108" s="8" t="str">
        <f>garage!G108</f>
        <v>N</v>
      </c>
      <c r="H108" s="8" t="str">
        <f>garage!H108</f>
        <v>N</v>
      </c>
      <c r="I108" s="8" t="str">
        <f>garage!I108</f>
        <v>N</v>
      </c>
      <c r="J108" s="8" t="str">
        <f>garage!J108</f>
        <v>N</v>
      </c>
      <c r="K108" s="8" t="str">
        <f>garage!K108</f>
        <v>B</v>
      </c>
      <c r="L108" s="9" t="str">
        <f>garage!L108</f>
        <v>McLaren</v>
      </c>
      <c r="M108" s="9" t="str">
        <f>garage!M108</f>
        <v>600LT Spider</v>
      </c>
      <c r="O108" s="39">
        <v>2393</v>
      </c>
      <c r="P108" s="39">
        <v>2624</v>
      </c>
      <c r="Q108" s="39"/>
      <c r="R108" s="39"/>
      <c r="S108" s="39"/>
      <c r="T108" s="39"/>
      <c r="U108" s="39"/>
      <c r="W108" s="8">
        <v>1</v>
      </c>
    </row>
    <row r="109" spans="2:23" ht="18" customHeight="1" x14ac:dyDescent="0.2">
      <c r="B109" s="10">
        <f>garage!B109</f>
        <v>109</v>
      </c>
      <c r="C109" s="10">
        <f>garage!C109</f>
        <v>3</v>
      </c>
      <c r="D109" s="10">
        <f>garage!D109</f>
        <v>37</v>
      </c>
      <c r="E109" s="10">
        <f>garage!E109</f>
        <v>24</v>
      </c>
      <c r="F109" s="10" t="str">
        <f>garage!F109</f>
        <v>--</v>
      </c>
      <c r="G109" s="10" t="str">
        <f>garage!G109</f>
        <v>O</v>
      </c>
      <c r="H109" s="10" t="str">
        <f>garage!H109</f>
        <v>N</v>
      </c>
      <c r="I109" s="10" t="str">
        <f>garage!I109</f>
        <v>N</v>
      </c>
      <c r="J109" s="10" t="str">
        <f>garage!J109</f>
        <v>N</v>
      </c>
      <c r="K109" s="10" t="str">
        <f>garage!K109</f>
        <v>B</v>
      </c>
      <c r="L109" s="11" t="str">
        <f>garage!L109</f>
        <v>Puritalia</v>
      </c>
      <c r="M109" s="11" t="str">
        <f>garage!M109</f>
        <v>Berlinetta</v>
      </c>
      <c r="O109" s="10">
        <v>2603</v>
      </c>
      <c r="P109" s="10">
        <v>2803</v>
      </c>
      <c r="Q109" s="10">
        <v>3090</v>
      </c>
      <c r="R109" s="10">
        <v>3347</v>
      </c>
      <c r="S109" s="10">
        <v>3721</v>
      </c>
      <c r="T109" s="10">
        <v>4076</v>
      </c>
      <c r="U109" s="10"/>
      <c r="W109" s="10">
        <v>1</v>
      </c>
    </row>
    <row r="110" spans="2:23" ht="18" customHeight="1" x14ac:dyDescent="0.2">
      <c r="B110" s="8">
        <f>garage!B110</f>
        <v>110</v>
      </c>
      <c r="C110" s="8">
        <f>garage!C110</f>
        <v>3</v>
      </c>
      <c r="D110" s="8">
        <f>garage!D110</f>
        <v>38</v>
      </c>
      <c r="E110" s="8">
        <f>garage!E110</f>
        <v>0</v>
      </c>
      <c r="F110" s="8" t="str">
        <f>garage!F110</f>
        <v>L</v>
      </c>
      <c r="G110" s="8" t="str">
        <f>garage!G110</f>
        <v>O</v>
      </c>
      <c r="H110" s="8" t="str">
        <f>garage!H110</f>
        <v>O</v>
      </c>
      <c r="I110" s="8" t="str">
        <f>garage!I110</f>
        <v>O</v>
      </c>
      <c r="J110" s="8" t="str">
        <f>garage!J110</f>
        <v>N</v>
      </c>
      <c r="K110" s="8" t="str">
        <f>garage!K110</f>
        <v>B</v>
      </c>
      <c r="L110" s="9" t="str">
        <f>garage!L110</f>
        <v>Lamborghini</v>
      </c>
      <c r="M110" s="9" t="str">
        <f>garage!M110</f>
        <v>Huracán Evo Spyder</v>
      </c>
      <c r="O110" s="39">
        <v>2004</v>
      </c>
      <c r="P110" s="39">
        <v>2291</v>
      </c>
      <c r="Q110" s="39">
        <v>2706</v>
      </c>
      <c r="R110" s="39">
        <v>3075</v>
      </c>
      <c r="S110" s="39">
        <v>3604</v>
      </c>
      <c r="T110" s="39">
        <v>4109</v>
      </c>
      <c r="U110" s="39"/>
      <c r="W110" s="8">
        <v>1</v>
      </c>
    </row>
    <row r="111" spans="2:23" ht="18" customHeight="1" x14ac:dyDescent="0.2">
      <c r="B111" s="10">
        <f>garage!B111</f>
        <v>111</v>
      </c>
      <c r="C111" s="10">
        <f>garage!C111</f>
        <v>3</v>
      </c>
      <c r="D111" s="10">
        <f>garage!D111</f>
        <v>39</v>
      </c>
      <c r="E111" s="10">
        <f>garage!E111</f>
        <v>11</v>
      </c>
      <c r="F111" s="10" t="str">
        <f>garage!F111</f>
        <v>P</v>
      </c>
      <c r="G111" s="10" t="str">
        <f>garage!G111</f>
        <v>O</v>
      </c>
      <c r="H111" s="10" t="str">
        <f>garage!H111</f>
        <v>N</v>
      </c>
      <c r="I111" s="10" t="str">
        <f>garage!I111</f>
        <v>N</v>
      </c>
      <c r="J111" s="10" t="str">
        <f>garage!J111</f>
        <v>N</v>
      </c>
      <c r="K111" s="10" t="str">
        <f>garage!K111</f>
        <v>B</v>
      </c>
      <c r="L111" s="11" t="str">
        <f>garage!L111</f>
        <v>Porsche</v>
      </c>
      <c r="M111" s="11" t="str">
        <f>garage!M111</f>
        <v>Carrera GT</v>
      </c>
      <c r="O111" s="10">
        <v>2506</v>
      </c>
      <c r="P111" s="10">
        <v>2728</v>
      </c>
      <c r="Q111" s="10">
        <v>3045</v>
      </c>
      <c r="R111" s="10">
        <v>3327</v>
      </c>
      <c r="S111" s="10">
        <v>3735</v>
      </c>
      <c r="T111" s="10">
        <v>4126</v>
      </c>
      <c r="U111" s="10"/>
      <c r="W111" s="10">
        <v>1</v>
      </c>
    </row>
    <row r="112" spans="2:23" ht="18" customHeight="1" x14ac:dyDescent="0.2">
      <c r="B112" s="8">
        <f>garage!B112</f>
        <v>112</v>
      </c>
      <c r="C112" s="8">
        <f>garage!C112</f>
        <v>3</v>
      </c>
      <c r="D112" s="8">
        <f>garage!D112</f>
        <v>40</v>
      </c>
      <c r="E112" s="8">
        <f>garage!E112</f>
        <v>22</v>
      </c>
      <c r="F112" s="8" t="str">
        <f>garage!F112</f>
        <v>--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garage!J112</f>
        <v>N</v>
      </c>
      <c r="K112" s="8" t="str">
        <f>garage!K112</f>
        <v>B</v>
      </c>
      <c r="L112" s="9" t="str">
        <f>garage!L112</f>
        <v>Nissan</v>
      </c>
      <c r="M112" s="9" t="str">
        <f>garage!M112</f>
        <v>GTR-50 Italdesign</v>
      </c>
      <c r="O112" s="39">
        <v>2089</v>
      </c>
      <c r="P112" s="39">
        <v>2372</v>
      </c>
      <c r="Q112" s="39">
        <v>2775</v>
      </c>
      <c r="R112" s="39">
        <v>3136</v>
      </c>
      <c r="S112" s="39">
        <v>3652</v>
      </c>
      <c r="T112" s="39">
        <v>4153</v>
      </c>
      <c r="U112" s="39"/>
      <c r="W112" s="8">
        <v>1</v>
      </c>
    </row>
    <row r="113" spans="2:23" ht="18" customHeight="1" x14ac:dyDescent="0.2">
      <c r="B113" s="10">
        <f>garage!B113</f>
        <v>113</v>
      </c>
      <c r="C113" s="10">
        <f>garage!C113</f>
        <v>3</v>
      </c>
      <c r="D113" s="10">
        <f>garage!D113</f>
        <v>41</v>
      </c>
      <c r="E113" s="10">
        <f>garage!E113</f>
        <v>19</v>
      </c>
      <c r="F113" s="10" t="str">
        <f>garage!F113</f>
        <v>--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garage!J113</f>
        <v>O</v>
      </c>
      <c r="K113" s="10" t="str">
        <f>garage!K113</f>
        <v>B</v>
      </c>
      <c r="L113" s="11" t="str">
        <f>garage!L113</f>
        <v>Zenvo</v>
      </c>
      <c r="M113" s="11" t="str">
        <f>garage!M113</f>
        <v>TSR-S</v>
      </c>
      <c r="O113" s="10">
        <v>2021</v>
      </c>
      <c r="P113" s="10">
        <v>2316</v>
      </c>
      <c r="Q113" s="10">
        <v>2734</v>
      </c>
      <c r="R113" s="10">
        <v>3105</v>
      </c>
      <c r="S113" s="10">
        <v>3648</v>
      </c>
      <c r="T113" s="10">
        <v>4171</v>
      </c>
      <c r="U113" s="10"/>
      <c r="W113" s="10">
        <v>1</v>
      </c>
    </row>
    <row r="114" spans="2:23" ht="18" customHeight="1" x14ac:dyDescent="0.2">
      <c r="B114" s="8">
        <f>garage!B114</f>
        <v>114</v>
      </c>
      <c r="C114" s="8">
        <f>garage!C114</f>
        <v>3</v>
      </c>
      <c r="D114" s="8">
        <f>garage!D114</f>
        <v>42</v>
      </c>
      <c r="E114" s="8">
        <f>garage!E114</f>
        <v>25</v>
      </c>
      <c r="F114" s="8" t="str">
        <f>garage!F114</f>
        <v>L</v>
      </c>
      <c r="G114" s="8" t="str">
        <f>garage!G114</f>
        <v>N</v>
      </c>
      <c r="H114" s="8" t="str">
        <f>garage!H114</f>
        <v>N</v>
      </c>
      <c r="I114" s="8" t="str">
        <f>garage!I114</f>
        <v>N</v>
      </c>
      <c r="J114" s="8" t="str">
        <f>garage!J114</f>
        <v>N</v>
      </c>
      <c r="K114" s="8" t="str">
        <f>garage!K114</f>
        <v>B</v>
      </c>
      <c r="L114" s="9" t="str">
        <f>garage!L114</f>
        <v>Lamborghini</v>
      </c>
      <c r="M114" s="9" t="str">
        <f>garage!M114</f>
        <v>Sesto Elemento</v>
      </c>
      <c r="O114" s="39">
        <v>2029</v>
      </c>
      <c r="P114" s="39">
        <v>2295</v>
      </c>
      <c r="Q114" s="39">
        <v>2605</v>
      </c>
      <c r="R114" s="39">
        <v>2917</v>
      </c>
      <c r="S114" s="39">
        <v>3343</v>
      </c>
      <c r="T114" s="39">
        <v>3833</v>
      </c>
      <c r="U114" s="39">
        <v>4183</v>
      </c>
      <c r="W114" s="8">
        <v>1</v>
      </c>
    </row>
    <row r="115" spans="2:23" ht="18" customHeight="1" x14ac:dyDescent="0.2">
      <c r="B115" s="10">
        <f>garage!B115</f>
        <v>115</v>
      </c>
      <c r="C115" s="10">
        <f>garage!C115</f>
        <v>3</v>
      </c>
      <c r="D115" s="10">
        <f>garage!D115</f>
        <v>43</v>
      </c>
      <c r="E115" s="10">
        <f>garage!E115</f>
        <v>7</v>
      </c>
      <c r="F115" s="10" t="str">
        <f>garage!F115</f>
        <v>P</v>
      </c>
      <c r="G115" s="10" t="str">
        <f>garage!G115</f>
        <v>O</v>
      </c>
      <c r="H115" s="10" t="str">
        <f>garage!H115</f>
        <v>N</v>
      </c>
      <c r="I115" s="10" t="str">
        <f>garage!I115</f>
        <v>N</v>
      </c>
      <c r="J115" s="10" t="str">
        <f>garage!J115</f>
        <v>N</v>
      </c>
      <c r="K115" s="10" t="str">
        <f>garage!K115</f>
        <v>B</v>
      </c>
      <c r="L115" s="11" t="str">
        <f>garage!L115</f>
        <v>Porsche</v>
      </c>
      <c r="M115" s="11" t="str">
        <f>garage!M115</f>
        <v>911 GT3 RS</v>
      </c>
      <c r="O115" s="10">
        <v>1809</v>
      </c>
      <c r="P115" s="10">
        <v>2109</v>
      </c>
      <c r="Q115" s="10">
        <v>2458</v>
      </c>
      <c r="R115" s="10">
        <v>2806</v>
      </c>
      <c r="S115" s="10">
        <v>3285</v>
      </c>
      <c r="T115" s="10">
        <v>3824</v>
      </c>
      <c r="U115" s="10">
        <v>4211</v>
      </c>
      <c r="W115" s="10">
        <v>1</v>
      </c>
    </row>
    <row r="116" spans="2:23" ht="18" customHeight="1" x14ac:dyDescent="0.2">
      <c r="B116" s="8">
        <f>garage!B116</f>
        <v>116</v>
      </c>
      <c r="C116" s="8">
        <f>garage!C116</f>
        <v>3</v>
      </c>
      <c r="D116" s="8">
        <f>garage!D116</f>
        <v>44</v>
      </c>
      <c r="E116" s="8">
        <f>garage!E116</f>
        <v>15</v>
      </c>
      <c r="F116" s="8" t="str">
        <f>garage!F116</f>
        <v>F</v>
      </c>
      <c r="G116" s="8" t="str">
        <f>garage!G116</f>
        <v>N</v>
      </c>
      <c r="H116" s="8" t="str">
        <f>garage!H116</f>
        <v>N</v>
      </c>
      <c r="I116" s="8" t="str">
        <f>garage!I116</f>
        <v>N</v>
      </c>
      <c r="J116" s="8" t="str">
        <f>garage!J116</f>
        <v>O</v>
      </c>
      <c r="K116" s="8" t="str">
        <f>garage!K116</f>
        <v>B</v>
      </c>
      <c r="L116" s="9" t="str">
        <f>garage!L116</f>
        <v>Ferrari</v>
      </c>
      <c r="M116" s="9" t="str">
        <f>garage!M116</f>
        <v>488 GTB Challenge EVO</v>
      </c>
      <c r="O116" s="39">
        <v>2141</v>
      </c>
      <c r="P116" s="39">
        <v>2403</v>
      </c>
      <c r="Q116" s="39">
        <v>2703</v>
      </c>
      <c r="R116" s="39">
        <v>3009</v>
      </c>
      <c r="S116" s="39">
        <v>3427</v>
      </c>
      <c r="T116" s="39">
        <v>3908</v>
      </c>
      <c r="U116" s="39">
        <v>4255</v>
      </c>
      <c r="W116" s="8">
        <v>1</v>
      </c>
    </row>
    <row r="117" spans="2:23" ht="18" customHeight="1" x14ac:dyDescent="0.2">
      <c r="B117" s="10">
        <f>garage!B117</f>
        <v>117</v>
      </c>
      <c r="C117" s="10">
        <f>garage!C117</f>
        <v>3</v>
      </c>
      <c r="D117" s="10">
        <f>garage!D117</f>
        <v>45</v>
      </c>
      <c r="E117" s="10">
        <f>garage!E117</f>
        <v>10</v>
      </c>
      <c r="F117" s="10" t="str">
        <f>garage!F117</f>
        <v>--</v>
      </c>
      <c r="G117" s="10" t="str">
        <f>garage!G117</f>
        <v>O</v>
      </c>
      <c r="H117" s="10" t="str">
        <f>garage!H117</f>
        <v>N</v>
      </c>
      <c r="I117" s="10" t="str">
        <f>garage!I117</f>
        <v>N</v>
      </c>
      <c r="J117" s="10" t="str">
        <f>garage!J117</f>
        <v>N</v>
      </c>
      <c r="K117" s="10" t="str">
        <f>garage!K117</f>
        <v>B</v>
      </c>
      <c r="L117" s="11" t="str">
        <f>garage!L117</f>
        <v>Lotus</v>
      </c>
      <c r="M117" s="11" t="str">
        <f>garage!M117</f>
        <v>Evija</v>
      </c>
      <c r="O117" s="10">
        <v>2229</v>
      </c>
      <c r="P117" s="10">
        <v>2484</v>
      </c>
      <c r="Q117" s="10">
        <v>2778</v>
      </c>
      <c r="R117" s="10">
        <v>3075</v>
      </c>
      <c r="S117" s="10">
        <v>3482</v>
      </c>
      <c r="T117" s="10">
        <v>3944</v>
      </c>
      <c r="U117" s="10">
        <v>4276</v>
      </c>
      <c r="W117" s="10">
        <v>1</v>
      </c>
    </row>
    <row r="118" spans="2:23" ht="18" customHeight="1" x14ac:dyDescent="0.2">
      <c r="B118" s="8">
        <f>garage!B118</f>
        <v>118</v>
      </c>
      <c r="C118" s="8">
        <f>garage!C118</f>
        <v>3</v>
      </c>
      <c r="D118" s="8">
        <f>garage!D118</f>
        <v>46</v>
      </c>
      <c r="E118" s="8">
        <f>garage!E118</f>
        <v>0</v>
      </c>
      <c r="F118" s="8" t="str">
        <f>garage!F118</f>
        <v>M</v>
      </c>
      <c r="G118" s="8" t="str">
        <f>garage!G118</f>
        <v>O</v>
      </c>
      <c r="H118" s="8" t="str">
        <f>garage!H118</f>
        <v>O</v>
      </c>
      <c r="I118" s="8" t="str">
        <f>garage!I118</f>
        <v>N</v>
      </c>
      <c r="J118" s="8" t="str">
        <f>garage!J118</f>
        <v>N</v>
      </c>
      <c r="K118" s="8" t="str">
        <f>garage!K118</f>
        <v>B</v>
      </c>
      <c r="L118" s="9" t="str">
        <f>garage!L118</f>
        <v>McLaren</v>
      </c>
      <c r="M118" s="9" t="str">
        <f>garage!M118</f>
        <v>F1 LM</v>
      </c>
      <c r="O118" s="39">
        <v>2319</v>
      </c>
      <c r="P118" s="39">
        <v>2563</v>
      </c>
      <c r="Q118" s="39">
        <v>2846</v>
      </c>
      <c r="R118" s="39">
        <v>3133</v>
      </c>
      <c r="S118" s="39">
        <v>3526</v>
      </c>
      <c r="T118" s="39">
        <v>3982</v>
      </c>
      <c r="U118" s="39">
        <v>4309</v>
      </c>
      <c r="W118" s="8">
        <v>1</v>
      </c>
    </row>
    <row r="119" spans="2:23" ht="18" customHeight="1" x14ac:dyDescent="0.2">
      <c r="B119" s="10">
        <f>garage!B119</f>
        <v>119</v>
      </c>
      <c r="C119" s="10">
        <f>garage!C119</f>
        <v>3</v>
      </c>
      <c r="D119" s="10">
        <f>garage!D119</f>
        <v>47</v>
      </c>
      <c r="E119" s="10">
        <f>garage!E119</f>
        <v>19</v>
      </c>
      <c r="F119" s="10" t="str">
        <f>garage!F119</f>
        <v>--</v>
      </c>
      <c r="G119" s="10" t="str">
        <f>garage!G119</f>
        <v>O</v>
      </c>
      <c r="H119" s="10" t="str">
        <f>garage!H119</f>
        <v>O</v>
      </c>
      <c r="I119" s="10" t="str">
        <f>garage!I119</f>
        <v>O</v>
      </c>
      <c r="J119" s="10" t="str">
        <f>garage!J119</f>
        <v>N</v>
      </c>
      <c r="K119" s="10" t="str">
        <f>garage!K119</f>
        <v>B</v>
      </c>
      <c r="L119" s="11" t="str">
        <f>garage!L119</f>
        <v>Volkswagen</v>
      </c>
      <c r="M119" s="11" t="str">
        <f>garage!M119</f>
        <v>W12 Coupe</v>
      </c>
      <c r="O119" s="10">
        <v>2337</v>
      </c>
      <c r="P119" s="10">
        <v>2576</v>
      </c>
      <c r="Q119" s="10">
        <v>2853</v>
      </c>
      <c r="R119" s="10">
        <v>3145</v>
      </c>
      <c r="S119" s="10">
        <v>3532</v>
      </c>
      <c r="T119" s="10">
        <v>4005</v>
      </c>
      <c r="U119" s="10">
        <v>4348</v>
      </c>
      <c r="W119" s="10">
        <v>1</v>
      </c>
    </row>
    <row r="120" spans="2:23" ht="18" customHeight="1" x14ac:dyDescent="0.2">
      <c r="B120" s="8">
        <f>garage!B120</f>
        <v>120</v>
      </c>
      <c r="C120" s="8">
        <f>garage!C120</f>
        <v>3</v>
      </c>
      <c r="D120" s="8">
        <f>garage!D120</f>
        <v>48</v>
      </c>
      <c r="E120" s="8">
        <f>garage!E120</f>
        <v>26</v>
      </c>
      <c r="F120" s="8" t="str">
        <f>garage!F120</f>
        <v>--</v>
      </c>
      <c r="G120" s="8" t="str">
        <f>garage!G120</f>
        <v>N</v>
      </c>
      <c r="H120" s="8" t="str">
        <f>garage!H120</f>
        <v>N</v>
      </c>
      <c r="I120" s="8" t="str">
        <f>garage!I120</f>
        <v>N</v>
      </c>
      <c r="J120" s="8" t="str">
        <f>garage!J120</f>
        <v>N</v>
      </c>
      <c r="K120" s="8" t="str">
        <f>garage!K120</f>
        <v>B</v>
      </c>
      <c r="L120" s="9" t="str">
        <f>garage!L120</f>
        <v>Pagani</v>
      </c>
      <c r="M120" s="9" t="str">
        <f>garage!M120</f>
        <v>Huayra R</v>
      </c>
      <c r="O120" s="39">
        <v>2356</v>
      </c>
      <c r="P120" s="39">
        <v>2600</v>
      </c>
      <c r="Q120" s="39">
        <v>2883</v>
      </c>
      <c r="R120" s="39">
        <v>3173</v>
      </c>
      <c r="S120" s="39">
        <v>3566</v>
      </c>
      <c r="T120" s="39">
        <v>4030</v>
      </c>
      <c r="U120" s="39">
        <v>4363</v>
      </c>
      <c r="W120" s="8">
        <v>1</v>
      </c>
    </row>
    <row r="121" spans="2:23" ht="18" customHeight="1" x14ac:dyDescent="0.2">
      <c r="B121" s="10">
        <f>garage!B121</f>
        <v>121</v>
      </c>
      <c r="C121" s="10">
        <f>garage!C121</f>
        <v>3</v>
      </c>
      <c r="D121" s="10">
        <f>garage!D121</f>
        <v>49</v>
      </c>
      <c r="E121" s="10">
        <f>garage!E121</f>
        <v>30</v>
      </c>
      <c r="F121" s="10" t="str">
        <f>garage!F121</f>
        <v>L</v>
      </c>
      <c r="G121" s="10" t="str">
        <f>garage!G121</f>
        <v>O</v>
      </c>
      <c r="H121" s="10" t="str">
        <f>garage!H121</f>
        <v>N</v>
      </c>
      <c r="I121" s="10" t="str">
        <f>garage!I121</f>
        <v>N</v>
      </c>
      <c r="J121" s="10" t="str">
        <f>garage!J121</f>
        <v>N</v>
      </c>
      <c r="K121" s="10" t="str">
        <f>garage!K121</f>
        <v>B</v>
      </c>
      <c r="L121" s="11" t="str">
        <f>garage!L121</f>
        <v>Lamborghini</v>
      </c>
      <c r="M121" s="11" t="str">
        <f>garage!M121</f>
        <v>Revuelto</v>
      </c>
      <c r="O121" s="10"/>
      <c r="P121" s="10">
        <v>2609</v>
      </c>
      <c r="Q121" s="10"/>
      <c r="R121" s="10"/>
      <c r="S121" s="10"/>
      <c r="T121" s="10"/>
      <c r="U121" s="10"/>
      <c r="W121" s="10"/>
    </row>
    <row r="122" spans="2:23" ht="18" customHeight="1" x14ac:dyDescent="0.2">
      <c r="B122" s="8">
        <f>garage!B122</f>
        <v>122</v>
      </c>
      <c r="C122" s="8">
        <f>garage!C122</f>
        <v>4</v>
      </c>
      <c r="D122" s="8">
        <f>garage!D122</f>
        <v>1</v>
      </c>
      <c r="E122" s="8">
        <f>garage!E122</f>
        <v>0</v>
      </c>
      <c r="F122" s="8" t="str">
        <f>garage!F122</f>
        <v>AM</v>
      </c>
      <c r="G122" s="8" t="str">
        <f>garage!G122</f>
        <v>O</v>
      </c>
      <c r="H122" s="8" t="str">
        <f>garage!H122</f>
        <v>O</v>
      </c>
      <c r="I122" s="8" t="str">
        <f>garage!I122</f>
        <v>O</v>
      </c>
      <c r="J122" s="8" t="str">
        <f>garage!J122</f>
        <v>N</v>
      </c>
      <c r="K122" s="8" t="str">
        <f>garage!K122</f>
        <v>A</v>
      </c>
      <c r="L122" s="9" t="str">
        <f>garage!L122</f>
        <v>Aston Martin</v>
      </c>
      <c r="M122" s="9" t="str">
        <f>garage!M122</f>
        <v>Vulcan</v>
      </c>
      <c r="O122" s="39">
        <v>1970</v>
      </c>
      <c r="P122" s="39">
        <v>2202</v>
      </c>
      <c r="Q122" s="39">
        <v>2452</v>
      </c>
      <c r="R122" s="39">
        <v>2736</v>
      </c>
      <c r="S122" s="39">
        <v>3012</v>
      </c>
      <c r="T122" s="39"/>
      <c r="U122" s="39"/>
      <c r="W122" s="8">
        <v>1</v>
      </c>
    </row>
    <row r="123" spans="2:23" ht="18" customHeight="1" x14ac:dyDescent="0.2">
      <c r="B123" s="10">
        <f>garage!B123</f>
        <v>123</v>
      </c>
      <c r="C123" s="10">
        <f>garage!C123</f>
        <v>4</v>
      </c>
      <c r="D123" s="10">
        <f>garage!D123</f>
        <v>2</v>
      </c>
      <c r="E123" s="10">
        <f>garage!E123</f>
        <v>0</v>
      </c>
      <c r="F123" s="10" t="str">
        <f>garage!F123</f>
        <v>--</v>
      </c>
      <c r="G123" s="10" t="str">
        <f>garage!G123</f>
        <v>O</v>
      </c>
      <c r="H123" s="10" t="str">
        <f>garage!H123</f>
        <v>O</v>
      </c>
      <c r="I123" s="10" t="str">
        <f>garage!I123</f>
        <v>O</v>
      </c>
      <c r="J123" s="10" t="str">
        <f>garage!J123</f>
        <v>N</v>
      </c>
      <c r="K123" s="10" t="str">
        <f>garage!K123</f>
        <v>A</v>
      </c>
      <c r="L123" s="11" t="str">
        <f>garage!L123</f>
        <v>Nissan</v>
      </c>
      <c r="M123" s="11" t="str">
        <f>garage!M123</f>
        <v>GT-R Nismo</v>
      </c>
      <c r="O123" s="10">
        <v>2083</v>
      </c>
      <c r="P123" s="10">
        <v>2328</v>
      </c>
      <c r="Q123" s="10">
        <v>2580</v>
      </c>
      <c r="R123" s="10">
        <v>2868</v>
      </c>
      <c r="S123" s="10">
        <v>3157</v>
      </c>
      <c r="T123" s="10"/>
      <c r="U123" s="10"/>
      <c r="W123" s="10">
        <v>1</v>
      </c>
    </row>
    <row r="124" spans="2:23" ht="18" customHeight="1" x14ac:dyDescent="0.2">
      <c r="B124" s="8">
        <f>garage!B124</f>
        <v>124</v>
      </c>
      <c r="C124" s="8">
        <f>garage!C124</f>
        <v>4</v>
      </c>
      <c r="D124" s="8">
        <f>garage!D124</f>
        <v>3</v>
      </c>
      <c r="E124" s="8">
        <f>garage!E124</f>
        <v>17</v>
      </c>
      <c r="F124" s="8" t="str">
        <f>garage!F124</f>
        <v>--</v>
      </c>
      <c r="G124" s="8" t="str">
        <f>garage!G124</f>
        <v>O</v>
      </c>
      <c r="H124" s="8" t="str">
        <f>garage!H124</f>
        <v>N</v>
      </c>
      <c r="I124" s="8" t="str">
        <f>garage!I124</f>
        <v>N</v>
      </c>
      <c r="J124" s="8" t="str">
        <f>garage!J124</f>
        <v>N</v>
      </c>
      <c r="K124" s="8" t="str">
        <f>garage!K124</f>
        <v>A</v>
      </c>
      <c r="L124" s="9" t="str">
        <f>garage!L124</f>
        <v>Nio</v>
      </c>
      <c r="M124" s="9" t="str">
        <f>garage!M124</f>
        <v>EP9</v>
      </c>
      <c r="O124" s="39">
        <v>2113</v>
      </c>
      <c r="P124" s="39">
        <v>2359</v>
      </c>
      <c r="Q124" s="39">
        <v>2619</v>
      </c>
      <c r="R124" s="39">
        <v>2910</v>
      </c>
      <c r="S124" s="39">
        <v>3194</v>
      </c>
      <c r="T124" s="39"/>
      <c r="U124" s="39"/>
      <c r="W124" s="8">
        <v>1</v>
      </c>
    </row>
    <row r="125" spans="2:23" ht="18" customHeight="1" x14ac:dyDescent="0.2">
      <c r="B125" s="10">
        <f>garage!B125</f>
        <v>125</v>
      </c>
      <c r="C125" s="10">
        <f>garage!C125</f>
        <v>4</v>
      </c>
      <c r="D125" s="10">
        <f>garage!D125</f>
        <v>4</v>
      </c>
      <c r="E125" s="10">
        <f>garage!E125</f>
        <v>0</v>
      </c>
      <c r="F125" s="10" t="str">
        <f>garage!F125</f>
        <v>F</v>
      </c>
      <c r="G125" s="10" t="str">
        <f>garage!G125</f>
        <v>O</v>
      </c>
      <c r="H125" s="10" t="str">
        <f>garage!H125</f>
        <v>O</v>
      </c>
      <c r="I125" s="10" t="str">
        <f>garage!I125</f>
        <v>O</v>
      </c>
      <c r="J125" s="10" t="str">
        <f>garage!J125</f>
        <v>N</v>
      </c>
      <c r="K125" s="10" t="str">
        <f>garage!K125</f>
        <v>A</v>
      </c>
      <c r="L125" s="11" t="str">
        <f>garage!L125</f>
        <v>Ferrari</v>
      </c>
      <c r="M125" s="11" t="str">
        <f>garage!M125</f>
        <v>J50</v>
      </c>
      <c r="O125" s="10">
        <v>2200</v>
      </c>
      <c r="P125" s="10">
        <v>2453</v>
      </c>
      <c r="Q125" s="10">
        <v>2709</v>
      </c>
      <c r="R125" s="10">
        <v>3008</v>
      </c>
      <c r="S125" s="10">
        <v>3306</v>
      </c>
      <c r="T125" s="10"/>
      <c r="U125" s="10"/>
      <c r="W125" s="10">
        <v>1</v>
      </c>
    </row>
    <row r="126" spans="2:23" ht="18" customHeight="1" x14ac:dyDescent="0.2">
      <c r="B126" s="8">
        <f>garage!B126</f>
        <v>126</v>
      </c>
      <c r="C126" s="8">
        <f>garage!C126</f>
        <v>4</v>
      </c>
      <c r="D126" s="8">
        <f>garage!D126</f>
        <v>5</v>
      </c>
      <c r="E126" s="8">
        <f>garage!E126</f>
        <v>0</v>
      </c>
      <c r="F126" s="8" t="str">
        <f>garage!F126</f>
        <v>--</v>
      </c>
      <c r="G126" s="8" t="str">
        <f>garage!G126</f>
        <v>O</v>
      </c>
      <c r="H126" s="8" t="str">
        <f>garage!H126</f>
        <v>O</v>
      </c>
      <c r="I126" s="8" t="str">
        <f>garage!I126</f>
        <v>O</v>
      </c>
      <c r="J126" s="8" t="str">
        <f>garage!J126</f>
        <v>N</v>
      </c>
      <c r="K126" s="8" t="str">
        <f>garage!K126</f>
        <v>A</v>
      </c>
      <c r="L126" s="9" t="str">
        <f>garage!L126</f>
        <v>Dodge</v>
      </c>
      <c r="M126" s="9" t="str">
        <f>garage!M126</f>
        <v>Viper GTS</v>
      </c>
      <c r="O126" s="39">
        <v>2200</v>
      </c>
      <c r="P126" s="39">
        <v>2453</v>
      </c>
      <c r="Q126" s="39">
        <v>2709</v>
      </c>
      <c r="R126" s="39">
        <v>3008</v>
      </c>
      <c r="S126" s="39">
        <v>3306</v>
      </c>
      <c r="T126" s="39"/>
      <c r="U126" s="39"/>
      <c r="W126" s="8">
        <v>1</v>
      </c>
    </row>
    <row r="127" spans="2:23" ht="18" customHeight="1" x14ac:dyDescent="0.2">
      <c r="B127" s="10">
        <f>garage!B127</f>
        <v>127</v>
      </c>
      <c r="C127" s="10">
        <f>garage!C127</f>
        <v>4</v>
      </c>
      <c r="D127" s="10">
        <f>garage!D127</f>
        <v>6</v>
      </c>
      <c r="E127" s="10">
        <f>garage!E127</f>
        <v>26</v>
      </c>
      <c r="F127" s="10" t="str">
        <f>garage!F127</f>
        <v>--</v>
      </c>
      <c r="G127" s="10" t="str">
        <f>garage!G127</f>
        <v>N</v>
      </c>
      <c r="H127" s="10" t="str">
        <f>garage!H127</f>
        <v>N</v>
      </c>
      <c r="I127" s="10" t="str">
        <f>garage!I127</f>
        <v>N</v>
      </c>
      <c r="J127" s="10" t="str">
        <f>garage!J127</f>
        <v>N</v>
      </c>
      <c r="K127" s="10" t="str">
        <f>garage!K127</f>
        <v>A</v>
      </c>
      <c r="L127" s="11" t="str">
        <f>garage!L127</f>
        <v>Bentley</v>
      </c>
      <c r="M127" s="11" t="str">
        <f>garage!M127</f>
        <v>Continental GT Speed</v>
      </c>
      <c r="O127" s="10">
        <v>2229</v>
      </c>
      <c r="P127" s="10">
        <v>2483</v>
      </c>
      <c r="Q127" s="10">
        <v>2749</v>
      </c>
      <c r="R127" s="10">
        <v>3052</v>
      </c>
      <c r="S127" s="10">
        <v>3342</v>
      </c>
      <c r="T127" s="10"/>
      <c r="U127" s="10"/>
      <c r="W127" s="10">
        <v>1</v>
      </c>
    </row>
    <row r="128" spans="2:23" ht="18" customHeight="1" x14ac:dyDescent="0.2">
      <c r="B128" s="8">
        <f>garage!B128</f>
        <v>128</v>
      </c>
      <c r="C128" s="8">
        <f>garage!C128</f>
        <v>4</v>
      </c>
      <c r="D128" s="8">
        <f>garage!D128</f>
        <v>7</v>
      </c>
      <c r="E128" s="8">
        <f>garage!E128</f>
        <v>0</v>
      </c>
      <c r="F128" s="8" t="str">
        <f>garage!F128</f>
        <v>F</v>
      </c>
      <c r="G128" s="8" t="str">
        <f>garage!G128</f>
        <v>O</v>
      </c>
      <c r="H128" s="8" t="str">
        <f>garage!H128</f>
        <v>O</v>
      </c>
      <c r="I128" s="8" t="str">
        <f>garage!I128</f>
        <v>O</v>
      </c>
      <c r="J128" s="8" t="str">
        <f>garage!J128</f>
        <v>N</v>
      </c>
      <c r="K128" s="8" t="str">
        <f>garage!K128</f>
        <v>A</v>
      </c>
      <c r="L128" s="9" t="str">
        <f>garage!L128</f>
        <v>Ferrari</v>
      </c>
      <c r="M128" s="9" t="str">
        <f>garage!M128</f>
        <v>LaFerrari</v>
      </c>
      <c r="O128" s="39">
        <v>2321</v>
      </c>
      <c r="P128" s="39">
        <v>2445</v>
      </c>
      <c r="Q128" s="39">
        <v>2621</v>
      </c>
      <c r="R128" s="39">
        <v>2831</v>
      </c>
      <c r="S128" s="39">
        <v>3117</v>
      </c>
      <c r="T128" s="39">
        <v>3445</v>
      </c>
      <c r="U128" s="39"/>
      <c r="W128" s="8">
        <v>1</v>
      </c>
    </row>
    <row r="129" spans="2:23" ht="18" customHeight="1" x14ac:dyDescent="0.2">
      <c r="B129" s="10">
        <f>garage!B129</f>
        <v>129</v>
      </c>
      <c r="C129" s="10">
        <f>garage!C129</f>
        <v>4</v>
      </c>
      <c r="D129" s="10">
        <f>garage!D129</f>
        <v>8</v>
      </c>
      <c r="E129" s="10">
        <f>garage!E129</f>
        <v>0</v>
      </c>
      <c r="F129" s="10" t="str">
        <f>garage!F129</f>
        <v>M</v>
      </c>
      <c r="G129" s="10" t="str">
        <f>garage!G129</f>
        <v>O</v>
      </c>
      <c r="H129" s="10" t="str">
        <f>garage!H129</f>
        <v>O</v>
      </c>
      <c r="I129" s="10" t="str">
        <f>garage!I129</f>
        <v>O</v>
      </c>
      <c r="J129" s="10" t="str">
        <f>garage!J129</f>
        <v>N</v>
      </c>
      <c r="K129" s="10" t="str">
        <f>garage!K129</f>
        <v>A</v>
      </c>
      <c r="L129" s="11" t="str">
        <f>garage!L129</f>
        <v>McLaren</v>
      </c>
      <c r="M129" s="11" t="str">
        <f>garage!M129</f>
        <v>P1</v>
      </c>
      <c r="O129" s="10">
        <v>2446</v>
      </c>
      <c r="P129" s="10">
        <v>2579</v>
      </c>
      <c r="Q129" s="10">
        <v>2759</v>
      </c>
      <c r="R129" s="10">
        <v>2980</v>
      </c>
      <c r="S129" s="10">
        <v>3279</v>
      </c>
      <c r="T129" s="10">
        <v>3602</v>
      </c>
      <c r="U129" s="10"/>
      <c r="W129" s="10">
        <v>1</v>
      </c>
    </row>
    <row r="130" spans="2:23" ht="18" customHeight="1" x14ac:dyDescent="0.2">
      <c r="B130" s="8">
        <f>garage!B130</f>
        <v>130</v>
      </c>
      <c r="C130" s="8">
        <f>garage!C130</f>
        <v>4</v>
      </c>
      <c r="D130" s="8">
        <f>garage!D130</f>
        <v>9</v>
      </c>
      <c r="E130" s="8">
        <f>garage!E130</f>
        <v>20</v>
      </c>
      <c r="F130" s="8" t="str">
        <f>garage!F130</f>
        <v>--</v>
      </c>
      <c r="G130" s="8" t="str">
        <f>garage!G130</f>
        <v>N</v>
      </c>
      <c r="H130" s="8" t="str">
        <f>garage!H130</f>
        <v>N</v>
      </c>
      <c r="I130" s="8" t="str">
        <f>garage!I130</f>
        <v>N</v>
      </c>
      <c r="J130" s="8" t="str">
        <f>garage!J130</f>
        <v>O</v>
      </c>
      <c r="K130" s="8" t="str">
        <f>garage!K130</f>
        <v>A</v>
      </c>
      <c r="L130" s="9" t="str">
        <f>garage!L130</f>
        <v>Pagani</v>
      </c>
      <c r="M130" s="9" t="str">
        <f>garage!M130</f>
        <v>Zonda HP Barchetta</v>
      </c>
      <c r="O130" s="39">
        <v>2506</v>
      </c>
      <c r="P130" s="39">
        <v>2638</v>
      </c>
      <c r="Q130" s="39">
        <v>2820</v>
      </c>
      <c r="R130" s="39">
        <v>3051</v>
      </c>
      <c r="S130" s="39">
        <v>3349</v>
      </c>
      <c r="T130" s="39">
        <v>3678</v>
      </c>
      <c r="U130" s="39"/>
      <c r="W130" s="8">
        <v>1</v>
      </c>
    </row>
    <row r="131" spans="2:23" ht="18" customHeight="1" x14ac:dyDescent="0.2">
      <c r="B131" s="10">
        <f>garage!B131</f>
        <v>131</v>
      </c>
      <c r="C131" s="10">
        <f>garage!C131</f>
        <v>4</v>
      </c>
      <c r="D131" s="10">
        <f>garage!D131</f>
        <v>10</v>
      </c>
      <c r="E131" s="10">
        <f>garage!E131</f>
        <v>0</v>
      </c>
      <c r="F131" s="10" t="str">
        <f>garage!F131</f>
        <v>L</v>
      </c>
      <c r="G131" s="10" t="str">
        <f>garage!G131</f>
        <v>O</v>
      </c>
      <c r="H131" s="10" t="str">
        <f>garage!H131</f>
        <v>O</v>
      </c>
      <c r="I131" s="10" t="str">
        <f>garage!I131</f>
        <v>O</v>
      </c>
      <c r="J131" s="10" t="str">
        <f>garage!J131</f>
        <v>N</v>
      </c>
      <c r="K131" s="10" t="str">
        <f>garage!K131</f>
        <v>A</v>
      </c>
      <c r="L131" s="11" t="str">
        <f>garage!L131</f>
        <v>Lamborghini</v>
      </c>
      <c r="M131" s="11" t="str">
        <f>garage!M131</f>
        <v>Aventador SV Coupé</v>
      </c>
      <c r="O131" s="10">
        <v>2574</v>
      </c>
      <c r="P131" s="10">
        <v>2709</v>
      </c>
      <c r="Q131" s="10">
        <v>2893</v>
      </c>
      <c r="R131" s="10">
        <v>3128</v>
      </c>
      <c r="S131" s="10">
        <v>3424</v>
      </c>
      <c r="T131" s="10">
        <v>3763</v>
      </c>
      <c r="U131" s="10"/>
      <c r="W131" s="10">
        <v>1</v>
      </c>
    </row>
    <row r="132" spans="2:23" ht="18" customHeight="1" x14ac:dyDescent="0.2">
      <c r="B132" s="8">
        <f>garage!B132</f>
        <v>132</v>
      </c>
      <c r="C132" s="8">
        <f>garage!C132</f>
        <v>4</v>
      </c>
      <c r="D132" s="8">
        <f>garage!D132</f>
        <v>11</v>
      </c>
      <c r="E132" s="8">
        <f>garage!E132</f>
        <v>6</v>
      </c>
      <c r="F132" s="8" t="str">
        <f>garage!F132</f>
        <v>F</v>
      </c>
      <c r="G132" s="8" t="str">
        <f>garage!G132</f>
        <v>O</v>
      </c>
      <c r="H132" s="8" t="str">
        <f>garage!H132</f>
        <v>O</v>
      </c>
      <c r="I132" s="8" t="str">
        <f>garage!I132</f>
        <v>O</v>
      </c>
      <c r="J132" s="8" t="str">
        <f>garage!J132</f>
        <v>N</v>
      </c>
      <c r="K132" s="8" t="str">
        <f>garage!K132</f>
        <v>A</v>
      </c>
      <c r="L132" s="9" t="str">
        <f>garage!L132</f>
        <v>Ferrari</v>
      </c>
      <c r="M132" s="9" t="str">
        <f>garage!M132</f>
        <v>812 Superfast</v>
      </c>
      <c r="O132" s="39">
        <v>2643</v>
      </c>
      <c r="P132" s="39">
        <v>2778</v>
      </c>
      <c r="Q132" s="39">
        <v>2963</v>
      </c>
      <c r="R132" s="39">
        <v>3189</v>
      </c>
      <c r="S132" s="39">
        <v>3493</v>
      </c>
      <c r="T132" s="39">
        <v>3827</v>
      </c>
      <c r="U132" s="39"/>
      <c r="W132" s="8">
        <v>1</v>
      </c>
    </row>
    <row r="133" spans="2:23" ht="18" customHeight="1" x14ac:dyDescent="0.2">
      <c r="B133" s="10">
        <f>garage!B133</f>
        <v>133</v>
      </c>
      <c r="C133" s="10">
        <f>garage!C133</f>
        <v>4</v>
      </c>
      <c r="D133" s="10">
        <f>garage!D133</f>
        <v>12</v>
      </c>
      <c r="E133" s="10">
        <f>garage!E133</f>
        <v>0</v>
      </c>
      <c r="F133" s="10" t="str">
        <f>garage!F133</f>
        <v>C</v>
      </c>
      <c r="G133" s="10" t="str">
        <f>garage!G133</f>
        <v>O</v>
      </c>
      <c r="H133" s="10" t="str">
        <f>garage!H133</f>
        <v>O</v>
      </c>
      <c r="I133" s="10" t="str">
        <f>garage!I133</f>
        <v>N</v>
      </c>
      <c r="J133" s="10" t="str">
        <f>garage!J133</f>
        <v>N</v>
      </c>
      <c r="K133" s="10" t="str">
        <f>garage!K133</f>
        <v>A</v>
      </c>
      <c r="L133" s="11" t="str">
        <f>garage!L133</f>
        <v>Chevrolet</v>
      </c>
      <c r="M133" s="11" t="str">
        <f>garage!M133</f>
        <v>Corvette ZR1</v>
      </c>
      <c r="O133" s="10">
        <v>2672</v>
      </c>
      <c r="P133" s="10">
        <v>2811</v>
      </c>
      <c r="Q133" s="10">
        <v>3000</v>
      </c>
      <c r="R133" s="10">
        <v>3232</v>
      </c>
      <c r="S133" s="10">
        <v>3540</v>
      </c>
      <c r="T133" s="10">
        <v>3876</v>
      </c>
      <c r="U133" s="10"/>
      <c r="W133" s="10">
        <v>1</v>
      </c>
    </row>
    <row r="134" spans="2:23" ht="18" customHeight="1" x14ac:dyDescent="0.2">
      <c r="B134" s="8">
        <f>garage!B134</f>
        <v>134</v>
      </c>
      <c r="C134" s="8">
        <f>garage!C134</f>
        <v>4</v>
      </c>
      <c r="D134" s="8">
        <f>garage!D134</f>
        <v>13</v>
      </c>
      <c r="E134" s="8">
        <f>garage!E134</f>
        <v>14</v>
      </c>
      <c r="F134" s="8" t="str">
        <f>garage!F134</f>
        <v>--</v>
      </c>
      <c r="G134" s="8" t="str">
        <f>garage!G134</f>
        <v>O</v>
      </c>
      <c r="H134" s="8" t="str">
        <f>garage!H134</f>
        <v>N</v>
      </c>
      <c r="I134" s="8" t="str">
        <f>garage!I134</f>
        <v>N</v>
      </c>
      <c r="J134" s="8" t="str">
        <f>garage!J134</f>
        <v>N</v>
      </c>
      <c r="K134" s="8" t="str">
        <f>garage!K134</f>
        <v>A</v>
      </c>
      <c r="L134" s="9" t="str">
        <f>garage!L134</f>
        <v>Jaguar</v>
      </c>
      <c r="M134" s="9" t="str">
        <f>garage!M134</f>
        <v>C-X75</v>
      </c>
      <c r="O134" s="39">
        <v>2688</v>
      </c>
      <c r="P134" s="39">
        <v>2828</v>
      </c>
      <c r="Q134" s="39">
        <v>3020</v>
      </c>
      <c r="R134" s="39">
        <v>3248</v>
      </c>
      <c r="S134" s="39">
        <v>3560</v>
      </c>
      <c r="T134" s="39">
        <v>3898</v>
      </c>
      <c r="U134" s="39"/>
      <c r="W134" s="8">
        <v>1</v>
      </c>
    </row>
    <row r="135" spans="2:23" ht="18" customHeight="1" x14ac:dyDescent="0.2">
      <c r="B135" s="10">
        <f>garage!B135</f>
        <v>135</v>
      </c>
      <c r="C135" s="10">
        <f>garage!C135</f>
        <v>4</v>
      </c>
      <c r="D135" s="10">
        <f>garage!D135</f>
        <v>14</v>
      </c>
      <c r="E135" s="10">
        <f>garage!E135</f>
        <v>0</v>
      </c>
      <c r="F135" s="10" t="str">
        <f>garage!F135</f>
        <v>--</v>
      </c>
      <c r="G135" s="10" t="str">
        <f>garage!G135</f>
        <v>O</v>
      </c>
      <c r="H135" s="10" t="str">
        <f>garage!H135</f>
        <v>O</v>
      </c>
      <c r="I135" s="10" t="str">
        <f>garage!I135</f>
        <v>O</v>
      </c>
      <c r="J135" s="10" t="str">
        <f>garage!J135</f>
        <v>N</v>
      </c>
      <c r="K135" s="10" t="str">
        <f>garage!K135</f>
        <v>A</v>
      </c>
      <c r="L135" s="11" t="str">
        <f>garage!L135</f>
        <v>VLF</v>
      </c>
      <c r="M135" s="11" t="str">
        <f>garage!M135</f>
        <v>Force 1 V10</v>
      </c>
      <c r="O135" s="10">
        <v>2706</v>
      </c>
      <c r="P135" s="10">
        <v>2846</v>
      </c>
      <c r="Q135" s="10">
        <v>3038</v>
      </c>
      <c r="R135" s="10">
        <v>3272</v>
      </c>
      <c r="S135" s="10">
        <v>3587</v>
      </c>
      <c r="T135" s="10">
        <v>3929</v>
      </c>
      <c r="U135" s="10"/>
      <c r="W135" s="10">
        <v>1</v>
      </c>
    </row>
    <row r="136" spans="2:23" ht="18" customHeight="1" x14ac:dyDescent="0.2">
      <c r="B136" s="8">
        <f>garage!B136</f>
        <v>136</v>
      </c>
      <c r="C136" s="8">
        <f>garage!C136</f>
        <v>4</v>
      </c>
      <c r="D136" s="8">
        <f>garage!D136</f>
        <v>15</v>
      </c>
      <c r="E136" s="8">
        <f>garage!E136</f>
        <v>23</v>
      </c>
      <c r="F136" s="8" t="str">
        <f>garage!F136</f>
        <v>M</v>
      </c>
      <c r="G136" s="8" t="str">
        <f>garage!G136</f>
        <v>O</v>
      </c>
      <c r="H136" s="8" t="str">
        <f>garage!H136</f>
        <v>N</v>
      </c>
      <c r="I136" s="8" t="str">
        <f>garage!I136</f>
        <v>N</v>
      </c>
      <c r="J136" s="8" t="str">
        <f>garage!J136</f>
        <v>N</v>
      </c>
      <c r="K136" s="8" t="str">
        <f>garage!K136</f>
        <v>A</v>
      </c>
      <c r="L136" s="9" t="str">
        <f>garage!L136</f>
        <v>McLaren</v>
      </c>
      <c r="M136" s="9" t="str">
        <f>garage!M136</f>
        <v>Senna GTR</v>
      </c>
      <c r="O136" s="39">
        <v>2783</v>
      </c>
      <c r="P136" s="39">
        <v>2925</v>
      </c>
      <c r="Q136" s="39">
        <v>3122</v>
      </c>
      <c r="R136" s="39">
        <v>3353</v>
      </c>
      <c r="S136" s="39">
        <v>3674</v>
      </c>
      <c r="T136" s="39">
        <v>4025</v>
      </c>
      <c r="U136" s="39"/>
      <c r="W136" s="8">
        <v>1</v>
      </c>
    </row>
    <row r="137" spans="2:23" ht="18" customHeight="1" x14ac:dyDescent="0.2">
      <c r="B137" s="10">
        <f>garage!B137</f>
        <v>137</v>
      </c>
      <c r="C137" s="10">
        <f>garage!C137</f>
        <v>4</v>
      </c>
      <c r="D137" s="10">
        <f>garage!D137</f>
        <v>16</v>
      </c>
      <c r="E137" s="10">
        <f>garage!E137</f>
        <v>20</v>
      </c>
      <c r="F137" s="10" t="str">
        <f>garage!F137</f>
        <v>L</v>
      </c>
      <c r="G137" s="10" t="str">
        <f>garage!G137</f>
        <v>N</v>
      </c>
      <c r="H137" s="10" t="str">
        <f>garage!H137</f>
        <v>N</v>
      </c>
      <c r="I137" s="10" t="str">
        <f>garage!I137</f>
        <v>N</v>
      </c>
      <c r="J137" s="10" t="str">
        <f>garage!J137</f>
        <v>N</v>
      </c>
      <c r="K137" s="10" t="str">
        <f>garage!K137</f>
        <v>A</v>
      </c>
      <c r="L137" s="11" t="str">
        <f>garage!L137</f>
        <v>Lamborghini</v>
      </c>
      <c r="M137" s="11" t="str">
        <f>garage!M137</f>
        <v>Aventador SVJ Roadster</v>
      </c>
      <c r="O137" s="10">
        <v>2274</v>
      </c>
      <c r="P137" s="10">
        <v>2515</v>
      </c>
      <c r="Q137" s="10">
        <v>2800</v>
      </c>
      <c r="R137" s="10">
        <v>3062</v>
      </c>
      <c r="S137" s="10">
        <v>3405</v>
      </c>
      <c r="T137" s="10">
        <v>3748</v>
      </c>
      <c r="U137" s="10">
        <v>4081</v>
      </c>
      <c r="W137" s="10">
        <v>1</v>
      </c>
    </row>
    <row r="138" spans="2:23" ht="18" customHeight="1" x14ac:dyDescent="0.2">
      <c r="B138" s="8">
        <f>garage!B138</f>
        <v>138</v>
      </c>
      <c r="C138" s="8">
        <f>garage!C138</f>
        <v>4</v>
      </c>
      <c r="D138" s="8">
        <f>garage!D138</f>
        <v>17</v>
      </c>
      <c r="E138" s="8">
        <f>garage!E138</f>
        <v>8</v>
      </c>
      <c r="F138" s="8" t="str">
        <f>garage!F138</f>
        <v>--</v>
      </c>
      <c r="G138" s="8" t="str">
        <f>garage!G138</f>
        <v>O</v>
      </c>
      <c r="H138" s="8" t="str">
        <f>garage!H138</f>
        <v>O</v>
      </c>
      <c r="I138" s="8" t="str">
        <f>garage!I138</f>
        <v>O</v>
      </c>
      <c r="J138" s="8" t="str">
        <f>garage!J138</f>
        <v>N</v>
      </c>
      <c r="K138" s="8" t="str">
        <f>garage!K138</f>
        <v>A</v>
      </c>
      <c r="L138" s="9" t="str">
        <f>garage!L138</f>
        <v>Vanda Electrics</v>
      </c>
      <c r="M138" s="9" t="str">
        <f>garage!M138</f>
        <v>Dendrobium</v>
      </c>
      <c r="O138" s="39">
        <v>2229</v>
      </c>
      <c r="P138" s="39">
        <v>2483</v>
      </c>
      <c r="Q138" s="39">
        <v>2776</v>
      </c>
      <c r="R138" s="39">
        <v>3044</v>
      </c>
      <c r="S138" s="39">
        <v>3387</v>
      </c>
      <c r="T138" s="39">
        <v>3743</v>
      </c>
      <c r="U138" s="39">
        <v>4099</v>
      </c>
      <c r="W138" s="8">
        <v>1</v>
      </c>
    </row>
    <row r="139" spans="2:23" ht="18" customHeight="1" x14ac:dyDescent="0.2">
      <c r="B139" s="10">
        <f>garage!B139</f>
        <v>139</v>
      </c>
      <c r="C139" s="10">
        <f>garage!C139</f>
        <v>4</v>
      </c>
      <c r="D139" s="10">
        <f>garage!D139</f>
        <v>18</v>
      </c>
      <c r="E139" s="10">
        <f>garage!E139</f>
        <v>0</v>
      </c>
      <c r="F139" s="10" t="str">
        <f>garage!F139</f>
        <v>P</v>
      </c>
      <c r="G139" s="10" t="str">
        <f>garage!G139</f>
        <v>O</v>
      </c>
      <c r="H139" s="10" t="str">
        <f>garage!H139</f>
        <v>O</v>
      </c>
      <c r="I139" s="10" t="str">
        <f>garage!I139</f>
        <v>O</v>
      </c>
      <c r="J139" s="10" t="str">
        <f>garage!J139</f>
        <v>N</v>
      </c>
      <c r="K139" s="10" t="str">
        <f>garage!K139</f>
        <v>A</v>
      </c>
      <c r="L139" s="11" t="str">
        <f>garage!L139</f>
        <v>Porsche</v>
      </c>
      <c r="M139" s="11" t="str">
        <f>garage!M139</f>
        <v>918 Spyder</v>
      </c>
      <c r="O139" s="10">
        <v>2843</v>
      </c>
      <c r="P139" s="10">
        <v>2989</v>
      </c>
      <c r="Q139" s="10">
        <v>3180</v>
      </c>
      <c r="R139" s="10">
        <v>3420</v>
      </c>
      <c r="S139" s="10">
        <v>3746</v>
      </c>
      <c r="T139" s="10">
        <v>4099</v>
      </c>
      <c r="U139" s="10"/>
      <c r="W139" s="10">
        <v>1</v>
      </c>
    </row>
    <row r="140" spans="2:23" ht="18" customHeight="1" x14ac:dyDescent="0.2">
      <c r="B140" s="8">
        <f>garage!B140</f>
        <v>140</v>
      </c>
      <c r="C140" s="8">
        <f>garage!C140</f>
        <v>4</v>
      </c>
      <c r="D140" s="8">
        <f>garage!D140</f>
        <v>19</v>
      </c>
      <c r="E140" s="8">
        <f>garage!E140</f>
        <v>28</v>
      </c>
      <c r="F140" s="8" t="str">
        <f>garage!F140</f>
        <v>--</v>
      </c>
      <c r="G140" s="8" t="str">
        <f>garage!G140</f>
        <v>N</v>
      </c>
      <c r="H140" s="8" t="str">
        <f>garage!H140</f>
        <v>N</v>
      </c>
      <c r="I140" s="8" t="str">
        <f>garage!I140</f>
        <v>N</v>
      </c>
      <c r="J140" s="8" t="str">
        <f>garage!J140</f>
        <v>N</v>
      </c>
      <c r="K140" s="8" t="str">
        <f>garage!K140</f>
        <v>A</v>
      </c>
      <c r="L140" s="9" t="str">
        <f>garage!L140</f>
        <v>Peugeot</v>
      </c>
      <c r="M140" s="9" t="str">
        <f>garage!M140</f>
        <v>9X8</v>
      </c>
      <c r="O140" s="39">
        <v>2794</v>
      </c>
      <c r="P140" s="39">
        <v>2968</v>
      </c>
      <c r="Q140" s="39">
        <v>3175</v>
      </c>
      <c r="R140" s="39">
        <v>3366</v>
      </c>
      <c r="S140" s="39">
        <v>3615</v>
      </c>
      <c r="T140" s="39" t="s">
        <v>127</v>
      </c>
      <c r="U140" s="39">
        <v>4108</v>
      </c>
      <c r="W140" s="8">
        <v>1</v>
      </c>
    </row>
    <row r="141" spans="2:23" ht="18" customHeight="1" x14ac:dyDescent="0.2">
      <c r="B141" s="10">
        <f>garage!B141</f>
        <v>141</v>
      </c>
      <c r="C141" s="10">
        <f>garage!C141</f>
        <v>4</v>
      </c>
      <c r="D141" s="10">
        <f>garage!D141</f>
        <v>20</v>
      </c>
      <c r="E141" s="10">
        <f>garage!E141</f>
        <v>0</v>
      </c>
      <c r="F141" s="10" t="str">
        <f>garage!F141</f>
        <v>M</v>
      </c>
      <c r="G141" s="10" t="str">
        <f>garage!G141</f>
        <v>O</v>
      </c>
      <c r="H141" s="10" t="str">
        <f>garage!H141</f>
        <v>O</v>
      </c>
      <c r="I141" s="10" t="str">
        <f>garage!I141</f>
        <v>O</v>
      </c>
      <c r="J141" s="10" t="str">
        <f>garage!J141</f>
        <v>N</v>
      </c>
      <c r="K141" s="10" t="str">
        <f>garage!K141</f>
        <v>A</v>
      </c>
      <c r="L141" s="11" t="str">
        <f>garage!L141</f>
        <v>McLaren</v>
      </c>
      <c r="M141" s="11" t="str">
        <f>garage!M141</f>
        <v>570S Spider</v>
      </c>
      <c r="O141" s="10">
        <v>2319</v>
      </c>
      <c r="P141" s="10">
        <v>2560</v>
      </c>
      <c r="Q141" s="10">
        <v>2841</v>
      </c>
      <c r="R141" s="10">
        <v>3100</v>
      </c>
      <c r="S141" s="10">
        <v>3437</v>
      </c>
      <c r="T141" s="10">
        <v>3779</v>
      </c>
      <c r="U141" s="10">
        <v>4116</v>
      </c>
      <c r="W141" s="10">
        <v>1</v>
      </c>
    </row>
    <row r="142" spans="2:23" ht="18" customHeight="1" x14ac:dyDescent="0.2">
      <c r="B142" s="8">
        <f>garage!B142</f>
        <v>142</v>
      </c>
      <c r="C142" s="8">
        <f>garage!C142</f>
        <v>4</v>
      </c>
      <c r="D142" s="8">
        <f>garage!D142</f>
        <v>21</v>
      </c>
      <c r="E142" s="8">
        <f>garage!E142</f>
        <v>0</v>
      </c>
      <c r="F142" s="8" t="str">
        <f>garage!F142</f>
        <v>L</v>
      </c>
      <c r="G142" s="8" t="str">
        <f>garage!G142</f>
        <v>O</v>
      </c>
      <c r="H142" s="8" t="str">
        <f>garage!H142</f>
        <v>O</v>
      </c>
      <c r="I142" s="8" t="str">
        <f>garage!I142</f>
        <v>O</v>
      </c>
      <c r="J142" s="8" t="str">
        <f>garage!J142</f>
        <v>N</v>
      </c>
      <c r="K142" s="8" t="str">
        <f>garage!K142</f>
        <v>A</v>
      </c>
      <c r="L142" s="9" t="str">
        <f>garage!L142</f>
        <v>Lamborghini</v>
      </c>
      <c r="M142" s="9" t="str">
        <f>garage!M142</f>
        <v>Aventador J</v>
      </c>
      <c r="O142" s="39">
        <v>2804</v>
      </c>
      <c r="P142" s="39">
        <v>2957</v>
      </c>
      <c r="Q142" s="39">
        <v>3166</v>
      </c>
      <c r="R142" s="39">
        <v>3417</v>
      </c>
      <c r="S142" s="39">
        <v>3760</v>
      </c>
      <c r="T142" s="39">
        <v>4133</v>
      </c>
      <c r="U142" s="39"/>
      <c r="W142" s="8">
        <v>1</v>
      </c>
    </row>
    <row r="143" spans="2:23" ht="18" customHeight="1" x14ac:dyDescent="0.2">
      <c r="B143" s="10">
        <f>garage!B143</f>
        <v>143</v>
      </c>
      <c r="C143" s="10">
        <f>garage!C143</f>
        <v>4</v>
      </c>
      <c r="D143" s="10">
        <f>garage!D143</f>
        <v>22</v>
      </c>
      <c r="E143" s="10">
        <f>garage!E143</f>
        <v>16</v>
      </c>
      <c r="F143" s="10" t="str">
        <f>garage!F143</f>
        <v>--</v>
      </c>
      <c r="G143" s="10" t="str">
        <f>garage!G143</f>
        <v>O</v>
      </c>
      <c r="H143" s="10" t="str">
        <f>garage!H143</f>
        <v>N</v>
      </c>
      <c r="I143" s="10" t="str">
        <f>garage!I143</f>
        <v>N</v>
      </c>
      <c r="J143" s="10" t="str">
        <f>garage!J143</f>
        <v>N</v>
      </c>
      <c r="K143" s="10" t="str">
        <f>garage!K143</f>
        <v>A</v>
      </c>
      <c r="L143" s="11" t="str">
        <f>garage!L143</f>
        <v>Peugeot</v>
      </c>
      <c r="M143" s="11" t="str">
        <f>garage!M143</f>
        <v>Onyx</v>
      </c>
      <c r="O143" s="10">
        <v>2855</v>
      </c>
      <c r="P143" s="10">
        <v>3026</v>
      </c>
      <c r="Q143" s="10">
        <v>3226</v>
      </c>
      <c r="R143" s="10">
        <v>3413</v>
      </c>
      <c r="S143" s="10">
        <v>3739</v>
      </c>
      <c r="T143" s="10">
        <v>3917</v>
      </c>
      <c r="U143" s="10">
        <v>4145</v>
      </c>
      <c r="W143" s="10">
        <v>1</v>
      </c>
    </row>
    <row r="144" spans="2:23" ht="18" customHeight="1" x14ac:dyDescent="0.2">
      <c r="B144" s="8">
        <f>garage!B144</f>
        <v>144</v>
      </c>
      <c r="C144" s="8">
        <f>garage!C144</f>
        <v>4</v>
      </c>
      <c r="D144" s="8">
        <f>garage!D144</f>
        <v>23</v>
      </c>
      <c r="E144" s="8">
        <f>garage!E144</f>
        <v>22</v>
      </c>
      <c r="F144" s="8" t="str">
        <f>garage!F144</f>
        <v>--</v>
      </c>
      <c r="G144" s="8" t="str">
        <f>garage!G144</f>
        <v>N</v>
      </c>
      <c r="H144" s="8" t="str">
        <f>garage!H144</f>
        <v>N</v>
      </c>
      <c r="I144" s="8" t="str">
        <f>garage!I144</f>
        <v>N</v>
      </c>
      <c r="J144" s="8" t="str">
        <f>garage!J144</f>
        <v>N</v>
      </c>
      <c r="K144" s="8" t="str">
        <f>garage!K144</f>
        <v>A</v>
      </c>
      <c r="L144" s="9" t="str">
        <f>garage!L144</f>
        <v>Pagani</v>
      </c>
      <c r="M144" s="9" t="str">
        <f>garage!M144</f>
        <v>Zonda R</v>
      </c>
      <c r="O144" s="39">
        <v>2603</v>
      </c>
      <c r="P144" s="39">
        <v>2811</v>
      </c>
      <c r="Q144" s="39">
        <v>3056</v>
      </c>
      <c r="R144" s="39">
        <v>3282</v>
      </c>
      <c r="S144" s="39">
        <v>3580</v>
      </c>
      <c r="T144" s="39">
        <v>3874</v>
      </c>
      <c r="U144" s="39">
        <v>4158</v>
      </c>
      <c r="W144" s="8">
        <v>1</v>
      </c>
    </row>
    <row r="145" spans="2:23" ht="18" customHeight="1" x14ac:dyDescent="0.2">
      <c r="B145" s="10">
        <f>garage!B145</f>
        <v>145</v>
      </c>
      <c r="C145" s="10">
        <f>garage!C145</f>
        <v>4</v>
      </c>
      <c r="D145" s="10">
        <f>garage!D145</f>
        <v>24</v>
      </c>
      <c r="E145" s="10">
        <f>garage!E145</f>
        <v>22</v>
      </c>
      <c r="F145" s="10" t="str">
        <f>garage!F145</f>
        <v>--</v>
      </c>
      <c r="G145" s="10" t="str">
        <f>garage!G145</f>
        <v>N</v>
      </c>
      <c r="H145" s="10" t="str">
        <f>garage!H145</f>
        <v>N</v>
      </c>
      <c r="I145" s="10" t="str">
        <f>garage!I145</f>
        <v>N</v>
      </c>
      <c r="J145" s="10" t="str">
        <f>garage!J145</f>
        <v>N</v>
      </c>
      <c r="K145" s="10" t="str">
        <f>garage!K145</f>
        <v>A</v>
      </c>
      <c r="L145" s="11" t="str">
        <f>garage!L145</f>
        <v>Glickhaus</v>
      </c>
      <c r="M145" s="11" t="str">
        <f>garage!M145</f>
        <v>007S</v>
      </c>
      <c r="O145" s="10">
        <v>2653</v>
      </c>
      <c r="P145" s="10">
        <v>2859</v>
      </c>
      <c r="Q145" s="10">
        <v>3101</v>
      </c>
      <c r="R145" s="10">
        <v>3325</v>
      </c>
      <c r="S145" s="10">
        <v>3613</v>
      </c>
      <c r="T145" s="10">
        <v>3902</v>
      </c>
      <c r="U145" s="10">
        <v>4187</v>
      </c>
      <c r="W145" s="10">
        <v>1</v>
      </c>
    </row>
    <row r="146" spans="2:23" ht="18" customHeight="1" x14ac:dyDescent="0.2">
      <c r="B146" s="8">
        <f>garage!B146</f>
        <v>146</v>
      </c>
      <c r="C146" s="8">
        <f>garage!C146</f>
        <v>4</v>
      </c>
      <c r="D146" s="8">
        <f>garage!D146</f>
        <v>25</v>
      </c>
      <c r="E146" s="8">
        <f>garage!E146</f>
        <v>16</v>
      </c>
      <c r="F146" s="8" t="str">
        <f>garage!F146</f>
        <v>--</v>
      </c>
      <c r="G146" s="8" t="str">
        <f>garage!G146</f>
        <v>O</v>
      </c>
      <c r="H146" s="8" t="str">
        <f>garage!H146</f>
        <v>N</v>
      </c>
      <c r="I146" s="8" t="str">
        <f>garage!I146</f>
        <v>N</v>
      </c>
      <c r="J146" s="8" t="str">
        <f>garage!J146</f>
        <v>N</v>
      </c>
      <c r="K146" s="8" t="str">
        <f>garage!K146</f>
        <v>A</v>
      </c>
      <c r="L146" s="9" t="str">
        <f>garage!L146</f>
        <v>Citroen</v>
      </c>
      <c r="M146" s="9" t="str">
        <f>garage!M146</f>
        <v>GT by Citroen</v>
      </c>
      <c r="O146" s="39">
        <v>2907</v>
      </c>
      <c r="P146" s="39">
        <v>3085</v>
      </c>
      <c r="Q146" s="39">
        <v>3292</v>
      </c>
      <c r="R146" s="39">
        <v>3483</v>
      </c>
      <c r="S146" s="39">
        <v>3739</v>
      </c>
      <c r="T146" s="39">
        <v>3989</v>
      </c>
      <c r="U146" s="39">
        <v>4222</v>
      </c>
      <c r="W146" s="8">
        <v>1</v>
      </c>
    </row>
    <row r="147" spans="2:23" ht="18" customHeight="1" x14ac:dyDescent="0.2">
      <c r="B147" s="10">
        <f>garage!B147</f>
        <v>147</v>
      </c>
      <c r="C147" s="10">
        <f>garage!C147</f>
        <v>4</v>
      </c>
      <c r="D147" s="10">
        <f>garage!D147</f>
        <v>26</v>
      </c>
      <c r="E147" s="10">
        <f>garage!E147</f>
        <v>19</v>
      </c>
      <c r="F147" s="10" t="str">
        <f>garage!F147</f>
        <v>AM</v>
      </c>
      <c r="G147" s="10" t="str">
        <f>garage!G147</f>
        <v>O</v>
      </c>
      <c r="H147" s="10" t="str">
        <f>garage!H147</f>
        <v>N</v>
      </c>
      <c r="I147" s="10" t="str">
        <f>garage!I147</f>
        <v>N</v>
      </c>
      <c r="J147" s="10" t="str">
        <f>garage!J147</f>
        <v>N</v>
      </c>
      <c r="K147" s="10" t="str">
        <f>garage!K147</f>
        <v>A</v>
      </c>
      <c r="L147" s="11" t="str">
        <f>garage!L147</f>
        <v>Aston Martin</v>
      </c>
      <c r="M147" s="11" t="str">
        <f>garage!M147</f>
        <v>Victor</v>
      </c>
      <c r="O147" s="10">
        <v>2950</v>
      </c>
      <c r="P147" s="10">
        <v>3118</v>
      </c>
      <c r="Q147" s="10">
        <v>3323</v>
      </c>
      <c r="R147" s="10">
        <v>3512</v>
      </c>
      <c r="S147" s="10">
        <v>3761</v>
      </c>
      <c r="T147" s="10">
        <v>4010</v>
      </c>
      <c r="U147" s="10">
        <v>4255</v>
      </c>
      <c r="W147" s="10">
        <v>1</v>
      </c>
    </row>
    <row r="148" spans="2:23" ht="18" customHeight="1" x14ac:dyDescent="0.2">
      <c r="B148" s="8">
        <f>garage!B148</f>
        <v>148</v>
      </c>
      <c r="C148" s="8">
        <f>garage!C148</f>
        <v>4</v>
      </c>
      <c r="D148" s="8">
        <f>garage!D148</f>
        <v>27</v>
      </c>
      <c r="E148" s="8">
        <f>garage!E148</f>
        <v>11</v>
      </c>
      <c r="F148" s="8" t="str">
        <f>garage!F148</f>
        <v>P</v>
      </c>
      <c r="G148" s="8" t="str">
        <f>garage!G148</f>
        <v>O</v>
      </c>
      <c r="H148" s="8" t="str">
        <f>garage!H148</f>
        <v>O</v>
      </c>
      <c r="I148" s="8" t="str">
        <f>garage!I148</f>
        <v>N</v>
      </c>
      <c r="J148" s="8" t="str">
        <f>garage!J148</f>
        <v>N</v>
      </c>
      <c r="K148" s="8" t="str">
        <f>garage!K148</f>
        <v>A</v>
      </c>
      <c r="L148" s="9" t="str">
        <f>garage!L148</f>
        <v>Porsche</v>
      </c>
      <c r="M148" s="9" t="str">
        <f>garage!M148</f>
        <v>911 GT2 RS Clubsport</v>
      </c>
      <c r="O148" s="39">
        <v>2702</v>
      </c>
      <c r="P148" s="39">
        <v>2914</v>
      </c>
      <c r="Q148" s="39">
        <v>3160</v>
      </c>
      <c r="R148" s="39">
        <v>3387</v>
      </c>
      <c r="S148" s="39">
        <v>3680</v>
      </c>
      <c r="T148" s="39">
        <v>3977</v>
      </c>
      <c r="U148" s="39">
        <v>4270</v>
      </c>
      <c r="W148" s="8">
        <v>1</v>
      </c>
    </row>
    <row r="149" spans="2:23" ht="18" customHeight="1" x14ac:dyDescent="0.2">
      <c r="B149" s="10">
        <f>garage!B149</f>
        <v>149</v>
      </c>
      <c r="C149" s="10">
        <f>garage!C149</f>
        <v>4</v>
      </c>
      <c r="D149" s="10">
        <f>garage!D149</f>
        <v>28</v>
      </c>
      <c r="E149" s="10">
        <f>garage!E149</f>
        <v>0</v>
      </c>
      <c r="F149" s="10" t="str">
        <f>garage!F149</f>
        <v>--</v>
      </c>
      <c r="G149" s="10" t="str">
        <f>garage!G149</f>
        <v>O</v>
      </c>
      <c r="H149" s="10" t="str">
        <f>garage!H149</f>
        <v>O</v>
      </c>
      <c r="I149" s="10" t="str">
        <f>garage!I149</f>
        <v>O</v>
      </c>
      <c r="J149" s="10" t="str">
        <f>garage!J149</f>
        <v>N</v>
      </c>
      <c r="K149" s="10" t="str">
        <f>garage!K149</f>
        <v>A</v>
      </c>
      <c r="L149" s="11" t="str">
        <f>garage!L149</f>
        <v>Pagani</v>
      </c>
      <c r="M149" s="11" t="str">
        <f>garage!M149</f>
        <v>Huayra BC</v>
      </c>
      <c r="O149" s="10">
        <v>2983</v>
      </c>
      <c r="P149" s="10">
        <v>3158</v>
      </c>
      <c r="Q149" s="10">
        <v>3362</v>
      </c>
      <c r="R149" s="10">
        <v>3548</v>
      </c>
      <c r="S149" s="10">
        <v>3795</v>
      </c>
      <c r="T149" s="10">
        <v>4041</v>
      </c>
      <c r="U149" s="10">
        <v>4274</v>
      </c>
      <c r="W149" s="10">
        <v>1</v>
      </c>
    </row>
    <row r="150" spans="2:23" ht="18" customHeight="1" x14ac:dyDescent="0.2">
      <c r="B150" s="8">
        <f>garage!B150</f>
        <v>150</v>
      </c>
      <c r="C150" s="8">
        <f>garage!C150</f>
        <v>4</v>
      </c>
      <c r="D150" s="8">
        <f>garage!D150</f>
        <v>29</v>
      </c>
      <c r="E150" s="8">
        <f>garage!E150</f>
        <v>28</v>
      </c>
      <c r="F150" s="8" t="str">
        <f>garage!F150</f>
        <v>M</v>
      </c>
      <c r="G150" s="8" t="str">
        <f>garage!G150</f>
        <v>N</v>
      </c>
      <c r="H150" s="8" t="str">
        <f>garage!H150</f>
        <v>N</v>
      </c>
      <c r="I150" s="8" t="str">
        <f>garage!I150</f>
        <v>N</v>
      </c>
      <c r="J150" s="8" t="str">
        <f>garage!J150</f>
        <v>N</v>
      </c>
      <c r="K150" s="8" t="str">
        <f>garage!K150</f>
        <v>A</v>
      </c>
      <c r="L150" s="9" t="str">
        <f>garage!L150</f>
        <v>McLaren</v>
      </c>
      <c r="M150" s="9" t="str">
        <f>garage!M150</f>
        <v>650S GT3</v>
      </c>
      <c r="O150" s="39">
        <v>2988</v>
      </c>
      <c r="P150" s="39">
        <v>3156</v>
      </c>
      <c r="Q150" s="39" t="s">
        <v>127</v>
      </c>
      <c r="R150" s="39" t="s">
        <v>127</v>
      </c>
      <c r="S150" s="39" t="s">
        <v>127</v>
      </c>
      <c r="T150" s="39"/>
      <c r="U150" s="39"/>
      <c r="W150" s="8">
        <v>1</v>
      </c>
    </row>
    <row r="151" spans="2:23" ht="18" customHeight="1" x14ac:dyDescent="0.2">
      <c r="B151" s="10">
        <f>garage!B151</f>
        <v>151</v>
      </c>
      <c r="C151" s="10">
        <f>garage!C151</f>
        <v>4</v>
      </c>
      <c r="D151" s="10">
        <f>garage!D151</f>
        <v>30</v>
      </c>
      <c r="E151" s="10">
        <f>garage!E151</f>
        <v>12</v>
      </c>
      <c r="F151" s="10" t="str">
        <f>garage!F151</f>
        <v>L</v>
      </c>
      <c r="G151" s="10" t="str">
        <f>garage!G151</f>
        <v>O</v>
      </c>
      <c r="H151" s="10" t="str">
        <f>garage!H151</f>
        <v>N</v>
      </c>
      <c r="I151" s="10" t="str">
        <f>garage!I151</f>
        <v>N</v>
      </c>
      <c r="J151" s="10" t="str">
        <f>garage!J151</f>
        <v>N</v>
      </c>
      <c r="K151" s="10" t="str">
        <f>garage!K151</f>
        <v>A</v>
      </c>
      <c r="L151" s="11" t="str">
        <f>garage!L151</f>
        <v>Lamborghini</v>
      </c>
      <c r="M151" s="11" t="str">
        <f>garage!M151</f>
        <v>SC18</v>
      </c>
      <c r="O151" s="10">
        <v>2992</v>
      </c>
      <c r="P151" s="10">
        <v>3166</v>
      </c>
      <c r="Q151" s="10" t="s">
        <v>127</v>
      </c>
      <c r="R151" s="10" t="s">
        <v>127</v>
      </c>
      <c r="S151" s="10" t="s">
        <v>127</v>
      </c>
      <c r="T151" s="10" t="s">
        <v>127</v>
      </c>
      <c r="U151" s="10">
        <v>4284</v>
      </c>
      <c r="W151" s="10">
        <v>1</v>
      </c>
    </row>
    <row r="152" spans="2:23" ht="18" customHeight="1" x14ac:dyDescent="0.2">
      <c r="B152" s="8">
        <f>garage!B152</f>
        <v>152</v>
      </c>
      <c r="C152" s="8">
        <f>garage!C152</f>
        <v>4</v>
      </c>
      <c r="D152" s="8">
        <f>garage!D152</f>
        <v>31</v>
      </c>
      <c r="E152" s="8">
        <f>garage!E152</f>
        <v>6</v>
      </c>
      <c r="F152" s="8" t="str">
        <f>garage!F152</f>
        <v>F</v>
      </c>
      <c r="G152" s="8" t="str">
        <f>garage!G152</f>
        <v>O</v>
      </c>
      <c r="H152" s="8" t="str">
        <f>garage!H152</f>
        <v>O</v>
      </c>
      <c r="I152" s="8" t="str">
        <f>garage!I152</f>
        <v>O</v>
      </c>
      <c r="J152" s="8" t="str">
        <f>garage!J152</f>
        <v>N</v>
      </c>
      <c r="K152" s="8" t="str">
        <f>garage!K152</f>
        <v>A</v>
      </c>
      <c r="L152" s="9" t="str">
        <f>garage!L152</f>
        <v>Ferrari</v>
      </c>
      <c r="M152" s="9" t="str">
        <f>garage!M152</f>
        <v>LaFerrari Aperta</v>
      </c>
      <c r="O152" s="39">
        <v>2998</v>
      </c>
      <c r="P152" s="39">
        <v>3172</v>
      </c>
      <c r="Q152" s="39" t="s">
        <v>127</v>
      </c>
      <c r="R152" s="39" t="s">
        <v>127</v>
      </c>
      <c r="S152" s="39" t="s">
        <v>127</v>
      </c>
      <c r="T152" s="39" t="s">
        <v>127</v>
      </c>
      <c r="U152" s="39">
        <v>4291</v>
      </c>
      <c r="W152" s="8">
        <v>1</v>
      </c>
    </row>
    <row r="153" spans="2:23" ht="18" customHeight="1" x14ac:dyDescent="0.2">
      <c r="B153" s="10">
        <f>garage!B153</f>
        <v>153</v>
      </c>
      <c r="C153" s="10">
        <f>garage!C153</f>
        <v>4</v>
      </c>
      <c r="D153" s="10">
        <f>garage!D153</f>
        <v>32</v>
      </c>
      <c r="E153" s="10">
        <f>garage!E153</f>
        <v>15</v>
      </c>
      <c r="F153" s="10" t="str">
        <f>garage!F153</f>
        <v>F</v>
      </c>
      <c r="G153" s="10" t="str">
        <f>garage!G153</f>
        <v>N</v>
      </c>
      <c r="H153" s="10" t="str">
        <f>garage!H153</f>
        <v>N</v>
      </c>
      <c r="I153" s="10" t="str">
        <f>garage!I153</f>
        <v>N</v>
      </c>
      <c r="J153" s="10" t="str">
        <f>garage!J153</f>
        <v>N</v>
      </c>
      <c r="K153" s="10" t="str">
        <f>garage!K153</f>
        <v>A</v>
      </c>
      <c r="L153" s="11" t="str">
        <f>garage!L153</f>
        <v>Ferrari</v>
      </c>
      <c r="M153" s="11" t="str">
        <f>garage!M153</f>
        <v>F8 Tributo</v>
      </c>
      <c r="O153" s="10">
        <v>3007</v>
      </c>
      <c r="P153" s="10">
        <v>3183</v>
      </c>
      <c r="Q153" s="10" t="s">
        <v>127</v>
      </c>
      <c r="R153" s="10" t="s">
        <v>127</v>
      </c>
      <c r="S153" s="10" t="s">
        <v>127</v>
      </c>
      <c r="T153" s="10" t="s">
        <v>127</v>
      </c>
      <c r="U153" s="10">
        <v>4305</v>
      </c>
      <c r="W153" s="10">
        <v>1</v>
      </c>
    </row>
    <row r="154" spans="2:23" ht="18" customHeight="1" x14ac:dyDescent="0.2">
      <c r="B154" s="8">
        <f>garage!B154</f>
        <v>154</v>
      </c>
      <c r="C154" s="8">
        <f>garage!C154</f>
        <v>4</v>
      </c>
      <c r="D154" s="8">
        <f>garage!D154</f>
        <v>33</v>
      </c>
      <c r="E154" s="8">
        <f>garage!E154</f>
        <v>20</v>
      </c>
      <c r="F154" s="8" t="str">
        <f>garage!F154</f>
        <v>L</v>
      </c>
      <c r="G154" s="8" t="str">
        <f>garage!G154</f>
        <v>N</v>
      </c>
      <c r="H154" s="8" t="str">
        <f>garage!H154</f>
        <v>N</v>
      </c>
      <c r="I154" s="8" t="str">
        <f>garage!I154</f>
        <v>N</v>
      </c>
      <c r="J154" s="8" t="str">
        <f>garage!J154</f>
        <v>N</v>
      </c>
      <c r="K154" s="8" t="str">
        <f>garage!K154</f>
        <v>A</v>
      </c>
      <c r="L154" s="9" t="str">
        <f>garage!L154</f>
        <v>Lamborghini</v>
      </c>
      <c r="M154" s="9" t="str">
        <f>garage!M154</f>
        <v>SC20</v>
      </c>
      <c r="O154" s="39">
        <v>2907</v>
      </c>
      <c r="P154" s="39">
        <v>3095</v>
      </c>
      <c r="Q154" s="39" t="s">
        <v>127</v>
      </c>
      <c r="R154" s="39" t="s">
        <v>127</v>
      </c>
      <c r="S154" s="39" t="s">
        <v>127</v>
      </c>
      <c r="T154" s="39" t="s">
        <v>127</v>
      </c>
      <c r="U154" s="39">
        <v>4307</v>
      </c>
      <c r="W154" s="8">
        <v>1</v>
      </c>
    </row>
    <row r="155" spans="2:23" ht="18" customHeight="1" x14ac:dyDescent="0.2">
      <c r="B155" s="10">
        <f>garage!B155</f>
        <v>155</v>
      </c>
      <c r="C155" s="10">
        <f>garage!C155</f>
        <v>4</v>
      </c>
      <c r="D155" s="10">
        <f>garage!D155</f>
        <v>34</v>
      </c>
      <c r="E155" s="10">
        <f>garage!E155</f>
        <v>0</v>
      </c>
      <c r="F155" s="10" t="str">
        <f>garage!F155</f>
        <v>--</v>
      </c>
      <c r="G155" s="10" t="str">
        <f>garage!G155</f>
        <v>O</v>
      </c>
      <c r="H155" s="10" t="str">
        <f>garage!H155</f>
        <v>O</v>
      </c>
      <c r="I155" s="10" t="str">
        <f>garage!I155</f>
        <v>O</v>
      </c>
      <c r="J155" s="10" t="str">
        <f>garage!J155</f>
        <v>N</v>
      </c>
      <c r="K155" s="10" t="str">
        <f>garage!K155</f>
        <v>A</v>
      </c>
      <c r="L155" s="11" t="str">
        <f>garage!L155</f>
        <v>Genty</v>
      </c>
      <c r="M155" s="11" t="str">
        <f>garage!M155</f>
        <v>Akylone</v>
      </c>
      <c r="O155" s="10">
        <v>3013</v>
      </c>
      <c r="P155" s="10">
        <v>3187</v>
      </c>
      <c r="Q155" s="10" t="s">
        <v>127</v>
      </c>
      <c r="R155" s="10" t="s">
        <v>127</v>
      </c>
      <c r="S155" s="10" t="s">
        <v>127</v>
      </c>
      <c r="T155" s="10" t="s">
        <v>127</v>
      </c>
      <c r="U155" s="10">
        <v>4310</v>
      </c>
      <c r="W155" s="10">
        <v>1</v>
      </c>
    </row>
    <row r="156" spans="2:23" ht="18" customHeight="1" x14ac:dyDescent="0.2">
      <c r="B156" s="8">
        <f>garage!B156</f>
        <v>156</v>
      </c>
      <c r="C156" s="8">
        <f>garage!C156</f>
        <v>4</v>
      </c>
      <c r="D156" s="8">
        <f>garage!D156</f>
        <v>35</v>
      </c>
      <c r="E156" s="8">
        <f>garage!E156</f>
        <v>0</v>
      </c>
      <c r="F156" s="8" t="str">
        <f>garage!F156</f>
        <v>--</v>
      </c>
      <c r="G156" s="8" t="str">
        <f>garage!G156</f>
        <v>O</v>
      </c>
      <c r="H156" s="8" t="str">
        <f>garage!H156</f>
        <v>N</v>
      </c>
      <c r="I156" s="8" t="str">
        <f>garage!I156</f>
        <v>N</v>
      </c>
      <c r="J156" s="8" t="str">
        <f>garage!J156</f>
        <v>N</v>
      </c>
      <c r="K156" s="8" t="str">
        <f>garage!K156</f>
        <v>A</v>
      </c>
      <c r="L156" s="9" t="str">
        <f>garage!L156</f>
        <v>Techrules</v>
      </c>
      <c r="M156" s="9" t="str">
        <f>garage!M156</f>
        <v>AT96 track version</v>
      </c>
      <c r="O156" s="39">
        <v>3122</v>
      </c>
      <c r="P156" s="39">
        <v>3298</v>
      </c>
      <c r="Q156" s="39" t="s">
        <v>127</v>
      </c>
      <c r="R156" s="39" t="s">
        <v>127</v>
      </c>
      <c r="S156" s="39" t="s">
        <v>127</v>
      </c>
      <c r="T156" s="39" t="s">
        <v>127</v>
      </c>
      <c r="U156" s="39">
        <v>4444</v>
      </c>
      <c r="W156" s="8">
        <v>1</v>
      </c>
    </row>
    <row r="157" spans="2:23" ht="18" customHeight="1" x14ac:dyDescent="0.2">
      <c r="B157" s="10">
        <f>garage!B157</f>
        <v>157</v>
      </c>
      <c r="C157" s="10">
        <f>garage!C157</f>
        <v>4</v>
      </c>
      <c r="D157" s="10">
        <f>garage!D157</f>
        <v>36</v>
      </c>
      <c r="E157" s="10">
        <f>garage!E157</f>
        <v>21</v>
      </c>
      <c r="F157" s="10" t="str">
        <f>garage!F157</f>
        <v>--</v>
      </c>
      <c r="G157" s="10" t="str">
        <f>garage!G157</f>
        <v>O</v>
      </c>
      <c r="H157" s="10" t="str">
        <f>garage!H157</f>
        <v>N</v>
      </c>
      <c r="I157" s="10" t="str">
        <f>garage!I157</f>
        <v>N</v>
      </c>
      <c r="J157" s="10" t="str">
        <f>garage!J157</f>
        <v>N</v>
      </c>
      <c r="K157" s="10" t="str">
        <f>garage!K157</f>
        <v>A</v>
      </c>
      <c r="L157" s="11" t="str">
        <f>garage!L157</f>
        <v>Rimac</v>
      </c>
      <c r="M157" s="11" t="str">
        <f>garage!M157</f>
        <v>Concept_One</v>
      </c>
      <c r="O157" s="10">
        <v>3176</v>
      </c>
      <c r="P157" s="10">
        <v>3348</v>
      </c>
      <c r="Q157" s="10" t="s">
        <v>127</v>
      </c>
      <c r="R157" s="10" t="s">
        <v>127</v>
      </c>
      <c r="S157" s="10" t="s">
        <v>127</v>
      </c>
      <c r="T157" s="10" t="s">
        <v>127</v>
      </c>
      <c r="U157" s="10">
        <v>4480</v>
      </c>
      <c r="W157" s="10">
        <v>1</v>
      </c>
    </row>
    <row r="158" spans="2:23" ht="18" customHeight="1" x14ac:dyDescent="0.2">
      <c r="B158" s="8">
        <f>garage!B158</f>
        <v>158</v>
      </c>
      <c r="C158" s="8">
        <f>garage!C158</f>
        <v>4</v>
      </c>
      <c r="D158" s="8">
        <f>garage!D158</f>
        <v>37</v>
      </c>
      <c r="E158" s="8">
        <f>garage!E158</f>
        <v>14</v>
      </c>
      <c r="F158" s="8" t="str">
        <f>garage!F158</f>
        <v>AM</v>
      </c>
      <c r="G158" s="8" t="str">
        <f>garage!G158</f>
        <v>O</v>
      </c>
      <c r="H158" s="8" t="str">
        <f>garage!H158</f>
        <v>O</v>
      </c>
      <c r="I158" s="8" t="str">
        <f>garage!I158</f>
        <v>N</v>
      </c>
      <c r="J158" s="8" t="str">
        <f>garage!J158</f>
        <v>N</v>
      </c>
      <c r="K158" s="8" t="str">
        <f>garage!K158</f>
        <v>A</v>
      </c>
      <c r="L158" s="9" t="str">
        <f>garage!L158</f>
        <v>Aston Martin</v>
      </c>
      <c r="M158" s="9" t="str">
        <f>garage!M158</f>
        <v>Valhalla Concept Car</v>
      </c>
      <c r="O158" s="39">
        <v>3232</v>
      </c>
      <c r="P158" s="39">
        <v>3403</v>
      </c>
      <c r="Q158" s="39" t="s">
        <v>127</v>
      </c>
      <c r="R158" s="39" t="s">
        <v>127</v>
      </c>
      <c r="S158" s="39" t="s">
        <v>127</v>
      </c>
      <c r="T158" s="39" t="s">
        <v>127</v>
      </c>
      <c r="U158" s="39">
        <v>4517</v>
      </c>
      <c r="W158" s="8">
        <v>1</v>
      </c>
    </row>
    <row r="159" spans="2:23" ht="18" customHeight="1" x14ac:dyDescent="0.2">
      <c r="B159" s="10">
        <f>garage!B159</f>
        <v>159</v>
      </c>
      <c r="C159" s="10">
        <f>garage!C159</f>
        <v>4</v>
      </c>
      <c r="D159" s="10">
        <f>garage!D159</f>
        <v>38</v>
      </c>
      <c r="E159" s="10">
        <f>garage!E159</f>
        <v>18</v>
      </c>
      <c r="F159" s="10" t="str">
        <f>garage!F159</f>
        <v>--</v>
      </c>
      <c r="G159" s="10" t="str">
        <f>garage!G159</f>
        <v>O</v>
      </c>
      <c r="H159" s="10" t="str">
        <f>garage!H159</f>
        <v>N</v>
      </c>
      <c r="I159" s="10" t="str">
        <f>garage!I159</f>
        <v>N</v>
      </c>
      <c r="J159" s="10" t="str">
        <f>garage!J159</f>
        <v>N</v>
      </c>
      <c r="K159" s="10" t="str">
        <f>garage!K159</f>
        <v>A</v>
      </c>
      <c r="L159" s="11" t="str">
        <f>garage!L159</f>
        <v>Pagani</v>
      </c>
      <c r="M159" s="11" t="str">
        <f>garage!M159</f>
        <v>Imola</v>
      </c>
      <c r="O159" s="10">
        <v>3254</v>
      </c>
      <c r="P159" s="10">
        <v>3430</v>
      </c>
      <c r="Q159" s="10" t="s">
        <v>127</v>
      </c>
      <c r="R159" s="10" t="s">
        <v>127</v>
      </c>
      <c r="S159" s="10" t="s">
        <v>127</v>
      </c>
      <c r="T159" s="10" t="s">
        <v>127</v>
      </c>
      <c r="U159" s="10">
        <v>4545</v>
      </c>
      <c r="W159" s="10">
        <v>1</v>
      </c>
    </row>
    <row r="160" spans="2:23" ht="18" customHeight="1" x14ac:dyDescent="0.2">
      <c r="B160" s="8">
        <f>garage!B160</f>
        <v>160</v>
      </c>
      <c r="C160" s="8">
        <f>garage!C160</f>
        <v>4</v>
      </c>
      <c r="D160" s="8">
        <f>garage!D160</f>
        <v>39</v>
      </c>
      <c r="E160" s="8">
        <f>garage!E160</f>
        <v>30</v>
      </c>
      <c r="F160" s="8" t="str">
        <f>garage!F160</f>
        <v>--</v>
      </c>
      <c r="G160" s="8" t="str">
        <f>garage!G160</f>
        <v>N</v>
      </c>
      <c r="H160" s="8" t="str">
        <f>garage!H160</f>
        <v>N</v>
      </c>
      <c r="I160" s="8" t="str">
        <f>garage!I160</f>
        <v>N</v>
      </c>
      <c r="J160" s="8" t="str">
        <f>garage!J160</f>
        <v>N</v>
      </c>
      <c r="K160" s="8" t="str">
        <f>garage!K160</f>
        <v>A</v>
      </c>
      <c r="L160" s="9" t="str">
        <f>garage!L160</f>
        <v>Jaguar</v>
      </c>
      <c r="M160" s="9" t="str">
        <f>garage!M160</f>
        <v>XJR-9</v>
      </c>
      <c r="O160" s="39">
        <v>3261</v>
      </c>
      <c r="P160" s="39">
        <v>3433</v>
      </c>
      <c r="Q160" s="39"/>
      <c r="R160" s="39"/>
      <c r="S160" s="39"/>
      <c r="T160" s="39"/>
      <c r="U160" s="39"/>
      <c r="W160" s="8"/>
    </row>
    <row r="161" spans="2:23" ht="18" customHeight="1" x14ac:dyDescent="0.2">
      <c r="B161" s="10">
        <f>garage!B161</f>
        <v>161</v>
      </c>
      <c r="C161" s="10">
        <f>garage!C161</f>
        <v>4</v>
      </c>
      <c r="D161" s="10">
        <f>garage!D161</f>
        <v>40</v>
      </c>
      <c r="E161" s="10">
        <f>garage!E161</f>
        <v>25</v>
      </c>
      <c r="F161" s="10" t="str">
        <f>garage!F161</f>
        <v>L</v>
      </c>
      <c r="G161" s="10" t="str">
        <f>garage!G161</f>
        <v>N</v>
      </c>
      <c r="H161" s="10" t="str">
        <f>garage!H161</f>
        <v>N</v>
      </c>
      <c r="I161" s="10" t="str">
        <f>garage!I161</f>
        <v>N</v>
      </c>
      <c r="J161" s="10" t="str">
        <f>garage!J161</f>
        <v>N</v>
      </c>
      <c r="K161" s="10" t="str">
        <f>garage!K161</f>
        <v>A</v>
      </c>
      <c r="L161" s="11" t="str">
        <f>garage!L161</f>
        <v>Lamborghini</v>
      </c>
      <c r="M161" s="11" t="str">
        <f>garage!M161</f>
        <v>Countach LPI 800-4</v>
      </c>
      <c r="O161" s="10">
        <v>3266</v>
      </c>
      <c r="P161" s="10">
        <v>3439</v>
      </c>
      <c r="Q161" s="10" t="s">
        <v>127</v>
      </c>
      <c r="R161" s="10" t="s">
        <v>127</v>
      </c>
      <c r="S161" s="10" t="s">
        <v>127</v>
      </c>
      <c r="T161" s="10" t="s">
        <v>127</v>
      </c>
      <c r="U161" s="10">
        <v>4559</v>
      </c>
      <c r="W161" s="10">
        <v>1</v>
      </c>
    </row>
    <row r="162" spans="2:23" ht="18" customHeight="1" x14ac:dyDescent="0.2">
      <c r="B162" s="8">
        <f>garage!B162</f>
        <v>162</v>
      </c>
      <c r="C162" s="8">
        <f>garage!C162</f>
        <v>4</v>
      </c>
      <c r="D162" s="8">
        <f>garage!D162</f>
        <v>99</v>
      </c>
      <c r="E162" s="8">
        <f>garage!E162</f>
        <v>20</v>
      </c>
      <c r="F162" s="8" t="str">
        <f>garage!F162</f>
        <v>--</v>
      </c>
      <c r="G162" s="8" t="str">
        <f>garage!G162</f>
        <v>N</v>
      </c>
      <c r="H162" s="8" t="str">
        <f>garage!H162</f>
        <v>N</v>
      </c>
      <c r="I162" s="8" t="str">
        <f>garage!I162</f>
        <v>N</v>
      </c>
      <c r="J162" s="8" t="str">
        <f>garage!J162</f>
        <v>N</v>
      </c>
      <c r="K162" s="8" t="str">
        <f>garage!K162</f>
        <v>A</v>
      </c>
      <c r="L162" s="9" t="str">
        <f>garage!L162</f>
        <v>Lego Technic McLaren</v>
      </c>
      <c r="M162" s="9" t="str">
        <f>garage!M162</f>
        <v>Senna GTR</v>
      </c>
      <c r="O162" s="39">
        <v>2594</v>
      </c>
      <c r="P162" s="39">
        <v>2736</v>
      </c>
      <c r="Q162" s="39" t="s">
        <v>127</v>
      </c>
      <c r="R162" s="39" t="s">
        <v>127</v>
      </c>
      <c r="S162" s="39" t="s">
        <v>127</v>
      </c>
      <c r="T162" s="39" t="s">
        <v>127</v>
      </c>
      <c r="U162" s="39"/>
      <c r="W162" s="8">
        <v>1</v>
      </c>
    </row>
    <row r="163" spans="2:23" ht="18" customHeight="1" x14ac:dyDescent="0.2">
      <c r="B163" s="10">
        <f>garage!B163</f>
        <v>163</v>
      </c>
      <c r="C163" s="10">
        <f>garage!C163</f>
        <v>5</v>
      </c>
      <c r="D163" s="10">
        <f>garage!D163</f>
        <v>1</v>
      </c>
      <c r="E163" s="10">
        <f>garage!E163</f>
        <v>0</v>
      </c>
      <c r="F163" s="10" t="str">
        <f>garage!F163</f>
        <v>L</v>
      </c>
      <c r="G163" s="10" t="str">
        <f>garage!G163</f>
        <v>O</v>
      </c>
      <c r="H163" s="10" t="str">
        <f>garage!H163</f>
        <v>O</v>
      </c>
      <c r="I163" s="10" t="str">
        <f>garage!I163</f>
        <v>O</v>
      </c>
      <c r="J163" s="10" t="str">
        <f>garage!J163</f>
        <v>N</v>
      </c>
      <c r="K163" s="10" t="str">
        <f>garage!K163</f>
        <v>S</v>
      </c>
      <c r="L163" s="11" t="str">
        <f>garage!L163</f>
        <v>Lamborghini</v>
      </c>
      <c r="M163" s="11" t="str">
        <f>garage!M163</f>
        <v>Centenario</v>
      </c>
      <c r="O163" s="10">
        <v>2702</v>
      </c>
      <c r="P163" s="10">
        <v>2847</v>
      </c>
      <c r="Q163" s="10">
        <v>3017</v>
      </c>
      <c r="R163" s="10">
        <v>3177</v>
      </c>
      <c r="S163" s="10">
        <v>3436</v>
      </c>
      <c r="T163" s="10">
        <v>3709</v>
      </c>
      <c r="U163" s="10" t="s">
        <v>127</v>
      </c>
      <c r="W163" s="10">
        <v>1</v>
      </c>
    </row>
    <row r="164" spans="2:23" ht="18" customHeight="1" x14ac:dyDescent="0.2">
      <c r="B164" s="8">
        <f>garage!B164</f>
        <v>164</v>
      </c>
      <c r="C164" s="8">
        <f>garage!C164</f>
        <v>5</v>
      </c>
      <c r="D164" s="8">
        <f>garage!D164</f>
        <v>2</v>
      </c>
      <c r="E164" s="8">
        <f>garage!E164</f>
        <v>0</v>
      </c>
      <c r="F164" s="8" t="str">
        <f>garage!F164</f>
        <v>F</v>
      </c>
      <c r="G164" s="8" t="str">
        <f>garage!G164</f>
        <v>O</v>
      </c>
      <c r="H164" s="8" t="str">
        <f>garage!H164</f>
        <v>O</v>
      </c>
      <c r="I164" s="8" t="str">
        <f>garage!I164</f>
        <v>O</v>
      </c>
      <c r="J164" s="8" t="str">
        <f>garage!J164</f>
        <v>N</v>
      </c>
      <c r="K164" s="8" t="str">
        <f>garage!K164</f>
        <v>S</v>
      </c>
      <c r="L164" s="9" t="str">
        <f>garage!L164</f>
        <v>Ferrari</v>
      </c>
      <c r="M164" s="9" t="str">
        <f>garage!M164</f>
        <v>FXX K</v>
      </c>
      <c r="O164" s="39">
        <v>2804</v>
      </c>
      <c r="P164" s="39">
        <v>2949</v>
      </c>
      <c r="Q164" s="39">
        <v>3120</v>
      </c>
      <c r="R164" s="39">
        <v>3298</v>
      </c>
      <c r="S164" s="39">
        <v>3563</v>
      </c>
      <c r="T164" s="39">
        <v>3832</v>
      </c>
      <c r="U164" s="39" t="s">
        <v>127</v>
      </c>
      <c r="W164" s="8">
        <v>2</v>
      </c>
    </row>
    <row r="165" spans="2:23" ht="18" customHeight="1" x14ac:dyDescent="0.2">
      <c r="B165" s="10">
        <f>garage!B165</f>
        <v>165</v>
      </c>
      <c r="C165" s="10">
        <f>garage!C165</f>
        <v>5</v>
      </c>
      <c r="D165" s="10">
        <f>garage!D165</f>
        <v>3</v>
      </c>
      <c r="E165" s="10">
        <f>garage!E165</f>
        <v>0</v>
      </c>
      <c r="F165" s="10" t="str">
        <f>garage!F165</f>
        <v>--</v>
      </c>
      <c r="G165" s="10" t="str">
        <f>garage!G165</f>
        <v>O</v>
      </c>
      <c r="H165" s="10" t="str">
        <f>garage!H165</f>
        <v>O</v>
      </c>
      <c r="I165" s="10" t="str">
        <f>garage!I165</f>
        <v>O</v>
      </c>
      <c r="J165" s="10" t="str">
        <f>garage!J165</f>
        <v>N</v>
      </c>
      <c r="K165" s="10" t="str">
        <f>garage!K165</f>
        <v>S</v>
      </c>
      <c r="L165" s="11" t="str">
        <f>garage!L165</f>
        <v>Icona</v>
      </c>
      <c r="M165" s="11" t="str">
        <f>garage!M165</f>
        <v>Vulcano Titanium</v>
      </c>
      <c r="O165" s="10">
        <v>2907</v>
      </c>
      <c r="P165" s="10">
        <v>3058</v>
      </c>
      <c r="Q165" s="10">
        <v>3238</v>
      </c>
      <c r="R165" s="10">
        <v>3412</v>
      </c>
      <c r="S165" s="10">
        <v>3682</v>
      </c>
      <c r="T165" s="10">
        <v>3957</v>
      </c>
      <c r="U165" s="10" t="s">
        <v>127</v>
      </c>
      <c r="W165" s="10">
        <v>3</v>
      </c>
    </row>
    <row r="166" spans="2:23" ht="18" customHeight="1" x14ac:dyDescent="0.2">
      <c r="B166" s="8">
        <f>garage!B166</f>
        <v>166</v>
      </c>
      <c r="C166" s="8">
        <f>garage!C166</f>
        <v>5</v>
      </c>
      <c r="D166" s="8">
        <f>garage!D166</f>
        <v>4</v>
      </c>
      <c r="E166" s="8">
        <f>garage!E166</f>
        <v>0</v>
      </c>
      <c r="F166" s="8" t="str">
        <f>garage!F166</f>
        <v>--</v>
      </c>
      <c r="G166" s="8" t="str">
        <f>garage!G166</f>
        <v>O</v>
      </c>
      <c r="H166" s="8" t="str">
        <f>garage!H166</f>
        <v>O</v>
      </c>
      <c r="I166" s="8" t="str">
        <f>garage!I166</f>
        <v>O</v>
      </c>
      <c r="J166" s="8" t="str">
        <f>garage!J166</f>
        <v>N</v>
      </c>
      <c r="K166" s="8" t="str">
        <f>garage!K166</f>
        <v>S</v>
      </c>
      <c r="L166" s="9" t="str">
        <f>garage!L166</f>
        <v>W Motors</v>
      </c>
      <c r="M166" s="9" t="str">
        <f>garage!M166</f>
        <v>Lykan Hypersport</v>
      </c>
      <c r="O166" s="39">
        <v>3013</v>
      </c>
      <c r="P166" s="39">
        <v>3168</v>
      </c>
      <c r="Q166" s="39">
        <v>3346</v>
      </c>
      <c r="R166" s="39">
        <v>3524</v>
      </c>
      <c r="S166" s="39">
        <v>3800</v>
      </c>
      <c r="T166" s="39">
        <v>4083</v>
      </c>
      <c r="U166" s="39" t="s">
        <v>127</v>
      </c>
      <c r="W166" s="8">
        <v>4</v>
      </c>
    </row>
    <row r="167" spans="2:23" ht="18" customHeight="1" x14ac:dyDescent="0.2">
      <c r="B167" s="10">
        <f>garage!B167</f>
        <v>167</v>
      </c>
      <c r="C167" s="10">
        <f>garage!C167</f>
        <v>5</v>
      </c>
      <c r="D167" s="10">
        <f>garage!D167</f>
        <v>5</v>
      </c>
      <c r="E167" s="10">
        <f>garage!E167</f>
        <v>21</v>
      </c>
      <c r="F167" s="10" t="str">
        <f>garage!F167</f>
        <v>--</v>
      </c>
      <c r="G167" s="10" t="str">
        <f>garage!G167</f>
        <v>N</v>
      </c>
      <c r="H167" s="10" t="str">
        <f>garage!H167</f>
        <v>N</v>
      </c>
      <c r="I167" s="10" t="str">
        <f>garage!I167</f>
        <v>N</v>
      </c>
      <c r="J167" s="10" t="str">
        <f>garage!J167</f>
        <v>N</v>
      </c>
      <c r="K167" s="10" t="str">
        <f>garage!K167</f>
        <v>S</v>
      </c>
      <c r="L167" s="11" t="str">
        <f>garage!L167</f>
        <v>Raesr</v>
      </c>
      <c r="M167" s="11" t="str">
        <f>garage!M167</f>
        <v>Tachyon Speed</v>
      </c>
      <c r="O167" s="10">
        <v>3035</v>
      </c>
      <c r="P167" s="10">
        <v>3174</v>
      </c>
      <c r="Q167" s="10">
        <v>3340</v>
      </c>
      <c r="R167" s="10">
        <v>3516</v>
      </c>
      <c r="S167" s="10">
        <v>3697</v>
      </c>
      <c r="T167" s="10">
        <v>3905</v>
      </c>
      <c r="U167" s="10">
        <v>4109</v>
      </c>
      <c r="W167" s="10">
        <v>5</v>
      </c>
    </row>
    <row r="168" spans="2:23" ht="18" customHeight="1" x14ac:dyDescent="0.2">
      <c r="B168" s="8">
        <f>garage!B168</f>
        <v>168</v>
      </c>
      <c r="C168" s="8">
        <f>garage!C168</f>
        <v>5</v>
      </c>
      <c r="D168" s="8">
        <f>garage!D168</f>
        <v>6</v>
      </c>
      <c r="E168" s="8">
        <f>garage!E168</f>
        <v>12</v>
      </c>
      <c r="F168" s="8" t="str">
        <f>garage!F168</f>
        <v>L</v>
      </c>
      <c r="G168" s="8" t="str">
        <f>garage!G168</f>
        <v>O</v>
      </c>
      <c r="H168" s="8" t="str">
        <f>garage!H168</f>
        <v>O</v>
      </c>
      <c r="I168" s="8" t="str">
        <f>garage!I168</f>
        <v>O</v>
      </c>
      <c r="J168" s="8" t="str">
        <f>garage!J168</f>
        <v>N</v>
      </c>
      <c r="K168" s="8" t="str">
        <f>garage!K168</f>
        <v>S</v>
      </c>
      <c r="L168" s="9" t="str">
        <f>garage!L168</f>
        <v>Lamborghini</v>
      </c>
      <c r="M168" s="9" t="str">
        <f>garage!M168</f>
        <v>Veneno</v>
      </c>
      <c r="O168" s="39">
        <v>3067</v>
      </c>
      <c r="P168" s="39">
        <v>3208</v>
      </c>
      <c r="Q168" s="39">
        <v>3374</v>
      </c>
      <c r="R168" s="39">
        <v>3548</v>
      </c>
      <c r="S168" s="39">
        <v>3731</v>
      </c>
      <c r="T168" s="39">
        <v>3941</v>
      </c>
      <c r="U168" s="39">
        <v>4148</v>
      </c>
      <c r="W168" s="8">
        <v>6</v>
      </c>
    </row>
    <row r="169" spans="2:23" ht="18" customHeight="1" x14ac:dyDescent="0.2">
      <c r="B169" s="10">
        <f>garage!B169</f>
        <v>169</v>
      </c>
      <c r="C169" s="10">
        <f>garage!C169</f>
        <v>5</v>
      </c>
      <c r="D169" s="10">
        <f>garage!D169</f>
        <v>7</v>
      </c>
      <c r="E169" s="10">
        <f>garage!E169</f>
        <v>23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garage!J169</f>
        <v>N</v>
      </c>
      <c r="K169" s="10" t="str">
        <f>garage!K169</f>
        <v>S</v>
      </c>
      <c r="L169" s="11" t="str">
        <f>garage!L169</f>
        <v>Jaguar</v>
      </c>
      <c r="M169" s="11" t="str">
        <f>garage!M169</f>
        <v>XJ220S TWR</v>
      </c>
      <c r="O169" s="10">
        <v>3089</v>
      </c>
      <c r="P169" s="10">
        <v>3229</v>
      </c>
      <c r="Q169" s="10">
        <v>3396</v>
      </c>
      <c r="R169" s="10">
        <v>3573</v>
      </c>
      <c r="S169" s="10">
        <v>3758</v>
      </c>
      <c r="T169" s="10">
        <v>3973</v>
      </c>
      <c r="U169" s="10">
        <v>4173</v>
      </c>
      <c r="W169" s="10">
        <v>7</v>
      </c>
    </row>
    <row r="170" spans="2:23" ht="18" customHeight="1" x14ac:dyDescent="0.2">
      <c r="B170" s="8">
        <f>garage!B170</f>
        <v>170</v>
      </c>
      <c r="C170" s="8">
        <f>garage!C170</f>
        <v>5</v>
      </c>
      <c r="D170" s="8">
        <f>garage!D170</f>
        <v>8</v>
      </c>
      <c r="E170" s="8">
        <f>garage!E170</f>
        <v>0</v>
      </c>
      <c r="F170" s="8" t="str">
        <f>garage!F170</f>
        <v>L</v>
      </c>
      <c r="G170" s="8" t="str">
        <f>garage!G170</f>
        <v>O</v>
      </c>
      <c r="H170" s="8" t="str">
        <f>garage!H170</f>
        <v>O</v>
      </c>
      <c r="I170" s="8" t="str">
        <f>garage!I170</f>
        <v>O</v>
      </c>
      <c r="J170" s="8" t="str">
        <f>garage!J170</f>
        <v>N</v>
      </c>
      <c r="K170" s="8" t="str">
        <f>garage!K170</f>
        <v>S</v>
      </c>
      <c r="L170" s="9" t="str">
        <f>garage!L170</f>
        <v>Lamborghini</v>
      </c>
      <c r="M170" s="9" t="str">
        <f>garage!M170</f>
        <v>Egoista</v>
      </c>
      <c r="O170" s="39">
        <v>3122</v>
      </c>
      <c r="P170" s="39">
        <v>3267</v>
      </c>
      <c r="Q170" s="39">
        <v>3428</v>
      </c>
      <c r="R170" s="39">
        <v>3605</v>
      </c>
      <c r="S170" s="39">
        <v>3789</v>
      </c>
      <c r="T170" s="39">
        <v>4010</v>
      </c>
      <c r="U170" s="39">
        <v>4213</v>
      </c>
      <c r="W170" s="8">
        <v>8</v>
      </c>
    </row>
    <row r="171" spans="2:23" ht="18" customHeight="1" x14ac:dyDescent="0.2">
      <c r="B171" s="10">
        <f>garage!B171</f>
        <v>171</v>
      </c>
      <c r="C171" s="10">
        <f>garage!C171</f>
        <v>5</v>
      </c>
      <c r="D171" s="10">
        <f>garage!D171</f>
        <v>9</v>
      </c>
      <c r="E171" s="10">
        <f>garage!E171</f>
        <v>28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garage!J171</f>
        <v>N</v>
      </c>
      <c r="K171" s="10" t="str">
        <f>garage!K171</f>
        <v>S</v>
      </c>
      <c r="L171" s="11" t="str">
        <f>garage!L171</f>
        <v>Chrysler</v>
      </c>
      <c r="M171" s="11" t="str">
        <f>garage!M171</f>
        <v>ME412</v>
      </c>
      <c r="O171" s="10">
        <v>3165</v>
      </c>
      <c r="P171" s="10">
        <v>3303</v>
      </c>
      <c r="Q171" s="10" t="s">
        <v>127</v>
      </c>
      <c r="R171" s="10" t="s">
        <v>127</v>
      </c>
      <c r="S171" s="10" t="s">
        <v>127</v>
      </c>
      <c r="T171" s="10" t="s">
        <v>127</v>
      </c>
      <c r="U171" s="10">
        <v>4241</v>
      </c>
      <c r="W171" s="10">
        <v>9</v>
      </c>
    </row>
    <row r="172" spans="2:23" ht="18" customHeight="1" x14ac:dyDescent="0.2">
      <c r="B172" s="8">
        <f>garage!B172</f>
        <v>172</v>
      </c>
      <c r="C172" s="8">
        <f>garage!C172</f>
        <v>5</v>
      </c>
      <c r="D172" s="8">
        <f>garage!D172</f>
        <v>10</v>
      </c>
      <c r="E172" s="8">
        <f>garage!E172</f>
        <v>0</v>
      </c>
      <c r="F172" s="8" t="str">
        <f>garage!F172</f>
        <v>--</v>
      </c>
      <c r="G172" s="8" t="str">
        <f>garage!G172</f>
        <v>O</v>
      </c>
      <c r="H172" s="8" t="str">
        <f>garage!H172</f>
        <v>O</v>
      </c>
      <c r="I172" s="8" t="str">
        <f>garage!I172</f>
        <v>O</v>
      </c>
      <c r="J172" s="8" t="str">
        <f>garage!J172</f>
        <v>N</v>
      </c>
      <c r="K172" s="8" t="str">
        <f>garage!K172</f>
        <v>S</v>
      </c>
      <c r="L172" s="9" t="str">
        <f>garage!L172</f>
        <v>Trion</v>
      </c>
      <c r="M172" s="9" t="str">
        <f>garage!M172</f>
        <v>Nemesis</v>
      </c>
      <c r="O172" s="39">
        <v>3232</v>
      </c>
      <c r="P172" s="39">
        <v>3380</v>
      </c>
      <c r="Q172" s="39">
        <v>3547</v>
      </c>
      <c r="R172" s="39">
        <v>3729</v>
      </c>
      <c r="S172" s="39">
        <v>3917</v>
      </c>
      <c r="T172" s="39">
        <v>4143</v>
      </c>
      <c r="U172" s="39">
        <v>4344</v>
      </c>
      <c r="W172" s="8">
        <v>10</v>
      </c>
    </row>
    <row r="173" spans="2:23" ht="18" customHeight="1" x14ac:dyDescent="0.2">
      <c r="B173" s="10">
        <f>garage!B173</f>
        <v>173</v>
      </c>
      <c r="C173" s="10">
        <f>garage!C173</f>
        <v>5</v>
      </c>
      <c r="D173" s="10">
        <f>garage!D173</f>
        <v>11</v>
      </c>
      <c r="E173" s="10">
        <f>garage!E173</f>
        <v>29</v>
      </c>
      <c r="F173" s="10" t="str">
        <f>garage!F173</f>
        <v>--</v>
      </c>
      <c r="G173" s="10" t="str">
        <f>garage!G173</f>
        <v>N</v>
      </c>
      <c r="H173" s="10" t="str">
        <f>garage!H173</f>
        <v>N</v>
      </c>
      <c r="I173" s="10" t="str">
        <f>garage!I173</f>
        <v>N</v>
      </c>
      <c r="J173" s="10" t="str">
        <f>garage!J173</f>
        <v>N</v>
      </c>
      <c r="K173" s="10" t="str">
        <f>garage!K173</f>
        <v>S</v>
      </c>
      <c r="L173" s="11" t="str">
        <f>garage!L173</f>
        <v>Spania GTA</v>
      </c>
      <c r="M173" s="11" t="str">
        <f>garage!M173</f>
        <v>2015 GTA Spano</v>
      </c>
      <c r="O173" s="10">
        <v>3266</v>
      </c>
      <c r="P173" s="10">
        <v>3408</v>
      </c>
      <c r="Q173" s="10" t="s">
        <v>127</v>
      </c>
      <c r="R173" s="10" t="s">
        <v>127</v>
      </c>
      <c r="S173" s="10" t="s">
        <v>127</v>
      </c>
      <c r="T173" s="10" t="s">
        <v>127</v>
      </c>
      <c r="U173" s="10">
        <v>4373</v>
      </c>
      <c r="W173" s="10">
        <v>11</v>
      </c>
    </row>
    <row r="174" spans="2:23" ht="18" customHeight="1" x14ac:dyDescent="0.2">
      <c r="B174" s="8">
        <f>garage!B174</f>
        <v>174</v>
      </c>
      <c r="C174" s="8">
        <f>garage!C174</f>
        <v>5</v>
      </c>
      <c r="D174" s="8">
        <f>garage!D174</f>
        <v>12</v>
      </c>
      <c r="E174" s="8">
        <f>garage!E174</f>
        <v>15</v>
      </c>
      <c r="F174" s="8" t="str">
        <f>garage!F174</f>
        <v>F</v>
      </c>
      <c r="G174" s="8" t="str">
        <f>garage!G174</f>
        <v>O</v>
      </c>
      <c r="H174" s="8" t="str">
        <f>garage!H174</f>
        <v>N</v>
      </c>
      <c r="I174" s="8" t="str">
        <f>garage!I174</f>
        <v>N</v>
      </c>
      <c r="J174" s="8" t="str">
        <f>garage!J174</f>
        <v>N</v>
      </c>
      <c r="K174" s="8" t="str">
        <f>garage!K174</f>
        <v>S</v>
      </c>
      <c r="L174" s="9" t="str">
        <f>garage!L174</f>
        <v>Ferrari</v>
      </c>
      <c r="M174" s="9" t="str">
        <f>garage!M174</f>
        <v>SF90 Stradale</v>
      </c>
      <c r="O174" s="39">
        <v>2928</v>
      </c>
      <c r="P174" s="39">
        <v>3124</v>
      </c>
      <c r="Q174" s="39">
        <v>3350</v>
      </c>
      <c r="R174" s="39">
        <v>3587</v>
      </c>
      <c r="S174" s="39">
        <v>3832</v>
      </c>
      <c r="T174" s="39">
        <v>4117</v>
      </c>
      <c r="U174" s="39">
        <v>4395</v>
      </c>
      <c r="W174" s="8">
        <v>12</v>
      </c>
    </row>
    <row r="175" spans="2:23" ht="18" customHeight="1" x14ac:dyDescent="0.2">
      <c r="B175" s="10">
        <f>garage!B175</f>
        <v>175</v>
      </c>
      <c r="C175" s="10">
        <f>garage!C175</f>
        <v>5</v>
      </c>
      <c r="D175" s="10">
        <f>garage!D175</f>
        <v>13</v>
      </c>
      <c r="E175" s="10">
        <f>garage!E175</f>
        <v>30</v>
      </c>
      <c r="F175" s="10" t="str">
        <f>garage!F175</f>
        <v>--</v>
      </c>
      <c r="G175" s="10" t="str">
        <f>garage!G175</f>
        <v>N</v>
      </c>
      <c r="H175" s="10" t="str">
        <f>garage!H175</f>
        <v>N</v>
      </c>
      <c r="I175" s="10" t="str">
        <f>garage!I175</f>
        <v>N</v>
      </c>
      <c r="J175" s="10" t="str">
        <f>garage!J175</f>
        <v>N</v>
      </c>
      <c r="K175" s="10" t="str">
        <f>garage!K175</f>
        <v>S</v>
      </c>
      <c r="L175" s="11" t="str">
        <f>garage!L175</f>
        <v>FV Frangivento</v>
      </c>
      <c r="M175" s="11" t="str">
        <f>garage!M175</f>
        <v>Sorpasso GT3</v>
      </c>
      <c r="O175" s="10" t="s">
        <v>127</v>
      </c>
      <c r="P175" s="10">
        <v>3420</v>
      </c>
      <c r="Q175" s="10" t="s">
        <v>127</v>
      </c>
      <c r="R175" s="10" t="s">
        <v>127</v>
      </c>
      <c r="S175" s="10" t="s">
        <v>127</v>
      </c>
      <c r="T175" s="10" t="s">
        <v>127</v>
      </c>
      <c r="U175" s="10" t="s">
        <v>127</v>
      </c>
      <c r="W175" s="10"/>
    </row>
    <row r="176" spans="2:23" ht="18" customHeight="1" x14ac:dyDescent="0.2">
      <c r="B176" s="8">
        <f>garage!B176</f>
        <v>176</v>
      </c>
      <c r="C176" s="8">
        <f>garage!C176</f>
        <v>5</v>
      </c>
      <c r="D176" s="8">
        <f>garage!D176</f>
        <v>14</v>
      </c>
      <c r="E176" s="8">
        <f>garage!E176</f>
        <v>7</v>
      </c>
      <c r="F176" s="8" t="str">
        <f>garage!F176</f>
        <v>M</v>
      </c>
      <c r="G176" s="8" t="str">
        <f>garage!G176</f>
        <v>O</v>
      </c>
      <c r="H176" s="8" t="str">
        <f>garage!H176</f>
        <v>N</v>
      </c>
      <c r="I176" s="8" t="str">
        <f>garage!I176</f>
        <v>N</v>
      </c>
      <c r="J176" s="8" t="str">
        <f>garage!J176</f>
        <v>N</v>
      </c>
      <c r="K176" s="8" t="str">
        <f>garage!K176</f>
        <v>S</v>
      </c>
      <c r="L176" s="9" t="str">
        <f>garage!L176</f>
        <v>McLaren</v>
      </c>
      <c r="M176" s="9" t="str">
        <f>garage!M176</f>
        <v>Senna</v>
      </c>
      <c r="O176" s="39">
        <v>2855</v>
      </c>
      <c r="P176" s="39">
        <v>3058</v>
      </c>
      <c r="Q176" s="39">
        <v>3297</v>
      </c>
      <c r="R176" s="39">
        <v>3552</v>
      </c>
      <c r="S176" s="39">
        <v>3812</v>
      </c>
      <c r="T176" s="39">
        <v>4112</v>
      </c>
      <c r="U176" s="39">
        <v>4406</v>
      </c>
      <c r="W176" s="8">
        <v>13</v>
      </c>
    </row>
    <row r="177" spans="2:23" ht="18" customHeight="1" x14ac:dyDescent="0.2">
      <c r="B177" s="10">
        <f>garage!B177</f>
        <v>177</v>
      </c>
      <c r="C177" s="10">
        <f>garage!C177</f>
        <v>5</v>
      </c>
      <c r="D177" s="10">
        <f>garage!D177</f>
        <v>15</v>
      </c>
      <c r="E177" s="10">
        <f>garage!E177</f>
        <v>20</v>
      </c>
      <c r="F177" s="10" t="str">
        <f>garage!F177</f>
        <v>B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 t="str">
        <f>garage!J177</f>
        <v>N</v>
      </c>
      <c r="K177" s="10" t="str">
        <f>garage!K177</f>
        <v>S</v>
      </c>
      <c r="L177" s="11" t="str">
        <f>garage!L177</f>
        <v>Bugatti</v>
      </c>
      <c r="M177" s="11" t="str">
        <f>garage!M177</f>
        <v>Veyron 16.4 Grand Sport Vitesse</v>
      </c>
      <c r="O177" s="10">
        <v>3111</v>
      </c>
      <c r="P177" s="10">
        <v>3281</v>
      </c>
      <c r="Q177" s="10">
        <v>3480</v>
      </c>
      <c r="R177" s="10">
        <v>3693</v>
      </c>
      <c r="S177" s="10">
        <v>3910</v>
      </c>
      <c r="T177" s="10">
        <v>4165</v>
      </c>
      <c r="U177" s="10">
        <v>4406</v>
      </c>
      <c r="W177" s="10">
        <v>14</v>
      </c>
    </row>
    <row r="178" spans="2:23" ht="18" customHeight="1" x14ac:dyDescent="0.2">
      <c r="B178" s="8">
        <f>garage!B178</f>
        <v>178</v>
      </c>
      <c r="C178" s="8">
        <f>garage!C178</f>
        <v>5</v>
      </c>
      <c r="D178" s="8">
        <f>garage!D178</f>
        <v>16</v>
      </c>
      <c r="E178" s="8">
        <f>garage!E178</f>
        <v>0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 t="str">
        <f>garage!J178</f>
        <v>N</v>
      </c>
      <c r="K178" s="8" t="str">
        <f>garage!K178</f>
        <v>S</v>
      </c>
      <c r="L178" s="9" t="str">
        <f>garage!L178</f>
        <v>Lamborghini</v>
      </c>
      <c r="M178" s="9" t="str">
        <f>garage!M178</f>
        <v>Terzo Millennio</v>
      </c>
      <c r="O178" s="39">
        <v>3288</v>
      </c>
      <c r="P178" s="39">
        <v>3440</v>
      </c>
      <c r="Q178" s="39">
        <v>3618</v>
      </c>
      <c r="R178" s="39">
        <v>3798</v>
      </c>
      <c r="S178" s="39">
        <v>3986</v>
      </c>
      <c r="T178" s="39">
        <v>4205</v>
      </c>
      <c r="U178" s="39">
        <v>4411</v>
      </c>
      <c r="W178" s="8">
        <v>15</v>
      </c>
    </row>
    <row r="179" spans="2:23" ht="18" customHeight="1" x14ac:dyDescent="0.2">
      <c r="B179" s="10">
        <f>garage!B179</f>
        <v>179</v>
      </c>
      <c r="C179" s="10">
        <f>garage!C179</f>
        <v>5</v>
      </c>
      <c r="D179" s="10">
        <f>garage!D179</f>
        <v>17</v>
      </c>
      <c r="E179" s="10">
        <f>garage!E179</f>
        <v>24</v>
      </c>
      <c r="F179" s="10" t="str">
        <f>garage!F179</f>
        <v>--</v>
      </c>
      <c r="G179" s="10" t="str">
        <f>garage!G179</f>
        <v>O</v>
      </c>
      <c r="H179" s="10" t="str">
        <f>garage!H179</f>
        <v>N</v>
      </c>
      <c r="I179" s="10" t="str">
        <f>garage!I179</f>
        <v>N</v>
      </c>
      <c r="J179" s="10" t="str">
        <f>garage!J179</f>
        <v>N</v>
      </c>
      <c r="K179" s="10" t="str">
        <f>garage!K179</f>
        <v>S</v>
      </c>
      <c r="L179" s="11" t="str">
        <f>garage!L179</f>
        <v>Vision</v>
      </c>
      <c r="M179" s="11">
        <f>garage!M179</f>
        <v>1789</v>
      </c>
      <c r="O179" s="10">
        <v>3232</v>
      </c>
      <c r="P179" s="10">
        <v>3390</v>
      </c>
      <c r="Q179" s="10">
        <v>3576</v>
      </c>
      <c r="R179" s="10">
        <v>3773</v>
      </c>
      <c r="S179" s="10">
        <v>3974</v>
      </c>
      <c r="T179" s="10">
        <v>4212</v>
      </c>
      <c r="U179" s="10">
        <v>4435</v>
      </c>
      <c r="W179" s="10">
        <v>16</v>
      </c>
    </row>
    <row r="180" spans="2:23" ht="18" customHeight="1" x14ac:dyDescent="0.2">
      <c r="B180" s="8">
        <f>garage!B180</f>
        <v>180</v>
      </c>
      <c r="C180" s="8">
        <f>garage!C180</f>
        <v>5</v>
      </c>
      <c r="D180" s="8">
        <f>garage!D180</f>
        <v>18</v>
      </c>
      <c r="E180" s="8">
        <f>garage!E180</f>
        <v>0</v>
      </c>
      <c r="F180" s="8" t="str">
        <f>garage!F180</f>
        <v>--</v>
      </c>
      <c r="G180" s="8" t="str">
        <f>garage!G180</f>
        <v>O</v>
      </c>
      <c r="H180" s="8" t="str">
        <f>garage!H180</f>
        <v>O</v>
      </c>
      <c r="I180" s="8" t="str">
        <f>garage!I180</f>
        <v>N</v>
      </c>
      <c r="J180" s="8" t="str">
        <f>garage!J180</f>
        <v>N</v>
      </c>
      <c r="K180" s="8" t="str">
        <f>garage!K180</f>
        <v>S</v>
      </c>
      <c r="L180" s="9" t="str">
        <f>garage!L180</f>
        <v>W Motors</v>
      </c>
      <c r="M180" s="9" t="str">
        <f>garage!M180</f>
        <v>Fenyr Supersport</v>
      </c>
      <c r="O180" s="39">
        <v>3345</v>
      </c>
      <c r="P180" s="39">
        <v>3492</v>
      </c>
      <c r="Q180" s="39">
        <v>3666</v>
      </c>
      <c r="R180" s="39">
        <v>3851</v>
      </c>
      <c r="S180" s="39">
        <v>4043</v>
      </c>
      <c r="T180" s="39">
        <v>4268</v>
      </c>
      <c r="U180" s="39">
        <v>4479</v>
      </c>
      <c r="W180" s="8">
        <v>17</v>
      </c>
    </row>
    <row r="181" spans="2:23" ht="18" customHeight="1" x14ac:dyDescent="0.2">
      <c r="B181" s="10">
        <f>garage!B181</f>
        <v>181</v>
      </c>
      <c r="C181" s="10">
        <f>garage!C181</f>
        <v>5</v>
      </c>
      <c r="D181" s="10">
        <f>garage!D181</f>
        <v>19</v>
      </c>
      <c r="E181" s="10">
        <f>garage!E181</f>
        <v>19</v>
      </c>
      <c r="F181" s="10" t="str">
        <f>garage!F181</f>
        <v>AM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 t="str">
        <f>garage!J181</f>
        <v>N</v>
      </c>
      <c r="K181" s="10" t="str">
        <f>garage!K181</f>
        <v>S</v>
      </c>
      <c r="L181" s="11" t="str">
        <f>garage!L181</f>
        <v>Aston Martin</v>
      </c>
      <c r="M181" s="11" t="str">
        <f>garage!M181</f>
        <v>Valkyrie</v>
      </c>
      <c r="O181" s="10">
        <v>3176</v>
      </c>
      <c r="P181" s="10">
        <v>3346</v>
      </c>
      <c r="Q181" s="10">
        <v>3548</v>
      </c>
      <c r="R181" s="10">
        <v>3761</v>
      </c>
      <c r="S181" s="10">
        <v>3984</v>
      </c>
      <c r="T181" s="10">
        <v>4242</v>
      </c>
      <c r="U181" s="10">
        <v>4488</v>
      </c>
      <c r="W181" s="10">
        <v>18</v>
      </c>
    </row>
    <row r="182" spans="2:23" ht="18" customHeight="1" x14ac:dyDescent="0.2">
      <c r="B182" s="8">
        <f>garage!B182</f>
        <v>182</v>
      </c>
      <c r="C182" s="8">
        <f>garage!C182</f>
        <v>5</v>
      </c>
      <c r="D182" s="8">
        <f>garage!D182</f>
        <v>20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N</v>
      </c>
      <c r="J182" s="8" t="str">
        <f>garage!J182</f>
        <v>N</v>
      </c>
      <c r="K182" s="8" t="str">
        <f>garage!K182</f>
        <v>S</v>
      </c>
      <c r="L182" s="9" t="str">
        <f>garage!L182</f>
        <v>Zenvo</v>
      </c>
      <c r="M182" s="9" t="str">
        <f>garage!M182</f>
        <v>TS1 GT Anniversary</v>
      </c>
      <c r="O182" s="39">
        <v>3067</v>
      </c>
      <c r="P182" s="39">
        <v>3251</v>
      </c>
      <c r="Q182" s="39">
        <v>3477</v>
      </c>
      <c r="R182" s="39">
        <v>3711</v>
      </c>
      <c r="S182" s="39">
        <v>3958</v>
      </c>
      <c r="T182" s="39">
        <v>4249</v>
      </c>
      <c r="U182" s="39">
        <v>4514</v>
      </c>
      <c r="W182" s="8">
        <v>19</v>
      </c>
    </row>
    <row r="183" spans="2:23" ht="18" customHeight="1" x14ac:dyDescent="0.2">
      <c r="B183" s="10">
        <f>garage!B183</f>
        <v>183</v>
      </c>
      <c r="C183" s="10">
        <f>garage!C183</f>
        <v>5</v>
      </c>
      <c r="D183" s="10">
        <f>garage!D183</f>
        <v>21</v>
      </c>
      <c r="E183" s="10">
        <f>garage!E183</f>
        <v>8</v>
      </c>
      <c r="F183" s="10" t="str">
        <f>garage!F183</f>
        <v>--</v>
      </c>
      <c r="G183" s="10" t="str">
        <f>garage!G183</f>
        <v>O</v>
      </c>
      <c r="H183" s="10" t="str">
        <f>garage!H183</f>
        <v>N</v>
      </c>
      <c r="I183" s="10" t="str">
        <f>garage!I183</f>
        <v>N</v>
      </c>
      <c r="J183" s="10" t="str">
        <f>garage!J183</f>
        <v>N</v>
      </c>
      <c r="K183" s="10" t="str">
        <f>garage!K183</f>
        <v>S</v>
      </c>
      <c r="L183" s="11" t="str">
        <f>garage!L183</f>
        <v>Automobili Pininfarina</v>
      </c>
      <c r="M183" s="11" t="str">
        <f>garage!M183</f>
        <v>Battista</v>
      </c>
      <c r="O183" s="10">
        <v>3122</v>
      </c>
      <c r="P183" s="10">
        <v>3308</v>
      </c>
      <c r="Q183" s="10">
        <v>3527</v>
      </c>
      <c r="R183" s="10">
        <v>3761</v>
      </c>
      <c r="S183" s="10">
        <v>4002</v>
      </c>
      <c r="T183" s="10">
        <v>4280</v>
      </c>
      <c r="U183" s="10">
        <v>4550</v>
      </c>
      <c r="W183" s="10">
        <v>20</v>
      </c>
    </row>
    <row r="184" spans="2:23" ht="18" customHeight="1" x14ac:dyDescent="0.2">
      <c r="B184" s="8">
        <f>garage!B184</f>
        <v>184</v>
      </c>
      <c r="C184" s="8">
        <f>garage!C184</f>
        <v>5</v>
      </c>
      <c r="D184" s="8">
        <f>garage!D184</f>
        <v>22</v>
      </c>
      <c r="E184" s="8">
        <f>garage!E184</f>
        <v>22</v>
      </c>
      <c r="F184" s="8" t="str">
        <f>garage!F184</f>
        <v>--</v>
      </c>
      <c r="G184" s="8" t="str">
        <f>garage!G184</f>
        <v>N</v>
      </c>
      <c r="H184" s="8" t="str">
        <f>garage!H184</f>
        <v>N</v>
      </c>
      <c r="I184" s="8" t="str">
        <f>garage!I184</f>
        <v>N</v>
      </c>
      <c r="J184" s="8" t="str">
        <f>garage!J184</f>
        <v>N</v>
      </c>
      <c r="K184" s="8" t="str">
        <f>garage!K184</f>
        <v>S</v>
      </c>
      <c r="L184" s="9" t="str">
        <f>garage!L184</f>
        <v>Naran</v>
      </c>
      <c r="M184" s="9" t="str">
        <f>garage!M184</f>
        <v>Hyper Coupé</v>
      </c>
      <c r="O184" s="39">
        <v>3210</v>
      </c>
      <c r="P184" s="39">
        <v>3386</v>
      </c>
      <c r="Q184" s="39">
        <v>3593</v>
      </c>
      <c r="R184" s="39">
        <v>3815</v>
      </c>
      <c r="S184" s="39">
        <v>4044</v>
      </c>
      <c r="T184" s="39">
        <v>4311</v>
      </c>
      <c r="U184" s="39">
        <v>4566</v>
      </c>
      <c r="W184" s="8">
        <v>21</v>
      </c>
    </row>
    <row r="185" spans="2:23" ht="18" customHeight="1" x14ac:dyDescent="0.2">
      <c r="B185" s="10">
        <f>garage!B185</f>
        <v>185</v>
      </c>
      <c r="C185" s="10">
        <f>garage!C185</f>
        <v>5</v>
      </c>
      <c r="D185" s="10">
        <f>garage!D185</f>
        <v>23</v>
      </c>
      <c r="E185" s="10">
        <f>garage!E185</f>
        <v>14</v>
      </c>
      <c r="F185" s="10" t="str">
        <f>garage!F185</f>
        <v>M</v>
      </c>
      <c r="G185" s="10" t="str">
        <f>garage!G185</f>
        <v>O</v>
      </c>
      <c r="H185" s="10" t="str">
        <f>garage!H185</f>
        <v>N</v>
      </c>
      <c r="I185" s="10" t="str">
        <f>garage!I185</f>
        <v>N</v>
      </c>
      <c r="J185" s="10" t="str">
        <f>garage!J185</f>
        <v>N</v>
      </c>
      <c r="K185" s="10" t="str">
        <f>garage!K185</f>
        <v>S</v>
      </c>
      <c r="L185" s="11" t="str">
        <f>garage!L185</f>
        <v>McLaren</v>
      </c>
      <c r="M185" s="11" t="str">
        <f>garage!M185</f>
        <v>Speedtail</v>
      </c>
      <c r="O185" s="10">
        <v>3402</v>
      </c>
      <c r="P185" s="10">
        <v>3559</v>
      </c>
      <c r="Q185" s="10">
        <v>3741</v>
      </c>
      <c r="R185" s="10">
        <v>3937</v>
      </c>
      <c r="S185" s="10">
        <v>4138</v>
      </c>
      <c r="T185" s="10">
        <v>4372</v>
      </c>
      <c r="U185" s="10">
        <v>4593</v>
      </c>
      <c r="W185" s="10">
        <v>22</v>
      </c>
    </row>
    <row r="186" spans="2:23" ht="18" customHeight="1" x14ac:dyDescent="0.2">
      <c r="B186" s="8">
        <f>garage!B186</f>
        <v>186</v>
      </c>
      <c r="C186" s="8">
        <f>garage!C186</f>
        <v>5</v>
      </c>
      <c r="D186" s="8">
        <f>garage!D186</f>
        <v>24</v>
      </c>
      <c r="E186" s="8">
        <f>garage!E186</f>
        <v>28</v>
      </c>
      <c r="F186" s="8" t="str">
        <f>garage!F186</f>
        <v>--</v>
      </c>
      <c r="G186" s="8" t="str">
        <f>garage!G186</f>
        <v>N</v>
      </c>
      <c r="H186" s="8" t="str">
        <f>garage!H186</f>
        <v>N</v>
      </c>
      <c r="I186" s="8" t="str">
        <f>garage!I186</f>
        <v>N</v>
      </c>
      <c r="J186" s="8" t="str">
        <f>garage!J186</f>
        <v>N</v>
      </c>
      <c r="K186" s="8" t="str">
        <f>garage!K186</f>
        <v>S</v>
      </c>
      <c r="L186" s="9" t="str">
        <f>garage!L186</f>
        <v>Faraday</v>
      </c>
      <c r="M186" s="9" t="str">
        <f>garage!M186</f>
        <v>FFZero1</v>
      </c>
      <c r="O186" s="39">
        <v>3425</v>
      </c>
      <c r="P186" s="39">
        <v>3578</v>
      </c>
      <c r="Q186" s="39">
        <v>3758</v>
      </c>
      <c r="R186" s="39">
        <v>3949</v>
      </c>
      <c r="S186" s="39">
        <v>4149</v>
      </c>
      <c r="T186" s="39">
        <v>4377</v>
      </c>
      <c r="U186" s="39">
        <v>4602</v>
      </c>
      <c r="W186" s="8">
        <v>23</v>
      </c>
    </row>
    <row r="187" spans="2:23" ht="18" customHeight="1" x14ac:dyDescent="0.2">
      <c r="B187" s="10">
        <f>garage!B187</f>
        <v>187</v>
      </c>
      <c r="C187" s="10">
        <f>garage!C187</f>
        <v>5</v>
      </c>
      <c r="D187" s="10">
        <f>garage!D187</f>
        <v>25</v>
      </c>
      <c r="E187" s="10">
        <f>garage!E187</f>
        <v>0</v>
      </c>
      <c r="F187" s="10" t="str">
        <f>garage!F187</f>
        <v>--</v>
      </c>
      <c r="G187" s="10" t="str">
        <f>garage!G187</f>
        <v>O</v>
      </c>
      <c r="H187" s="10" t="str">
        <f>garage!H187</f>
        <v>O</v>
      </c>
      <c r="I187" s="10" t="str">
        <f>garage!I187</f>
        <v>O</v>
      </c>
      <c r="J187" s="10" t="str">
        <f>garage!J187</f>
        <v>N</v>
      </c>
      <c r="K187" s="10" t="str">
        <f>garage!K187</f>
        <v>S</v>
      </c>
      <c r="L187" s="11" t="str">
        <f>garage!L187</f>
        <v>Koenigsegg</v>
      </c>
      <c r="M187" s="11" t="str">
        <f>garage!M187</f>
        <v>Regera</v>
      </c>
      <c r="O187" s="10">
        <v>3460</v>
      </c>
      <c r="P187" s="10">
        <v>3612</v>
      </c>
      <c r="Q187" s="10">
        <v>3793</v>
      </c>
      <c r="R187" s="10">
        <v>3980</v>
      </c>
      <c r="S187" s="10">
        <v>4176</v>
      </c>
      <c r="T187" s="10">
        <v>4403</v>
      </c>
      <c r="U187" s="10">
        <v>4616</v>
      </c>
      <c r="W187" s="10">
        <v>24</v>
      </c>
    </row>
    <row r="188" spans="2:23" ht="18" customHeight="1" x14ac:dyDescent="0.2">
      <c r="B188" s="8">
        <f>garage!B188</f>
        <v>188</v>
      </c>
      <c r="C188" s="8">
        <f>garage!C188</f>
        <v>5</v>
      </c>
      <c r="D188" s="8">
        <f>garage!D188</f>
        <v>26</v>
      </c>
      <c r="E188" s="8">
        <f>garage!E188</f>
        <v>23</v>
      </c>
      <c r="F188" s="8" t="str">
        <f>garage!F188</f>
        <v>--</v>
      </c>
      <c r="G188" s="8" t="str">
        <f>garage!G188</f>
        <v>N</v>
      </c>
      <c r="H188" s="8" t="str">
        <f>garage!H188</f>
        <v>N</v>
      </c>
      <c r="I188" s="8" t="str">
        <f>garage!I188</f>
        <v>N</v>
      </c>
      <c r="J188" s="8" t="str">
        <f>garage!J188</f>
        <v>N</v>
      </c>
      <c r="K188" s="8" t="str">
        <f>garage!K188</f>
        <v>S</v>
      </c>
      <c r="L188" s="9" t="str">
        <f>garage!L188</f>
        <v>Ultima</v>
      </c>
      <c r="M188" s="9" t="str">
        <f>garage!M188</f>
        <v>RS</v>
      </c>
      <c r="O188" s="39">
        <v>3483</v>
      </c>
      <c r="P188" s="39">
        <v>3637</v>
      </c>
      <c r="Q188" s="39">
        <v>3814</v>
      </c>
      <c r="R188" s="39">
        <v>4002</v>
      </c>
      <c r="S188" s="39">
        <v>4197</v>
      </c>
      <c r="T188" s="39">
        <v>4423</v>
      </c>
      <c r="U188" s="39">
        <v>4644</v>
      </c>
      <c r="W188" s="8">
        <v>25</v>
      </c>
    </row>
    <row r="189" spans="2:23" ht="18" customHeight="1" x14ac:dyDescent="0.2">
      <c r="B189" s="10">
        <f>garage!B189</f>
        <v>189</v>
      </c>
      <c r="C189" s="10">
        <f>garage!C189</f>
        <v>5</v>
      </c>
      <c r="D189" s="10">
        <f>garage!D189</f>
        <v>27</v>
      </c>
      <c r="E189" s="10">
        <f>garage!E189</f>
        <v>12</v>
      </c>
      <c r="F189" s="10" t="str">
        <f>garage!F189</f>
        <v>L</v>
      </c>
      <c r="G189" s="10" t="str">
        <f>garage!G189</f>
        <v>N</v>
      </c>
      <c r="H189" s="10" t="str">
        <f>garage!H189</f>
        <v>N</v>
      </c>
      <c r="I189" s="10" t="str">
        <f>garage!I189</f>
        <v>N</v>
      </c>
      <c r="J189" s="10" t="str">
        <f>garage!J189</f>
        <v>N</v>
      </c>
      <c r="K189" s="10" t="str">
        <f>garage!K189</f>
        <v>S</v>
      </c>
      <c r="L189" s="11" t="str">
        <f>garage!L189</f>
        <v>Lamborghini</v>
      </c>
      <c r="M189" s="11" t="str">
        <f>garage!M189</f>
        <v>Sián FKP 37</v>
      </c>
      <c r="O189" s="10">
        <v>3518</v>
      </c>
      <c r="P189" s="10">
        <v>3676</v>
      </c>
      <c r="Q189" s="10">
        <v>3856</v>
      </c>
      <c r="R189" s="10">
        <v>4045</v>
      </c>
      <c r="S189" s="10">
        <v>4241</v>
      </c>
      <c r="T189" s="10">
        <v>4470</v>
      </c>
      <c r="U189" s="10">
        <v>4685</v>
      </c>
      <c r="W189" s="10">
        <v>26</v>
      </c>
    </row>
    <row r="190" spans="2:23" ht="18" customHeight="1" x14ac:dyDescent="0.2">
      <c r="B190" s="8">
        <f>garage!B190</f>
        <v>190</v>
      </c>
      <c r="C190" s="8">
        <f>garage!C190</f>
        <v>5</v>
      </c>
      <c r="D190" s="8">
        <f>garage!D190</f>
        <v>28</v>
      </c>
      <c r="E190" s="8">
        <f>garage!E190</f>
        <v>27</v>
      </c>
      <c r="F190" s="8" t="str">
        <f>garage!F190</f>
        <v>--</v>
      </c>
      <c r="G190" s="8" t="str">
        <f>garage!G190</f>
        <v>N</v>
      </c>
      <c r="H190" s="8" t="str">
        <f>garage!H190</f>
        <v>N</v>
      </c>
      <c r="I190" s="8" t="str">
        <f>garage!I190</f>
        <v>N</v>
      </c>
      <c r="J190" s="8" t="str">
        <f>garage!J190</f>
        <v>N</v>
      </c>
      <c r="K190" s="8" t="str">
        <f>garage!K190</f>
        <v>S</v>
      </c>
      <c r="L190" s="9" t="str">
        <f>garage!L190</f>
        <v>Ajlani</v>
      </c>
      <c r="M190" s="9" t="str">
        <f>garage!M190</f>
        <v>Drakuma</v>
      </c>
      <c r="O190" s="39">
        <v>3532</v>
      </c>
      <c r="P190" s="39">
        <v>3683</v>
      </c>
      <c r="Q190" s="39">
        <v>3863</v>
      </c>
      <c r="R190" s="39">
        <v>4054</v>
      </c>
      <c r="S190" s="39">
        <v>4251</v>
      </c>
      <c r="T190" s="39">
        <v>4483</v>
      </c>
      <c r="U190" s="39">
        <v>4702</v>
      </c>
      <c r="W190" s="8">
        <v>27</v>
      </c>
    </row>
    <row r="191" spans="2:23" ht="18" customHeight="1" x14ac:dyDescent="0.2">
      <c r="B191" s="10">
        <f>garage!B191</f>
        <v>191</v>
      </c>
      <c r="C191" s="10">
        <f>garage!C191</f>
        <v>5</v>
      </c>
      <c r="D191" s="10">
        <f>garage!D191</f>
        <v>29</v>
      </c>
      <c r="E191" s="10">
        <f>garage!E191</f>
        <v>29</v>
      </c>
      <c r="F191" s="10" t="str">
        <f>garage!F191</f>
        <v>--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 t="str">
        <f>garage!J191</f>
        <v>N</v>
      </c>
      <c r="K191" s="10" t="str">
        <f>garage!K191</f>
        <v>S</v>
      </c>
      <c r="L191" s="11" t="str">
        <f>garage!L191</f>
        <v>Torino Design</v>
      </c>
      <c r="M191" s="11" t="str">
        <f>garage!M191</f>
        <v>Super Sport</v>
      </c>
      <c r="O191" s="10">
        <v>3565</v>
      </c>
      <c r="P191" s="10">
        <v>3719</v>
      </c>
      <c r="Q191" s="10" t="s">
        <v>127</v>
      </c>
      <c r="R191" s="10" t="s">
        <v>127</v>
      </c>
      <c r="S191" s="10" t="s">
        <v>127</v>
      </c>
      <c r="T191" s="10" t="s">
        <v>127</v>
      </c>
      <c r="U191" s="10">
        <v>3741</v>
      </c>
      <c r="W191" s="10">
        <v>28</v>
      </c>
    </row>
    <row r="192" spans="2:23" ht="18" customHeight="1" x14ac:dyDescent="0.2">
      <c r="B192" s="8">
        <f>garage!B192</f>
        <v>192</v>
      </c>
      <c r="C192" s="8">
        <f>garage!C192</f>
        <v>5</v>
      </c>
      <c r="D192" s="8">
        <f>garage!D192</f>
        <v>30</v>
      </c>
      <c r="E192" s="8">
        <f>garage!E192</f>
        <v>17</v>
      </c>
      <c r="F192" s="8" t="str">
        <f>garage!F192</f>
        <v>--</v>
      </c>
      <c r="G192" s="8" t="str">
        <f>garage!G192</f>
        <v>O</v>
      </c>
      <c r="H192" s="8" t="str">
        <f>garage!H192</f>
        <v>N</v>
      </c>
      <c r="I192" s="8" t="str">
        <f>garage!I192</f>
        <v>N</v>
      </c>
      <c r="J192" s="8" t="str">
        <f>garage!J192</f>
        <v>N</v>
      </c>
      <c r="K192" s="8" t="str">
        <f>garage!K192</f>
        <v>S</v>
      </c>
      <c r="L192" s="9" t="str">
        <f>garage!L192</f>
        <v>Inferno Automobili</v>
      </c>
      <c r="M192" s="9" t="str">
        <f>garage!M192</f>
        <v>Inferno</v>
      </c>
      <c r="O192" s="39">
        <v>3549</v>
      </c>
      <c r="P192" s="39">
        <v>3703</v>
      </c>
      <c r="Q192" s="39">
        <v>3882</v>
      </c>
      <c r="R192" s="39">
        <v>4073</v>
      </c>
      <c r="S192" s="39">
        <v>4272</v>
      </c>
      <c r="T192" s="39">
        <v>4504</v>
      </c>
      <c r="U192" s="39">
        <v>4722</v>
      </c>
      <c r="W192" s="8">
        <v>29</v>
      </c>
    </row>
    <row r="193" spans="2:23" ht="18" customHeight="1" x14ac:dyDescent="0.2">
      <c r="B193" s="10">
        <f>garage!B193</f>
        <v>193</v>
      </c>
      <c r="C193" s="10">
        <f>garage!C193</f>
        <v>5</v>
      </c>
      <c r="D193" s="10">
        <f>garage!D193</f>
        <v>31</v>
      </c>
      <c r="E193" s="10">
        <f>garage!E193</f>
        <v>0</v>
      </c>
      <c r="F193" s="10" t="str">
        <f>garage!F193</f>
        <v>B</v>
      </c>
      <c r="G193" s="10" t="str">
        <f>garage!G193</f>
        <v>O</v>
      </c>
      <c r="H193" s="10" t="str">
        <f>garage!H193</f>
        <v>O</v>
      </c>
      <c r="I193" s="10" t="str">
        <f>garage!I193</f>
        <v>O</v>
      </c>
      <c r="J193" s="10" t="str">
        <f>garage!J193</f>
        <v>N</v>
      </c>
      <c r="K193" s="10" t="str">
        <f>garage!K193</f>
        <v>S</v>
      </c>
      <c r="L193" s="11" t="str">
        <f>garage!L193</f>
        <v>Bugatti</v>
      </c>
      <c r="M193" s="11" t="str">
        <f>garage!M193</f>
        <v>Chiron</v>
      </c>
      <c r="O193" s="10">
        <v>3577</v>
      </c>
      <c r="P193" s="10">
        <v>3730</v>
      </c>
      <c r="Q193" s="10">
        <v>3910</v>
      </c>
      <c r="R193" s="10">
        <v>4101</v>
      </c>
      <c r="S193" s="10">
        <v>4302</v>
      </c>
      <c r="T193" s="10">
        <v>4534</v>
      </c>
      <c r="U193" s="10">
        <v>4755</v>
      </c>
      <c r="W193" s="10">
        <v>30</v>
      </c>
    </row>
    <row r="194" spans="2:23" ht="18" customHeight="1" x14ac:dyDescent="0.2">
      <c r="B194" s="8">
        <f>garage!B194</f>
        <v>194</v>
      </c>
      <c r="C194" s="8">
        <f>garage!C194</f>
        <v>5</v>
      </c>
      <c r="D194" s="8">
        <f>garage!D194</f>
        <v>32</v>
      </c>
      <c r="E194" s="8">
        <f>garage!E194</f>
        <v>13</v>
      </c>
      <c r="F194" s="8" t="str">
        <f>garage!F194</f>
        <v>--</v>
      </c>
      <c r="G194" s="8" t="str">
        <f>garage!G194</f>
        <v>O</v>
      </c>
      <c r="H194" s="8" t="str">
        <f>garage!H194</f>
        <v>O</v>
      </c>
      <c r="I194" s="8" t="str">
        <f>garage!I194</f>
        <v>N</v>
      </c>
      <c r="J194" s="8" t="str">
        <f>garage!J194</f>
        <v>N</v>
      </c>
      <c r="K194" s="8" t="str">
        <f>garage!K194</f>
        <v>S</v>
      </c>
      <c r="L194" s="9" t="str">
        <f>garage!L194</f>
        <v>BXR</v>
      </c>
      <c r="M194" s="9" t="str">
        <f>garage!M194</f>
        <v>Bailey Blade GT1</v>
      </c>
      <c r="O194" s="39">
        <v>3345</v>
      </c>
      <c r="P194" s="39">
        <v>3533</v>
      </c>
      <c r="Q194" s="39">
        <v>3750</v>
      </c>
      <c r="R194" s="39">
        <v>3981</v>
      </c>
      <c r="S194" s="39">
        <v>4223</v>
      </c>
      <c r="T194" s="39">
        <v>4506</v>
      </c>
      <c r="U194" s="39">
        <v>4764</v>
      </c>
      <c r="W194" s="8">
        <v>31</v>
      </c>
    </row>
    <row r="195" spans="2:23" ht="18" customHeight="1" x14ac:dyDescent="0.2">
      <c r="B195" s="10">
        <f>garage!B195</f>
        <v>195</v>
      </c>
      <c r="C195" s="10">
        <f>garage!C195</f>
        <v>5</v>
      </c>
      <c r="D195" s="10">
        <f>garage!D195</f>
        <v>33</v>
      </c>
      <c r="E195" s="10">
        <f>garage!E195</f>
        <v>18</v>
      </c>
      <c r="F195" s="10" t="str">
        <f>garage!F195</f>
        <v>--</v>
      </c>
      <c r="G195" s="10" t="str">
        <f>garage!G195</f>
        <v>N</v>
      </c>
      <c r="H195" s="10" t="str">
        <f>garage!H195</f>
        <v>N</v>
      </c>
      <c r="I195" s="10" t="str">
        <f>garage!I195</f>
        <v>N</v>
      </c>
      <c r="J195" s="10" t="str">
        <f>garage!J195</f>
        <v>N</v>
      </c>
      <c r="K195" s="10" t="str">
        <f>garage!K195</f>
        <v>S</v>
      </c>
      <c r="L195" s="11" t="str">
        <f>garage!L195</f>
        <v>Mazzanti</v>
      </c>
      <c r="M195" s="11" t="str">
        <f>garage!M195</f>
        <v>Evantra Millecavalli</v>
      </c>
      <c r="O195" s="10">
        <v>3490</v>
      </c>
      <c r="P195" s="10">
        <v>3631</v>
      </c>
      <c r="Q195" s="10">
        <v>3883</v>
      </c>
      <c r="R195" s="10">
        <v>4050</v>
      </c>
      <c r="S195" s="10">
        <v>4277</v>
      </c>
      <c r="T195" s="10">
        <v>4547</v>
      </c>
      <c r="U195" s="10">
        <v>4796</v>
      </c>
      <c r="W195" s="10">
        <v>32</v>
      </c>
    </row>
    <row r="196" spans="2:23" ht="18" customHeight="1" x14ac:dyDescent="0.2">
      <c r="B196" s="8">
        <f>garage!B196</f>
        <v>196</v>
      </c>
      <c r="C196" s="8">
        <f>garage!C196</f>
        <v>5</v>
      </c>
      <c r="D196" s="8">
        <f>garage!D196</f>
        <v>34</v>
      </c>
      <c r="E196" s="8">
        <f>garage!E196</f>
        <v>21</v>
      </c>
      <c r="F196" s="8" t="str">
        <f>garage!F196</f>
        <v>TD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 t="str">
        <f>garage!J196</f>
        <v>N</v>
      </c>
      <c r="K196" s="8" t="str">
        <f>garage!K196</f>
        <v>S</v>
      </c>
      <c r="L196" s="9" t="str">
        <f>garage!L196</f>
        <v>Toroidion</v>
      </c>
      <c r="M196" s="9" t="str">
        <f>garage!M196</f>
        <v>1MW</v>
      </c>
      <c r="O196" s="39">
        <v>3518</v>
      </c>
      <c r="P196" s="39">
        <v>3685</v>
      </c>
      <c r="Q196" s="39">
        <v>3883</v>
      </c>
      <c r="R196" s="39">
        <v>4096</v>
      </c>
      <c r="S196" s="39">
        <v>4314</v>
      </c>
      <c r="T196" s="39">
        <v>4571</v>
      </c>
      <c r="U196" s="39">
        <v>4806</v>
      </c>
      <c r="W196" s="8">
        <v>33</v>
      </c>
    </row>
    <row r="197" spans="2:23" ht="18" customHeight="1" x14ac:dyDescent="0.2">
      <c r="B197" s="10">
        <f>garage!B197</f>
        <v>197</v>
      </c>
      <c r="C197" s="10">
        <f>garage!C197</f>
        <v>5</v>
      </c>
      <c r="D197" s="10">
        <f>garage!D197</f>
        <v>35</v>
      </c>
      <c r="E197" s="10">
        <f>garage!E197</f>
        <v>27</v>
      </c>
      <c r="F197" s="10" t="str">
        <f>garage!F197</f>
        <v>--</v>
      </c>
      <c r="G197" s="10" t="str">
        <f>garage!G197</f>
        <v>N</v>
      </c>
      <c r="H197" s="10" t="str">
        <f>garage!H197</f>
        <v>N</v>
      </c>
      <c r="I197" s="10" t="str">
        <f>garage!I197</f>
        <v>N</v>
      </c>
      <c r="J197" s="10" t="str">
        <f>garage!J197</f>
        <v>N</v>
      </c>
      <c r="K197" s="10" t="str">
        <f>garage!K197</f>
        <v>S</v>
      </c>
      <c r="L197" s="11" t="str">
        <f>garage!L197</f>
        <v>Inferno Automobili</v>
      </c>
      <c r="M197" s="11" t="str">
        <f>garage!M197</f>
        <v>Settimo Cerchio</v>
      </c>
      <c r="O197" s="10">
        <v>3577</v>
      </c>
      <c r="P197" s="10">
        <v>3741</v>
      </c>
      <c r="Q197" s="10">
        <v>3932</v>
      </c>
      <c r="R197" s="10">
        <v>4136</v>
      </c>
      <c r="S197" s="10">
        <v>4346</v>
      </c>
      <c r="T197" s="10">
        <v>4591</v>
      </c>
      <c r="U197" s="10">
        <v>4817</v>
      </c>
      <c r="W197" s="10">
        <v>34</v>
      </c>
    </row>
    <row r="198" spans="2:23" ht="18" customHeight="1" x14ac:dyDescent="0.2">
      <c r="B198" s="8">
        <f>garage!B198</f>
        <v>198</v>
      </c>
      <c r="C198" s="8">
        <f>garage!C198</f>
        <v>5</v>
      </c>
      <c r="D198" s="8">
        <f>garage!D198</f>
        <v>36</v>
      </c>
      <c r="E198" s="8">
        <f>garage!E198</f>
        <v>6</v>
      </c>
      <c r="F198" s="8" t="str">
        <f>garage!F198</f>
        <v>--</v>
      </c>
      <c r="G198" s="8" t="str">
        <f>garage!G198</f>
        <v>N</v>
      </c>
      <c r="H198" s="8" t="str">
        <f>garage!H198</f>
        <v>O</v>
      </c>
      <c r="I198" s="8" t="str">
        <f>garage!I198</f>
        <v>N</v>
      </c>
      <c r="J198" s="8" t="str">
        <f>garage!J198</f>
        <v>N</v>
      </c>
      <c r="K198" s="8" t="str">
        <f>garage!K198</f>
        <v>S</v>
      </c>
      <c r="L198" s="9" t="str">
        <f>garage!L198</f>
        <v>Koenigsegg</v>
      </c>
      <c r="M198" s="9" t="str">
        <f>garage!M198</f>
        <v>Jesko</v>
      </c>
      <c r="O198" s="39">
        <v>3637</v>
      </c>
      <c r="P198" s="39">
        <v>3793</v>
      </c>
      <c r="Q198" s="39">
        <v>3975</v>
      </c>
      <c r="R198" s="39">
        <v>4170</v>
      </c>
      <c r="S198" s="39">
        <v>4372</v>
      </c>
      <c r="T198" s="39">
        <v>4608</v>
      </c>
      <c r="U198" s="39">
        <v>4826</v>
      </c>
      <c r="W198" s="8">
        <v>35</v>
      </c>
    </row>
    <row r="199" spans="2:23" ht="18" customHeight="1" x14ac:dyDescent="0.2">
      <c r="B199" s="10">
        <f>garage!B199</f>
        <v>199</v>
      </c>
      <c r="C199" s="10">
        <f>garage!C199</f>
        <v>5</v>
      </c>
      <c r="D199" s="10">
        <f>garage!D199</f>
        <v>37</v>
      </c>
      <c r="E199" s="10">
        <f>garage!E199</f>
        <v>26</v>
      </c>
      <c r="F199" s="10" t="str">
        <f>garage!F199</f>
        <v>B</v>
      </c>
      <c r="G199" s="10" t="str">
        <f>garage!G199</f>
        <v>N</v>
      </c>
      <c r="H199" s="10" t="str">
        <f>garage!H199</f>
        <v>N</v>
      </c>
      <c r="I199" s="10" t="str">
        <f>garage!I199</f>
        <v>N</v>
      </c>
      <c r="J199" s="10" t="str">
        <f>garage!J199</f>
        <v>N</v>
      </c>
      <c r="K199" s="10" t="str">
        <f>garage!K199</f>
        <v>S</v>
      </c>
      <c r="L199" s="11" t="str">
        <f>garage!L199</f>
        <v>Bugatti</v>
      </c>
      <c r="M199" s="11" t="str">
        <f>garage!M199</f>
        <v>Centodieci</v>
      </c>
      <c r="O199" s="10">
        <v>3651</v>
      </c>
      <c r="P199" s="10">
        <v>3808</v>
      </c>
      <c r="Q199" s="10">
        <v>3992</v>
      </c>
      <c r="R199" s="10">
        <v>4189</v>
      </c>
      <c r="S199" s="10">
        <v>4389</v>
      </c>
      <c r="T199" s="10">
        <v>4621</v>
      </c>
      <c r="U199" s="10">
        <v>4843</v>
      </c>
      <c r="W199" s="10">
        <v>36</v>
      </c>
    </row>
    <row r="200" spans="2:23" ht="18" customHeight="1" x14ac:dyDescent="0.2">
      <c r="B200" s="8">
        <f>garage!B200</f>
        <v>200</v>
      </c>
      <c r="C200" s="8">
        <f>garage!C200</f>
        <v>5</v>
      </c>
      <c r="D200" s="8">
        <f>garage!D200</f>
        <v>38</v>
      </c>
      <c r="E200" s="8">
        <f>garage!E200</f>
        <v>17</v>
      </c>
      <c r="F200" s="8" t="str">
        <f>garage!F200</f>
        <v>--</v>
      </c>
      <c r="G200" s="8" t="str">
        <f>garage!G200</f>
        <v>N</v>
      </c>
      <c r="H200" s="8" t="str">
        <f>garage!H200</f>
        <v>N</v>
      </c>
      <c r="I200" s="8" t="str">
        <f>garage!I200</f>
        <v>N</v>
      </c>
      <c r="J200" s="8" t="str">
        <f>garage!J200</f>
        <v>N</v>
      </c>
      <c r="K200" s="8" t="str">
        <f>garage!K200</f>
        <v>S</v>
      </c>
      <c r="L200" s="9" t="str">
        <f>garage!L200</f>
        <v>Aspark</v>
      </c>
      <c r="M200" s="9" t="str">
        <f>garage!M200</f>
        <v>Owl</v>
      </c>
      <c r="O200" s="39">
        <v>3668</v>
      </c>
      <c r="P200" s="39">
        <v>3824</v>
      </c>
      <c r="Q200" s="39">
        <v>4006</v>
      </c>
      <c r="R200" s="39">
        <v>4201</v>
      </c>
      <c r="S200" s="39">
        <v>4405</v>
      </c>
      <c r="T200" s="39">
        <v>4645</v>
      </c>
      <c r="U200" s="39">
        <v>4863</v>
      </c>
      <c r="W200" s="8">
        <v>37</v>
      </c>
    </row>
    <row r="201" spans="2:23" ht="18" customHeight="1" x14ac:dyDescent="0.2">
      <c r="B201" s="10">
        <f>garage!B201</f>
        <v>201</v>
      </c>
      <c r="C201" s="10">
        <f>garage!C201</f>
        <v>5</v>
      </c>
      <c r="D201" s="10">
        <f>garage!D201</f>
        <v>39</v>
      </c>
      <c r="E201" s="10">
        <f>garage!E201</f>
        <v>0</v>
      </c>
      <c r="F201" s="10" t="str">
        <f>garage!F201</f>
        <v>--</v>
      </c>
      <c r="G201" s="10" t="str">
        <f>garage!G201</f>
        <v>N</v>
      </c>
      <c r="H201" s="10" t="str">
        <f>garage!H201</f>
        <v>N</v>
      </c>
      <c r="I201" s="10" t="str">
        <f>garage!I201</f>
        <v>N</v>
      </c>
      <c r="J201" s="10" t="str">
        <f>garage!J201</f>
        <v>N</v>
      </c>
      <c r="K201" s="10" t="str">
        <f>garage!K201</f>
        <v>S</v>
      </c>
      <c r="L201" s="11" t="str">
        <f>garage!L201</f>
        <v>Rimac</v>
      </c>
      <c r="M201" s="11" t="str">
        <f>garage!M201</f>
        <v>Nevera</v>
      </c>
      <c r="O201" s="10">
        <v>3697</v>
      </c>
      <c r="P201" s="10">
        <v>3852</v>
      </c>
      <c r="Q201" s="10">
        <v>4035</v>
      </c>
      <c r="R201" s="10">
        <v>4231</v>
      </c>
      <c r="S201" s="10">
        <v>4435</v>
      </c>
      <c r="T201" s="10">
        <v>4677</v>
      </c>
      <c r="U201" s="10">
        <v>4897</v>
      </c>
      <c r="W201" s="10">
        <v>38</v>
      </c>
    </row>
    <row r="202" spans="2:23" ht="18" customHeight="1" x14ac:dyDescent="0.2">
      <c r="B202" s="8">
        <f>garage!B202</f>
        <v>202</v>
      </c>
      <c r="C202" s="8">
        <f>garage!C202</f>
        <v>5</v>
      </c>
      <c r="D202" s="8">
        <f>garage!D202</f>
        <v>40</v>
      </c>
      <c r="E202" s="8">
        <f>garage!E202</f>
        <v>27</v>
      </c>
      <c r="F202" s="8" t="str">
        <f>garage!F202</f>
        <v>--</v>
      </c>
      <c r="G202" s="8" t="str">
        <f>garage!G202</f>
        <v>N</v>
      </c>
      <c r="H202" s="8" t="str">
        <f>garage!H202</f>
        <v>N</v>
      </c>
      <c r="I202" s="8" t="str">
        <f>garage!I202</f>
        <v>N</v>
      </c>
      <c r="J202" s="8" t="str">
        <f>garage!J202</f>
        <v>N</v>
      </c>
      <c r="K202" s="8" t="str">
        <f>garage!K202</f>
        <v>S</v>
      </c>
      <c r="L202" s="9" t="str">
        <f>garage!L202</f>
        <v>Koenigsegg</v>
      </c>
      <c r="M202" s="9" t="str">
        <f>garage!M202</f>
        <v>Agera RS</v>
      </c>
      <c r="O202" s="39">
        <v>3734</v>
      </c>
      <c r="P202" s="39">
        <v>3892</v>
      </c>
      <c r="Q202" s="39">
        <v>4076</v>
      </c>
      <c r="R202" s="39">
        <v>4272</v>
      </c>
      <c r="S202" s="39">
        <v>4479</v>
      </c>
      <c r="T202" s="39">
        <v>4719</v>
      </c>
      <c r="U202" s="39">
        <v>4940</v>
      </c>
      <c r="W202" s="8">
        <v>39</v>
      </c>
    </row>
    <row r="203" spans="2:23" ht="18" customHeight="1" x14ac:dyDescent="0.2">
      <c r="B203" s="10">
        <f>garage!B203</f>
        <v>203</v>
      </c>
      <c r="C203" s="10">
        <f>garage!C203</f>
        <v>5</v>
      </c>
      <c r="D203" s="10">
        <f>garage!D203</f>
        <v>41</v>
      </c>
      <c r="E203" s="10">
        <f>garage!E203</f>
        <v>13</v>
      </c>
      <c r="F203" s="10" t="str">
        <f>garage!F203</f>
        <v>--</v>
      </c>
      <c r="G203" s="10" t="str">
        <f>garage!G203</f>
        <v>N</v>
      </c>
      <c r="H203" s="10" t="str">
        <f>garage!H203</f>
        <v>O</v>
      </c>
      <c r="I203" s="10" t="str">
        <f>garage!I203</f>
        <v>N</v>
      </c>
      <c r="J203" s="10" t="str">
        <f>garage!J203</f>
        <v>N</v>
      </c>
      <c r="K203" s="10" t="str">
        <f>garage!K203</f>
        <v>S</v>
      </c>
      <c r="L203" s="11" t="str">
        <f>garage!L203</f>
        <v>SSC</v>
      </c>
      <c r="M203" s="11" t="str">
        <f>garage!M203</f>
        <v>Tuatara</v>
      </c>
      <c r="O203" s="10">
        <v>3758</v>
      </c>
      <c r="P203" s="10">
        <v>3918</v>
      </c>
      <c r="Q203" s="10">
        <v>4105</v>
      </c>
      <c r="R203" s="10">
        <v>4303</v>
      </c>
      <c r="S203" s="10">
        <v>4506</v>
      </c>
      <c r="T203" s="10">
        <v>4744</v>
      </c>
      <c r="U203" s="10">
        <v>4969</v>
      </c>
      <c r="W203" s="10">
        <v>40</v>
      </c>
    </row>
    <row r="204" spans="2:23" ht="18" customHeight="1" x14ac:dyDescent="0.2">
      <c r="B204" s="8">
        <f>garage!B204</f>
        <v>204</v>
      </c>
      <c r="C204" s="8">
        <f>garage!C204</f>
        <v>5</v>
      </c>
      <c r="D204" s="8">
        <f>garage!D204</f>
        <v>42</v>
      </c>
      <c r="E204" s="8">
        <f>garage!E204</f>
        <v>16</v>
      </c>
      <c r="F204" s="8" t="str">
        <f>garage!F204</f>
        <v>B</v>
      </c>
      <c r="G204" s="8" t="str">
        <f>garage!G204</f>
        <v>N</v>
      </c>
      <c r="H204" s="8" t="str">
        <f>garage!H204</f>
        <v>N</v>
      </c>
      <c r="I204" s="8" t="str">
        <f>garage!I204</f>
        <v>N</v>
      </c>
      <c r="J204" s="8" t="str">
        <f>garage!J204</f>
        <v>N</v>
      </c>
      <c r="K204" s="8" t="str">
        <f>garage!K204</f>
        <v>S</v>
      </c>
      <c r="L204" s="9" t="str">
        <f>garage!L204</f>
        <v>Bugatti</v>
      </c>
      <c r="M204" s="9" t="str">
        <f>garage!M204</f>
        <v>La Voiture Noire</v>
      </c>
      <c r="O204" s="39">
        <v>3819</v>
      </c>
      <c r="P204" s="39">
        <v>3980</v>
      </c>
      <c r="Q204" s="39">
        <v>4164</v>
      </c>
      <c r="R204" s="39">
        <v>4363</v>
      </c>
      <c r="S204" s="39">
        <v>4569</v>
      </c>
      <c r="T204" s="39">
        <v>4814</v>
      </c>
      <c r="U204" s="39">
        <v>5041</v>
      </c>
      <c r="W204" s="8">
        <v>41</v>
      </c>
    </row>
    <row r="205" spans="2:23" ht="18" customHeight="1" x14ac:dyDescent="0.2">
      <c r="B205" s="10">
        <f>garage!B205</f>
        <v>205</v>
      </c>
      <c r="C205" s="10">
        <f>garage!C205</f>
        <v>5</v>
      </c>
      <c r="D205" s="10">
        <f>garage!D205</f>
        <v>43</v>
      </c>
      <c r="E205" s="10">
        <f>garage!E205</f>
        <v>20</v>
      </c>
      <c r="F205" s="10" t="str">
        <f>garage!F205</f>
        <v>TD</v>
      </c>
      <c r="G205" s="10" t="str">
        <f>garage!G205</f>
        <v>N</v>
      </c>
      <c r="H205" s="10" t="str">
        <f>garage!H205</f>
        <v>N</v>
      </c>
      <c r="I205" s="10" t="str">
        <f>garage!I205</f>
        <v>N</v>
      </c>
      <c r="J205" s="10" t="str">
        <f>garage!J205</f>
        <v>N</v>
      </c>
      <c r="K205" s="10" t="str">
        <f>garage!K205</f>
        <v>S</v>
      </c>
      <c r="L205" s="11" t="str">
        <f>garage!L205</f>
        <v>Hennessey</v>
      </c>
      <c r="M205" s="11" t="str">
        <f>garage!M205</f>
        <v>Venom F5</v>
      </c>
      <c r="O205" s="10">
        <v>3881</v>
      </c>
      <c r="P205" s="10">
        <v>4046</v>
      </c>
      <c r="Q205" s="10">
        <v>4237</v>
      </c>
      <c r="R205" s="10">
        <v>4439</v>
      </c>
      <c r="S205" s="10">
        <v>4651</v>
      </c>
      <c r="T205" s="10">
        <v>4900</v>
      </c>
      <c r="U205" s="10">
        <v>5126</v>
      </c>
      <c r="W205" s="10">
        <v>42</v>
      </c>
    </row>
    <row r="206" spans="2:23" ht="18" customHeight="1" x14ac:dyDescent="0.2">
      <c r="B206" s="8">
        <f>garage!B206</f>
        <v>206</v>
      </c>
      <c r="C206" s="8">
        <f>garage!C206</f>
        <v>5</v>
      </c>
      <c r="D206" s="8">
        <f>garage!D206</f>
        <v>44</v>
      </c>
      <c r="E206" s="8">
        <f>garage!E206</f>
        <v>22</v>
      </c>
      <c r="F206" s="8" t="str">
        <f>garage!F206</f>
        <v>--</v>
      </c>
      <c r="G206" s="8" t="str">
        <f>garage!G206</f>
        <v>N</v>
      </c>
      <c r="H206" s="8" t="str">
        <f>garage!H206</f>
        <v>N</v>
      </c>
      <c r="I206" s="8" t="str">
        <f>garage!I206</f>
        <v>N</v>
      </c>
      <c r="J206" s="8" t="str">
        <f>garage!J206</f>
        <v>N</v>
      </c>
      <c r="K206" s="8" t="str">
        <f>garage!K206</f>
        <v>S</v>
      </c>
      <c r="L206" s="9" t="str">
        <f>garage!L206</f>
        <v>Koenigsegg</v>
      </c>
      <c r="M206" s="9" t="str">
        <f>garage!M206</f>
        <v>Gemera</v>
      </c>
      <c r="O206" s="39">
        <v>3856</v>
      </c>
      <c r="P206" s="39">
        <v>4018</v>
      </c>
      <c r="Q206" s="39">
        <v>4207</v>
      </c>
      <c r="R206" s="39">
        <v>4409</v>
      </c>
      <c r="S206" s="39">
        <v>4616</v>
      </c>
      <c r="T206" s="39">
        <v>4864</v>
      </c>
      <c r="U206" s="39">
        <v>5085</v>
      </c>
      <c r="W206" s="8">
        <v>43</v>
      </c>
    </row>
    <row r="207" spans="2:23" ht="18" customHeight="1" x14ac:dyDescent="0.2">
      <c r="B207" s="10">
        <f>garage!B207</f>
        <v>207</v>
      </c>
      <c r="C207" s="10">
        <f>garage!C207</f>
        <v>5</v>
      </c>
      <c r="D207" s="10">
        <f>garage!D207</f>
        <v>45</v>
      </c>
      <c r="E207" s="10">
        <f>garage!E207</f>
        <v>24</v>
      </c>
      <c r="F207" s="10" t="str">
        <f>garage!F207</f>
        <v>--</v>
      </c>
      <c r="G207" s="10" t="str">
        <f>garage!G207</f>
        <v>N</v>
      </c>
      <c r="H207" s="10" t="str">
        <f>garage!H207</f>
        <v>N</v>
      </c>
      <c r="I207" s="10" t="str">
        <f>garage!I207</f>
        <v>N</v>
      </c>
      <c r="J207" s="10" t="str">
        <f>garage!J207</f>
        <v>N</v>
      </c>
      <c r="K207" s="10" t="str">
        <f>garage!K207</f>
        <v>S</v>
      </c>
      <c r="L207" s="11" t="str">
        <f>garage!L207</f>
        <v>Tushek</v>
      </c>
      <c r="M207" s="11" t="str">
        <f>garage!M207</f>
        <v>TS 900 Racer Pro</v>
      </c>
      <c r="O207" s="10">
        <v>3402</v>
      </c>
      <c r="P207" s="10">
        <v>3584</v>
      </c>
      <c r="Q207" s="10">
        <v>3795</v>
      </c>
      <c r="R207" s="10">
        <v>4020</v>
      </c>
      <c r="S207" s="10">
        <v>4253</v>
      </c>
      <c r="T207" s="10">
        <v>4527</v>
      </c>
      <c r="U207" s="10">
        <v>4779</v>
      </c>
      <c r="W207" s="10">
        <v>44</v>
      </c>
    </row>
    <row r="208" spans="2:23" ht="18" customHeight="1" x14ac:dyDescent="0.2">
      <c r="B208" s="8">
        <f>garage!B208</f>
        <v>208</v>
      </c>
      <c r="C208" s="8">
        <f>garage!C208</f>
        <v>5</v>
      </c>
      <c r="D208" s="8">
        <f>garage!D208</f>
        <v>46</v>
      </c>
      <c r="E208" s="8">
        <f>garage!E208</f>
        <v>28</v>
      </c>
      <c r="F208" s="8" t="str">
        <f>garage!F208</f>
        <v>B</v>
      </c>
      <c r="G208" s="8" t="str">
        <f>garage!G208</f>
        <v>N</v>
      </c>
      <c r="H208" s="8" t="str">
        <f>garage!H208</f>
        <v>N</v>
      </c>
      <c r="I208" s="8" t="str">
        <f>garage!I208</f>
        <v>N</v>
      </c>
      <c r="J208" s="8" t="str">
        <f>garage!J208</f>
        <v>N</v>
      </c>
      <c r="K208" s="8" t="str">
        <f>garage!K208</f>
        <v>S</v>
      </c>
      <c r="L208" s="9" t="str">
        <f>garage!L208</f>
        <v>Bugatti</v>
      </c>
      <c r="M208" s="9" t="str">
        <f>garage!M208</f>
        <v>Bolide</v>
      </c>
      <c r="O208" s="39">
        <v>3969</v>
      </c>
      <c r="P208" s="39">
        <v>4129</v>
      </c>
      <c r="Q208" s="39" t="s">
        <v>127</v>
      </c>
      <c r="R208" s="39" t="s">
        <v>127</v>
      </c>
      <c r="S208" s="39" t="s">
        <v>127</v>
      </c>
      <c r="T208" s="39" t="s">
        <v>127</v>
      </c>
      <c r="U208" s="39">
        <v>5190</v>
      </c>
      <c r="W208" s="8">
        <v>45</v>
      </c>
    </row>
    <row r="209" spans="2:23" ht="18" customHeight="1" x14ac:dyDescent="0.2">
      <c r="B209" s="10">
        <f>garage!B209</f>
        <v>209</v>
      </c>
      <c r="C209" s="10">
        <f>garage!C209</f>
        <v>5</v>
      </c>
      <c r="D209" s="10">
        <f>garage!D209</f>
        <v>47</v>
      </c>
      <c r="E209" s="10">
        <f>garage!E209</f>
        <v>0</v>
      </c>
      <c r="F209" s="10" t="str">
        <f>garage!F209</f>
        <v>--</v>
      </c>
      <c r="G209" s="10" t="str">
        <f>garage!G209</f>
        <v>N</v>
      </c>
      <c r="H209" s="10" t="str">
        <f>garage!H209</f>
        <v>N</v>
      </c>
      <c r="I209" s="10" t="str">
        <f>garage!I209</f>
        <v>N</v>
      </c>
      <c r="J209" s="10" t="str">
        <f>garage!J209</f>
        <v>N</v>
      </c>
      <c r="K209" s="10" t="str">
        <f>garage!K209</f>
        <v>S</v>
      </c>
      <c r="L209" s="11" t="str">
        <f>garage!L209</f>
        <v>Rimac</v>
      </c>
      <c r="M209" s="11" t="str">
        <f>garage!M209</f>
        <v>C TWO</v>
      </c>
      <c r="O209" s="10" t="s">
        <v>127</v>
      </c>
      <c r="P209" s="10" t="s">
        <v>127</v>
      </c>
      <c r="Q209" s="10" t="s">
        <v>127</v>
      </c>
      <c r="R209" s="10" t="s">
        <v>127</v>
      </c>
      <c r="S209" s="10" t="s">
        <v>127</v>
      </c>
      <c r="T209" s="10" t="s">
        <v>127</v>
      </c>
      <c r="U209" s="10" t="s">
        <v>127</v>
      </c>
      <c r="W209" s="10">
        <v>46</v>
      </c>
    </row>
    <row r="210" spans="2:23" ht="18" customHeight="1" x14ac:dyDescent="0.2">
      <c r="B210" s="8">
        <f>garage!B210</f>
        <v>210</v>
      </c>
      <c r="C210" s="8">
        <f>garage!C210</f>
        <v>5</v>
      </c>
      <c r="D210" s="8">
        <f>garage!D210</f>
        <v>48</v>
      </c>
      <c r="E210" s="8">
        <f>garage!E210</f>
        <v>16</v>
      </c>
      <c r="F210" s="8" t="str">
        <f>garage!F210</f>
        <v>B</v>
      </c>
      <c r="G210" s="8" t="str">
        <f>garage!G210</f>
        <v>N</v>
      </c>
      <c r="H210" s="8" t="str">
        <f>garage!H210</f>
        <v>N</v>
      </c>
      <c r="I210" s="8" t="str">
        <f>garage!I210</f>
        <v>N</v>
      </c>
      <c r="J210" s="8" t="str">
        <f>garage!J210</f>
        <v>N</v>
      </c>
      <c r="K210" s="8" t="str">
        <f>garage!K210</f>
        <v>S</v>
      </c>
      <c r="L210" s="9" t="str">
        <f>garage!L210</f>
        <v>Bugatti</v>
      </c>
      <c r="M210" s="9" t="str">
        <f>garage!M210</f>
        <v>Divo</v>
      </c>
      <c r="O210" s="39" t="s">
        <v>127</v>
      </c>
      <c r="P210" s="39" t="s">
        <v>127</v>
      </c>
      <c r="Q210" s="39" t="s">
        <v>127</v>
      </c>
      <c r="R210" s="39" t="s">
        <v>127</v>
      </c>
      <c r="S210" s="39" t="s">
        <v>127</v>
      </c>
      <c r="T210" s="39" t="s">
        <v>127</v>
      </c>
      <c r="U210" s="39" t="s">
        <v>127</v>
      </c>
      <c r="W210" s="8">
        <v>47</v>
      </c>
    </row>
  </sheetData>
  <autoFilter ref="E1:L210"/>
  <sortState ref="B2:U205">
    <sortCondition ref="C2:C205"/>
    <sortCondition ref="D2:D205"/>
    <sortCondition ref="K2:K205"/>
    <sortCondition ref="E2:E205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1:U210"/>
  <sheetViews>
    <sheetView showGridLines="0" workbookViewId="0">
      <pane ySplit="1" topLeftCell="A2" activePane="bottomLeft" state="frozenSplit"/>
      <selection activeCell="A175" sqref="A175:XFD175"/>
      <selection pane="bottomLeft" activeCell="A2" sqref="A2"/>
    </sheetView>
  </sheetViews>
  <sheetFormatPr baseColWidth="10" defaultColWidth="3.7109375" defaultRowHeight="18" customHeight="1" x14ac:dyDescent="0.2"/>
  <cols>
    <col min="2" max="8" width="3.7109375" style="2"/>
    <col min="11" max="11" width="3.7109375" style="4"/>
    <col min="12" max="12" width="20.7109375" style="4" customWidth="1"/>
    <col min="13" max="13" width="30.7109375" customWidth="1"/>
    <col min="15" max="18" width="10.7109375" customWidth="1"/>
    <col min="19" max="19" width="10.7109375" style="12" customWidth="1"/>
    <col min="21" max="21" width="3.7109375" style="2"/>
  </cols>
  <sheetData>
    <row r="1" spans="2:21" ht="50.1" customHeight="1" x14ac:dyDescent="0.2">
      <c r="B1" s="7" t="s">
        <v>113</v>
      </c>
      <c r="C1" s="7" t="s">
        <v>114</v>
      </c>
      <c r="D1" s="7" t="s">
        <v>115</v>
      </c>
      <c r="E1" s="7" t="s">
        <v>116</v>
      </c>
      <c r="F1" s="7" t="s">
        <v>117</v>
      </c>
      <c r="G1" s="7" t="s">
        <v>69</v>
      </c>
      <c r="H1" s="7" t="s">
        <v>70</v>
      </c>
      <c r="I1" s="7" t="s">
        <v>71</v>
      </c>
      <c r="J1" s="7" t="s">
        <v>118</v>
      </c>
      <c r="K1" s="6" t="s">
        <v>119</v>
      </c>
      <c r="L1" s="6" t="s">
        <v>120</v>
      </c>
      <c r="M1" s="6" t="s">
        <v>121</v>
      </c>
      <c r="O1" s="7" t="s">
        <v>433</v>
      </c>
      <c r="P1" s="7" t="s">
        <v>439</v>
      </c>
      <c r="Q1" s="7" t="s">
        <v>435</v>
      </c>
      <c r="R1" s="7" t="s">
        <v>436</v>
      </c>
      <c r="S1" s="7" t="s">
        <v>440</v>
      </c>
      <c r="U1" s="7" t="s">
        <v>115</v>
      </c>
    </row>
    <row r="2" spans="2:21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garage!J41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45">
        <v>270</v>
      </c>
      <c r="P2" s="45">
        <v>82.25</v>
      </c>
      <c r="Q2" s="45">
        <v>83.47</v>
      </c>
      <c r="R2" s="45">
        <v>72.709999999999994</v>
      </c>
      <c r="S2" s="47">
        <f t="shared" ref="S2:S35" si="0">AVERAGE(O2:R2)</f>
        <v>127.1075</v>
      </c>
      <c r="U2" s="8">
        <v>1</v>
      </c>
    </row>
    <row r="3" spans="2:21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garage!J42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46">
        <v>303.7</v>
      </c>
      <c r="P3" s="46">
        <v>82.89</v>
      </c>
      <c r="Q3" s="46">
        <v>63.48</v>
      </c>
      <c r="R3" s="46">
        <v>54.41</v>
      </c>
      <c r="S3" s="48">
        <f t="shared" si="0"/>
        <v>126.12</v>
      </c>
      <c r="U3" s="10">
        <v>2</v>
      </c>
    </row>
    <row r="4" spans="2:21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garage!J43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45">
        <v>278.3</v>
      </c>
      <c r="P4" s="45">
        <v>79.72</v>
      </c>
      <c r="Q4" s="45">
        <v>78.61</v>
      </c>
      <c r="R4" s="45">
        <v>66.88</v>
      </c>
      <c r="S4" s="47">
        <f t="shared" si="0"/>
        <v>125.8775</v>
      </c>
      <c r="U4" s="8">
        <v>3</v>
      </c>
    </row>
    <row r="5" spans="2:21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garage!J44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46">
        <v>270.10000000000002</v>
      </c>
      <c r="P5" s="46">
        <v>76.069999999999993</v>
      </c>
      <c r="Q5" s="46">
        <v>81.27</v>
      </c>
      <c r="R5" s="46">
        <v>72.3</v>
      </c>
      <c r="S5" s="48">
        <f t="shared" si="0"/>
        <v>124.935</v>
      </c>
      <c r="U5" s="10">
        <v>4</v>
      </c>
    </row>
    <row r="6" spans="2:21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garage!J45</f>
        <v>O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45">
        <v>290.7</v>
      </c>
      <c r="P6" s="45">
        <v>71.510000000000005</v>
      </c>
      <c r="Q6" s="45">
        <v>74.81</v>
      </c>
      <c r="R6" s="45">
        <v>62.66</v>
      </c>
      <c r="S6" s="47">
        <f t="shared" si="0"/>
        <v>124.91999999999999</v>
      </c>
      <c r="U6" s="8">
        <v>5</v>
      </c>
    </row>
    <row r="7" spans="2:21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garage!J46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46">
        <v>247.5</v>
      </c>
      <c r="P7" s="46">
        <v>83.84</v>
      </c>
      <c r="Q7" s="46">
        <v>64.989999999999995</v>
      </c>
      <c r="R7" s="46">
        <v>66.989999999999995</v>
      </c>
      <c r="S7" s="48">
        <f t="shared" si="0"/>
        <v>115.83000000000001</v>
      </c>
      <c r="U7" s="10">
        <v>6</v>
      </c>
    </row>
    <row r="8" spans="2:21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garage!J47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45">
        <v>285.3</v>
      </c>
      <c r="P8" s="45">
        <v>82.09</v>
      </c>
      <c r="Q8" s="45">
        <v>68.41</v>
      </c>
      <c r="R8" s="45">
        <v>62.55</v>
      </c>
      <c r="S8" s="47">
        <f t="shared" si="0"/>
        <v>124.58749999999999</v>
      </c>
      <c r="U8" s="8">
        <v>7</v>
      </c>
    </row>
    <row r="9" spans="2:21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garage!J48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46">
        <v>279.2</v>
      </c>
      <c r="P9" s="46">
        <v>83.74</v>
      </c>
      <c r="Q9" s="46">
        <v>75.77</v>
      </c>
      <c r="R9" s="46">
        <v>57.18</v>
      </c>
      <c r="S9" s="48">
        <f t="shared" si="0"/>
        <v>123.9725</v>
      </c>
      <c r="U9" s="10">
        <v>8</v>
      </c>
    </row>
    <row r="10" spans="2:21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garage!J49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45">
        <v>305.5</v>
      </c>
      <c r="P10" s="45">
        <v>80.95</v>
      </c>
      <c r="Q10" s="45">
        <v>57.23</v>
      </c>
      <c r="R10" s="45">
        <v>49.67</v>
      </c>
      <c r="S10" s="47">
        <f t="shared" si="0"/>
        <v>123.33750000000001</v>
      </c>
      <c r="U10" s="8">
        <v>9</v>
      </c>
    </row>
    <row r="11" spans="2:21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garage!J50</f>
        <v>N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46">
        <v>338.7</v>
      </c>
      <c r="P11" s="46">
        <v>69.28</v>
      </c>
      <c r="Q11" s="46">
        <v>47.31</v>
      </c>
      <c r="R11" s="46">
        <v>37.49</v>
      </c>
      <c r="S11" s="48">
        <f t="shared" si="0"/>
        <v>123.19500000000001</v>
      </c>
      <c r="U11" s="10">
        <v>10</v>
      </c>
    </row>
    <row r="12" spans="2:21" ht="18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garage!J51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45">
        <v>301</v>
      </c>
      <c r="P12" s="45">
        <v>74.739999999999995</v>
      </c>
      <c r="Q12" s="45">
        <v>72.52</v>
      </c>
      <c r="R12" s="45">
        <v>43.97</v>
      </c>
      <c r="S12" s="47">
        <f t="shared" si="0"/>
        <v>123.0575</v>
      </c>
      <c r="U12" s="8">
        <v>11</v>
      </c>
    </row>
    <row r="13" spans="2:21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garage!J52</f>
        <v>O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46">
        <v>307.60000000000002</v>
      </c>
      <c r="P13" s="46">
        <v>80.48</v>
      </c>
      <c r="Q13" s="46">
        <v>47.08</v>
      </c>
      <c r="R13" s="46">
        <v>57.03</v>
      </c>
      <c r="S13" s="48">
        <f t="shared" si="0"/>
        <v>123.04750000000001</v>
      </c>
      <c r="U13" s="10">
        <v>12</v>
      </c>
    </row>
    <row r="14" spans="2:21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garage!J53</f>
        <v>N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45">
        <v>278.3</v>
      </c>
      <c r="P14" s="45">
        <v>83.53</v>
      </c>
      <c r="Q14" s="45">
        <v>73.569999999999993</v>
      </c>
      <c r="R14" s="45">
        <v>55.35</v>
      </c>
      <c r="S14" s="47">
        <f t="shared" si="0"/>
        <v>122.68750000000001</v>
      </c>
      <c r="U14" s="8">
        <v>13</v>
      </c>
    </row>
    <row r="15" spans="2:21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garage!J54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46">
        <v>307.2</v>
      </c>
      <c r="P15" s="46">
        <v>70.87</v>
      </c>
      <c r="Q15" s="46">
        <v>57.45</v>
      </c>
      <c r="R15" s="46">
        <v>53.42</v>
      </c>
      <c r="S15" s="48">
        <f t="shared" si="0"/>
        <v>122.235</v>
      </c>
      <c r="U15" s="10">
        <v>14</v>
      </c>
    </row>
    <row r="16" spans="2:21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garage!J55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45">
        <v>295.7</v>
      </c>
      <c r="P16" s="45">
        <v>70.52</v>
      </c>
      <c r="Q16" s="45">
        <v>61.91</v>
      </c>
      <c r="R16" s="45">
        <v>60.28</v>
      </c>
      <c r="S16" s="47">
        <f t="shared" si="0"/>
        <v>122.10249999999999</v>
      </c>
      <c r="U16" s="8">
        <v>15</v>
      </c>
    </row>
    <row r="17" spans="2:21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garage!J56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46">
        <v>299.89999999999998</v>
      </c>
      <c r="P17" s="46">
        <v>75.06</v>
      </c>
      <c r="Q17" s="46">
        <v>58.97</v>
      </c>
      <c r="R17" s="46">
        <v>52.93</v>
      </c>
      <c r="S17" s="48">
        <f t="shared" si="0"/>
        <v>121.71499999999999</v>
      </c>
      <c r="U17" s="10">
        <v>16</v>
      </c>
    </row>
    <row r="18" spans="2:21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garage!J57</f>
        <v>N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45">
        <v>304.89999999999998</v>
      </c>
      <c r="P18" s="45">
        <v>71.69</v>
      </c>
      <c r="Q18" s="45">
        <v>55.89</v>
      </c>
      <c r="R18" s="45">
        <v>36.299999999999997</v>
      </c>
      <c r="S18" s="47">
        <f t="shared" si="0"/>
        <v>117.19499999999999</v>
      </c>
      <c r="U18" s="8">
        <v>17</v>
      </c>
    </row>
    <row r="19" spans="2:21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garage!J58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46">
        <v>299.3</v>
      </c>
      <c r="P19" s="46">
        <v>72.459999999999994</v>
      </c>
      <c r="Q19" s="46">
        <v>43.24</v>
      </c>
      <c r="R19" s="46">
        <v>62.34</v>
      </c>
      <c r="S19" s="48">
        <f t="shared" si="0"/>
        <v>119.33500000000001</v>
      </c>
      <c r="U19" s="10">
        <v>18</v>
      </c>
    </row>
    <row r="20" spans="2:21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garage!J59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45">
        <v>291.2</v>
      </c>
      <c r="P20" s="45">
        <v>60.31</v>
      </c>
      <c r="Q20" s="45">
        <v>62.02</v>
      </c>
      <c r="R20" s="45">
        <v>61.94</v>
      </c>
      <c r="S20" s="47">
        <f t="shared" si="0"/>
        <v>118.86749999999999</v>
      </c>
      <c r="U20" s="8">
        <v>19</v>
      </c>
    </row>
    <row r="21" spans="2:21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garage!J60</f>
        <v>N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46">
        <v>315.10000000000002</v>
      </c>
      <c r="P21" s="46">
        <v>75.37</v>
      </c>
      <c r="Q21" s="46">
        <v>41.57</v>
      </c>
      <c r="R21" s="46">
        <v>38.35</v>
      </c>
      <c r="S21" s="48">
        <f t="shared" si="0"/>
        <v>117.59750000000001</v>
      </c>
      <c r="U21" s="10">
        <v>20</v>
      </c>
    </row>
    <row r="22" spans="2:21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garage!J61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45">
        <v>283.3</v>
      </c>
      <c r="P22" s="45">
        <v>87.8</v>
      </c>
      <c r="Q22" s="45">
        <v>62.25</v>
      </c>
      <c r="R22" s="45">
        <v>60.92</v>
      </c>
      <c r="S22" s="47">
        <f t="shared" si="0"/>
        <v>123.56750000000001</v>
      </c>
      <c r="U22" s="8">
        <v>21</v>
      </c>
    </row>
    <row r="23" spans="2:21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garage!J62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46">
        <v>310.5</v>
      </c>
      <c r="P23" s="46">
        <v>71.510000000000005</v>
      </c>
      <c r="Q23" s="46">
        <v>52.39</v>
      </c>
      <c r="R23" s="46">
        <v>31.19</v>
      </c>
      <c r="S23" s="48">
        <f t="shared" si="0"/>
        <v>116.39749999999999</v>
      </c>
      <c r="U23" s="10">
        <v>22</v>
      </c>
    </row>
    <row r="24" spans="2:21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garage!J63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45">
        <v>294.5</v>
      </c>
      <c r="P24" s="45">
        <v>78.62</v>
      </c>
      <c r="Q24" s="45">
        <v>61.93</v>
      </c>
      <c r="R24" s="45">
        <v>61.07</v>
      </c>
      <c r="S24" s="47">
        <f t="shared" si="0"/>
        <v>124.03</v>
      </c>
      <c r="U24" s="8">
        <v>23</v>
      </c>
    </row>
    <row r="25" spans="2:21" ht="18" customHeight="1" x14ac:dyDescent="0.2">
      <c r="B25" s="10">
        <f>garage!B25</f>
        <v>25</v>
      </c>
      <c r="C25" s="10">
        <f>garage!C25</f>
        <v>1</v>
      </c>
      <c r="D25" s="10">
        <f>garage!D25</f>
        <v>24</v>
      </c>
      <c r="E25" s="10">
        <f>garage!E25</f>
        <v>10</v>
      </c>
      <c r="F25" s="10" t="str">
        <f>garage!F25</f>
        <v>--</v>
      </c>
      <c r="G25" s="10" t="str">
        <f>garage!G25</f>
        <v>O</v>
      </c>
      <c r="H25" s="10" t="str">
        <f>garage!H25</f>
        <v>O</v>
      </c>
      <c r="I25" s="10" t="str">
        <f>garage!I25</f>
        <v>N</v>
      </c>
      <c r="J25" s="10" t="str">
        <f>garage!J64</f>
        <v>O</v>
      </c>
      <c r="K25" s="10" t="str">
        <f>garage!K25</f>
        <v>D</v>
      </c>
      <c r="L25" s="11" t="str">
        <f>garage!L25</f>
        <v>Honda</v>
      </c>
      <c r="M25" s="11" t="str">
        <f>garage!M25</f>
        <v>Civic Type-R</v>
      </c>
      <c r="O25" s="46">
        <v>244.5</v>
      </c>
      <c r="P25" s="46">
        <v>78.87</v>
      </c>
      <c r="Q25" s="46">
        <v>59.91</v>
      </c>
      <c r="R25" s="46">
        <v>64.08</v>
      </c>
      <c r="S25" s="48">
        <f t="shared" si="0"/>
        <v>111.83999999999999</v>
      </c>
      <c r="U25" s="10">
        <v>24</v>
      </c>
    </row>
    <row r="26" spans="2:21" ht="18" customHeight="1" x14ac:dyDescent="0.2">
      <c r="B26" s="8">
        <f>garage!B26</f>
        <v>26</v>
      </c>
      <c r="C26" s="8">
        <f>garage!C26</f>
        <v>1</v>
      </c>
      <c r="D26" s="8">
        <f>garage!D26</f>
        <v>25</v>
      </c>
      <c r="E26" s="8">
        <f>garage!E26</f>
        <v>11</v>
      </c>
      <c r="F26" s="8" t="str">
        <f>garage!F26</f>
        <v>P</v>
      </c>
      <c r="G26" s="8" t="str">
        <f>garage!G26</f>
        <v>O</v>
      </c>
      <c r="H26" s="8" t="str">
        <f>garage!H26</f>
        <v>O</v>
      </c>
      <c r="I26" s="8" t="str">
        <f>garage!I26</f>
        <v>O</v>
      </c>
      <c r="J26" s="8" t="str">
        <f>garage!J65</f>
        <v>N</v>
      </c>
      <c r="K26" s="8" t="str">
        <f>garage!K26</f>
        <v>D</v>
      </c>
      <c r="L26" s="9" t="str">
        <f>garage!L26</f>
        <v>Porsche</v>
      </c>
      <c r="M26" s="9" t="str">
        <f>garage!M26</f>
        <v>Taycan Turbo S</v>
      </c>
      <c r="O26" s="45">
        <v>270.10000000000002</v>
      </c>
      <c r="P26" s="45">
        <v>55.03</v>
      </c>
      <c r="Q26" s="45">
        <v>53.79</v>
      </c>
      <c r="R26" s="45">
        <v>68.19</v>
      </c>
      <c r="S26" s="47">
        <f t="shared" si="0"/>
        <v>111.7775</v>
      </c>
      <c r="U26" s="8">
        <v>25</v>
      </c>
    </row>
    <row r="27" spans="2:21" ht="18" customHeight="1" x14ac:dyDescent="0.2">
      <c r="B27" s="10">
        <f>garage!B27</f>
        <v>27</v>
      </c>
      <c r="C27" s="10">
        <f>garage!C27</f>
        <v>1</v>
      </c>
      <c r="D27" s="10">
        <f>garage!D27</f>
        <v>26</v>
      </c>
      <c r="E27" s="10">
        <f>garage!E27</f>
        <v>7</v>
      </c>
      <c r="F27" s="10" t="str">
        <f>garage!F27</f>
        <v>--</v>
      </c>
      <c r="G27" s="10" t="str">
        <f>garage!G27</f>
        <v>O</v>
      </c>
      <c r="H27" s="10" t="str">
        <f>garage!H27</f>
        <v>O</v>
      </c>
      <c r="I27" s="10" t="str">
        <f>garage!I27</f>
        <v>O</v>
      </c>
      <c r="J27" s="10" t="str">
        <f>garage!J66</f>
        <v>N</v>
      </c>
      <c r="K27" s="10" t="str">
        <f>garage!K27</f>
        <v>D</v>
      </c>
      <c r="L27" s="11" t="str">
        <f>garage!L27</f>
        <v>TVR</v>
      </c>
      <c r="M27" s="11" t="str">
        <f>garage!M27</f>
        <v>Griffith</v>
      </c>
      <c r="O27" s="46">
        <v>266.8</v>
      </c>
      <c r="P27" s="46">
        <v>68.86</v>
      </c>
      <c r="Q27" s="46">
        <v>47.43</v>
      </c>
      <c r="R27" s="46">
        <v>57.49</v>
      </c>
      <c r="S27" s="48">
        <f t="shared" si="0"/>
        <v>110.14500000000001</v>
      </c>
      <c r="U27" s="10">
        <v>26</v>
      </c>
    </row>
    <row r="28" spans="2:21" ht="18" customHeight="1" x14ac:dyDescent="0.2">
      <c r="B28" s="8">
        <f>garage!B28</f>
        <v>28</v>
      </c>
      <c r="C28" s="8">
        <f>garage!C28</f>
        <v>1</v>
      </c>
      <c r="D28" s="8">
        <f>garage!D28</f>
        <v>27</v>
      </c>
      <c r="E28" s="8">
        <f>garage!E28</f>
        <v>14</v>
      </c>
      <c r="F28" s="8" t="str">
        <f>garage!F28</f>
        <v>--</v>
      </c>
      <c r="G28" s="8" t="str">
        <f>garage!G28</f>
        <v>O</v>
      </c>
      <c r="H28" s="8" t="str">
        <f>garage!H28</f>
        <v>O</v>
      </c>
      <c r="I28" s="8" t="str">
        <f>garage!I28</f>
        <v>N</v>
      </c>
      <c r="J28" s="8" t="str">
        <f>garage!J67</f>
        <v>N</v>
      </c>
      <c r="K28" s="8" t="str">
        <f>garage!K28</f>
        <v>D</v>
      </c>
      <c r="L28" s="9" t="str">
        <f>garage!L28</f>
        <v>Bentley</v>
      </c>
      <c r="M28" s="9" t="str">
        <f>garage!M28</f>
        <v>Continental GT3</v>
      </c>
      <c r="O28" s="45">
        <v>300.8</v>
      </c>
      <c r="P28" s="45">
        <v>74.739999999999995</v>
      </c>
      <c r="Q28" s="45">
        <v>72.52</v>
      </c>
      <c r="R28" s="45">
        <v>50.79</v>
      </c>
      <c r="S28" s="47">
        <f t="shared" si="0"/>
        <v>124.71250000000001</v>
      </c>
      <c r="U28" s="8">
        <v>27</v>
      </c>
    </row>
    <row r="29" spans="2:21" ht="18" customHeight="1" x14ac:dyDescent="0.2">
      <c r="B29" s="10">
        <f>garage!B29</f>
        <v>29</v>
      </c>
      <c r="C29" s="10">
        <f>garage!C29</f>
        <v>1</v>
      </c>
      <c r="D29" s="10">
        <f>garage!D29</f>
        <v>28</v>
      </c>
      <c r="E29" s="10">
        <f>garage!E29</f>
        <v>0</v>
      </c>
      <c r="F29" s="10" t="str">
        <f>garage!F29</f>
        <v>--</v>
      </c>
      <c r="G29" s="10" t="str">
        <f>garage!G29</f>
        <v>O</v>
      </c>
      <c r="H29" s="10" t="str">
        <f>garage!H29</f>
        <v>O</v>
      </c>
      <c r="I29" s="10" t="str">
        <f>garage!I29</f>
        <v>O</v>
      </c>
      <c r="J29" s="10" t="str">
        <f>garage!J68</f>
        <v>N</v>
      </c>
      <c r="K29" s="10" t="str">
        <f>garage!K29</f>
        <v>D</v>
      </c>
      <c r="L29" s="11" t="str">
        <f>garage!L29</f>
        <v>Mazda</v>
      </c>
      <c r="M29" s="11" t="str">
        <f>garage!M29</f>
        <v>Furai</v>
      </c>
      <c r="O29" s="46">
        <v>305.5</v>
      </c>
      <c r="P29" s="46">
        <v>80.95</v>
      </c>
      <c r="Q29" s="46">
        <v>57.23</v>
      </c>
      <c r="R29" s="46">
        <v>49.67</v>
      </c>
      <c r="S29" s="48">
        <f t="shared" si="0"/>
        <v>123.33750000000001</v>
      </c>
      <c r="U29" s="10">
        <v>28</v>
      </c>
    </row>
    <row r="30" spans="2:21" ht="18" customHeight="1" x14ac:dyDescent="0.2">
      <c r="B30" s="8">
        <f>garage!B30</f>
        <v>30</v>
      </c>
      <c r="C30" s="8">
        <f>garage!C30</f>
        <v>1</v>
      </c>
      <c r="D30" s="8">
        <f>garage!D30</f>
        <v>29</v>
      </c>
      <c r="E30" s="8">
        <f>garage!E30</f>
        <v>13</v>
      </c>
      <c r="F30" s="8" t="str">
        <f>garage!F30</f>
        <v>C</v>
      </c>
      <c r="G30" s="8" t="str">
        <f>garage!G30</f>
        <v>O</v>
      </c>
      <c r="H30" s="8" t="str">
        <f>garage!H30</f>
        <v>O</v>
      </c>
      <c r="I30" s="8" t="str">
        <f>garage!I30</f>
        <v>N</v>
      </c>
      <c r="J30" s="8" t="str">
        <f>garage!J69</f>
        <v>N</v>
      </c>
      <c r="K30" s="8" t="str">
        <f>garage!K30</f>
        <v>D</v>
      </c>
      <c r="L30" s="9" t="str">
        <f>garage!L30</f>
        <v>Chevrolet</v>
      </c>
      <c r="M30" s="9" t="str">
        <f>garage!M30</f>
        <v>Corvette C7.R</v>
      </c>
      <c r="O30" s="45">
        <v>307.60000000000002</v>
      </c>
      <c r="P30" s="45">
        <v>80.48</v>
      </c>
      <c r="Q30" s="45">
        <v>47.08</v>
      </c>
      <c r="R30" s="45">
        <v>57.03</v>
      </c>
      <c r="S30" s="47">
        <f t="shared" si="0"/>
        <v>123.04750000000001</v>
      </c>
      <c r="U30" s="8">
        <v>29</v>
      </c>
    </row>
    <row r="31" spans="2:21" ht="18" customHeight="1" x14ac:dyDescent="0.2">
      <c r="B31" s="10">
        <f>garage!B31</f>
        <v>31</v>
      </c>
      <c r="C31" s="10">
        <f>garage!C31</f>
        <v>1</v>
      </c>
      <c r="D31" s="10">
        <f>garage!D31</f>
        <v>30</v>
      </c>
      <c r="E31" s="10">
        <f>garage!E31</f>
        <v>16</v>
      </c>
      <c r="F31" s="10" t="str">
        <f>garage!F31</f>
        <v>L</v>
      </c>
      <c r="G31" s="10" t="str">
        <f>garage!G31</f>
        <v>N</v>
      </c>
      <c r="H31" s="10" t="str">
        <f>garage!H31</f>
        <v>N</v>
      </c>
      <c r="I31" s="10" t="str">
        <f>garage!I31</f>
        <v>N</v>
      </c>
      <c r="J31" s="10" t="str">
        <f>garage!J70</f>
        <v>N</v>
      </c>
      <c r="K31" s="10" t="str">
        <f>garage!K31</f>
        <v>D</v>
      </c>
      <c r="L31" s="11" t="str">
        <f>garage!L31</f>
        <v>Lamborghini</v>
      </c>
      <c r="M31" s="11" t="str">
        <f>garage!M31</f>
        <v>Huracan Super Trofeo Evo</v>
      </c>
      <c r="O31" s="46">
        <v>303.7</v>
      </c>
      <c r="P31" s="46">
        <v>82.89</v>
      </c>
      <c r="Q31" s="46">
        <v>63.48</v>
      </c>
      <c r="R31" s="46">
        <v>54.41</v>
      </c>
      <c r="S31" s="48">
        <f t="shared" si="0"/>
        <v>126.12</v>
      </c>
      <c r="U31" s="10">
        <v>30</v>
      </c>
    </row>
    <row r="32" spans="2:21" ht="18" customHeight="1" x14ac:dyDescent="0.2">
      <c r="B32" s="8">
        <f>garage!B32</f>
        <v>32</v>
      </c>
      <c r="C32" s="8">
        <f>garage!C32</f>
        <v>1</v>
      </c>
      <c r="D32" s="8">
        <f>garage!D32</f>
        <v>31</v>
      </c>
      <c r="E32" s="8">
        <f>garage!E32</f>
        <v>21</v>
      </c>
      <c r="F32" s="8" t="str">
        <f>garage!F32</f>
        <v>--</v>
      </c>
      <c r="G32" s="8" t="str">
        <f>garage!G32</f>
        <v>N</v>
      </c>
      <c r="H32" s="8" t="str">
        <f>garage!H32</f>
        <v>N</v>
      </c>
      <c r="I32" s="8" t="str">
        <f>garage!I32</f>
        <v>N</v>
      </c>
      <c r="J32" s="8" t="str">
        <f>garage!J71</f>
        <v>N</v>
      </c>
      <c r="K32" s="8" t="str">
        <f>garage!K32</f>
        <v>D</v>
      </c>
      <c r="L32" s="9" t="str">
        <f>garage!L32</f>
        <v>Volkswagen</v>
      </c>
      <c r="M32" s="9" t="str">
        <f>garage!M32</f>
        <v>Electric R</v>
      </c>
      <c r="O32" s="45">
        <v>290.5</v>
      </c>
      <c r="P32" s="45">
        <v>88.5</v>
      </c>
      <c r="Q32" s="45">
        <v>57.91</v>
      </c>
      <c r="R32" s="45">
        <v>67.930000000000007</v>
      </c>
      <c r="S32" s="47">
        <f t="shared" si="0"/>
        <v>126.21</v>
      </c>
      <c r="U32" s="8">
        <v>31</v>
      </c>
    </row>
    <row r="33" spans="2:21" ht="18" customHeight="1" x14ac:dyDescent="0.2">
      <c r="B33" s="10">
        <f>garage!B33</f>
        <v>33</v>
      </c>
      <c r="C33" s="10">
        <f>garage!C33</f>
        <v>1</v>
      </c>
      <c r="D33" s="10">
        <f>garage!D33</f>
        <v>32</v>
      </c>
      <c r="E33" s="10">
        <f>garage!E33</f>
        <v>27</v>
      </c>
      <c r="F33" s="10" t="str">
        <f>garage!F33</f>
        <v>--</v>
      </c>
      <c r="G33" s="10" t="str">
        <f>garage!G33</f>
        <v>N</v>
      </c>
      <c r="H33" s="10" t="str">
        <f>garage!H33</f>
        <v>N</v>
      </c>
      <c r="I33" s="10" t="str">
        <f>garage!I33</f>
        <v>N</v>
      </c>
      <c r="J33" s="10" t="str">
        <f>garage!J72</f>
        <v>N</v>
      </c>
      <c r="K33" s="10" t="str">
        <f>garage!K33</f>
        <v>D</v>
      </c>
      <c r="L33" s="11" t="str">
        <f>garage!L33</f>
        <v>Glickhaus</v>
      </c>
      <c r="M33" s="11" t="str">
        <f>garage!M33</f>
        <v>004C</v>
      </c>
      <c r="O33" s="46">
        <v>311.2</v>
      </c>
      <c r="P33" s="46">
        <v>76.75</v>
      </c>
      <c r="Q33" s="46">
        <v>56.89</v>
      </c>
      <c r="R33" s="46">
        <v>60.87</v>
      </c>
      <c r="S33" s="48">
        <f t="shared" si="0"/>
        <v>126.42749999999999</v>
      </c>
      <c r="U33" s="10">
        <v>32</v>
      </c>
    </row>
    <row r="34" spans="2:21" ht="18" customHeight="1" x14ac:dyDescent="0.2">
      <c r="B34" s="8">
        <f>garage!B34</f>
        <v>34</v>
      </c>
      <c r="C34" s="8">
        <f>garage!C34</f>
        <v>2</v>
      </c>
      <c r="D34" s="8">
        <f>garage!D34</f>
        <v>1</v>
      </c>
      <c r="E34" s="8">
        <f>garage!E34</f>
        <v>0</v>
      </c>
      <c r="F34" s="8" t="str">
        <f>garage!F34</f>
        <v>--</v>
      </c>
      <c r="G34" s="8" t="str">
        <f>garage!G34</f>
        <v>O</v>
      </c>
      <c r="H34" s="8" t="str">
        <f>garage!H34</f>
        <v>O</v>
      </c>
      <c r="I34" s="8" t="str">
        <f>garage!I34</f>
        <v>O</v>
      </c>
      <c r="J34" s="8" t="str">
        <f>garage!J73</f>
        <v>N</v>
      </c>
      <c r="K34" s="8" t="str">
        <f>garage!K34</f>
        <v>C</v>
      </c>
      <c r="L34" s="9" t="str">
        <f>garage!L34</f>
        <v>Dodge</v>
      </c>
      <c r="M34" s="9" t="str">
        <f>garage!M34</f>
        <v>Challenger SRT8</v>
      </c>
      <c r="O34" s="45">
        <v>322</v>
      </c>
      <c r="P34" s="45">
        <v>80.98</v>
      </c>
      <c r="Q34" s="45">
        <v>83.65</v>
      </c>
      <c r="R34" s="45">
        <v>70.81</v>
      </c>
      <c r="S34" s="47">
        <f t="shared" si="0"/>
        <v>139.36000000000001</v>
      </c>
      <c r="U34" s="8">
        <v>1</v>
      </c>
    </row>
    <row r="35" spans="2:21" ht="18" customHeight="1" x14ac:dyDescent="0.2">
      <c r="B35" s="10">
        <f>garage!B35</f>
        <v>35</v>
      </c>
      <c r="C35" s="10">
        <f>garage!C35</f>
        <v>2</v>
      </c>
      <c r="D35" s="10">
        <f>garage!D35</f>
        <v>2</v>
      </c>
      <c r="E35" s="10">
        <f>garage!E35</f>
        <v>0</v>
      </c>
      <c r="F35" s="10" t="str">
        <f>garage!F35</f>
        <v>--</v>
      </c>
      <c r="G35" s="10" t="str">
        <f>garage!G35</f>
        <v>O</v>
      </c>
      <c r="H35" s="10" t="str">
        <f>garage!H35</f>
        <v>O</v>
      </c>
      <c r="I35" s="10" t="str">
        <f>garage!I35</f>
        <v>O</v>
      </c>
      <c r="J35" s="10" t="str">
        <f>garage!J74</f>
        <v>N</v>
      </c>
      <c r="K35" s="10" t="str">
        <f>garage!K35</f>
        <v>C</v>
      </c>
      <c r="L35" s="11" t="str">
        <f>garage!L35</f>
        <v>BMW</v>
      </c>
      <c r="M35" s="11" t="str">
        <f>garage!M35</f>
        <v>3.0 CSL Hommage</v>
      </c>
      <c r="O35" s="46">
        <v>323.60000000000002</v>
      </c>
      <c r="P35" s="46">
        <v>73.44</v>
      </c>
      <c r="Q35" s="46">
        <v>87.24</v>
      </c>
      <c r="R35" s="46">
        <v>70.55</v>
      </c>
      <c r="S35" s="48">
        <f t="shared" si="0"/>
        <v>138.70750000000001</v>
      </c>
      <c r="U35" s="10">
        <v>2</v>
      </c>
    </row>
    <row r="36" spans="2:21" ht="18" customHeight="1" x14ac:dyDescent="0.2">
      <c r="B36" s="8">
        <f>garage!B36</f>
        <v>36</v>
      </c>
      <c r="C36" s="8">
        <f>garage!C36</f>
        <v>2</v>
      </c>
      <c r="D36" s="8">
        <f>garage!D36</f>
        <v>3</v>
      </c>
      <c r="E36" s="8">
        <f>garage!E36</f>
        <v>28</v>
      </c>
      <c r="F36" s="8" t="str">
        <f>garage!F36</f>
        <v>P</v>
      </c>
      <c r="G36" s="8" t="str">
        <f>garage!G36</f>
        <v>O</v>
      </c>
      <c r="H36" s="8" t="str">
        <f>garage!H36</f>
        <v>O</v>
      </c>
      <c r="I36" s="8" t="str">
        <f>garage!I36</f>
        <v>N</v>
      </c>
      <c r="J36" s="8" t="str">
        <f>garage!J75</f>
        <v>N</v>
      </c>
      <c r="K36" s="8" t="str">
        <f>garage!K36</f>
        <v>C</v>
      </c>
      <c r="L36" s="9" t="str">
        <f>garage!L36</f>
        <v>Porsche</v>
      </c>
      <c r="M36" s="9" t="str">
        <f>garage!M36</f>
        <v>Boxster 25th</v>
      </c>
      <c r="O36" s="45">
        <v>298.39999999999998</v>
      </c>
      <c r="P36" s="45">
        <v>71.92</v>
      </c>
      <c r="Q36" s="45">
        <v>45.93</v>
      </c>
      <c r="R36" s="45">
        <v>53.86</v>
      </c>
      <c r="S36" s="47">
        <f t="shared" ref="S36:S100" si="1">AVERAGE(O36:R36)</f>
        <v>117.5275</v>
      </c>
      <c r="U36" s="8">
        <v>3</v>
      </c>
    </row>
    <row r="37" spans="2:21" ht="18" customHeight="1" x14ac:dyDescent="0.2">
      <c r="B37" s="10">
        <f>garage!B37</f>
        <v>37</v>
      </c>
      <c r="C37" s="10">
        <f>garage!C37</f>
        <v>2</v>
      </c>
      <c r="D37" s="10">
        <f>garage!D37</f>
        <v>4</v>
      </c>
      <c r="E37" s="10">
        <f>garage!E37</f>
        <v>0</v>
      </c>
      <c r="F37" s="10" t="str">
        <f>garage!F37</f>
        <v>C</v>
      </c>
      <c r="G37" s="10" t="str">
        <f>garage!G37</f>
        <v>O</v>
      </c>
      <c r="H37" s="10" t="str">
        <f>garage!H37</f>
        <v>O</v>
      </c>
      <c r="I37" s="10" t="str">
        <f>garage!I37</f>
        <v>O</v>
      </c>
      <c r="J37" s="10" t="str">
        <f>garage!J76</f>
        <v>N</v>
      </c>
      <c r="K37" s="10" t="str">
        <f>garage!K37</f>
        <v>C</v>
      </c>
      <c r="L37" s="11" t="str">
        <f>garage!L37</f>
        <v>Chevrolet</v>
      </c>
      <c r="M37" s="11" t="str">
        <f>garage!M37</f>
        <v>Camaro ZL1 50th Edition</v>
      </c>
      <c r="O37" s="46">
        <v>340.7</v>
      </c>
      <c r="P37" s="46">
        <v>76.56</v>
      </c>
      <c r="Q37" s="46">
        <v>75.81</v>
      </c>
      <c r="R37" s="46">
        <v>59.69</v>
      </c>
      <c r="S37" s="48">
        <f t="shared" si="1"/>
        <v>138.19</v>
      </c>
      <c r="U37" s="10">
        <v>4</v>
      </c>
    </row>
    <row r="38" spans="2:21" ht="18" customHeight="1" x14ac:dyDescent="0.2">
      <c r="B38" s="8">
        <f>garage!B38</f>
        <v>38</v>
      </c>
      <c r="C38" s="8">
        <f>garage!C38</f>
        <v>2</v>
      </c>
      <c r="D38" s="8">
        <f>garage!D38</f>
        <v>5</v>
      </c>
      <c r="E38" s="8">
        <f>garage!E38</f>
        <v>0</v>
      </c>
      <c r="F38" s="8" t="str">
        <f>garage!F38</f>
        <v>--</v>
      </c>
      <c r="G38" s="8" t="str">
        <f>garage!G38</f>
        <v>O</v>
      </c>
      <c r="H38" s="8" t="str">
        <f>garage!H38</f>
        <v>O</v>
      </c>
      <c r="I38" s="8" t="str">
        <f>garage!I38</f>
        <v>O</v>
      </c>
      <c r="J38" s="8" t="str">
        <f>garage!J77</f>
        <v>N</v>
      </c>
      <c r="K38" s="8" t="str">
        <f>garage!K38</f>
        <v>C</v>
      </c>
      <c r="L38" s="9" t="str">
        <f>garage!L38</f>
        <v>Lotus</v>
      </c>
      <c r="M38" s="9" t="str">
        <f>garage!M38</f>
        <v>Evora Sport 410</v>
      </c>
      <c r="O38" s="45">
        <v>340.6</v>
      </c>
      <c r="P38" s="45">
        <v>72.88</v>
      </c>
      <c r="Q38" s="45">
        <v>69.319999999999993</v>
      </c>
      <c r="R38" s="45">
        <v>63.5</v>
      </c>
      <c r="S38" s="47">
        <f t="shared" si="1"/>
        <v>136.57499999999999</v>
      </c>
      <c r="U38" s="8">
        <v>5</v>
      </c>
    </row>
    <row r="39" spans="2:21" ht="18" customHeight="1" x14ac:dyDescent="0.2">
      <c r="B39" s="10">
        <f>garage!B39</f>
        <v>39</v>
      </c>
      <c r="C39" s="10">
        <f>garage!C39</f>
        <v>2</v>
      </c>
      <c r="D39" s="10">
        <f>garage!D39</f>
        <v>6</v>
      </c>
      <c r="E39" s="10">
        <f>garage!E39</f>
        <v>0</v>
      </c>
      <c r="F39" s="10" t="str">
        <f>garage!F39</f>
        <v>--</v>
      </c>
      <c r="G39" s="10" t="str">
        <f>garage!G39</f>
        <v>O</v>
      </c>
      <c r="H39" s="10" t="str">
        <f>garage!H39</f>
        <v>O</v>
      </c>
      <c r="I39" s="10" t="str">
        <f>garage!I39</f>
        <v>O</v>
      </c>
      <c r="J39" s="10" t="str">
        <f>garage!J78</f>
        <v>N</v>
      </c>
      <c r="K39" s="10" t="str">
        <f>garage!K39</f>
        <v>C</v>
      </c>
      <c r="L39" s="11" t="str">
        <f>garage!L39</f>
        <v>Mercedes-Benz</v>
      </c>
      <c r="M39" s="11" t="str">
        <f>garage!M39</f>
        <v>AMG GT S</v>
      </c>
      <c r="O39" s="46">
        <v>317.89999999999998</v>
      </c>
      <c r="P39" s="46">
        <v>78.22</v>
      </c>
      <c r="Q39" s="46">
        <v>86.5</v>
      </c>
      <c r="R39" s="46">
        <v>60.57</v>
      </c>
      <c r="S39" s="48">
        <f t="shared" si="1"/>
        <v>135.79750000000001</v>
      </c>
      <c r="U39" s="10">
        <v>6</v>
      </c>
    </row>
    <row r="40" spans="2:21" ht="18" customHeight="1" x14ac:dyDescent="0.2">
      <c r="B40" s="8">
        <f>garage!B40</f>
        <v>40</v>
      </c>
      <c r="C40" s="8">
        <f>garage!C40</f>
        <v>2</v>
      </c>
      <c r="D40" s="8">
        <f>garage!D40</f>
        <v>7</v>
      </c>
      <c r="E40" s="8">
        <f>garage!E40</f>
        <v>0</v>
      </c>
      <c r="F40" s="8" t="str">
        <f>garage!F40</f>
        <v>--</v>
      </c>
      <c r="G40" s="8" t="str">
        <f>garage!G40</f>
        <v>O</v>
      </c>
      <c r="H40" s="8" t="str">
        <f>garage!H40</f>
        <v>O</v>
      </c>
      <c r="I40" s="8" t="str">
        <f>garage!I40</f>
        <v>O</v>
      </c>
      <c r="J40" s="8" t="str">
        <f>garage!J79</f>
        <v>N</v>
      </c>
      <c r="K40" s="8" t="str">
        <f>garage!K40</f>
        <v>C</v>
      </c>
      <c r="L40" s="9" t="str">
        <f>garage!L40</f>
        <v>BMW</v>
      </c>
      <c r="M40" s="9" t="str">
        <f>garage!M40</f>
        <v>M4 GTS</v>
      </c>
      <c r="O40" s="45">
        <v>340.4</v>
      </c>
      <c r="P40" s="45">
        <v>77.38</v>
      </c>
      <c r="Q40" s="45">
        <v>67.260000000000005</v>
      </c>
      <c r="R40" s="45">
        <v>55.85</v>
      </c>
      <c r="S40" s="47">
        <f t="shared" si="1"/>
        <v>135.2225</v>
      </c>
      <c r="U40" s="8">
        <v>7</v>
      </c>
    </row>
    <row r="41" spans="2:21" ht="18" customHeight="1" x14ac:dyDescent="0.2">
      <c r="B41" s="10">
        <f>garage!B41</f>
        <v>41</v>
      </c>
      <c r="C41" s="10">
        <f>garage!C41</f>
        <v>2</v>
      </c>
      <c r="D41" s="10">
        <f>garage!D41</f>
        <v>8</v>
      </c>
      <c r="E41" s="10">
        <f>garage!E41</f>
        <v>0</v>
      </c>
      <c r="F41" s="10" t="str">
        <f>garage!F41</f>
        <v>--</v>
      </c>
      <c r="G41" s="10" t="str">
        <f>garage!G41</f>
        <v>O</v>
      </c>
      <c r="H41" s="10" t="str">
        <f>garage!H41</f>
        <v>O</v>
      </c>
      <c r="I41" s="10" t="str">
        <f>garage!I41</f>
        <v>O</v>
      </c>
      <c r="J41" s="10" t="str">
        <f>garage!J80</f>
        <v>N</v>
      </c>
      <c r="K41" s="10" t="str">
        <f>garage!K41</f>
        <v>C</v>
      </c>
      <c r="L41" s="11" t="str">
        <f>garage!L41</f>
        <v>Rezvani</v>
      </c>
      <c r="M41" s="11" t="str">
        <f>garage!M41</f>
        <v>Beast X</v>
      </c>
      <c r="O41" s="46">
        <v>352.1</v>
      </c>
      <c r="P41" s="46">
        <v>78.53</v>
      </c>
      <c r="Q41" s="46">
        <v>59.47</v>
      </c>
      <c r="R41" s="46">
        <v>47.71</v>
      </c>
      <c r="S41" s="48">
        <f t="shared" si="1"/>
        <v>134.45250000000001</v>
      </c>
      <c r="U41" s="10">
        <v>8</v>
      </c>
    </row>
    <row r="42" spans="2:21" ht="18" customHeight="1" x14ac:dyDescent="0.2">
      <c r="B42" s="8">
        <f>garage!B42</f>
        <v>42</v>
      </c>
      <c r="C42" s="8">
        <f>garage!C42</f>
        <v>2</v>
      </c>
      <c r="D42" s="8">
        <f>garage!D42</f>
        <v>9</v>
      </c>
      <c r="E42" s="8">
        <f>garage!E42</f>
        <v>20</v>
      </c>
      <c r="F42" s="8" t="str">
        <f>garage!F42</f>
        <v>AM</v>
      </c>
      <c r="G42" s="8" t="str">
        <f>garage!G42</f>
        <v>O</v>
      </c>
      <c r="H42" s="8" t="str">
        <f>garage!H42</f>
        <v>N</v>
      </c>
      <c r="I42" s="8" t="str">
        <f>garage!I42</f>
        <v>N</v>
      </c>
      <c r="J42" s="8" t="str">
        <f>garage!J81</f>
        <v>N</v>
      </c>
      <c r="K42" s="8" t="str">
        <f>garage!K42</f>
        <v>C</v>
      </c>
      <c r="L42" s="9" t="str">
        <f>garage!L42</f>
        <v>Aston Martin</v>
      </c>
      <c r="M42" s="9" t="str">
        <f>garage!M42</f>
        <v>V12 Speedster</v>
      </c>
      <c r="O42" s="45">
        <v>303.89999999999998</v>
      </c>
      <c r="P42" s="45">
        <v>77.319999999999993</v>
      </c>
      <c r="Q42" s="45">
        <v>86.2</v>
      </c>
      <c r="R42" s="45">
        <v>68.94</v>
      </c>
      <c r="S42" s="47">
        <f t="shared" si="1"/>
        <v>134.08999999999997</v>
      </c>
      <c r="U42" s="8">
        <v>9</v>
      </c>
    </row>
    <row r="43" spans="2:21" ht="18" customHeight="1" x14ac:dyDescent="0.2">
      <c r="B43" s="10">
        <f>garage!B43</f>
        <v>43</v>
      </c>
      <c r="C43" s="10">
        <f>garage!C43</f>
        <v>2</v>
      </c>
      <c r="D43" s="10">
        <f>garage!D43</f>
        <v>10</v>
      </c>
      <c r="E43" s="10">
        <f>garage!E43</f>
        <v>29</v>
      </c>
      <c r="F43" s="10" t="str">
        <f>garage!F43</f>
        <v>--</v>
      </c>
      <c r="G43" s="10" t="str">
        <f>garage!G43</f>
        <v>O</v>
      </c>
      <c r="H43" s="10" t="str">
        <f>garage!H43</f>
        <v>N</v>
      </c>
      <c r="I43" s="10" t="str">
        <f>garage!I43</f>
        <v>N</v>
      </c>
      <c r="J43" s="10" t="str">
        <f>garage!J82</f>
        <v>N</v>
      </c>
      <c r="K43" s="10" t="str">
        <f>garage!K43</f>
        <v>C</v>
      </c>
      <c r="L43" s="11" t="str">
        <f>garage!L43</f>
        <v>Donkervoort</v>
      </c>
      <c r="M43" s="11" t="str">
        <f>garage!M43</f>
        <v>D8 GTO</v>
      </c>
      <c r="O43" s="46">
        <v>300.3</v>
      </c>
      <c r="P43" s="46">
        <v>85.42</v>
      </c>
      <c r="Q43" s="46">
        <v>85.09</v>
      </c>
      <c r="R43" s="46">
        <v>62.77</v>
      </c>
      <c r="S43" s="48">
        <f t="shared" si="1"/>
        <v>133.39500000000001</v>
      </c>
      <c r="U43" s="10">
        <v>10</v>
      </c>
    </row>
    <row r="44" spans="2:21" ht="18" customHeight="1" x14ac:dyDescent="0.2">
      <c r="B44" s="8">
        <f>garage!B44</f>
        <v>44</v>
      </c>
      <c r="C44" s="8">
        <f>garage!C44</f>
        <v>2</v>
      </c>
      <c r="D44" s="8">
        <f>garage!D44</f>
        <v>11</v>
      </c>
      <c r="E44" s="8">
        <f>garage!E44</f>
        <v>0</v>
      </c>
      <c r="F44" s="8" t="str">
        <f>garage!F44</f>
        <v>--</v>
      </c>
      <c r="G44" s="8" t="str">
        <f>garage!G44</f>
        <v>O</v>
      </c>
      <c r="H44" s="8" t="str">
        <f>garage!H44</f>
        <v>O</v>
      </c>
      <c r="I44" s="8" t="str">
        <f>garage!I44</f>
        <v>O</v>
      </c>
      <c r="J44" s="8" t="str">
        <f>garage!J83</f>
        <v>N</v>
      </c>
      <c r="K44" s="8" t="str">
        <f>garage!K44</f>
        <v>C</v>
      </c>
      <c r="L44" s="9" t="str">
        <f>garage!L44</f>
        <v>Dodge</v>
      </c>
      <c r="M44" s="9" t="str">
        <f>garage!M44</f>
        <v>Viper ACR</v>
      </c>
      <c r="O44" s="45">
        <v>350.5</v>
      </c>
      <c r="P44" s="45">
        <v>74.12</v>
      </c>
      <c r="Q44" s="45">
        <v>62.87</v>
      </c>
      <c r="R44" s="45">
        <v>46.83</v>
      </c>
      <c r="S44" s="47">
        <f t="shared" si="1"/>
        <v>133.58000000000001</v>
      </c>
      <c r="U44" s="8">
        <v>11</v>
      </c>
    </row>
    <row r="45" spans="2:21" ht="18" customHeight="1" x14ac:dyDescent="0.2">
      <c r="B45" s="10">
        <f>garage!B45</f>
        <v>45</v>
      </c>
      <c r="C45" s="10">
        <f>garage!C45</f>
        <v>2</v>
      </c>
      <c r="D45" s="10">
        <f>garage!D45</f>
        <v>12</v>
      </c>
      <c r="E45" s="10">
        <f>garage!E45</f>
        <v>24</v>
      </c>
      <c r="F45" s="10" t="str">
        <f>garage!F45</f>
        <v>--</v>
      </c>
      <c r="G45" s="10" t="str">
        <f>garage!G45</f>
        <v>O</v>
      </c>
      <c r="H45" s="10" t="str">
        <f>garage!H45</f>
        <v>N</v>
      </c>
      <c r="I45" s="10" t="str">
        <f>garage!I45</f>
        <v>N</v>
      </c>
      <c r="J45" s="10" t="str">
        <f>garage!J84</f>
        <v>N</v>
      </c>
      <c r="K45" s="10" t="str">
        <f>garage!K45</f>
        <v>C</v>
      </c>
      <c r="L45" s="11" t="str">
        <f>garage!L45</f>
        <v>Bolwell</v>
      </c>
      <c r="M45" s="11" t="str">
        <f>garage!M45</f>
        <v>MK X Nagari 500</v>
      </c>
      <c r="O45" s="46">
        <v>327.7</v>
      </c>
      <c r="P45" s="46">
        <v>81.56</v>
      </c>
      <c r="Q45" s="46">
        <v>60.15</v>
      </c>
      <c r="R45" s="46">
        <v>64.44</v>
      </c>
      <c r="S45" s="48">
        <f t="shared" si="1"/>
        <v>133.46249999999998</v>
      </c>
      <c r="U45" s="10">
        <v>12</v>
      </c>
    </row>
    <row r="46" spans="2:21" ht="18" customHeight="1" x14ac:dyDescent="0.2">
      <c r="B46" s="8">
        <f>garage!B46</f>
        <v>46</v>
      </c>
      <c r="C46" s="8">
        <f>garage!C46</f>
        <v>2</v>
      </c>
      <c r="D46" s="8">
        <f>garage!D46</f>
        <v>13</v>
      </c>
      <c r="E46" s="8">
        <f>garage!E46</f>
        <v>0</v>
      </c>
      <c r="F46" s="8" t="str">
        <f>garage!F46</f>
        <v>--</v>
      </c>
      <c r="G46" s="8" t="str">
        <f>garage!G46</f>
        <v>O</v>
      </c>
      <c r="H46" s="8" t="str">
        <f>garage!H46</f>
        <v>O</v>
      </c>
      <c r="I46" s="8" t="str">
        <f>garage!I46</f>
        <v>O</v>
      </c>
      <c r="J46" s="8" t="str">
        <f>garage!J85</f>
        <v>N</v>
      </c>
      <c r="K46" s="8" t="str">
        <f>garage!K46</f>
        <v>C</v>
      </c>
      <c r="L46" s="9" t="str">
        <f>garage!L46</f>
        <v>Ford</v>
      </c>
      <c r="M46" s="9" t="str">
        <f>garage!M46</f>
        <v>Shelby GR-1</v>
      </c>
      <c r="O46" s="45">
        <v>321.7</v>
      </c>
      <c r="P46" s="45">
        <v>75.319999999999993</v>
      </c>
      <c r="Q46" s="45">
        <v>69.599999999999994</v>
      </c>
      <c r="R46" s="45">
        <v>66.63</v>
      </c>
      <c r="S46" s="47">
        <f t="shared" si="1"/>
        <v>133.3125</v>
      </c>
      <c r="U46" s="8">
        <v>13</v>
      </c>
    </row>
    <row r="47" spans="2:21" ht="18" customHeight="1" x14ac:dyDescent="0.2">
      <c r="B47" s="10">
        <f>garage!B47</f>
        <v>47</v>
      </c>
      <c r="C47" s="10">
        <f>garage!C47</f>
        <v>2</v>
      </c>
      <c r="D47" s="10">
        <f>garage!D47</f>
        <v>14</v>
      </c>
      <c r="E47" s="10">
        <f>garage!E47</f>
        <v>0</v>
      </c>
      <c r="F47" s="10" t="str">
        <f>garage!F47</f>
        <v>--</v>
      </c>
      <c r="G47" s="10" t="str">
        <f>garage!G47</f>
        <v>O</v>
      </c>
      <c r="H47" s="10" t="str">
        <f>garage!H47</f>
        <v>O</v>
      </c>
      <c r="I47" s="10" t="str">
        <f>garage!I47</f>
        <v>O</v>
      </c>
      <c r="J47" s="10" t="str">
        <f>garage!J86</f>
        <v>O</v>
      </c>
      <c r="K47" s="10" t="str">
        <f>garage!K47</f>
        <v>C</v>
      </c>
      <c r="L47" s="11" t="str">
        <f>garage!L47</f>
        <v>Pininfarina</v>
      </c>
      <c r="M47" s="11" t="str">
        <f>garage!M47</f>
        <v>H2 Speed</v>
      </c>
      <c r="O47" s="46">
        <v>316.3</v>
      </c>
      <c r="P47" s="46">
        <v>85.72</v>
      </c>
      <c r="Q47" s="46">
        <v>57.94</v>
      </c>
      <c r="R47" s="46">
        <v>71.91</v>
      </c>
      <c r="S47" s="48">
        <f t="shared" si="1"/>
        <v>132.9675</v>
      </c>
      <c r="U47" s="10">
        <v>14</v>
      </c>
    </row>
    <row r="48" spans="2:21" ht="18" customHeight="1" x14ac:dyDescent="0.2">
      <c r="B48" s="8">
        <f>garage!B48</f>
        <v>48</v>
      </c>
      <c r="C48" s="8">
        <f>garage!C48</f>
        <v>2</v>
      </c>
      <c r="D48" s="8">
        <f>garage!D48</f>
        <v>15</v>
      </c>
      <c r="E48" s="8">
        <f>garage!E48</f>
        <v>7</v>
      </c>
      <c r="F48" s="8" t="str">
        <f>garage!F48</f>
        <v>--</v>
      </c>
      <c r="G48" s="8" t="str">
        <f>garage!G48</f>
        <v>O</v>
      </c>
      <c r="H48" s="8" t="str">
        <f>garage!H48</f>
        <v>O</v>
      </c>
      <c r="I48" s="8" t="str">
        <f>garage!I48</f>
        <v>O</v>
      </c>
      <c r="J48" s="8" t="str">
        <f>garage!J87</f>
        <v>N</v>
      </c>
      <c r="K48" s="8" t="str">
        <f>garage!K48</f>
        <v>C</v>
      </c>
      <c r="L48" s="9" t="str">
        <f>garage!L48</f>
        <v>Artega</v>
      </c>
      <c r="M48" s="9" t="str">
        <f>garage!M48</f>
        <v>Scalo Superelletra</v>
      </c>
      <c r="O48" s="45">
        <v>338.7</v>
      </c>
      <c r="P48" s="45">
        <v>78.28</v>
      </c>
      <c r="Q48" s="45">
        <v>48.14</v>
      </c>
      <c r="R48" s="45">
        <v>62.98</v>
      </c>
      <c r="S48" s="47">
        <f t="shared" si="1"/>
        <v>132.02500000000001</v>
      </c>
      <c r="U48" s="8">
        <v>15</v>
      </c>
    </row>
    <row r="49" spans="2:21" ht="18" customHeight="1" x14ac:dyDescent="0.2">
      <c r="B49" s="10">
        <f>garage!B49</f>
        <v>49</v>
      </c>
      <c r="C49" s="10">
        <f>garage!C49</f>
        <v>2</v>
      </c>
      <c r="D49" s="10">
        <f>garage!D49</f>
        <v>16</v>
      </c>
      <c r="E49" s="10">
        <f>garage!E49</f>
        <v>22</v>
      </c>
      <c r="F49" s="10" t="str">
        <f>garage!F49</f>
        <v>--</v>
      </c>
      <c r="G49" s="10" t="str">
        <f>garage!G49</f>
        <v>O</v>
      </c>
      <c r="H49" s="10" t="str">
        <f>garage!H49</f>
        <v>N</v>
      </c>
      <c r="I49" s="10" t="str">
        <f>garage!I49</f>
        <v>N</v>
      </c>
      <c r="J49" s="10" t="str">
        <f>garage!J88</f>
        <v>N</v>
      </c>
      <c r="K49" s="10" t="str">
        <f>garage!K49</f>
        <v>C</v>
      </c>
      <c r="L49" s="11" t="str">
        <f>garage!L49</f>
        <v>Saleen</v>
      </c>
      <c r="M49" s="11" t="str">
        <f>garage!M49</f>
        <v>S1</v>
      </c>
      <c r="O49" s="46">
        <v>305.3</v>
      </c>
      <c r="P49" s="46">
        <v>76.739999999999995</v>
      </c>
      <c r="Q49" s="46">
        <v>82.8</v>
      </c>
      <c r="R49" s="46">
        <v>74.069999999999993</v>
      </c>
      <c r="S49" s="48">
        <f t="shared" si="1"/>
        <v>134.72750000000002</v>
      </c>
      <c r="U49" s="10">
        <v>16</v>
      </c>
    </row>
    <row r="50" spans="2:21" ht="18" customHeight="1" x14ac:dyDescent="0.2">
      <c r="B50" s="8">
        <f>garage!B50</f>
        <v>50</v>
      </c>
      <c r="C50" s="8">
        <f>garage!C50</f>
        <v>2</v>
      </c>
      <c r="D50" s="8">
        <f>garage!D50</f>
        <v>17</v>
      </c>
      <c r="E50" s="8">
        <f>garage!E50</f>
        <v>0</v>
      </c>
      <c r="F50" s="8" t="str">
        <f>garage!F50</f>
        <v>--</v>
      </c>
      <c r="G50" s="8" t="str">
        <f>garage!G50</f>
        <v>O</v>
      </c>
      <c r="H50" s="8" t="str">
        <f>garage!H50</f>
        <v>O</v>
      </c>
      <c r="I50" s="8" t="str">
        <f>garage!I50</f>
        <v>O</v>
      </c>
      <c r="J50" s="8" t="str">
        <f>garage!J89</f>
        <v>O</v>
      </c>
      <c r="K50" s="8" t="str">
        <f>garage!K50</f>
        <v>C</v>
      </c>
      <c r="L50" s="9" t="str">
        <f>garage!L50</f>
        <v>Acura</v>
      </c>
      <c r="M50" s="9" t="str">
        <f>garage!M50</f>
        <v>2017 NSX</v>
      </c>
      <c r="O50" s="45">
        <v>335.7</v>
      </c>
      <c r="P50" s="45">
        <v>74.430000000000007</v>
      </c>
      <c r="Q50" s="45">
        <v>41.38</v>
      </c>
      <c r="R50" s="45">
        <v>72.91</v>
      </c>
      <c r="S50" s="47">
        <f t="shared" si="1"/>
        <v>131.10499999999999</v>
      </c>
      <c r="U50" s="8">
        <v>17</v>
      </c>
    </row>
    <row r="51" spans="2:21" ht="18" customHeight="1" x14ac:dyDescent="0.2">
      <c r="B51" s="10">
        <f>garage!B51</f>
        <v>51</v>
      </c>
      <c r="C51" s="10">
        <f>garage!C51</f>
        <v>2</v>
      </c>
      <c r="D51" s="10">
        <f>garage!D51</f>
        <v>18</v>
      </c>
      <c r="E51" s="10">
        <f>garage!E51</f>
        <v>0</v>
      </c>
      <c r="F51" s="10" t="str">
        <f>garage!F51</f>
        <v>--</v>
      </c>
      <c r="G51" s="10" t="str">
        <f>garage!G51</f>
        <v>O</v>
      </c>
      <c r="H51" s="10" t="str">
        <f>garage!H51</f>
        <v>O</v>
      </c>
      <c r="I51" s="10" t="str">
        <f>garage!I51</f>
        <v>O</v>
      </c>
      <c r="J51" s="10" t="str">
        <f>garage!J90</f>
        <v>N</v>
      </c>
      <c r="K51" s="10" t="str">
        <f>garage!K51</f>
        <v>C</v>
      </c>
      <c r="L51" s="11" t="str">
        <f>garage!L51</f>
        <v>Maserati</v>
      </c>
      <c r="M51" s="11" t="str">
        <f>garage!M51</f>
        <v>Alfieri</v>
      </c>
      <c r="O51" s="46">
        <v>299.5</v>
      </c>
      <c r="P51" s="46">
        <v>84.62</v>
      </c>
      <c r="Q51" s="46">
        <v>69.2</v>
      </c>
      <c r="R51" s="46">
        <v>63.68</v>
      </c>
      <c r="S51" s="48">
        <f t="shared" si="1"/>
        <v>129.25</v>
      </c>
      <c r="U51" s="10">
        <v>18</v>
      </c>
    </row>
    <row r="52" spans="2:21" ht="18" customHeight="1" x14ac:dyDescent="0.2">
      <c r="B52" s="8">
        <f>garage!B52</f>
        <v>52</v>
      </c>
      <c r="C52" s="8">
        <f>garage!C52</f>
        <v>2</v>
      </c>
      <c r="D52" s="8">
        <f>garage!D52</f>
        <v>19</v>
      </c>
      <c r="E52" s="8">
        <f>garage!E52</f>
        <v>26</v>
      </c>
      <c r="F52" s="8" t="str">
        <f>garage!F52</f>
        <v>F</v>
      </c>
      <c r="G52" s="8" t="str">
        <f>garage!G52</f>
        <v>O</v>
      </c>
      <c r="H52" s="8" t="str">
        <f>garage!H52</f>
        <v>N</v>
      </c>
      <c r="I52" s="8" t="str">
        <f>garage!I52</f>
        <v>N</v>
      </c>
      <c r="J52" s="8" t="str">
        <f>garage!J91</f>
        <v>N</v>
      </c>
      <c r="K52" s="8" t="str">
        <f>garage!K52</f>
        <v>C</v>
      </c>
      <c r="L52" s="9" t="str">
        <f>garage!L52</f>
        <v>Ferrari</v>
      </c>
      <c r="M52" s="9" t="str">
        <f>garage!M52</f>
        <v>Monza SP1</v>
      </c>
      <c r="O52" s="45">
        <v>271</v>
      </c>
      <c r="P52" s="45">
        <v>78.14</v>
      </c>
      <c r="Q52" s="45">
        <v>83.14</v>
      </c>
      <c r="R52" s="45">
        <v>72.33</v>
      </c>
      <c r="S52" s="47">
        <f t="shared" si="1"/>
        <v>126.15249999999999</v>
      </c>
      <c r="U52" s="8">
        <v>19</v>
      </c>
    </row>
    <row r="53" spans="2:21" ht="18" customHeight="1" x14ac:dyDescent="0.2">
      <c r="B53" s="10">
        <f>garage!B53</f>
        <v>53</v>
      </c>
      <c r="C53" s="10">
        <f>garage!C53</f>
        <v>2</v>
      </c>
      <c r="D53" s="10">
        <f>garage!D53</f>
        <v>20</v>
      </c>
      <c r="E53" s="10">
        <f>garage!E53</f>
        <v>18</v>
      </c>
      <c r="F53" s="10" t="str">
        <f>garage!F53</f>
        <v>--</v>
      </c>
      <c r="G53" s="10" t="str">
        <f>garage!G53</f>
        <v>O</v>
      </c>
      <c r="H53" s="10" t="str">
        <f>garage!H53</f>
        <v>O</v>
      </c>
      <c r="I53" s="10" t="str">
        <f>garage!I53</f>
        <v>N</v>
      </c>
      <c r="J53" s="10" t="str">
        <f>garage!J92</f>
        <v>N</v>
      </c>
      <c r="K53" s="10" t="str">
        <f>garage!K53</f>
        <v>C</v>
      </c>
      <c r="L53" s="11" t="str">
        <f>garage!L53</f>
        <v>ATS Automobili</v>
      </c>
      <c r="M53" s="11" t="str">
        <f>garage!M53</f>
        <v>Corsa RRTurbo</v>
      </c>
      <c r="O53" s="46">
        <v>326.5</v>
      </c>
      <c r="P53" s="46">
        <v>73.72</v>
      </c>
      <c r="Q53" s="46">
        <v>51.19</v>
      </c>
      <c r="R53" s="46">
        <v>52.48</v>
      </c>
      <c r="S53" s="48">
        <f t="shared" si="1"/>
        <v>125.97250000000001</v>
      </c>
      <c r="U53" s="10">
        <v>20</v>
      </c>
    </row>
    <row r="54" spans="2:21" ht="18" customHeight="1" x14ac:dyDescent="0.2">
      <c r="B54" s="8">
        <f>garage!B54</f>
        <v>54</v>
      </c>
      <c r="C54" s="8">
        <f>garage!C54</f>
        <v>2</v>
      </c>
      <c r="D54" s="8">
        <f>garage!D54</f>
        <v>21</v>
      </c>
      <c r="E54" s="8">
        <f>garage!E54</f>
        <v>27</v>
      </c>
      <c r="F54" s="8" t="str">
        <f>garage!F54</f>
        <v>--</v>
      </c>
      <c r="G54" s="8" t="str">
        <f>garage!G54</f>
        <v>N</v>
      </c>
      <c r="H54" s="8" t="str">
        <f>garage!H54</f>
        <v>N</v>
      </c>
      <c r="I54" s="8" t="str">
        <f>garage!I54</f>
        <v>N</v>
      </c>
      <c r="J54" s="8" t="str">
        <f>garage!J93</f>
        <v>N</v>
      </c>
      <c r="K54" s="8" t="str">
        <f>garage!K54</f>
        <v>C</v>
      </c>
      <c r="L54" s="9" t="str">
        <f>garage!L54</f>
        <v>Jaguar</v>
      </c>
      <c r="M54" s="9" t="str">
        <f>garage!M54</f>
        <v>XE SV Project 8</v>
      </c>
      <c r="O54" s="45">
        <v>329.4</v>
      </c>
      <c r="P54" s="45">
        <v>71.34</v>
      </c>
      <c r="Q54" s="45">
        <v>42.69</v>
      </c>
      <c r="R54" s="45">
        <v>54.65</v>
      </c>
      <c r="S54" s="47">
        <f t="shared" si="1"/>
        <v>124.52</v>
      </c>
      <c r="U54" s="8">
        <v>21</v>
      </c>
    </row>
    <row r="55" spans="2:21" ht="18" customHeight="1" x14ac:dyDescent="0.2">
      <c r="B55" s="10">
        <f>garage!B55</f>
        <v>55</v>
      </c>
      <c r="C55" s="10">
        <f>garage!C55</f>
        <v>2</v>
      </c>
      <c r="D55" s="10">
        <f>garage!D55</f>
        <v>22</v>
      </c>
      <c r="E55" s="10">
        <f>garage!E55</f>
        <v>15</v>
      </c>
      <c r="F55" s="10" t="str">
        <f>garage!F55</f>
        <v>F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garage!J94</f>
        <v>N</v>
      </c>
      <c r="K55" s="10" t="str">
        <f>garage!K55</f>
        <v>C</v>
      </c>
      <c r="L55" s="11" t="str">
        <f>garage!L55</f>
        <v>Ferrari</v>
      </c>
      <c r="M55" s="11" t="str">
        <f>garage!M55</f>
        <v>F40</v>
      </c>
      <c r="O55" s="46">
        <v>317.7</v>
      </c>
      <c r="P55" s="46">
        <v>71.7</v>
      </c>
      <c r="Q55" s="46">
        <v>50.93</v>
      </c>
      <c r="R55" s="46">
        <v>47.05</v>
      </c>
      <c r="S55" s="48">
        <f t="shared" si="1"/>
        <v>121.845</v>
      </c>
      <c r="U55" s="10">
        <v>22</v>
      </c>
    </row>
    <row r="56" spans="2:21" ht="18" customHeight="1" x14ac:dyDescent="0.2">
      <c r="B56" s="8">
        <f>garage!B56</f>
        <v>56</v>
      </c>
      <c r="C56" s="8">
        <f>garage!C56</f>
        <v>2</v>
      </c>
      <c r="D56" s="8">
        <f>garage!D56</f>
        <v>23</v>
      </c>
      <c r="E56" s="8">
        <f>garage!E56</f>
        <v>19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garage!J95</f>
        <v>N</v>
      </c>
      <c r="K56" s="8" t="str">
        <f>garage!K56</f>
        <v>C</v>
      </c>
      <c r="L56" s="9" t="str">
        <f>garage!L56</f>
        <v>Renault</v>
      </c>
      <c r="M56" s="9" t="str">
        <f>garage!M56</f>
        <v>R.S. 01</v>
      </c>
      <c r="O56" s="45">
        <v>297.39999999999998</v>
      </c>
      <c r="P56" s="45">
        <v>73.39</v>
      </c>
      <c r="Q56" s="45">
        <v>50.08</v>
      </c>
      <c r="R56" s="45">
        <v>51.2</v>
      </c>
      <c r="S56" s="47">
        <f t="shared" si="1"/>
        <v>118.01749999999998</v>
      </c>
      <c r="U56" s="8">
        <v>23</v>
      </c>
    </row>
    <row r="57" spans="2:21" ht="18" customHeight="1" x14ac:dyDescent="0.2">
      <c r="B57" s="10">
        <f>garage!B57</f>
        <v>57</v>
      </c>
      <c r="C57" s="10">
        <f>garage!C57</f>
        <v>2</v>
      </c>
      <c r="D57" s="10">
        <f>garage!D57</f>
        <v>24</v>
      </c>
      <c r="E57" s="10">
        <f>garage!E57</f>
        <v>17</v>
      </c>
      <c r="F57" s="10" t="str">
        <f>garage!F57</f>
        <v>--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garage!J96</f>
        <v>N</v>
      </c>
      <c r="K57" s="10" t="str">
        <f>garage!K57</f>
        <v>C</v>
      </c>
      <c r="L57" s="11" t="str">
        <f>garage!L57</f>
        <v>Acura</v>
      </c>
      <c r="M57" s="11" t="str">
        <f>garage!M57</f>
        <v>NSX GT3 EVO</v>
      </c>
      <c r="O57" s="46">
        <v>314.39999999999998</v>
      </c>
      <c r="P57" s="46">
        <v>74.290000000000006</v>
      </c>
      <c r="Q57" s="46">
        <v>86.13</v>
      </c>
      <c r="R57" s="46">
        <v>73.760000000000005</v>
      </c>
      <c r="S57" s="48">
        <f t="shared" si="1"/>
        <v>137.14500000000001</v>
      </c>
      <c r="U57" s="10">
        <v>24</v>
      </c>
    </row>
    <row r="58" spans="2:21" ht="18" customHeight="1" x14ac:dyDescent="0.2">
      <c r="B58" s="8">
        <f>garage!B58</f>
        <v>58</v>
      </c>
      <c r="C58" s="8">
        <f>garage!C58</f>
        <v>2</v>
      </c>
      <c r="D58" s="8">
        <f>garage!D58</f>
        <v>25</v>
      </c>
      <c r="E58" s="8">
        <f>garage!E58</f>
        <v>0</v>
      </c>
      <c r="F58" s="8" t="str">
        <f>garage!F58</f>
        <v>--</v>
      </c>
      <c r="G58" s="8" t="str">
        <f>garage!G58</f>
        <v>O</v>
      </c>
      <c r="H58" s="8" t="str">
        <f>garage!H58</f>
        <v>O</v>
      </c>
      <c r="I58" s="8" t="str">
        <f>garage!I58</f>
        <v>O</v>
      </c>
      <c r="J58" s="8" t="str">
        <f>garage!J97</f>
        <v>N</v>
      </c>
      <c r="K58" s="8" t="str">
        <f>garage!K58</f>
        <v>C</v>
      </c>
      <c r="L58" s="9" t="str">
        <f>garage!L58</f>
        <v>Vencer</v>
      </c>
      <c r="M58" s="9" t="str">
        <f>garage!M58</f>
        <v>Sarthe</v>
      </c>
      <c r="O58" s="45">
        <v>350.5</v>
      </c>
      <c r="P58" s="45">
        <v>74.12</v>
      </c>
      <c r="Q58" s="45">
        <v>62.87</v>
      </c>
      <c r="R58" s="45">
        <v>46.83</v>
      </c>
      <c r="S58" s="47">
        <f t="shared" si="1"/>
        <v>133.58000000000001</v>
      </c>
      <c r="U58" s="8">
        <v>25</v>
      </c>
    </row>
    <row r="59" spans="2:21" ht="18" customHeight="1" x14ac:dyDescent="0.2">
      <c r="B59" s="10">
        <f>garage!B59</f>
        <v>59</v>
      </c>
      <c r="C59" s="10">
        <f>garage!C59</f>
        <v>2</v>
      </c>
      <c r="D59" s="10">
        <f>garage!D59</f>
        <v>26</v>
      </c>
      <c r="E59" s="10">
        <f>garage!E59</f>
        <v>30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garage!J98</f>
        <v>N</v>
      </c>
      <c r="K59" s="10" t="str">
        <f>garage!K59</f>
        <v>C</v>
      </c>
      <c r="L59" s="11" t="str">
        <f>garage!L59</f>
        <v>Maserati</v>
      </c>
      <c r="M59" s="11" t="str">
        <f>garage!M59</f>
        <v>MC12</v>
      </c>
      <c r="O59" s="46">
        <v>342.9</v>
      </c>
      <c r="P59" s="46">
        <v>76.48</v>
      </c>
      <c r="Q59" s="46">
        <v>72.36</v>
      </c>
      <c r="R59" s="46">
        <v>38.94</v>
      </c>
      <c r="S59" s="48">
        <f t="shared" si="1"/>
        <v>132.67000000000002</v>
      </c>
      <c r="U59" s="10">
        <v>26</v>
      </c>
    </row>
    <row r="60" spans="2:21" ht="18" customHeight="1" x14ac:dyDescent="0.2">
      <c r="B60" s="8">
        <f>garage!B60</f>
        <v>60</v>
      </c>
      <c r="C60" s="8">
        <f>garage!C60</f>
        <v>2</v>
      </c>
      <c r="D60" s="8">
        <f>garage!D60</f>
        <v>27</v>
      </c>
      <c r="E60" s="8">
        <f>garage!E60</f>
        <v>14</v>
      </c>
      <c r="F60" s="8" t="str">
        <f>garage!F60</f>
        <v>--</v>
      </c>
      <c r="G60" s="8" t="str">
        <f>garage!G60</f>
        <v>O</v>
      </c>
      <c r="H60" s="8" t="str">
        <f>garage!H60</f>
        <v>N</v>
      </c>
      <c r="I60" s="8" t="str">
        <f>garage!I60</f>
        <v>N</v>
      </c>
      <c r="J60" s="8" t="str">
        <f>garage!J99</f>
        <v>N</v>
      </c>
      <c r="K60" s="8" t="str">
        <f>garage!K60</f>
        <v>C</v>
      </c>
      <c r="L60" s="9" t="str">
        <f>garage!L60</f>
        <v>Bentley</v>
      </c>
      <c r="M60" s="9" t="str">
        <f>garage!M60</f>
        <v>Mulliner Bacalar</v>
      </c>
      <c r="O60" s="45">
        <v>340.4</v>
      </c>
      <c r="P60" s="45">
        <v>77.38</v>
      </c>
      <c r="Q60" s="45">
        <v>67.260000000000005</v>
      </c>
      <c r="R60" s="45">
        <v>55.86</v>
      </c>
      <c r="S60" s="47">
        <f t="shared" si="1"/>
        <v>135.22499999999999</v>
      </c>
      <c r="U60" s="8">
        <v>27</v>
      </c>
    </row>
    <row r="61" spans="2:21" ht="18" customHeight="1" x14ac:dyDescent="0.2">
      <c r="B61" s="10">
        <f>garage!B61</f>
        <v>61</v>
      </c>
      <c r="C61" s="10">
        <f>garage!C61</f>
        <v>2</v>
      </c>
      <c r="D61" s="10">
        <f>garage!D61</f>
        <v>28</v>
      </c>
      <c r="E61" s="10">
        <f>garage!E61</f>
        <v>25</v>
      </c>
      <c r="F61" s="10" t="str">
        <f>garage!F61</f>
        <v>L</v>
      </c>
      <c r="G61" s="10" t="str">
        <f>garage!G61</f>
        <v>N</v>
      </c>
      <c r="H61" s="10" t="str">
        <f>garage!H61</f>
        <v>N</v>
      </c>
      <c r="I61" s="10" t="str">
        <f>garage!I61</f>
        <v>N</v>
      </c>
      <c r="J61" s="10" t="str">
        <f>garage!J100</f>
        <v>N</v>
      </c>
      <c r="K61" s="10" t="str">
        <f>garage!K61</f>
        <v>C</v>
      </c>
      <c r="L61" s="11" t="str">
        <f>garage!L61</f>
        <v>Lamborghini</v>
      </c>
      <c r="M61" s="11" t="str">
        <f>garage!M61</f>
        <v>Miura Concept</v>
      </c>
      <c r="O61" s="46">
        <v>346.2</v>
      </c>
      <c r="P61" s="46">
        <v>72.319999999999993</v>
      </c>
      <c r="Q61" s="46">
        <v>54.97</v>
      </c>
      <c r="R61" s="46">
        <v>60.38</v>
      </c>
      <c r="S61" s="48">
        <f t="shared" si="1"/>
        <v>133.4675</v>
      </c>
      <c r="U61" s="10">
        <v>28</v>
      </c>
    </row>
    <row r="62" spans="2:21" ht="18" customHeight="1" x14ac:dyDescent="0.2">
      <c r="B62" s="8">
        <f>garage!B62</f>
        <v>62</v>
      </c>
      <c r="C62" s="8">
        <f>garage!C62</f>
        <v>2</v>
      </c>
      <c r="D62" s="8">
        <f>garage!D62</f>
        <v>29</v>
      </c>
      <c r="E62" s="8">
        <f>garage!E62</f>
        <v>11</v>
      </c>
      <c r="F62" s="8" t="str">
        <f>garage!F62</f>
        <v>P</v>
      </c>
      <c r="G62" s="8" t="str">
        <f>garage!G62</f>
        <v>O</v>
      </c>
      <c r="H62" s="8" t="str">
        <f>garage!H62</f>
        <v>O</v>
      </c>
      <c r="I62" s="8" t="str">
        <f>garage!I62</f>
        <v>N</v>
      </c>
      <c r="J62" s="8" t="str">
        <f>garage!J101</f>
        <v>N</v>
      </c>
      <c r="K62" s="8" t="str">
        <f>garage!K62</f>
        <v>C</v>
      </c>
      <c r="L62" s="9" t="str">
        <f>garage!L62</f>
        <v>Porsche</v>
      </c>
      <c r="M62" s="9" t="str">
        <f>garage!M62</f>
        <v>718 Cayman GT4 Clubsport</v>
      </c>
      <c r="O62" s="45">
        <v>323.60000000000002</v>
      </c>
      <c r="P62" s="45">
        <v>73.44</v>
      </c>
      <c r="Q62" s="45">
        <v>87.24</v>
      </c>
      <c r="R62" s="45">
        <v>70.55</v>
      </c>
      <c r="S62" s="47">
        <f t="shared" si="1"/>
        <v>138.70750000000001</v>
      </c>
      <c r="U62" s="8">
        <v>29</v>
      </c>
    </row>
    <row r="63" spans="2:21" ht="18" customHeight="1" x14ac:dyDescent="0.2">
      <c r="B63" s="10">
        <f>garage!B63</f>
        <v>63</v>
      </c>
      <c r="C63" s="10">
        <f>garage!C63</f>
        <v>2</v>
      </c>
      <c r="D63" s="10">
        <f>garage!D63</f>
        <v>30</v>
      </c>
      <c r="E63" s="10">
        <f>garage!E63</f>
        <v>13</v>
      </c>
      <c r="F63" s="10" t="str">
        <f>garage!F63</f>
        <v>C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garage!J102</f>
        <v>N</v>
      </c>
      <c r="K63" s="10" t="str">
        <f>garage!K63</f>
        <v>C</v>
      </c>
      <c r="L63" s="11" t="str">
        <f>garage!L63</f>
        <v>Chevrolet</v>
      </c>
      <c r="M63" s="11" t="str">
        <f>garage!M63</f>
        <v>Corvette Stingray</v>
      </c>
      <c r="O63" s="46">
        <v>327.7</v>
      </c>
      <c r="P63" s="46">
        <v>81.56</v>
      </c>
      <c r="Q63" s="46">
        <v>60.15</v>
      </c>
      <c r="R63" s="46">
        <v>64.44</v>
      </c>
      <c r="S63" s="48">
        <f t="shared" si="1"/>
        <v>133.46249999999998</v>
      </c>
      <c r="U63" s="10">
        <v>30</v>
      </c>
    </row>
    <row r="64" spans="2:21" ht="18" customHeight="1" x14ac:dyDescent="0.2">
      <c r="B64" s="8">
        <f>garage!B64</f>
        <v>64</v>
      </c>
      <c r="C64" s="8">
        <f>garage!C64</f>
        <v>2</v>
      </c>
      <c r="D64" s="8">
        <f>garage!D64</f>
        <v>31</v>
      </c>
      <c r="E64" s="8">
        <f>garage!E64</f>
        <v>24</v>
      </c>
      <c r="F64" s="8" t="str">
        <f>garage!F64</f>
        <v>--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garage!J103</f>
        <v>N</v>
      </c>
      <c r="K64" s="8" t="str">
        <f>garage!K64</f>
        <v>C</v>
      </c>
      <c r="L64" s="9" t="str">
        <f>garage!L64</f>
        <v>Brabham</v>
      </c>
      <c r="M64" s="9" t="str">
        <f>garage!M64</f>
        <v>BT62</v>
      </c>
      <c r="O64" s="45">
        <v>322</v>
      </c>
      <c r="P64" s="45">
        <v>83.93</v>
      </c>
      <c r="Q64" s="45">
        <v>76.11</v>
      </c>
      <c r="R64" s="45">
        <v>75.7</v>
      </c>
      <c r="S64" s="47">
        <f t="shared" si="1"/>
        <v>139.435</v>
      </c>
      <c r="U64" s="8">
        <v>31</v>
      </c>
    </row>
    <row r="65" spans="2:21" ht="18" customHeight="1" x14ac:dyDescent="0.2">
      <c r="B65" s="10">
        <f>garage!B65</f>
        <v>65</v>
      </c>
      <c r="C65" s="10">
        <f>garage!C65</f>
        <v>2</v>
      </c>
      <c r="D65" s="10">
        <f>garage!D65</f>
        <v>32</v>
      </c>
      <c r="E65" s="10">
        <f>garage!E65</f>
        <v>15</v>
      </c>
      <c r="F65" s="10" t="str">
        <f>garage!F65</f>
        <v>F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garage!J104</f>
        <v>N</v>
      </c>
      <c r="K65" s="10" t="str">
        <f>garage!K65</f>
        <v>C</v>
      </c>
      <c r="L65" s="11" t="str">
        <f>garage!L65</f>
        <v>Ferrari</v>
      </c>
      <c r="M65" s="11" t="str">
        <f>garage!M65</f>
        <v>599XX EVO</v>
      </c>
      <c r="O65" s="46">
        <v>322</v>
      </c>
      <c r="P65" s="46">
        <v>80.98</v>
      </c>
      <c r="Q65" s="46">
        <v>83.65</v>
      </c>
      <c r="R65" s="46">
        <v>70.81</v>
      </c>
      <c r="S65" s="48">
        <f t="shared" si="1"/>
        <v>139.36000000000001</v>
      </c>
      <c r="U65" s="10">
        <v>32</v>
      </c>
    </row>
    <row r="66" spans="2:21" ht="18" customHeight="1" x14ac:dyDescent="0.2">
      <c r="B66" s="8">
        <f>garage!B66</f>
        <v>66</v>
      </c>
      <c r="C66" s="8">
        <f>garage!C66</f>
        <v>2</v>
      </c>
      <c r="D66" s="8">
        <f>garage!D66</f>
        <v>33</v>
      </c>
      <c r="E66" s="8">
        <f>garage!E66</f>
        <v>28</v>
      </c>
      <c r="F66" s="8" t="str">
        <f>garage!F66</f>
        <v>--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garage!J105</f>
        <v>N</v>
      </c>
      <c r="K66" s="8" t="str">
        <f>garage!K66</f>
        <v>C</v>
      </c>
      <c r="L66" s="9" t="str">
        <f>garage!L66</f>
        <v>Ares</v>
      </c>
      <c r="M66" s="9" t="str">
        <f>garage!M66</f>
        <v>S1</v>
      </c>
      <c r="O66" s="45">
        <v>307.8</v>
      </c>
      <c r="P66" s="45">
        <v>89.55</v>
      </c>
      <c r="Q66" s="45">
        <v>78.930000000000007</v>
      </c>
      <c r="R66" s="45">
        <v>68.930000000000007</v>
      </c>
      <c r="S66" s="47">
        <f t="shared" si="1"/>
        <v>136.30250000000001</v>
      </c>
      <c r="U66" s="8">
        <v>33</v>
      </c>
    </row>
    <row r="67" spans="2:21" ht="18" customHeight="1" x14ac:dyDescent="0.2">
      <c r="B67" s="10">
        <f>garage!B67</f>
        <v>67</v>
      </c>
      <c r="C67" s="10">
        <f>garage!C67</f>
        <v>2</v>
      </c>
      <c r="D67" s="10">
        <f>garage!D67</f>
        <v>34</v>
      </c>
      <c r="E67" s="10">
        <f>garage!E67</f>
        <v>25</v>
      </c>
      <c r="F67" s="10" t="str">
        <f>garage!F67</f>
        <v>L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garage!J106</f>
        <v>N</v>
      </c>
      <c r="K67" s="10" t="str">
        <f>garage!K67</f>
        <v>C</v>
      </c>
      <c r="L67" s="11" t="str">
        <f>garage!L67</f>
        <v>Lamborghini</v>
      </c>
      <c r="M67" s="11" t="str">
        <f>garage!M67</f>
        <v>Diablo GT</v>
      </c>
      <c r="O67" s="46">
        <v>348.6</v>
      </c>
      <c r="P67" s="46">
        <v>74.03</v>
      </c>
      <c r="Q67" s="46">
        <v>62.5</v>
      </c>
      <c r="R67" s="46">
        <v>58.63</v>
      </c>
      <c r="S67" s="48">
        <f t="shared" si="1"/>
        <v>135.94</v>
      </c>
      <c r="U67" s="10">
        <v>34</v>
      </c>
    </row>
    <row r="68" spans="2:21" ht="18" customHeight="1" x14ac:dyDescent="0.2">
      <c r="B68" s="8">
        <f>garage!B68</f>
        <v>68</v>
      </c>
      <c r="C68" s="8">
        <f>garage!C68</f>
        <v>2</v>
      </c>
      <c r="D68" s="8">
        <f>garage!D68</f>
        <v>35</v>
      </c>
      <c r="E68" s="8">
        <f>garage!E68</f>
        <v>7</v>
      </c>
      <c r="F68" s="8" t="str">
        <f>garage!F68</f>
        <v>--</v>
      </c>
      <c r="G68" s="8" t="str">
        <f>garage!G68</f>
        <v>O</v>
      </c>
      <c r="H68" s="8" t="str">
        <f>garage!H68</f>
        <v>O</v>
      </c>
      <c r="I68" s="8" t="str">
        <f>garage!I68</f>
        <v>O</v>
      </c>
      <c r="J68" s="8" t="str">
        <f>garage!J107</f>
        <v>N</v>
      </c>
      <c r="K68" s="8" t="str">
        <f>garage!K68</f>
        <v>C</v>
      </c>
      <c r="L68" s="9" t="str">
        <f>garage!L68</f>
        <v>Arrinera</v>
      </c>
      <c r="M68" s="9" t="str">
        <f>garage!M68</f>
        <v>Hussarya 33</v>
      </c>
      <c r="O68" s="45">
        <v>352.1</v>
      </c>
      <c r="P68" s="45">
        <v>78.53</v>
      </c>
      <c r="Q68" s="45">
        <v>59.47</v>
      </c>
      <c r="R68" s="45">
        <v>47.71</v>
      </c>
      <c r="S68" s="47">
        <f t="shared" si="1"/>
        <v>134.45250000000001</v>
      </c>
      <c r="U68" s="8">
        <v>35</v>
      </c>
    </row>
    <row r="69" spans="2:21" ht="18" customHeight="1" x14ac:dyDescent="0.2">
      <c r="B69" s="10">
        <f>garage!B69</f>
        <v>69</v>
      </c>
      <c r="C69" s="10">
        <f>garage!C69</f>
        <v>2</v>
      </c>
      <c r="D69" s="10">
        <f>garage!D69</f>
        <v>36</v>
      </c>
      <c r="E69" s="10">
        <f>garage!E69</f>
        <v>26</v>
      </c>
      <c r="F69" s="10" t="str">
        <f>garage!F69</f>
        <v>B</v>
      </c>
      <c r="G69" s="10" t="str">
        <f>garage!G69</f>
        <v>O</v>
      </c>
      <c r="H69" s="10" t="str">
        <f>garage!H69</f>
        <v>O</v>
      </c>
      <c r="I69" s="10" t="str">
        <f>garage!I69</f>
        <v>N</v>
      </c>
      <c r="J69" s="10" t="str">
        <f>garage!J108</f>
        <v>N</v>
      </c>
      <c r="K69" s="10" t="str">
        <f>garage!K69</f>
        <v>C</v>
      </c>
      <c r="L69" s="11" t="str">
        <f>garage!L69</f>
        <v>Bugatti</v>
      </c>
      <c r="M69" s="11" t="str">
        <f>garage!M69</f>
        <v>EB110</v>
      </c>
      <c r="O69" s="46">
        <v>348.4</v>
      </c>
      <c r="P69" s="46">
        <v>74.12</v>
      </c>
      <c r="Q69" s="46">
        <v>66.08</v>
      </c>
      <c r="R69" s="46">
        <v>58.15</v>
      </c>
      <c r="S69" s="48">
        <f t="shared" si="1"/>
        <v>136.6875</v>
      </c>
      <c r="U69" s="10">
        <v>36</v>
      </c>
    </row>
    <row r="70" spans="2:21" ht="18" customHeight="1" x14ac:dyDescent="0.2">
      <c r="B70" s="8">
        <f>garage!B70</f>
        <v>70</v>
      </c>
      <c r="C70" s="8">
        <f>garage!C70</f>
        <v>2</v>
      </c>
      <c r="D70" s="8">
        <f>garage!D70</f>
        <v>37</v>
      </c>
      <c r="E70" s="8">
        <f>garage!E70</f>
        <v>12</v>
      </c>
      <c r="F70" s="8" t="str">
        <f>garage!F70</f>
        <v>L</v>
      </c>
      <c r="G70" s="8" t="str">
        <f>garage!G70</f>
        <v>O</v>
      </c>
      <c r="H70" s="8" t="str">
        <f>garage!H70</f>
        <v>N</v>
      </c>
      <c r="I70" s="8" t="str">
        <f>garage!I70</f>
        <v>N</v>
      </c>
      <c r="J70" s="8" t="str">
        <f>garage!J109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Gallardo LP560-4</v>
      </c>
      <c r="O70" s="45">
        <v>340.7</v>
      </c>
      <c r="P70" s="45">
        <v>76.56</v>
      </c>
      <c r="Q70" s="45">
        <v>75.81</v>
      </c>
      <c r="R70" s="45">
        <v>59.69</v>
      </c>
      <c r="S70" s="47">
        <f t="shared" si="1"/>
        <v>138.19</v>
      </c>
      <c r="U70" s="8">
        <v>37</v>
      </c>
    </row>
    <row r="71" spans="2:21" ht="18" customHeight="1" x14ac:dyDescent="0.2">
      <c r="B71" s="10">
        <f>garage!B71</f>
        <v>71</v>
      </c>
      <c r="C71" s="10">
        <f>garage!C71</f>
        <v>2</v>
      </c>
      <c r="D71" s="10">
        <f>garage!D71</f>
        <v>38</v>
      </c>
      <c r="E71" s="10">
        <f>garage!E71</f>
        <v>23</v>
      </c>
      <c r="F71" s="10" t="str">
        <f>garage!F71</f>
        <v>M</v>
      </c>
      <c r="G71" s="10" t="str">
        <f>garage!G71</f>
        <v>O</v>
      </c>
      <c r="H71" s="10" t="str">
        <f>garage!H71</f>
        <v>N</v>
      </c>
      <c r="I71" s="10" t="str">
        <f>garage!I71</f>
        <v>N</v>
      </c>
      <c r="J71" s="10" t="str">
        <f>garage!J110</f>
        <v>N</v>
      </c>
      <c r="K71" s="10" t="str">
        <f>garage!K71</f>
        <v>C</v>
      </c>
      <c r="L71" s="11" t="str">
        <f>garage!L71</f>
        <v>McLaren</v>
      </c>
      <c r="M71" s="11" t="str">
        <f>garage!M71</f>
        <v>GT</v>
      </c>
      <c r="O71" s="46">
        <v>339.1</v>
      </c>
      <c r="P71" s="46">
        <v>80.98</v>
      </c>
      <c r="Q71" s="46">
        <v>69.09</v>
      </c>
      <c r="R71" s="46">
        <v>57.31</v>
      </c>
      <c r="S71" s="48">
        <f t="shared" si="1"/>
        <v>136.62</v>
      </c>
      <c r="U71" s="10">
        <v>38</v>
      </c>
    </row>
    <row r="72" spans="2:21" ht="18" customHeight="1" x14ac:dyDescent="0.2">
      <c r="B72" s="8">
        <f>garage!B72</f>
        <v>72</v>
      </c>
      <c r="C72" s="8">
        <f>garage!C72</f>
        <v>2</v>
      </c>
      <c r="D72" s="8">
        <f>garage!D72</f>
        <v>39</v>
      </c>
      <c r="E72" s="8">
        <f>garage!E72</f>
        <v>29</v>
      </c>
      <c r="F72" s="8" t="str">
        <f>garage!F72</f>
        <v>--</v>
      </c>
      <c r="G72" s="8" t="str">
        <f>garage!G72</f>
        <v>O</v>
      </c>
      <c r="H72" s="8" t="str">
        <f>garage!H72</f>
        <v>N</v>
      </c>
      <c r="I72" s="8" t="str">
        <f>garage!I72</f>
        <v>N</v>
      </c>
      <c r="J72" s="8" t="str">
        <f>garage!J111</f>
        <v>N</v>
      </c>
      <c r="K72" s="8" t="str">
        <f>garage!K72</f>
        <v>C</v>
      </c>
      <c r="L72" s="9" t="str">
        <f>garage!L72</f>
        <v>Mercedes-Benz</v>
      </c>
      <c r="M72" s="9" t="str">
        <f>garage!M72</f>
        <v>AMG GT Black Series</v>
      </c>
      <c r="O72" s="45">
        <v>335.7</v>
      </c>
      <c r="P72" s="45">
        <v>81.790000000000006</v>
      </c>
      <c r="Q72" s="45">
        <v>60.83</v>
      </c>
      <c r="R72" s="45">
        <v>65.62</v>
      </c>
      <c r="S72" s="47">
        <f t="shared" si="1"/>
        <v>135.98500000000001</v>
      </c>
      <c r="U72" s="8">
        <v>39</v>
      </c>
    </row>
    <row r="73" spans="2:21" ht="18" customHeight="1" x14ac:dyDescent="0.2">
      <c r="B73" s="10">
        <f>garage!B73</f>
        <v>73</v>
      </c>
      <c r="C73" s="10">
        <f>garage!C73</f>
        <v>3</v>
      </c>
      <c r="D73" s="10">
        <f>garage!D73</f>
        <v>1</v>
      </c>
      <c r="E73" s="10">
        <f>garage!E73</f>
        <v>0</v>
      </c>
      <c r="F73" s="10" t="str">
        <f>garage!F73</f>
        <v>P</v>
      </c>
      <c r="G73" s="10" t="str">
        <f>garage!G73</f>
        <v>O</v>
      </c>
      <c r="H73" s="10" t="str">
        <f>garage!H73</f>
        <v>O</v>
      </c>
      <c r="I73" s="10" t="str">
        <f>garage!I73</f>
        <v>O</v>
      </c>
      <c r="J73" s="10" t="str">
        <f>garage!J112</f>
        <v>N</v>
      </c>
      <c r="K73" s="10" t="str">
        <f>garage!K73</f>
        <v>B</v>
      </c>
      <c r="L73" s="11" t="str">
        <f>garage!L73</f>
        <v>Porsche</v>
      </c>
      <c r="M73" s="11" t="str">
        <f>garage!M73</f>
        <v>911 GTS Coupé</v>
      </c>
      <c r="O73" s="46">
        <v>328.8</v>
      </c>
      <c r="P73" s="46">
        <v>71.209999999999994</v>
      </c>
      <c r="Q73" s="46">
        <v>45.85</v>
      </c>
      <c r="R73" s="46">
        <v>56.6</v>
      </c>
      <c r="S73" s="48">
        <f t="shared" si="1"/>
        <v>125.61500000000001</v>
      </c>
      <c r="U73" s="10">
        <v>1</v>
      </c>
    </row>
    <row r="74" spans="2:21" ht="18" customHeight="1" x14ac:dyDescent="0.2">
      <c r="B74" s="8">
        <f>garage!B74</f>
        <v>74</v>
      </c>
      <c r="C74" s="8">
        <f>garage!C74</f>
        <v>3</v>
      </c>
      <c r="D74" s="8">
        <f>garage!D74</f>
        <v>2</v>
      </c>
      <c r="E74" s="8">
        <f>garage!E74</f>
        <v>0</v>
      </c>
      <c r="F74" s="8" t="str">
        <f>garage!F74</f>
        <v>AM</v>
      </c>
      <c r="G74" s="8" t="str">
        <f>garage!G74</f>
        <v>O</v>
      </c>
      <c r="H74" s="8" t="str">
        <f>garage!H74</f>
        <v>O</v>
      </c>
      <c r="I74" s="8" t="str">
        <f>garage!I74</f>
        <v>O</v>
      </c>
      <c r="J74" s="8" t="str">
        <f>garage!J113</f>
        <v>O</v>
      </c>
      <c r="K74" s="8" t="str">
        <f>garage!K74</f>
        <v>B</v>
      </c>
      <c r="L74" s="9" t="str">
        <f>garage!L74</f>
        <v>Aston Martin</v>
      </c>
      <c r="M74" s="9" t="str">
        <f>garage!M74</f>
        <v>DB11</v>
      </c>
      <c r="O74" s="45">
        <v>340.6</v>
      </c>
      <c r="P74" s="45">
        <v>74.2</v>
      </c>
      <c r="Q74" s="45">
        <v>43.21</v>
      </c>
      <c r="R74" s="45">
        <v>55.4</v>
      </c>
      <c r="S74" s="47">
        <f t="shared" si="1"/>
        <v>128.35249999999999</v>
      </c>
      <c r="U74" s="8">
        <v>2</v>
      </c>
    </row>
    <row r="75" spans="2:21" ht="18" customHeight="1" x14ac:dyDescent="0.2">
      <c r="B75" s="10">
        <f>garage!B75</f>
        <v>75</v>
      </c>
      <c r="C75" s="10">
        <f>garage!C75</f>
        <v>3</v>
      </c>
      <c r="D75" s="10">
        <f>garage!D75</f>
        <v>3</v>
      </c>
      <c r="E75" s="10">
        <f>garage!E75</f>
        <v>0</v>
      </c>
      <c r="F75" s="10" t="str">
        <f>garage!F75</f>
        <v>--</v>
      </c>
      <c r="G75" s="10" t="str">
        <f>garage!G75</f>
        <v>O</v>
      </c>
      <c r="H75" s="10" t="str">
        <f>garage!H75</f>
        <v>O</v>
      </c>
      <c r="I75" s="10" t="str">
        <f>garage!I75</f>
        <v>O</v>
      </c>
      <c r="J75" s="10" t="str">
        <f>garage!J114</f>
        <v>N</v>
      </c>
      <c r="K75" s="10" t="str">
        <f>garage!K75</f>
        <v>B</v>
      </c>
      <c r="L75" s="11" t="str">
        <f>garage!L75</f>
        <v>Jaguar</v>
      </c>
      <c r="M75" s="11" t="str">
        <f>garage!M75</f>
        <v>F-Type SVR</v>
      </c>
      <c r="O75" s="46">
        <v>341</v>
      </c>
      <c r="P75" s="46">
        <v>75.55</v>
      </c>
      <c r="Q75" s="46">
        <v>49.28</v>
      </c>
      <c r="R75" s="46">
        <v>50.12</v>
      </c>
      <c r="S75" s="48">
        <f t="shared" si="1"/>
        <v>128.98750000000001</v>
      </c>
      <c r="U75" s="10">
        <v>3</v>
      </c>
    </row>
    <row r="76" spans="2:21" ht="18" customHeight="1" x14ac:dyDescent="0.2">
      <c r="B76" s="8">
        <f>garage!B76</f>
        <v>76</v>
      </c>
      <c r="C76" s="8">
        <f>garage!C76</f>
        <v>3</v>
      </c>
      <c r="D76" s="8">
        <f>garage!D76</f>
        <v>4</v>
      </c>
      <c r="E76" s="8">
        <f>garage!E76</f>
        <v>29</v>
      </c>
      <c r="F76" s="8" t="str">
        <f>garage!F76</f>
        <v>F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garage!J115</f>
        <v>N</v>
      </c>
      <c r="K76" s="8" t="str">
        <f>garage!K76</f>
        <v>B</v>
      </c>
      <c r="L76" s="9" t="str">
        <f>garage!L76</f>
        <v>Ferrari</v>
      </c>
      <c r="M76" s="9" t="str">
        <f>garage!M76</f>
        <v>F50</v>
      </c>
      <c r="O76" s="45">
        <v>338.9</v>
      </c>
      <c r="P76" s="45">
        <v>73.849999999999994</v>
      </c>
      <c r="Q76" s="45">
        <v>43.52</v>
      </c>
      <c r="R76" s="45">
        <v>61.42</v>
      </c>
      <c r="S76" s="47">
        <f t="shared" si="1"/>
        <v>129.42249999999999</v>
      </c>
      <c r="U76" s="8">
        <v>4</v>
      </c>
    </row>
    <row r="77" spans="2:21" ht="18" customHeight="1" x14ac:dyDescent="0.2">
      <c r="B77" s="10">
        <f>garage!B77</f>
        <v>77</v>
      </c>
      <c r="C77" s="10">
        <f>garage!C77</f>
        <v>3</v>
      </c>
      <c r="D77" s="10">
        <f>garage!D77</f>
        <v>5</v>
      </c>
      <c r="E77" s="10">
        <f>garage!E77</f>
        <v>0</v>
      </c>
      <c r="F77" s="10" t="str">
        <f>garage!F77</f>
        <v>--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garage!J116</f>
        <v>O</v>
      </c>
      <c r="K77" s="10" t="str">
        <f>garage!K77</f>
        <v>B</v>
      </c>
      <c r="L77" s="11" t="str">
        <f>garage!L77</f>
        <v>Exotic Rides</v>
      </c>
      <c r="M77" s="11" t="str">
        <f>garage!M77</f>
        <v>W70</v>
      </c>
      <c r="O77" s="46">
        <v>329.7</v>
      </c>
      <c r="P77" s="46">
        <v>80.209999999999994</v>
      </c>
      <c r="Q77" s="46">
        <v>45.2</v>
      </c>
      <c r="R77" s="46">
        <v>56.71</v>
      </c>
      <c r="S77" s="48">
        <f t="shared" si="1"/>
        <v>127.95499999999998</v>
      </c>
      <c r="U77" s="10">
        <v>5</v>
      </c>
    </row>
    <row r="78" spans="2:21" ht="18" customHeight="1" x14ac:dyDescent="0.2">
      <c r="B78" s="8">
        <f>garage!B78</f>
        <v>78</v>
      </c>
      <c r="C78" s="8">
        <f>garage!C78</f>
        <v>3</v>
      </c>
      <c r="D78" s="8">
        <f>garage!D78</f>
        <v>6</v>
      </c>
      <c r="E78" s="8">
        <f>garage!E78</f>
        <v>11</v>
      </c>
      <c r="F78" s="8" t="str">
        <f>garage!F78</f>
        <v>P</v>
      </c>
      <c r="G78" s="8" t="str">
        <f>garage!G78</f>
        <v>O</v>
      </c>
      <c r="H78" s="8" t="str">
        <f>garage!H78</f>
        <v>O</v>
      </c>
      <c r="I78" s="8" t="str">
        <f>garage!I78</f>
        <v>N</v>
      </c>
      <c r="J78" s="8" t="str">
        <f>garage!J117</f>
        <v>N</v>
      </c>
      <c r="K78" s="8" t="str">
        <f>garage!K78</f>
        <v>B</v>
      </c>
      <c r="L78" s="9" t="str">
        <f>garage!L78</f>
        <v>Porsche</v>
      </c>
      <c r="M78" s="9" t="str">
        <f>garage!M78</f>
        <v>911 GT1 Evolution</v>
      </c>
      <c r="O78" s="45">
        <v>329.8</v>
      </c>
      <c r="P78" s="45">
        <v>75.150000000000006</v>
      </c>
      <c r="Q78" s="45">
        <v>53.7</v>
      </c>
      <c r="R78" s="45">
        <v>68.88</v>
      </c>
      <c r="S78" s="47">
        <f t="shared" si="1"/>
        <v>131.88249999999999</v>
      </c>
      <c r="U78" s="8">
        <v>6</v>
      </c>
    </row>
    <row r="79" spans="2:21" ht="18" customHeight="1" x14ac:dyDescent="0.2">
      <c r="B79" s="10">
        <f>garage!B79</f>
        <v>79</v>
      </c>
      <c r="C79" s="10">
        <f>garage!C79</f>
        <v>3</v>
      </c>
      <c r="D79" s="10">
        <f>garage!D79</f>
        <v>7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garage!J118</f>
        <v>N</v>
      </c>
      <c r="K79" s="10" t="str">
        <f>garage!K79</f>
        <v>B</v>
      </c>
      <c r="L79" s="11" t="str">
        <f>garage!L79</f>
        <v>Ford</v>
      </c>
      <c r="M79" s="11" t="str">
        <f>garage!M79</f>
        <v>GT</v>
      </c>
      <c r="O79" s="46">
        <v>362.8</v>
      </c>
      <c r="P79" s="46">
        <v>79.150000000000006</v>
      </c>
      <c r="Q79" s="46">
        <v>34.36</v>
      </c>
      <c r="R79" s="46">
        <v>54.49</v>
      </c>
      <c r="S79" s="48">
        <f t="shared" si="1"/>
        <v>132.70000000000002</v>
      </c>
      <c r="U79" s="10">
        <v>7</v>
      </c>
    </row>
    <row r="80" spans="2:21" ht="18" customHeight="1" x14ac:dyDescent="0.2">
      <c r="B80" s="8">
        <f>garage!B80</f>
        <v>80</v>
      </c>
      <c r="C80" s="8">
        <f>garage!C80</f>
        <v>3</v>
      </c>
      <c r="D80" s="8">
        <f>garage!D80</f>
        <v>8</v>
      </c>
      <c r="E80" s="8">
        <f>garage!E80</f>
        <v>0</v>
      </c>
      <c r="F80" s="8" t="str">
        <f>garage!F80</f>
        <v>L</v>
      </c>
      <c r="G80" s="8" t="str">
        <f>garage!G80</f>
        <v>O</v>
      </c>
      <c r="H80" s="8" t="str">
        <f>garage!H80</f>
        <v>O</v>
      </c>
      <c r="I80" s="8" t="str">
        <f>garage!I80</f>
        <v>N</v>
      </c>
      <c r="J80" s="8" t="str">
        <f>garage!J119</f>
        <v>N</v>
      </c>
      <c r="K80" s="8" t="str">
        <f>garage!K80</f>
        <v>B</v>
      </c>
      <c r="L80" s="9" t="str">
        <f>garage!L80</f>
        <v>Lamborghini</v>
      </c>
      <c r="M80" s="9" t="str">
        <f>garage!M80</f>
        <v>Asterion</v>
      </c>
      <c r="O80" s="45">
        <v>336.8</v>
      </c>
      <c r="P80" s="45">
        <v>81.05</v>
      </c>
      <c r="Q80" s="45">
        <v>45.56</v>
      </c>
      <c r="R80" s="45">
        <v>68.209999999999994</v>
      </c>
      <c r="S80" s="47">
        <f t="shared" si="1"/>
        <v>132.905</v>
      </c>
      <c r="U80" s="8">
        <v>8</v>
      </c>
    </row>
    <row r="81" spans="2:21" ht="18" customHeight="1" x14ac:dyDescent="0.2">
      <c r="B81" s="10">
        <f>garage!B81</f>
        <v>81</v>
      </c>
      <c r="C81" s="10">
        <f>garage!C81</f>
        <v>3</v>
      </c>
      <c r="D81" s="10">
        <f>garage!D81</f>
        <v>9</v>
      </c>
      <c r="E81" s="10">
        <f>garage!E81</f>
        <v>18</v>
      </c>
      <c r="F81" s="10" t="str">
        <f>garage!F81</f>
        <v>F</v>
      </c>
      <c r="G81" s="10" t="str">
        <f>garage!G81</f>
        <v>O</v>
      </c>
      <c r="H81" s="10" t="str">
        <f>garage!H81</f>
        <v>O</v>
      </c>
      <c r="I81" s="10" t="str">
        <f>garage!I81</f>
        <v>N</v>
      </c>
      <c r="J81" s="10" t="str">
        <f>garage!J120</f>
        <v>N</v>
      </c>
      <c r="K81" s="10" t="str">
        <f>garage!K81</f>
        <v>B</v>
      </c>
      <c r="L81" s="11" t="str">
        <f>garage!L81</f>
        <v>Ferrari</v>
      </c>
      <c r="M81" s="11" t="str">
        <f>garage!M81</f>
        <v>Roma</v>
      </c>
      <c r="O81" s="46">
        <v>331.7</v>
      </c>
      <c r="P81" s="46">
        <v>77.45</v>
      </c>
      <c r="Q81" s="46">
        <v>60.49</v>
      </c>
      <c r="R81" s="46">
        <v>66.78</v>
      </c>
      <c r="S81" s="48">
        <f t="shared" si="1"/>
        <v>134.10499999999999</v>
      </c>
      <c r="U81" s="10">
        <v>9</v>
      </c>
    </row>
    <row r="82" spans="2:21" ht="18" customHeight="1" x14ac:dyDescent="0.2">
      <c r="B82" s="8">
        <f>garage!B82</f>
        <v>82</v>
      </c>
      <c r="C82" s="8">
        <f>garage!C82</f>
        <v>3</v>
      </c>
      <c r="D82" s="8">
        <f>garage!D82</f>
        <v>10</v>
      </c>
      <c r="E82" s="8">
        <f>garage!E82</f>
        <v>22</v>
      </c>
      <c r="F82" s="8" t="str">
        <f>garage!F82</f>
        <v>--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garage!J121</f>
        <v>N</v>
      </c>
      <c r="K82" s="8" t="str">
        <f>garage!K82</f>
        <v>B</v>
      </c>
      <c r="L82" s="9" t="str">
        <f>garage!L82</f>
        <v>Arash</v>
      </c>
      <c r="M82" s="9" t="str">
        <f>garage!M82</f>
        <v>AF10</v>
      </c>
      <c r="O82" s="45">
        <v>337</v>
      </c>
      <c r="P82" s="45">
        <v>78.73</v>
      </c>
      <c r="Q82" s="45">
        <v>50.41</v>
      </c>
      <c r="R82" s="45">
        <v>59.6</v>
      </c>
      <c r="S82" s="47">
        <f t="shared" si="1"/>
        <v>131.435</v>
      </c>
      <c r="U82" s="8">
        <v>10</v>
      </c>
    </row>
    <row r="83" spans="2:21" ht="18" customHeight="1" x14ac:dyDescent="0.2">
      <c r="B83" s="10">
        <f>garage!B83</f>
        <v>83</v>
      </c>
      <c r="C83" s="10">
        <f>garage!C83</f>
        <v>3</v>
      </c>
      <c r="D83" s="10">
        <f>garage!D83</f>
        <v>11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garage!J122</f>
        <v>N</v>
      </c>
      <c r="K83" s="10" t="str">
        <f>garage!K83</f>
        <v>B</v>
      </c>
      <c r="L83" s="11" t="str">
        <f>garage!L83</f>
        <v>Cadillac</v>
      </c>
      <c r="M83" s="11" t="str">
        <f>garage!M83</f>
        <v>Cien Concept</v>
      </c>
      <c r="O83" s="46">
        <v>368</v>
      </c>
      <c r="P83" s="46">
        <v>76.55</v>
      </c>
      <c r="Q83" s="46">
        <v>36.14</v>
      </c>
      <c r="R83" s="46">
        <v>61.1</v>
      </c>
      <c r="S83" s="48">
        <f t="shared" si="1"/>
        <v>135.44749999999999</v>
      </c>
      <c r="U83" s="10">
        <v>11</v>
      </c>
    </row>
    <row r="84" spans="2:21" ht="18" customHeight="1" x14ac:dyDescent="0.2">
      <c r="B84" s="8">
        <f>garage!B84</f>
        <v>84</v>
      </c>
      <c r="C84" s="8">
        <f>garage!C84</f>
        <v>3</v>
      </c>
      <c r="D84" s="8">
        <f>garage!D84</f>
        <v>12</v>
      </c>
      <c r="E84" s="8">
        <f>garage!E84</f>
        <v>13</v>
      </c>
      <c r="F84" s="8" t="str">
        <f>garage!F84</f>
        <v>--</v>
      </c>
      <c r="G84" s="8" t="str">
        <f>garage!G84</f>
        <v>O</v>
      </c>
      <c r="H84" s="8" t="str">
        <f>garage!H84</f>
        <v>N</v>
      </c>
      <c r="I84" s="8" t="str">
        <f>garage!I84</f>
        <v>N</v>
      </c>
      <c r="J84" s="8" t="str">
        <f>garage!J123</f>
        <v>N</v>
      </c>
      <c r="K84" s="8" t="str">
        <f>garage!K84</f>
        <v>B</v>
      </c>
      <c r="L84" s="9" t="str">
        <f>garage!L84</f>
        <v>Ford</v>
      </c>
      <c r="M84" s="9" t="str">
        <f>garage!M84</f>
        <v>GT MK II</v>
      </c>
      <c r="O84" s="45">
        <v>315.5</v>
      </c>
      <c r="P84" s="45">
        <v>86.26</v>
      </c>
      <c r="Q84" s="45">
        <v>79</v>
      </c>
      <c r="R84" s="45">
        <v>67.88</v>
      </c>
      <c r="S84" s="47">
        <f t="shared" si="1"/>
        <v>137.16</v>
      </c>
      <c r="U84" s="8">
        <v>12</v>
      </c>
    </row>
    <row r="85" spans="2:21" ht="18" customHeight="1" x14ac:dyDescent="0.2">
      <c r="B85" s="10">
        <f>garage!B85</f>
        <v>85</v>
      </c>
      <c r="C85" s="10">
        <f>garage!C85</f>
        <v>3</v>
      </c>
      <c r="D85" s="10">
        <f>garage!D85</f>
        <v>13</v>
      </c>
      <c r="E85" s="10">
        <f>garage!E85</f>
        <v>0</v>
      </c>
      <c r="F85" s="10" t="str">
        <f>garage!F85</f>
        <v>--</v>
      </c>
      <c r="G85" s="10" t="str">
        <f>garage!G85</f>
        <v>O</v>
      </c>
      <c r="H85" s="10" t="str">
        <f>garage!H85</f>
        <v>O</v>
      </c>
      <c r="I85" s="10" t="str">
        <f>garage!I85</f>
        <v>O</v>
      </c>
      <c r="J85" s="10" t="str">
        <f>garage!J124</f>
        <v>N</v>
      </c>
      <c r="K85" s="10" t="str">
        <f>garage!K85</f>
        <v>B</v>
      </c>
      <c r="L85" s="11" t="str">
        <f>garage!L85</f>
        <v>Italdesign</v>
      </c>
      <c r="M85" s="11" t="str">
        <f>garage!M85</f>
        <v>Zerouno</v>
      </c>
      <c r="O85" s="46">
        <v>368</v>
      </c>
      <c r="P85" s="46">
        <v>76.55</v>
      </c>
      <c r="Q85" s="46">
        <v>36.14</v>
      </c>
      <c r="R85" s="46">
        <v>51.1</v>
      </c>
      <c r="S85" s="48">
        <f t="shared" si="1"/>
        <v>132.94749999999999</v>
      </c>
      <c r="U85" s="10">
        <v>13</v>
      </c>
    </row>
    <row r="86" spans="2:21" ht="18" customHeight="1" x14ac:dyDescent="0.2">
      <c r="B86" s="8">
        <f>garage!B86</f>
        <v>86</v>
      </c>
      <c r="C86" s="8">
        <f>garage!C86</f>
        <v>3</v>
      </c>
      <c r="D86" s="8">
        <f>garage!D86</f>
        <v>14</v>
      </c>
      <c r="E86" s="8">
        <f>garage!E86</f>
        <v>24</v>
      </c>
      <c r="F86" s="8" t="str">
        <f>garage!F86</f>
        <v>--</v>
      </c>
      <c r="G86" s="8" t="str">
        <f>garage!G86</f>
        <v>N</v>
      </c>
      <c r="H86" s="8" t="str">
        <f>garage!H86</f>
        <v>N</v>
      </c>
      <c r="I86" s="8" t="str">
        <f>garage!I86</f>
        <v>N</v>
      </c>
      <c r="J86" s="8" t="str">
        <f>garage!J125</f>
        <v>N</v>
      </c>
      <c r="K86" s="8" t="str">
        <f>garage!K86</f>
        <v>B</v>
      </c>
      <c r="L86" s="9" t="str">
        <f>garage!L86</f>
        <v>Arash</v>
      </c>
      <c r="M86" s="9" t="str">
        <f>garage!M86</f>
        <v>AF8 Falcon Edition</v>
      </c>
      <c r="O86" s="45">
        <v>332.6</v>
      </c>
      <c r="P86" s="45">
        <v>76.739999999999995</v>
      </c>
      <c r="Q86" s="45">
        <v>66.010000000000005</v>
      </c>
      <c r="R86" s="45">
        <v>76.94</v>
      </c>
      <c r="S86" s="47">
        <f t="shared" si="1"/>
        <v>138.07249999999999</v>
      </c>
      <c r="U86" s="8">
        <v>14</v>
      </c>
    </row>
    <row r="87" spans="2:21" ht="18" customHeight="1" x14ac:dyDescent="0.2">
      <c r="B87" s="10">
        <f>garage!B87</f>
        <v>87</v>
      </c>
      <c r="C87" s="10">
        <f>garage!C87</f>
        <v>3</v>
      </c>
      <c r="D87" s="10">
        <f>garage!D87</f>
        <v>15</v>
      </c>
      <c r="E87" s="10">
        <f>garage!E87</f>
        <v>0</v>
      </c>
      <c r="F87" s="10" t="str">
        <f>garage!F87</f>
        <v>F</v>
      </c>
      <c r="G87" s="10" t="str">
        <f>garage!G87</f>
        <v>O</v>
      </c>
      <c r="H87" s="10" t="str">
        <f>garage!H87</f>
        <v>O</v>
      </c>
      <c r="I87" s="10" t="str">
        <f>garage!I87</f>
        <v>O</v>
      </c>
      <c r="J87" s="10" t="str">
        <f>garage!J126</f>
        <v>N</v>
      </c>
      <c r="K87" s="10" t="str">
        <f>garage!K87</f>
        <v>B</v>
      </c>
      <c r="L87" s="11" t="str">
        <f>garage!L87</f>
        <v>Ferrari</v>
      </c>
      <c r="M87" s="11" t="str">
        <f>garage!M87</f>
        <v>488 GTB</v>
      </c>
      <c r="O87" s="46">
        <v>347.6</v>
      </c>
      <c r="P87" s="46">
        <v>80.239999999999995</v>
      </c>
      <c r="Q87" s="46">
        <v>48.38</v>
      </c>
      <c r="R87" s="46">
        <v>65.84</v>
      </c>
      <c r="S87" s="48">
        <f t="shared" si="1"/>
        <v>135.51500000000001</v>
      </c>
      <c r="U87" s="10">
        <v>15</v>
      </c>
    </row>
    <row r="88" spans="2:21" ht="18" customHeight="1" x14ac:dyDescent="0.2">
      <c r="B88" s="8">
        <f>garage!B88</f>
        <v>88</v>
      </c>
      <c r="C88" s="8">
        <f>garage!C88</f>
        <v>3</v>
      </c>
      <c r="D88" s="8">
        <f>garage!D88</f>
        <v>16</v>
      </c>
      <c r="E88" s="8">
        <f>garage!E88</f>
        <v>30</v>
      </c>
      <c r="F88" s="8" t="str">
        <f>garage!F88</f>
        <v>--</v>
      </c>
      <c r="G88" s="8" t="str">
        <f>garage!G88</f>
        <v>N</v>
      </c>
      <c r="H88" s="8" t="str">
        <f>garage!H88</f>
        <v>O</v>
      </c>
      <c r="I88" s="8" t="str">
        <f>garage!I88</f>
        <v>N</v>
      </c>
      <c r="J88" s="8" t="str">
        <f>garage!J127</f>
        <v>N</v>
      </c>
      <c r="K88" s="8" t="str">
        <f>garage!K88</f>
        <v>B</v>
      </c>
      <c r="L88" s="9" t="str">
        <f>garage!L88</f>
        <v>Kepler</v>
      </c>
      <c r="M88" s="9" t="str">
        <f>garage!M88</f>
        <v>Motion</v>
      </c>
      <c r="O88" s="45">
        <v>338.5</v>
      </c>
      <c r="P88" s="45">
        <v>86.45</v>
      </c>
      <c r="Q88" s="45">
        <v>48.72</v>
      </c>
      <c r="R88" s="45">
        <v>61.18</v>
      </c>
      <c r="S88" s="47">
        <f t="shared" si="1"/>
        <v>133.71249999999998</v>
      </c>
      <c r="U88" s="8">
        <v>16</v>
      </c>
    </row>
    <row r="89" spans="2:21" ht="18" customHeight="1" x14ac:dyDescent="0.2">
      <c r="B89" s="10">
        <f>garage!B89</f>
        <v>89</v>
      </c>
      <c r="C89" s="10">
        <f>garage!C89</f>
        <v>3</v>
      </c>
      <c r="D89" s="10">
        <f>garage!D89</f>
        <v>17</v>
      </c>
      <c r="E89" s="10">
        <f>garage!E89</f>
        <v>21</v>
      </c>
      <c r="F89" s="10" t="str">
        <f>garage!F89</f>
        <v>--</v>
      </c>
      <c r="G89" s="10" t="str">
        <f>garage!G89</f>
        <v>O</v>
      </c>
      <c r="H89" s="10" t="str">
        <f>garage!H89</f>
        <v>N</v>
      </c>
      <c r="I89" s="10" t="str">
        <f>garage!I89</f>
        <v>N</v>
      </c>
      <c r="J89" s="10" t="str">
        <f>garage!J128</f>
        <v>N</v>
      </c>
      <c r="K89" s="10" t="str">
        <f>garage!K89</f>
        <v>B</v>
      </c>
      <c r="L89" s="11" t="str">
        <f>garage!L89</f>
        <v>Drako</v>
      </c>
      <c r="M89" s="11" t="str">
        <f>garage!M89</f>
        <v>GTE</v>
      </c>
      <c r="O89" s="46">
        <v>346.2</v>
      </c>
      <c r="P89" s="46">
        <v>81.849999999999994</v>
      </c>
      <c r="Q89" s="46">
        <v>47.31</v>
      </c>
      <c r="R89" s="46">
        <v>61.18</v>
      </c>
      <c r="S89" s="48">
        <f t="shared" si="1"/>
        <v>134.13499999999999</v>
      </c>
      <c r="U89" s="10">
        <v>17</v>
      </c>
    </row>
    <row r="90" spans="2:21" ht="18" customHeight="1" x14ac:dyDescent="0.2">
      <c r="B90" s="8">
        <f>garage!B90</f>
        <v>90</v>
      </c>
      <c r="C90" s="8">
        <f>garage!C90</f>
        <v>3</v>
      </c>
      <c r="D90" s="8">
        <f>garage!D90</f>
        <v>18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garage!J129</f>
        <v>N</v>
      </c>
      <c r="K90" s="8" t="str">
        <f>garage!K90</f>
        <v>B</v>
      </c>
      <c r="L90" s="9" t="str">
        <f>garage!L90</f>
        <v>Glickhaus</v>
      </c>
      <c r="M90" s="9" t="str">
        <f>garage!M90</f>
        <v>003S</v>
      </c>
      <c r="O90" s="45">
        <v>368.8</v>
      </c>
      <c r="P90" s="45">
        <v>79.44</v>
      </c>
      <c r="Q90" s="45">
        <v>38.58</v>
      </c>
      <c r="R90" s="45">
        <v>63.11</v>
      </c>
      <c r="S90" s="47">
        <f t="shared" si="1"/>
        <v>137.48249999999999</v>
      </c>
      <c r="U90" s="8">
        <v>18</v>
      </c>
    </row>
    <row r="91" spans="2:21" ht="18" customHeight="1" x14ac:dyDescent="0.2">
      <c r="B91" s="10">
        <f>garage!B91</f>
        <v>91</v>
      </c>
      <c r="C91" s="10">
        <f>garage!C91</f>
        <v>3</v>
      </c>
      <c r="D91" s="10">
        <f>garage!D91</f>
        <v>19</v>
      </c>
      <c r="E91" s="10">
        <f>garage!E91</f>
        <v>20</v>
      </c>
      <c r="F91" s="10" t="str">
        <f>garage!F91</f>
        <v>M</v>
      </c>
      <c r="G91" s="10" t="str">
        <f>garage!G91</f>
        <v>O</v>
      </c>
      <c r="H91" s="10" t="str">
        <f>garage!H91</f>
        <v>N</v>
      </c>
      <c r="I91" s="10" t="str">
        <f>garage!I91</f>
        <v>N</v>
      </c>
      <c r="J91" s="10" t="str">
        <f>garage!J130</f>
        <v>O</v>
      </c>
      <c r="K91" s="10" t="str">
        <f>garage!K91</f>
        <v>B</v>
      </c>
      <c r="L91" s="11" t="str">
        <f>garage!L91</f>
        <v>McLaren</v>
      </c>
      <c r="M91" s="11" t="str">
        <f>garage!M91</f>
        <v>Elva</v>
      </c>
      <c r="O91" s="46">
        <v>339.1</v>
      </c>
      <c r="P91" s="46">
        <v>81.31</v>
      </c>
      <c r="Q91" s="46">
        <v>75.510000000000005</v>
      </c>
      <c r="R91" s="46">
        <v>65.900000000000006</v>
      </c>
      <c r="S91" s="48">
        <f t="shared" si="1"/>
        <v>140.45500000000001</v>
      </c>
      <c r="U91" s="10">
        <v>19</v>
      </c>
    </row>
    <row r="92" spans="2:21" ht="18" customHeight="1" x14ac:dyDescent="0.2">
      <c r="B92" s="8">
        <f>garage!B92</f>
        <v>92</v>
      </c>
      <c r="C92" s="8">
        <f>garage!C92</f>
        <v>3</v>
      </c>
      <c r="D92" s="8">
        <f>garage!D92</f>
        <v>20</v>
      </c>
      <c r="E92" s="8">
        <f>garage!E92</f>
        <v>27</v>
      </c>
      <c r="F92" s="8" t="str">
        <f>garage!F92</f>
        <v>--</v>
      </c>
      <c r="G92" s="8" t="str">
        <f>garage!G92</f>
        <v>O</v>
      </c>
      <c r="H92" s="8" t="str">
        <f>garage!H92</f>
        <v>N</v>
      </c>
      <c r="I92" s="8" t="str">
        <f>garage!I92</f>
        <v>N</v>
      </c>
      <c r="J92" s="8" t="str">
        <f>garage!J131</f>
        <v>N</v>
      </c>
      <c r="K92" s="8" t="str">
        <f>garage!K92</f>
        <v>B</v>
      </c>
      <c r="L92" s="9" t="str">
        <f>garage!L92</f>
        <v>Nissan</v>
      </c>
      <c r="M92" s="9" t="str">
        <f>garage!M92</f>
        <v>R390 GT1</v>
      </c>
      <c r="O92" s="45">
        <v>373.5</v>
      </c>
      <c r="P92" s="45">
        <v>76.72</v>
      </c>
      <c r="Q92" s="45">
        <v>52.63</v>
      </c>
      <c r="R92" s="45">
        <v>55.45</v>
      </c>
      <c r="S92" s="47">
        <f t="shared" si="1"/>
        <v>139.57500000000002</v>
      </c>
      <c r="U92" s="8">
        <v>20</v>
      </c>
    </row>
    <row r="93" spans="2:21" ht="18" customHeight="1" x14ac:dyDescent="0.2">
      <c r="B93" s="10">
        <f>garage!B93</f>
        <v>93</v>
      </c>
      <c r="C93" s="10">
        <f>garage!C93</f>
        <v>3</v>
      </c>
      <c r="D93" s="10">
        <f>garage!D93</f>
        <v>21</v>
      </c>
      <c r="E93" s="10">
        <f>garage!E93</f>
        <v>0</v>
      </c>
      <c r="F93" s="10" t="str">
        <f>garage!F93</f>
        <v>F</v>
      </c>
      <c r="G93" s="10" t="str">
        <f>garage!G93</f>
        <v>O</v>
      </c>
      <c r="H93" s="10" t="str">
        <f>garage!H93</f>
        <v>O</v>
      </c>
      <c r="I93" s="10" t="str">
        <f>garage!I93</f>
        <v>O</v>
      </c>
      <c r="J93" s="10" t="str">
        <f>garage!J132</f>
        <v>N</v>
      </c>
      <c r="K93" s="10" t="str">
        <f>garage!K93</f>
        <v>B</v>
      </c>
      <c r="L93" s="11" t="str">
        <f>garage!L93</f>
        <v>Ferrari</v>
      </c>
      <c r="M93" s="11" t="str">
        <f>garage!M93</f>
        <v>F12TDF</v>
      </c>
      <c r="O93" s="46">
        <v>360.5</v>
      </c>
      <c r="P93" s="46">
        <v>78.38</v>
      </c>
      <c r="Q93" s="46">
        <v>40.130000000000003</v>
      </c>
      <c r="R93" s="46">
        <v>80.180000000000007</v>
      </c>
      <c r="S93" s="48">
        <f t="shared" si="1"/>
        <v>139.79750000000001</v>
      </c>
      <c r="U93" s="10">
        <v>21</v>
      </c>
    </row>
    <row r="94" spans="2:21" ht="18" customHeight="1" x14ac:dyDescent="0.2">
      <c r="B94" s="8">
        <f>garage!B94</f>
        <v>94</v>
      </c>
      <c r="C94" s="8">
        <f>garage!C94</f>
        <v>3</v>
      </c>
      <c r="D94" s="8">
        <f>garage!D94</f>
        <v>22</v>
      </c>
      <c r="E94" s="8">
        <f>garage!E94</f>
        <v>18</v>
      </c>
      <c r="F94" s="8" t="str">
        <f>garage!F94</f>
        <v>L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garage!J133</f>
        <v>N</v>
      </c>
      <c r="K94" s="8" t="str">
        <f>garage!K94</f>
        <v>B</v>
      </c>
      <c r="L94" s="9" t="str">
        <f>garage!L94</f>
        <v>Lamborghini</v>
      </c>
      <c r="M94" s="9" t="str">
        <f>garage!M94</f>
        <v>Murcielago LP 640 Roadster</v>
      </c>
      <c r="O94" s="45">
        <v>354.1</v>
      </c>
      <c r="P94" s="45">
        <v>77.540000000000006</v>
      </c>
      <c r="Q94" s="45">
        <v>67.180000000000007</v>
      </c>
      <c r="R94" s="45">
        <v>61.13</v>
      </c>
      <c r="S94" s="47">
        <f t="shared" si="1"/>
        <v>139.98750000000001</v>
      </c>
      <c r="U94" s="8">
        <v>22</v>
      </c>
    </row>
    <row r="95" spans="2:21" ht="18" customHeight="1" x14ac:dyDescent="0.2">
      <c r="B95" s="10">
        <f>garage!B95</f>
        <v>95</v>
      </c>
      <c r="C95" s="10">
        <f>garage!C95</f>
        <v>3</v>
      </c>
      <c r="D95" s="10">
        <f>garage!D95</f>
        <v>23</v>
      </c>
      <c r="E95" s="10">
        <f>garage!E95</f>
        <v>26</v>
      </c>
      <c r="F95" s="10" t="str">
        <f>garage!F95</f>
        <v>M</v>
      </c>
      <c r="G95" s="10" t="str">
        <f>garage!G95</f>
        <v>O</v>
      </c>
      <c r="H95" s="10" t="str">
        <f>garage!H95</f>
        <v>N</v>
      </c>
      <c r="I95" s="10" t="str">
        <f>garage!I95</f>
        <v>N</v>
      </c>
      <c r="J95" s="10" t="str">
        <f>garage!J134</f>
        <v>N</v>
      </c>
      <c r="K95" s="10" t="str">
        <f>garage!K95</f>
        <v>B</v>
      </c>
      <c r="L95" s="11" t="str">
        <f>garage!L95</f>
        <v>McLaren</v>
      </c>
      <c r="M95" s="11" t="str">
        <f>garage!M95</f>
        <v>765LT</v>
      </c>
      <c r="O95" s="46">
        <v>349.5</v>
      </c>
      <c r="P95" s="46">
        <v>80.5</v>
      </c>
      <c r="Q95" s="46">
        <v>70.61</v>
      </c>
      <c r="R95" s="46">
        <v>62.26</v>
      </c>
      <c r="S95" s="48">
        <f t="shared" si="1"/>
        <v>140.7175</v>
      </c>
      <c r="U95" s="10">
        <v>23</v>
      </c>
    </row>
    <row r="96" spans="2:21" ht="18" customHeight="1" x14ac:dyDescent="0.2">
      <c r="B96" s="8">
        <f>garage!B96</f>
        <v>96</v>
      </c>
      <c r="C96" s="8">
        <f>garage!C96</f>
        <v>3</v>
      </c>
      <c r="D96" s="8">
        <f>garage!D96</f>
        <v>24</v>
      </c>
      <c r="E96" s="8">
        <f>garage!E96</f>
        <v>0</v>
      </c>
      <c r="F96" s="8" t="str">
        <f>garage!F96</f>
        <v>C</v>
      </c>
      <c r="G96" s="8" t="str">
        <f>garage!G96</f>
        <v>O</v>
      </c>
      <c r="H96" s="8" t="str">
        <f>garage!H96</f>
        <v>O</v>
      </c>
      <c r="I96" s="8" t="str">
        <f>garage!I96</f>
        <v>O</v>
      </c>
      <c r="J96" s="8" t="str">
        <f>garage!J135</f>
        <v>N</v>
      </c>
      <c r="K96" s="8" t="str">
        <f>garage!K96</f>
        <v>B</v>
      </c>
      <c r="L96" s="9" t="str">
        <f>garage!L96</f>
        <v>Chevrolet</v>
      </c>
      <c r="M96" s="9" t="str">
        <f>garage!M96</f>
        <v>Corvette Grand Sport</v>
      </c>
      <c r="O96" s="45">
        <v>331.2</v>
      </c>
      <c r="P96" s="45">
        <v>76.55</v>
      </c>
      <c r="Q96" s="45">
        <v>92.99</v>
      </c>
      <c r="R96" s="45">
        <v>80.87</v>
      </c>
      <c r="S96" s="47">
        <f t="shared" si="1"/>
        <v>145.4025</v>
      </c>
      <c r="U96" s="8">
        <v>24</v>
      </c>
    </row>
    <row r="97" spans="2:21" ht="18" customHeight="1" x14ac:dyDescent="0.2">
      <c r="B97" s="10">
        <f>garage!B97</f>
        <v>97</v>
      </c>
      <c r="C97" s="10">
        <f>garage!C97</f>
        <v>3</v>
      </c>
      <c r="D97" s="10">
        <f>garage!D97</f>
        <v>25</v>
      </c>
      <c r="E97" s="10">
        <f>garage!E97</f>
        <v>7</v>
      </c>
      <c r="F97" s="10" t="str">
        <f>garage!F97</f>
        <v>AM</v>
      </c>
      <c r="G97" s="10" t="str">
        <f>garage!G97</f>
        <v>O</v>
      </c>
      <c r="H97" s="10" t="str">
        <f>garage!H97</f>
        <v>O</v>
      </c>
      <c r="I97" s="10" t="str">
        <f>garage!I97</f>
        <v>O</v>
      </c>
      <c r="J97" s="10" t="str">
        <f>garage!J136</f>
        <v>N</v>
      </c>
      <c r="K97" s="10" t="str">
        <f>garage!K97</f>
        <v>B</v>
      </c>
      <c r="L97" s="11" t="str">
        <f>garage!L97</f>
        <v>Aston Martin</v>
      </c>
      <c r="M97" s="11" t="str">
        <f>garage!M97</f>
        <v>Vantage GT12</v>
      </c>
      <c r="O97" s="46">
        <v>337.8</v>
      </c>
      <c r="P97" s="46">
        <v>78.260000000000005</v>
      </c>
      <c r="Q97" s="46">
        <v>86.85</v>
      </c>
      <c r="R97" s="46">
        <v>80.459999999999994</v>
      </c>
      <c r="S97" s="48">
        <f t="shared" si="1"/>
        <v>145.8425</v>
      </c>
      <c r="U97" s="10">
        <v>25</v>
      </c>
    </row>
    <row r="98" spans="2:21" ht="18" customHeight="1" x14ac:dyDescent="0.2">
      <c r="B98" s="8">
        <f>garage!B98</f>
        <v>98</v>
      </c>
      <c r="C98" s="8">
        <f>garage!C98</f>
        <v>3</v>
      </c>
      <c r="D98" s="8">
        <f>garage!D98</f>
        <v>26</v>
      </c>
      <c r="E98" s="8">
        <f>garage!E98</f>
        <v>14</v>
      </c>
      <c r="F98" s="8" t="str">
        <f>garage!F98</f>
        <v>--</v>
      </c>
      <c r="G98" s="8" t="str">
        <f>garage!G98</f>
        <v>O</v>
      </c>
      <c r="H98" s="8" t="str">
        <f>garage!H98</f>
        <v>O</v>
      </c>
      <c r="I98" s="8" t="str">
        <f>garage!I98</f>
        <v>N</v>
      </c>
      <c r="J98" s="8" t="str">
        <f>garage!J137</f>
        <v>N</v>
      </c>
      <c r="K98" s="8" t="str">
        <f>garage!K98</f>
        <v>B</v>
      </c>
      <c r="L98" s="9" t="str">
        <f>garage!L98</f>
        <v>Apex</v>
      </c>
      <c r="M98" s="9" t="str">
        <f>garage!M98</f>
        <v>AP-0</v>
      </c>
      <c r="O98" s="45">
        <v>335.1</v>
      </c>
      <c r="P98" s="45">
        <v>80.959999999999994</v>
      </c>
      <c r="Q98" s="45">
        <v>89.37</v>
      </c>
      <c r="R98" s="45">
        <v>75.16</v>
      </c>
      <c r="S98" s="47">
        <f t="shared" si="1"/>
        <v>145.14750000000001</v>
      </c>
      <c r="U98" s="8">
        <v>26</v>
      </c>
    </row>
    <row r="99" spans="2:21" ht="18" customHeight="1" x14ac:dyDescent="0.2">
      <c r="B99" s="10">
        <f>garage!B99</f>
        <v>99</v>
      </c>
      <c r="C99" s="10">
        <f>garage!C99</f>
        <v>3</v>
      </c>
      <c r="D99" s="10">
        <f>garage!D99</f>
        <v>27</v>
      </c>
      <c r="E99" s="10">
        <f>garage!E99</f>
        <v>16</v>
      </c>
      <c r="F99" s="10" t="str">
        <f>garage!F99</f>
        <v>--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garage!J138</f>
        <v>N</v>
      </c>
      <c r="K99" s="10" t="str">
        <f>garage!K99</f>
        <v>B</v>
      </c>
      <c r="L99" s="11" t="str">
        <f>garage!L99</f>
        <v>Apollo</v>
      </c>
      <c r="M99" s="11" t="str">
        <f>garage!M99</f>
        <v>IE</v>
      </c>
      <c r="O99" s="46">
        <v>348.3</v>
      </c>
      <c r="P99" s="46">
        <v>84.65</v>
      </c>
      <c r="Q99" s="46">
        <v>73.17</v>
      </c>
      <c r="R99" s="46">
        <v>69.12</v>
      </c>
      <c r="S99" s="48">
        <f t="shared" si="1"/>
        <v>143.81</v>
      </c>
      <c r="U99" s="10">
        <v>27</v>
      </c>
    </row>
    <row r="100" spans="2:21" ht="18" customHeight="1" x14ac:dyDescent="0.2">
      <c r="B100" s="8">
        <f>garage!B100</f>
        <v>100</v>
      </c>
      <c r="C100" s="8">
        <f>garage!C100</f>
        <v>3</v>
      </c>
      <c r="D100" s="8">
        <f>garage!D100</f>
        <v>28</v>
      </c>
      <c r="E100" s="8">
        <f>garage!E100</f>
        <v>0</v>
      </c>
      <c r="F100" s="8" t="str">
        <f>garage!F100</f>
        <v>--</v>
      </c>
      <c r="G100" s="8" t="str">
        <f>garage!G100</f>
        <v>O</v>
      </c>
      <c r="H100" s="8" t="str">
        <f>garage!H100</f>
        <v>O</v>
      </c>
      <c r="I100" s="8" t="str">
        <f>garage!I100</f>
        <v>O</v>
      </c>
      <c r="J100" s="8" t="str">
        <f>garage!J139</f>
        <v>N</v>
      </c>
      <c r="K100" s="8" t="str">
        <f>garage!K100</f>
        <v>B</v>
      </c>
      <c r="L100" s="9" t="str">
        <f>garage!L100</f>
        <v>Sin</v>
      </c>
      <c r="M100" s="9" t="str">
        <f>garage!M100</f>
        <v>R1 550</v>
      </c>
      <c r="O100" s="45">
        <v>370.6</v>
      </c>
      <c r="P100" s="45">
        <v>77.040000000000006</v>
      </c>
      <c r="Q100" s="45">
        <v>45.74</v>
      </c>
      <c r="R100" s="45">
        <v>85</v>
      </c>
      <c r="S100" s="47">
        <f t="shared" si="1"/>
        <v>144.59500000000003</v>
      </c>
      <c r="U100" s="8">
        <v>28</v>
      </c>
    </row>
    <row r="101" spans="2:21" ht="18" customHeight="1" x14ac:dyDescent="0.2">
      <c r="B101" s="10">
        <f>garage!B101</f>
        <v>101</v>
      </c>
      <c r="C101" s="10">
        <f>garage!C101</f>
        <v>3</v>
      </c>
      <c r="D101" s="10">
        <f>garage!D101</f>
        <v>29</v>
      </c>
      <c r="E101" s="10">
        <f>garage!E101</f>
        <v>25</v>
      </c>
      <c r="F101" s="10" t="str">
        <f>garage!F101</f>
        <v>L</v>
      </c>
      <c r="G101" s="10" t="str">
        <f>garage!G101</f>
        <v>O</v>
      </c>
      <c r="H101" s="10" t="str">
        <f>garage!H101</f>
        <v>N</v>
      </c>
      <c r="I101" s="10" t="str">
        <f>garage!I101</f>
        <v>N</v>
      </c>
      <c r="J101" s="10" t="str">
        <f>garage!J140</f>
        <v>N</v>
      </c>
      <c r="K101" s="10" t="str">
        <f>garage!K101</f>
        <v>B</v>
      </c>
      <c r="L101" s="11" t="str">
        <f>garage!L101</f>
        <v>Lamborghini</v>
      </c>
      <c r="M101" s="11" t="str">
        <f>garage!M101</f>
        <v>Reventón Roadster</v>
      </c>
      <c r="O101" s="46">
        <v>356.3</v>
      </c>
      <c r="P101" s="46">
        <v>78.349999999999994</v>
      </c>
      <c r="Q101" s="46">
        <v>67.650000000000006</v>
      </c>
      <c r="R101" s="46">
        <v>74.41</v>
      </c>
      <c r="S101" s="48">
        <f t="shared" ref="S101:S107" si="2">AVERAGE(O101:R101)</f>
        <v>144.17749999999998</v>
      </c>
      <c r="U101" s="10">
        <v>29</v>
      </c>
    </row>
    <row r="102" spans="2:21" ht="18" customHeight="1" x14ac:dyDescent="0.2">
      <c r="B102" s="8">
        <f>garage!B102</f>
        <v>102</v>
      </c>
      <c r="C102" s="8">
        <f>garage!C102</f>
        <v>3</v>
      </c>
      <c r="D102" s="8">
        <f>garage!D102</f>
        <v>30</v>
      </c>
      <c r="E102" s="8">
        <f>garage!E102</f>
        <v>15</v>
      </c>
      <c r="F102" s="8" t="str">
        <f>garage!F102</f>
        <v>F</v>
      </c>
      <c r="G102" s="8" t="str">
        <f>garage!G102</f>
        <v>O</v>
      </c>
      <c r="H102" s="8" t="str">
        <f>garage!H102</f>
        <v>O</v>
      </c>
      <c r="I102" s="8" t="str">
        <f>garage!I102</f>
        <v>N</v>
      </c>
      <c r="J102" s="8" t="str">
        <f>garage!J141</f>
        <v>N</v>
      </c>
      <c r="K102" s="8" t="str">
        <f>garage!K102</f>
        <v>B</v>
      </c>
      <c r="L102" s="9" t="str">
        <f>garage!L102</f>
        <v>Ferrari</v>
      </c>
      <c r="M102" s="9" t="str">
        <f>garage!M102</f>
        <v>Enzo Ferrari</v>
      </c>
      <c r="O102" s="45">
        <v>364.8</v>
      </c>
      <c r="P102" s="45">
        <v>75.290000000000006</v>
      </c>
      <c r="Q102" s="45">
        <v>64.95</v>
      </c>
      <c r="R102" s="45">
        <v>72.260000000000005</v>
      </c>
      <c r="S102" s="47">
        <f t="shared" si="2"/>
        <v>144.32500000000002</v>
      </c>
      <c r="U102" s="8">
        <v>30</v>
      </c>
    </row>
    <row r="103" spans="2:21" ht="18" customHeight="1" x14ac:dyDescent="0.2">
      <c r="B103" s="10">
        <f>garage!B103</f>
        <v>103</v>
      </c>
      <c r="C103" s="10">
        <f>garage!C103</f>
        <v>3</v>
      </c>
      <c r="D103" s="10">
        <f>garage!D103</f>
        <v>31</v>
      </c>
      <c r="E103" s="10">
        <f>garage!E103</f>
        <v>23</v>
      </c>
      <c r="F103" s="10" t="str">
        <f>garage!F103</f>
        <v>AM</v>
      </c>
      <c r="G103" s="10" t="str">
        <f>garage!G103</f>
        <v>O</v>
      </c>
      <c r="H103" s="10" t="str">
        <f>garage!H103</f>
        <v>N</v>
      </c>
      <c r="I103" s="10" t="str">
        <f>garage!I103</f>
        <v>N</v>
      </c>
      <c r="J103" s="10" t="str">
        <f>garage!J142</f>
        <v>N</v>
      </c>
      <c r="K103" s="10" t="str">
        <f>garage!K103</f>
        <v>B</v>
      </c>
      <c r="L103" s="11" t="str">
        <f>garage!L103</f>
        <v>Aston Martin</v>
      </c>
      <c r="M103" s="11" t="str">
        <f>garage!M103</f>
        <v>One77</v>
      </c>
      <c r="O103" s="46">
        <v>363.5</v>
      </c>
      <c r="P103" s="46">
        <v>79.34</v>
      </c>
      <c r="Q103" s="46">
        <v>68.7</v>
      </c>
      <c r="R103" s="46">
        <v>56.61</v>
      </c>
      <c r="S103" s="48">
        <f t="shared" si="2"/>
        <v>142.03749999999999</v>
      </c>
      <c r="U103" s="10">
        <v>31</v>
      </c>
    </row>
    <row r="104" spans="2:21" ht="18" customHeight="1" x14ac:dyDescent="0.2">
      <c r="B104" s="8">
        <f>garage!B104</f>
        <v>104</v>
      </c>
      <c r="C104" s="8">
        <f>garage!C104</f>
        <v>3</v>
      </c>
      <c r="D104" s="8">
        <f>garage!D104</f>
        <v>32</v>
      </c>
      <c r="E104" s="8">
        <f>garage!E104</f>
        <v>0</v>
      </c>
      <c r="F104" s="8" t="str">
        <f>garage!F104</f>
        <v>--</v>
      </c>
      <c r="G104" s="8" t="str">
        <f>garage!G104</f>
        <v>O</v>
      </c>
      <c r="H104" s="8" t="str">
        <f>garage!H104</f>
        <v>O</v>
      </c>
      <c r="I104" s="8" t="str">
        <f>garage!I104</f>
        <v>O</v>
      </c>
      <c r="J104" s="8" t="str">
        <f>garage!J143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N</v>
      </c>
      <c r="O104" s="45">
        <v>374.1</v>
      </c>
      <c r="P104" s="45">
        <v>80.319999999999993</v>
      </c>
      <c r="Q104" s="45">
        <v>58.13</v>
      </c>
      <c r="R104" s="45">
        <v>60.57</v>
      </c>
      <c r="S104" s="47">
        <f t="shared" si="2"/>
        <v>143.28000000000003</v>
      </c>
      <c r="U104" s="8">
        <v>32</v>
      </c>
    </row>
    <row r="105" spans="2:21" ht="18" customHeight="1" x14ac:dyDescent="0.2">
      <c r="B105" s="10">
        <f>garage!B105</f>
        <v>105</v>
      </c>
      <c r="C105" s="10">
        <f>garage!C105</f>
        <v>3</v>
      </c>
      <c r="D105" s="10">
        <f>garage!D105</f>
        <v>33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N</v>
      </c>
      <c r="J105" s="10" t="str">
        <f>garage!J144</f>
        <v>N</v>
      </c>
      <c r="K105" s="10" t="str">
        <f>garage!K105</f>
        <v>B</v>
      </c>
      <c r="L105" s="11" t="str">
        <f>garage!L105</f>
        <v>Mercedes-Benz</v>
      </c>
      <c r="M105" s="11" t="str">
        <f>garage!M105</f>
        <v>SLR McLaren</v>
      </c>
      <c r="O105" s="46">
        <v>353.3</v>
      </c>
      <c r="P105" s="46">
        <v>78.180000000000007</v>
      </c>
      <c r="Q105" s="46">
        <v>66.599999999999994</v>
      </c>
      <c r="R105" s="46">
        <v>79.540000000000006</v>
      </c>
      <c r="S105" s="48">
        <f t="shared" si="2"/>
        <v>144.405</v>
      </c>
      <c r="U105" s="10">
        <v>33</v>
      </c>
    </row>
    <row r="106" spans="2:21" ht="18" customHeight="1" x14ac:dyDescent="0.2">
      <c r="B106" s="8">
        <f>garage!B106</f>
        <v>106</v>
      </c>
      <c r="C106" s="8">
        <f>garage!C106</f>
        <v>3</v>
      </c>
      <c r="D106" s="8">
        <f>garage!D106</f>
        <v>34</v>
      </c>
      <c r="E106" s="8">
        <f>garage!E106</f>
        <v>8</v>
      </c>
      <c r="F106" s="8" t="str">
        <f>garage!F106</f>
        <v>AM</v>
      </c>
      <c r="G106" s="8" t="str">
        <f>garage!G106</f>
        <v>O</v>
      </c>
      <c r="H106" s="8" t="str">
        <f>garage!H106</f>
        <v>O</v>
      </c>
      <c r="I106" s="8" t="str">
        <f>garage!I106</f>
        <v>O</v>
      </c>
      <c r="J106" s="8" t="str">
        <f>garage!J145</f>
        <v>N</v>
      </c>
      <c r="K106" s="8" t="str">
        <f>garage!K106</f>
        <v>B</v>
      </c>
      <c r="L106" s="9" t="str">
        <f>garage!L106</f>
        <v>Aston Martin</v>
      </c>
      <c r="M106" s="9" t="str">
        <f>garage!M106</f>
        <v>DBS Superleggera</v>
      </c>
      <c r="O106" s="45">
        <v>355.4</v>
      </c>
      <c r="P106" s="45">
        <v>79.16</v>
      </c>
      <c r="Q106" s="45">
        <v>70.739999999999995</v>
      </c>
      <c r="R106" s="45">
        <v>73.88</v>
      </c>
      <c r="S106" s="47">
        <f t="shared" si="2"/>
        <v>144.79499999999999</v>
      </c>
      <c r="U106" s="8">
        <v>34</v>
      </c>
    </row>
    <row r="107" spans="2:21" ht="18" customHeight="1" x14ac:dyDescent="0.2">
      <c r="B107" s="10">
        <f>garage!B107</f>
        <v>107</v>
      </c>
      <c r="C107" s="10">
        <f>garage!C107</f>
        <v>3</v>
      </c>
      <c r="D107" s="10">
        <f>garage!D107</f>
        <v>35</v>
      </c>
      <c r="E107" s="10">
        <f>garage!E107</f>
        <v>18</v>
      </c>
      <c r="F107" s="10" t="str">
        <f>garage!F107</f>
        <v>L</v>
      </c>
      <c r="G107" s="10" t="str">
        <f>garage!G107</f>
        <v>O</v>
      </c>
      <c r="H107" s="10" t="str">
        <f>garage!H107</f>
        <v>N</v>
      </c>
      <c r="I107" s="10" t="str">
        <f>garage!I107</f>
        <v>N</v>
      </c>
      <c r="J107" s="10" t="str">
        <f>garage!J146</f>
        <v>N</v>
      </c>
      <c r="K107" s="10" t="str">
        <f>garage!K107</f>
        <v>B</v>
      </c>
      <c r="L107" s="11" t="str">
        <f>garage!L107</f>
        <v>Lamborghini</v>
      </c>
      <c r="M107" s="11" t="str">
        <f>garage!M107</f>
        <v>Essenza SCV12</v>
      </c>
      <c r="O107" s="46">
        <v>340.8</v>
      </c>
      <c r="P107" s="46">
        <v>85.1</v>
      </c>
      <c r="Q107" s="46">
        <v>75.84</v>
      </c>
      <c r="R107" s="46">
        <v>74.27</v>
      </c>
      <c r="S107" s="48">
        <f t="shared" si="2"/>
        <v>144.0025</v>
      </c>
      <c r="U107" s="10">
        <v>35</v>
      </c>
    </row>
    <row r="108" spans="2:21" ht="18" customHeight="1" x14ac:dyDescent="0.2">
      <c r="B108" s="8">
        <f>garage!B108</f>
        <v>108</v>
      </c>
      <c r="C108" s="8">
        <f>garage!C108</f>
        <v>3</v>
      </c>
      <c r="D108" s="8">
        <f>garage!D108</f>
        <v>36</v>
      </c>
      <c r="E108" s="8">
        <f>garage!E108</f>
        <v>29</v>
      </c>
      <c r="F108" s="8" t="str">
        <f>garage!F108</f>
        <v>M</v>
      </c>
      <c r="G108" s="8" t="str">
        <f>garage!G108</f>
        <v>N</v>
      </c>
      <c r="H108" s="8" t="str">
        <f>garage!H108</f>
        <v>N</v>
      </c>
      <c r="I108" s="8" t="str">
        <f>garage!I108</f>
        <v>N</v>
      </c>
      <c r="J108" s="8" t="str">
        <f>garage!J147</f>
        <v>N</v>
      </c>
      <c r="K108" s="8" t="str">
        <f>garage!K108</f>
        <v>B</v>
      </c>
      <c r="L108" s="9" t="str">
        <f>garage!L108</f>
        <v>McLaren</v>
      </c>
      <c r="M108" s="9" t="str">
        <f>garage!M108</f>
        <v>600LT Spider</v>
      </c>
      <c r="O108" s="45">
        <v>340.5</v>
      </c>
      <c r="P108" s="45">
        <v>86.11</v>
      </c>
      <c r="Q108" s="45">
        <v>83.17</v>
      </c>
      <c r="R108" s="45">
        <v>74.540000000000006</v>
      </c>
      <c r="S108" s="47">
        <f>AVERAGE('stat min'!O108:R108)</f>
        <v>122.37249999999999</v>
      </c>
      <c r="U108" s="8">
        <v>36</v>
      </c>
    </row>
    <row r="109" spans="2:21" ht="18" customHeight="1" x14ac:dyDescent="0.2">
      <c r="B109" s="10">
        <f>garage!B109</f>
        <v>109</v>
      </c>
      <c r="C109" s="10">
        <f>garage!C109</f>
        <v>3</v>
      </c>
      <c r="D109" s="10">
        <f>garage!D109</f>
        <v>37</v>
      </c>
      <c r="E109" s="10">
        <f>garage!E109</f>
        <v>24</v>
      </c>
      <c r="F109" s="10" t="str">
        <f>garage!F109</f>
        <v>--</v>
      </c>
      <c r="G109" s="10" t="str">
        <f>garage!G109</f>
        <v>O</v>
      </c>
      <c r="H109" s="10" t="str">
        <f>garage!H109</f>
        <v>N</v>
      </c>
      <c r="I109" s="10" t="str">
        <f>garage!I109</f>
        <v>N</v>
      </c>
      <c r="J109" s="10" t="str">
        <f>garage!J148</f>
        <v>N</v>
      </c>
      <c r="K109" s="10" t="str">
        <f>garage!K109</f>
        <v>B</v>
      </c>
      <c r="L109" s="11" t="str">
        <f>garage!L109</f>
        <v>Puritalia</v>
      </c>
      <c r="M109" s="11" t="str">
        <f>garage!M109</f>
        <v>Berlinetta</v>
      </c>
      <c r="O109" s="46">
        <v>349.5</v>
      </c>
      <c r="P109" s="46">
        <v>83.43</v>
      </c>
      <c r="Q109" s="46">
        <v>82.74</v>
      </c>
      <c r="R109" s="46">
        <v>69.66</v>
      </c>
      <c r="S109" s="48">
        <f t="shared" ref="S109:S141" si="3">AVERAGE(O109:R109)</f>
        <v>146.33249999999998</v>
      </c>
      <c r="U109" s="10">
        <v>37</v>
      </c>
    </row>
    <row r="110" spans="2:21" ht="18" customHeight="1" x14ac:dyDescent="0.2">
      <c r="B110" s="8">
        <f>garage!B110</f>
        <v>110</v>
      </c>
      <c r="C110" s="8">
        <f>garage!C110</f>
        <v>3</v>
      </c>
      <c r="D110" s="8">
        <f>garage!D110</f>
        <v>38</v>
      </c>
      <c r="E110" s="8">
        <f>garage!E110</f>
        <v>0</v>
      </c>
      <c r="F110" s="8" t="str">
        <f>garage!F110</f>
        <v>L</v>
      </c>
      <c r="G110" s="8" t="str">
        <f>garage!G110</f>
        <v>O</v>
      </c>
      <c r="H110" s="8" t="str">
        <f>garage!H110</f>
        <v>O</v>
      </c>
      <c r="I110" s="8" t="str">
        <f>garage!I110</f>
        <v>O</v>
      </c>
      <c r="J110" s="8" t="str">
        <f>garage!J149</f>
        <v>N</v>
      </c>
      <c r="K110" s="8" t="str">
        <f>garage!K110</f>
        <v>B</v>
      </c>
      <c r="L110" s="9" t="str">
        <f>garage!L110</f>
        <v>Lamborghini</v>
      </c>
      <c r="M110" s="9" t="str">
        <f>garage!M110</f>
        <v>Huracán Evo Spyder</v>
      </c>
      <c r="O110" s="45">
        <v>344</v>
      </c>
      <c r="P110" s="45">
        <v>84.31</v>
      </c>
      <c r="Q110" s="45">
        <v>75.97</v>
      </c>
      <c r="R110" s="45">
        <v>82.43</v>
      </c>
      <c r="S110" s="47">
        <f t="shared" si="3"/>
        <v>146.67750000000001</v>
      </c>
      <c r="U110" s="8">
        <v>38</v>
      </c>
    </row>
    <row r="111" spans="2:21" ht="18" customHeight="1" x14ac:dyDescent="0.2">
      <c r="B111" s="10">
        <f>garage!B111</f>
        <v>111</v>
      </c>
      <c r="C111" s="10">
        <f>garage!C111</f>
        <v>3</v>
      </c>
      <c r="D111" s="10">
        <f>garage!D111</f>
        <v>39</v>
      </c>
      <c r="E111" s="10">
        <f>garage!E111</f>
        <v>11</v>
      </c>
      <c r="F111" s="10" t="str">
        <f>garage!F111</f>
        <v>P</v>
      </c>
      <c r="G111" s="10" t="str">
        <f>garage!G111</f>
        <v>O</v>
      </c>
      <c r="H111" s="10" t="str">
        <f>garage!H111</f>
        <v>N</v>
      </c>
      <c r="I111" s="10" t="str">
        <f>garage!I111</f>
        <v>N</v>
      </c>
      <c r="J111" s="10" t="str">
        <f>garage!J150</f>
        <v>N</v>
      </c>
      <c r="K111" s="10" t="str">
        <f>garage!K111</f>
        <v>B</v>
      </c>
      <c r="L111" s="11" t="str">
        <f>garage!L111</f>
        <v>Porsche</v>
      </c>
      <c r="M111" s="11" t="str">
        <f>garage!M111</f>
        <v>Carrera GT</v>
      </c>
      <c r="O111" s="46">
        <v>347.8</v>
      </c>
      <c r="P111" s="46">
        <v>78.67</v>
      </c>
      <c r="Q111" s="46">
        <v>84.88</v>
      </c>
      <c r="R111" s="46">
        <v>82.91</v>
      </c>
      <c r="S111" s="48">
        <f t="shared" si="3"/>
        <v>148.565</v>
      </c>
      <c r="U111" s="10">
        <v>39</v>
      </c>
    </row>
    <row r="112" spans="2:21" ht="18" customHeight="1" x14ac:dyDescent="0.2">
      <c r="B112" s="8">
        <f>garage!B112</f>
        <v>112</v>
      </c>
      <c r="C112" s="8">
        <f>garage!C112</f>
        <v>3</v>
      </c>
      <c r="D112" s="8">
        <f>garage!D112</f>
        <v>40</v>
      </c>
      <c r="E112" s="8">
        <f>garage!E112</f>
        <v>22</v>
      </c>
      <c r="F112" s="8" t="str">
        <f>garage!F112</f>
        <v>--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garage!J151</f>
        <v>N</v>
      </c>
      <c r="K112" s="8" t="str">
        <f>garage!K112</f>
        <v>B</v>
      </c>
      <c r="L112" s="9" t="str">
        <f>garage!L112</f>
        <v>Nissan</v>
      </c>
      <c r="M112" s="9" t="str">
        <f>garage!M112</f>
        <v>GTR-50 Italdesign</v>
      </c>
      <c r="O112" s="45">
        <v>349.5</v>
      </c>
      <c r="P112" s="45">
        <v>86.36</v>
      </c>
      <c r="Q112" s="45">
        <v>73.86</v>
      </c>
      <c r="R112" s="45">
        <v>64.59</v>
      </c>
      <c r="S112" s="47">
        <f t="shared" si="3"/>
        <v>143.57750000000001</v>
      </c>
      <c r="U112" s="8">
        <v>40</v>
      </c>
    </row>
    <row r="113" spans="2:21" ht="18" customHeight="1" x14ac:dyDescent="0.2">
      <c r="B113" s="10">
        <f>garage!B113</f>
        <v>113</v>
      </c>
      <c r="C113" s="10">
        <f>garage!C113</f>
        <v>3</v>
      </c>
      <c r="D113" s="10">
        <f>garage!D113</f>
        <v>41</v>
      </c>
      <c r="E113" s="10">
        <f>garage!E113</f>
        <v>19</v>
      </c>
      <c r="F113" s="10" t="str">
        <f>garage!F113</f>
        <v>--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garage!J152</f>
        <v>N</v>
      </c>
      <c r="K113" s="10" t="str">
        <f>garage!K113</f>
        <v>B</v>
      </c>
      <c r="L113" s="11" t="str">
        <f>garage!L113</f>
        <v>Zenvo</v>
      </c>
      <c r="M113" s="11" t="str">
        <f>garage!M113</f>
        <v>TSR-S</v>
      </c>
      <c r="O113" s="46">
        <v>342.4</v>
      </c>
      <c r="P113" s="46">
        <v>85.38</v>
      </c>
      <c r="Q113" s="46">
        <v>82.88</v>
      </c>
      <c r="R113" s="46">
        <v>67.36</v>
      </c>
      <c r="S113" s="48">
        <f t="shared" si="3"/>
        <v>144.505</v>
      </c>
      <c r="U113" s="10">
        <v>41</v>
      </c>
    </row>
    <row r="114" spans="2:21" ht="18" customHeight="1" x14ac:dyDescent="0.2">
      <c r="B114" s="8">
        <f>garage!B114</f>
        <v>114</v>
      </c>
      <c r="C114" s="8">
        <f>garage!C114</f>
        <v>3</v>
      </c>
      <c r="D114" s="8">
        <f>garage!D114</f>
        <v>42</v>
      </c>
      <c r="E114" s="8">
        <f>garage!E114</f>
        <v>25</v>
      </c>
      <c r="F114" s="8" t="str">
        <f>garage!F114</f>
        <v>L</v>
      </c>
      <c r="G114" s="8" t="str">
        <f>garage!G114</f>
        <v>N</v>
      </c>
      <c r="H114" s="8" t="str">
        <f>garage!H114</f>
        <v>N</v>
      </c>
      <c r="I114" s="8" t="str">
        <f>garage!I114</f>
        <v>N</v>
      </c>
      <c r="J114" s="8" t="str">
        <f>garage!J153</f>
        <v>N</v>
      </c>
      <c r="K114" s="8" t="str">
        <f>garage!K114</f>
        <v>B</v>
      </c>
      <c r="L114" s="9" t="str">
        <f>garage!L114</f>
        <v>Lamborghini</v>
      </c>
      <c r="M114" s="9" t="str">
        <f>garage!M114</f>
        <v>Sesto Elemento</v>
      </c>
      <c r="O114" s="45">
        <v>346.5</v>
      </c>
      <c r="P114" s="45">
        <v>87.26</v>
      </c>
      <c r="Q114" s="45">
        <v>70.27</v>
      </c>
      <c r="R114" s="45">
        <v>74.760000000000005</v>
      </c>
      <c r="S114" s="47">
        <f t="shared" si="3"/>
        <v>144.69749999999999</v>
      </c>
      <c r="U114" s="8">
        <v>42</v>
      </c>
    </row>
    <row r="115" spans="2:21" ht="18" customHeight="1" x14ac:dyDescent="0.2">
      <c r="B115" s="10">
        <f>garage!B115</f>
        <v>115</v>
      </c>
      <c r="C115" s="10">
        <f>garage!C115</f>
        <v>3</v>
      </c>
      <c r="D115" s="10">
        <f>garage!D115</f>
        <v>43</v>
      </c>
      <c r="E115" s="10">
        <f>garage!E115</f>
        <v>7</v>
      </c>
      <c r="F115" s="10" t="str">
        <f>garage!F115</f>
        <v>P</v>
      </c>
      <c r="G115" s="10" t="str">
        <f>garage!G115</f>
        <v>O</v>
      </c>
      <c r="H115" s="10" t="str">
        <f>garage!H115</f>
        <v>N</v>
      </c>
      <c r="I115" s="10" t="str">
        <f>garage!I115</f>
        <v>N</v>
      </c>
      <c r="J115" s="10" t="str">
        <f>garage!J154</f>
        <v>N</v>
      </c>
      <c r="K115" s="10" t="str">
        <f>garage!K115</f>
        <v>B</v>
      </c>
      <c r="L115" s="11" t="str">
        <f>garage!L115</f>
        <v>Porsche</v>
      </c>
      <c r="M115" s="11" t="str">
        <f>garage!M115</f>
        <v>911 GT3 RS</v>
      </c>
      <c r="O115" s="46">
        <v>339.4</v>
      </c>
      <c r="P115" s="46">
        <v>85.84</v>
      </c>
      <c r="Q115" s="46">
        <v>92.97</v>
      </c>
      <c r="R115" s="46">
        <v>86.39</v>
      </c>
      <c r="S115" s="48">
        <f t="shared" si="3"/>
        <v>151.15</v>
      </c>
      <c r="U115" s="10">
        <v>43</v>
      </c>
    </row>
    <row r="116" spans="2:21" ht="18" customHeight="1" x14ac:dyDescent="0.2">
      <c r="B116" s="8">
        <f>garage!B116</f>
        <v>116</v>
      </c>
      <c r="C116" s="8">
        <f>garage!C116</f>
        <v>3</v>
      </c>
      <c r="D116" s="8">
        <f>garage!D116</f>
        <v>44</v>
      </c>
      <c r="E116" s="8">
        <f>garage!E116</f>
        <v>15</v>
      </c>
      <c r="F116" s="8" t="str">
        <f>garage!F116</f>
        <v>F</v>
      </c>
      <c r="G116" s="8" t="str">
        <f>garage!G116</f>
        <v>N</v>
      </c>
      <c r="H116" s="8" t="str">
        <f>garage!H116</f>
        <v>N</v>
      </c>
      <c r="I116" s="8" t="str">
        <f>garage!I116</f>
        <v>N</v>
      </c>
      <c r="J116" s="8" t="str">
        <f>garage!J155</f>
        <v>N</v>
      </c>
      <c r="K116" s="8" t="str">
        <f>garage!K116</f>
        <v>B</v>
      </c>
      <c r="L116" s="9" t="str">
        <f>garage!L116</f>
        <v>Ferrari</v>
      </c>
      <c r="M116" s="9" t="str">
        <f>garage!M116</f>
        <v>488 GTB Challenge EVO</v>
      </c>
      <c r="O116" s="45">
        <v>351.2</v>
      </c>
      <c r="P116" s="45">
        <v>82.76</v>
      </c>
      <c r="Q116" s="45">
        <v>77.11</v>
      </c>
      <c r="R116" s="45">
        <v>76.98</v>
      </c>
      <c r="S116" s="47">
        <f t="shared" si="3"/>
        <v>147.01249999999999</v>
      </c>
      <c r="U116" s="8">
        <v>44</v>
      </c>
    </row>
    <row r="117" spans="2:21" ht="18" customHeight="1" x14ac:dyDescent="0.2">
      <c r="B117" s="10">
        <f>garage!B117</f>
        <v>117</v>
      </c>
      <c r="C117" s="10">
        <f>garage!C117</f>
        <v>3</v>
      </c>
      <c r="D117" s="10">
        <f>garage!D117</f>
        <v>45</v>
      </c>
      <c r="E117" s="10">
        <f>garage!E117</f>
        <v>10</v>
      </c>
      <c r="F117" s="10" t="str">
        <f>garage!F117</f>
        <v>--</v>
      </c>
      <c r="G117" s="10" t="str">
        <f>garage!G117</f>
        <v>O</v>
      </c>
      <c r="H117" s="10" t="str">
        <f>garage!H117</f>
        <v>N</v>
      </c>
      <c r="I117" s="10" t="str">
        <f>garage!I117</f>
        <v>N</v>
      </c>
      <c r="J117" s="10" t="str">
        <f>garage!J156</f>
        <v>N</v>
      </c>
      <c r="K117" s="10" t="str">
        <f>garage!K117</f>
        <v>B</v>
      </c>
      <c r="L117" s="11" t="str">
        <f>garage!L117</f>
        <v>Lotus</v>
      </c>
      <c r="M117" s="11" t="str">
        <f>garage!M117</f>
        <v>Evija</v>
      </c>
      <c r="O117" s="46">
        <v>368.1</v>
      </c>
      <c r="P117" s="46">
        <v>81.14</v>
      </c>
      <c r="Q117" s="46">
        <v>65.02</v>
      </c>
      <c r="R117" s="46">
        <v>63.31</v>
      </c>
      <c r="S117" s="48">
        <f t="shared" si="3"/>
        <v>144.39249999999998</v>
      </c>
      <c r="U117" s="10">
        <v>45</v>
      </c>
    </row>
    <row r="118" spans="2:21" ht="18" customHeight="1" x14ac:dyDescent="0.2">
      <c r="B118" s="8">
        <f>garage!B118</f>
        <v>118</v>
      </c>
      <c r="C118" s="8">
        <f>garage!C118</f>
        <v>3</v>
      </c>
      <c r="D118" s="8">
        <f>garage!D118</f>
        <v>46</v>
      </c>
      <c r="E118" s="8">
        <f>garage!E118</f>
        <v>0</v>
      </c>
      <c r="F118" s="8" t="str">
        <f>garage!F118</f>
        <v>M</v>
      </c>
      <c r="G118" s="8" t="str">
        <f>garage!G118</f>
        <v>O</v>
      </c>
      <c r="H118" s="8" t="str">
        <f>garage!H118</f>
        <v>O</v>
      </c>
      <c r="I118" s="8" t="str">
        <f>garage!I118</f>
        <v>N</v>
      </c>
      <c r="J118" s="8" t="str">
        <f>garage!J157</f>
        <v>N</v>
      </c>
      <c r="K118" s="8" t="str">
        <f>garage!K118</f>
        <v>B</v>
      </c>
      <c r="L118" s="9" t="str">
        <f>garage!L118</f>
        <v>McLaren</v>
      </c>
      <c r="M118" s="9" t="str">
        <f>garage!M118</f>
        <v>F1 LM</v>
      </c>
      <c r="O118" s="45">
        <v>377.6</v>
      </c>
      <c r="P118" s="45">
        <v>74.66</v>
      </c>
      <c r="Q118" s="45">
        <v>66.099999999999994</v>
      </c>
      <c r="R118" s="45">
        <v>73.12</v>
      </c>
      <c r="S118" s="47">
        <f t="shared" si="3"/>
        <v>147.87</v>
      </c>
      <c r="U118" s="8">
        <v>46</v>
      </c>
    </row>
    <row r="119" spans="2:21" ht="18" customHeight="1" x14ac:dyDescent="0.2">
      <c r="B119" s="10">
        <f>garage!B119</f>
        <v>119</v>
      </c>
      <c r="C119" s="10">
        <f>garage!C119</f>
        <v>3</v>
      </c>
      <c r="D119" s="10">
        <f>garage!D119</f>
        <v>47</v>
      </c>
      <c r="E119" s="10">
        <f>garage!E119</f>
        <v>19</v>
      </c>
      <c r="F119" s="10" t="str">
        <f>garage!F119</f>
        <v>--</v>
      </c>
      <c r="G119" s="10" t="str">
        <f>garage!G119</f>
        <v>O</v>
      </c>
      <c r="H119" s="10" t="str">
        <f>garage!H119</f>
        <v>O</v>
      </c>
      <c r="I119" s="10" t="str">
        <f>garage!I119</f>
        <v>O</v>
      </c>
      <c r="J119" s="10" t="str">
        <f>garage!J158</f>
        <v>N</v>
      </c>
      <c r="K119" s="10" t="str">
        <f>garage!K119</f>
        <v>B</v>
      </c>
      <c r="L119" s="11" t="str">
        <f>garage!L119</f>
        <v>Volkswagen</v>
      </c>
      <c r="M119" s="11" t="str">
        <f>garage!M119</f>
        <v>W12 Coupe</v>
      </c>
      <c r="O119" s="46">
        <v>370.5</v>
      </c>
      <c r="P119" s="46">
        <v>79.08</v>
      </c>
      <c r="Q119" s="46">
        <v>84.44</v>
      </c>
      <c r="R119" s="46">
        <v>54.64</v>
      </c>
      <c r="S119" s="48">
        <f t="shared" si="3"/>
        <v>147.16499999999999</v>
      </c>
      <c r="U119" s="10">
        <v>47</v>
      </c>
    </row>
    <row r="120" spans="2:21" ht="18" customHeight="1" x14ac:dyDescent="0.2">
      <c r="B120" s="8">
        <f>garage!B120</f>
        <v>120</v>
      </c>
      <c r="C120" s="8">
        <f>garage!C120</f>
        <v>3</v>
      </c>
      <c r="D120" s="8">
        <f>garage!D120</f>
        <v>48</v>
      </c>
      <c r="E120" s="8">
        <f>garage!E120</f>
        <v>26</v>
      </c>
      <c r="F120" s="8" t="str">
        <f>garage!F120</f>
        <v>--</v>
      </c>
      <c r="G120" s="8" t="str">
        <f>garage!G120</f>
        <v>N</v>
      </c>
      <c r="H120" s="8" t="str">
        <f>garage!H120</f>
        <v>N</v>
      </c>
      <c r="I120" s="8" t="str">
        <f>garage!I120</f>
        <v>N</v>
      </c>
      <c r="J120" s="8" t="str">
        <f>garage!J159</f>
        <v>N</v>
      </c>
      <c r="K120" s="8" t="str">
        <f>garage!K120</f>
        <v>B</v>
      </c>
      <c r="L120" s="9" t="str">
        <f>garage!L120</f>
        <v>Pagani</v>
      </c>
      <c r="M120" s="9" t="str">
        <f>garage!M120</f>
        <v>Huayra R</v>
      </c>
      <c r="O120" s="45">
        <v>376.6</v>
      </c>
      <c r="P120" s="45">
        <v>83.17</v>
      </c>
      <c r="Q120" s="45">
        <v>58.41</v>
      </c>
      <c r="R120" s="45">
        <v>64.38</v>
      </c>
      <c r="S120" s="47">
        <f t="shared" si="3"/>
        <v>145.64000000000001</v>
      </c>
      <c r="U120" s="8">
        <v>48</v>
      </c>
    </row>
    <row r="121" spans="2:21" ht="18" customHeight="1" x14ac:dyDescent="0.2">
      <c r="B121" s="10">
        <f>garage!B121</f>
        <v>121</v>
      </c>
      <c r="C121" s="10">
        <f>garage!C121</f>
        <v>3</v>
      </c>
      <c r="D121" s="10">
        <f>garage!D121</f>
        <v>49</v>
      </c>
      <c r="E121" s="10">
        <f>garage!E121</f>
        <v>30</v>
      </c>
      <c r="F121" s="10" t="str">
        <f>garage!F121</f>
        <v>L</v>
      </c>
      <c r="G121" s="10" t="str">
        <f>garage!G121</f>
        <v>O</v>
      </c>
      <c r="H121" s="10" t="str">
        <f>garage!H121</f>
        <v>N</v>
      </c>
      <c r="I121" s="10" t="str">
        <f>garage!I121</f>
        <v>N</v>
      </c>
      <c r="J121" s="10" t="str">
        <f>garage!J160</f>
        <v>N</v>
      </c>
      <c r="K121" s="10" t="str">
        <f>garage!K121</f>
        <v>B</v>
      </c>
      <c r="L121" s="11" t="str">
        <f>garage!L121</f>
        <v>Lamborghini</v>
      </c>
      <c r="M121" s="11" t="str">
        <f>garage!M121</f>
        <v>Revuelto</v>
      </c>
      <c r="O121" s="46">
        <v>361.5</v>
      </c>
      <c r="P121" s="46">
        <v>86.36</v>
      </c>
      <c r="Q121" s="46">
        <v>76.33</v>
      </c>
      <c r="R121" s="46">
        <v>54.22</v>
      </c>
      <c r="S121" s="48">
        <f t="shared" si="3"/>
        <v>144.60250000000002</v>
      </c>
      <c r="U121" s="10">
        <v>49</v>
      </c>
    </row>
    <row r="122" spans="2:21" ht="18" customHeight="1" x14ac:dyDescent="0.2">
      <c r="B122" s="8">
        <f>garage!B122</f>
        <v>122</v>
      </c>
      <c r="C122" s="8">
        <f>garage!C122</f>
        <v>4</v>
      </c>
      <c r="D122" s="8">
        <f>garage!D122</f>
        <v>1</v>
      </c>
      <c r="E122" s="8">
        <f>garage!E122</f>
        <v>0</v>
      </c>
      <c r="F122" s="8" t="str">
        <f>garage!F122</f>
        <v>AM</v>
      </c>
      <c r="G122" s="8" t="str">
        <f>garage!G122</f>
        <v>O</v>
      </c>
      <c r="H122" s="8" t="str">
        <f>garage!H122</f>
        <v>O</v>
      </c>
      <c r="I122" s="8" t="str">
        <f>garage!I122</f>
        <v>O</v>
      </c>
      <c r="J122" s="8" t="str">
        <f>garage!J161</f>
        <v>N</v>
      </c>
      <c r="K122" s="8" t="str">
        <f>garage!K122</f>
        <v>A</v>
      </c>
      <c r="L122" s="9" t="str">
        <f>garage!L122</f>
        <v>Aston Martin</v>
      </c>
      <c r="M122" s="9" t="str">
        <f>garage!M122</f>
        <v>Vulcan</v>
      </c>
      <c r="O122" s="45">
        <v>343.5</v>
      </c>
      <c r="P122" s="45">
        <v>78.7</v>
      </c>
      <c r="Q122" s="45">
        <v>47.8</v>
      </c>
      <c r="R122" s="45">
        <v>64.790000000000006</v>
      </c>
      <c r="S122" s="47">
        <f t="shared" si="3"/>
        <v>133.69749999999999</v>
      </c>
      <c r="U122" s="8">
        <v>1</v>
      </c>
    </row>
    <row r="123" spans="2:21" ht="18" customHeight="1" x14ac:dyDescent="0.2">
      <c r="B123" s="10">
        <f>garage!B123</f>
        <v>123</v>
      </c>
      <c r="C123" s="10">
        <f>garage!C123</f>
        <v>4</v>
      </c>
      <c r="D123" s="10">
        <f>garage!D123</f>
        <v>2</v>
      </c>
      <c r="E123" s="10">
        <f>garage!E123</f>
        <v>0</v>
      </c>
      <c r="F123" s="10" t="str">
        <f>garage!F123</f>
        <v>--</v>
      </c>
      <c r="G123" s="10" t="str">
        <f>garage!G123</f>
        <v>O</v>
      </c>
      <c r="H123" s="10" t="str">
        <f>garage!H123</f>
        <v>O</v>
      </c>
      <c r="I123" s="10" t="str">
        <f>garage!I123</f>
        <v>O</v>
      </c>
      <c r="J123" s="10" t="str">
        <f>garage!J162</f>
        <v>N</v>
      </c>
      <c r="K123" s="10" t="str">
        <f>garage!K123</f>
        <v>A</v>
      </c>
      <c r="L123" s="11" t="str">
        <f>garage!L123</f>
        <v>Nissan</v>
      </c>
      <c r="M123" s="11" t="str">
        <f>garage!M123</f>
        <v>GT-R Nismo</v>
      </c>
      <c r="O123" s="46">
        <v>329.7</v>
      </c>
      <c r="P123" s="46">
        <v>84.83</v>
      </c>
      <c r="Q123" s="46">
        <v>60.69</v>
      </c>
      <c r="R123" s="46">
        <v>60.6</v>
      </c>
      <c r="S123" s="48">
        <f t="shared" si="3"/>
        <v>133.95499999999998</v>
      </c>
      <c r="U123" s="10">
        <v>2</v>
      </c>
    </row>
    <row r="124" spans="2:21" ht="18" customHeight="1" x14ac:dyDescent="0.2">
      <c r="B124" s="8">
        <f>garage!B124</f>
        <v>124</v>
      </c>
      <c r="C124" s="8">
        <f>garage!C124</f>
        <v>4</v>
      </c>
      <c r="D124" s="8">
        <f>garage!D124</f>
        <v>3</v>
      </c>
      <c r="E124" s="8">
        <f>garage!E124</f>
        <v>17</v>
      </c>
      <c r="F124" s="8" t="str">
        <f>garage!F124</f>
        <v>--</v>
      </c>
      <c r="G124" s="8" t="str">
        <f>garage!G124</f>
        <v>O</v>
      </c>
      <c r="H124" s="8" t="str">
        <f>garage!H124</f>
        <v>N</v>
      </c>
      <c r="I124" s="8" t="str">
        <f>garage!I124</f>
        <v>N</v>
      </c>
      <c r="J124" s="8" t="str">
        <f>garage!J163</f>
        <v>N</v>
      </c>
      <c r="K124" s="8" t="str">
        <f>garage!K124</f>
        <v>A</v>
      </c>
      <c r="L124" s="9" t="str">
        <f>garage!L124</f>
        <v>Nio</v>
      </c>
      <c r="M124" s="9" t="str">
        <f>garage!M124</f>
        <v>EP9</v>
      </c>
      <c r="O124" s="45">
        <v>326.10000000000002</v>
      </c>
      <c r="P124" s="45">
        <v>83.03</v>
      </c>
      <c r="Q124" s="45">
        <v>70.489999999999995</v>
      </c>
      <c r="R124" s="45">
        <v>68.680000000000007</v>
      </c>
      <c r="S124" s="47">
        <f t="shared" si="3"/>
        <v>137.07499999999999</v>
      </c>
      <c r="U124" s="8">
        <v>3</v>
      </c>
    </row>
    <row r="125" spans="2:21" ht="18" customHeight="1" x14ac:dyDescent="0.2">
      <c r="B125" s="10">
        <f>garage!B125</f>
        <v>125</v>
      </c>
      <c r="C125" s="10">
        <f>garage!C125</f>
        <v>4</v>
      </c>
      <c r="D125" s="10">
        <f>garage!D125</f>
        <v>4</v>
      </c>
      <c r="E125" s="10">
        <f>garage!E125</f>
        <v>0</v>
      </c>
      <c r="F125" s="10" t="str">
        <f>garage!F125</f>
        <v>F</v>
      </c>
      <c r="G125" s="10" t="str">
        <f>garage!G125</f>
        <v>O</v>
      </c>
      <c r="H125" s="10" t="str">
        <f>garage!H125</f>
        <v>O</v>
      </c>
      <c r="I125" s="10" t="str">
        <f>garage!I125</f>
        <v>O</v>
      </c>
      <c r="J125" s="10" t="str">
        <f>garage!J164</f>
        <v>N</v>
      </c>
      <c r="K125" s="10" t="str">
        <f>garage!K125</f>
        <v>A</v>
      </c>
      <c r="L125" s="11" t="str">
        <f>garage!L125</f>
        <v>Ferrari</v>
      </c>
      <c r="M125" s="11" t="str">
        <f>garage!M125</f>
        <v>J50</v>
      </c>
      <c r="O125" s="46">
        <v>350.6</v>
      </c>
      <c r="P125" s="46">
        <v>80.41</v>
      </c>
      <c r="Q125" s="46">
        <v>48.37</v>
      </c>
      <c r="R125" s="46">
        <v>64.650000000000006</v>
      </c>
      <c r="S125" s="48">
        <f t="shared" si="3"/>
        <v>136.00749999999999</v>
      </c>
      <c r="U125" s="10">
        <v>4</v>
      </c>
    </row>
    <row r="126" spans="2:21" ht="18" customHeight="1" x14ac:dyDescent="0.2">
      <c r="B126" s="8">
        <f>garage!B126</f>
        <v>126</v>
      </c>
      <c r="C126" s="8">
        <f>garage!C126</f>
        <v>4</v>
      </c>
      <c r="D126" s="8">
        <f>garage!D126</f>
        <v>5</v>
      </c>
      <c r="E126" s="8">
        <f>garage!E126</f>
        <v>0</v>
      </c>
      <c r="F126" s="8" t="str">
        <f>garage!F126</f>
        <v>--</v>
      </c>
      <c r="G126" s="8" t="str">
        <f>garage!G126</f>
        <v>O</v>
      </c>
      <c r="H126" s="8" t="str">
        <f>garage!H126</f>
        <v>O</v>
      </c>
      <c r="I126" s="8" t="str">
        <f>garage!I126</f>
        <v>O</v>
      </c>
      <c r="J126" s="8" t="str">
        <f>garage!J165</f>
        <v>N</v>
      </c>
      <c r="K126" s="8" t="str">
        <f>garage!K126</f>
        <v>A</v>
      </c>
      <c r="L126" s="9" t="str">
        <f>garage!L126</f>
        <v>Dodge</v>
      </c>
      <c r="M126" s="9" t="str">
        <f>garage!M126</f>
        <v>Viper GTS</v>
      </c>
      <c r="O126" s="45">
        <v>353.5</v>
      </c>
      <c r="P126" s="45">
        <v>80.33</v>
      </c>
      <c r="Q126" s="45">
        <v>45.29</v>
      </c>
      <c r="R126" s="45">
        <v>67.55</v>
      </c>
      <c r="S126" s="47">
        <f t="shared" si="3"/>
        <v>136.66749999999999</v>
      </c>
      <c r="U126" s="8">
        <v>5</v>
      </c>
    </row>
    <row r="127" spans="2:21" ht="18" customHeight="1" x14ac:dyDescent="0.2">
      <c r="B127" s="10">
        <f>garage!B127</f>
        <v>127</v>
      </c>
      <c r="C127" s="10">
        <f>garage!C127</f>
        <v>4</v>
      </c>
      <c r="D127" s="10">
        <f>garage!D127</f>
        <v>6</v>
      </c>
      <c r="E127" s="10">
        <f>garage!E127</f>
        <v>26</v>
      </c>
      <c r="F127" s="10" t="str">
        <f>garage!F127</f>
        <v>--</v>
      </c>
      <c r="G127" s="10" t="str">
        <f>garage!G127</f>
        <v>N</v>
      </c>
      <c r="H127" s="10" t="str">
        <f>garage!H127</f>
        <v>N</v>
      </c>
      <c r="I127" s="10" t="str">
        <f>garage!I127</f>
        <v>N</v>
      </c>
      <c r="J127" s="10" t="str">
        <f>garage!J166</f>
        <v>N</v>
      </c>
      <c r="K127" s="10" t="str">
        <f>garage!K127</f>
        <v>A</v>
      </c>
      <c r="L127" s="11" t="str">
        <f>garage!L127</f>
        <v>Bentley</v>
      </c>
      <c r="M127" s="11" t="str">
        <f>garage!M127</f>
        <v>Continental GT Speed</v>
      </c>
      <c r="O127" s="46">
        <v>348.3</v>
      </c>
      <c r="P127" s="46">
        <v>76.55</v>
      </c>
      <c r="Q127" s="46">
        <v>74.23</v>
      </c>
      <c r="R127" s="46">
        <v>59.35</v>
      </c>
      <c r="S127" s="48">
        <f t="shared" si="3"/>
        <v>139.60750000000002</v>
      </c>
      <c r="U127" s="10">
        <v>6</v>
      </c>
    </row>
    <row r="128" spans="2:21" ht="18" customHeight="1" x14ac:dyDescent="0.2">
      <c r="B128" s="8">
        <f>garage!B128</f>
        <v>128</v>
      </c>
      <c r="C128" s="8">
        <f>garage!C128</f>
        <v>4</v>
      </c>
      <c r="D128" s="8">
        <f>garage!D128</f>
        <v>7</v>
      </c>
      <c r="E128" s="8">
        <f>garage!E128</f>
        <v>0</v>
      </c>
      <c r="F128" s="8" t="str">
        <f>garage!F128</f>
        <v>F</v>
      </c>
      <c r="G128" s="8" t="str">
        <f>garage!G128</f>
        <v>O</v>
      </c>
      <c r="H128" s="8" t="str">
        <f>garage!H128</f>
        <v>O</v>
      </c>
      <c r="I128" s="8" t="str">
        <f>garage!I128</f>
        <v>O</v>
      </c>
      <c r="J128" s="8" t="str">
        <f>garage!J167</f>
        <v>N</v>
      </c>
      <c r="K128" s="8" t="str">
        <f>garage!K128</f>
        <v>A</v>
      </c>
      <c r="L128" s="9" t="str">
        <f>garage!L128</f>
        <v>Ferrari</v>
      </c>
      <c r="M128" s="9" t="str">
        <f>garage!M128</f>
        <v>LaFerrari</v>
      </c>
      <c r="O128" s="45">
        <v>364.6</v>
      </c>
      <c r="P128" s="45">
        <v>80.23</v>
      </c>
      <c r="Q128" s="45">
        <v>43.06</v>
      </c>
      <c r="R128" s="45">
        <v>71.400000000000006</v>
      </c>
      <c r="S128" s="47">
        <f t="shared" si="3"/>
        <v>139.82250000000002</v>
      </c>
      <c r="U128" s="8">
        <v>7</v>
      </c>
    </row>
    <row r="129" spans="2:21" ht="18" customHeight="1" x14ac:dyDescent="0.2">
      <c r="B129" s="10">
        <f>garage!B129</f>
        <v>129</v>
      </c>
      <c r="C129" s="10">
        <f>garage!C129</f>
        <v>4</v>
      </c>
      <c r="D129" s="10">
        <f>garage!D129</f>
        <v>8</v>
      </c>
      <c r="E129" s="10">
        <f>garage!E129</f>
        <v>0</v>
      </c>
      <c r="F129" s="10" t="str">
        <f>garage!F129</f>
        <v>M</v>
      </c>
      <c r="G129" s="10" t="str">
        <f>garage!G129</f>
        <v>O</v>
      </c>
      <c r="H129" s="10" t="str">
        <f>garage!H129</f>
        <v>O</v>
      </c>
      <c r="I129" s="10" t="str">
        <f>garage!I129</f>
        <v>O</v>
      </c>
      <c r="J129" s="10" t="str">
        <f>garage!J168</f>
        <v>N</v>
      </c>
      <c r="K129" s="10" t="str">
        <f>garage!K129</f>
        <v>A</v>
      </c>
      <c r="L129" s="11" t="str">
        <f>garage!L129</f>
        <v>McLaren</v>
      </c>
      <c r="M129" s="11" t="str">
        <f>garage!M129</f>
        <v>P1</v>
      </c>
      <c r="O129" s="46">
        <v>364.6</v>
      </c>
      <c r="P129" s="46">
        <v>83.64</v>
      </c>
      <c r="Q129" s="46">
        <v>47.53</v>
      </c>
      <c r="R129" s="46">
        <v>62.89</v>
      </c>
      <c r="S129" s="48">
        <f t="shared" si="3"/>
        <v>139.66499999999999</v>
      </c>
      <c r="U129" s="10">
        <v>8</v>
      </c>
    </row>
    <row r="130" spans="2:21" ht="18" customHeight="1" x14ac:dyDescent="0.2">
      <c r="B130" s="8">
        <f>garage!B130</f>
        <v>130</v>
      </c>
      <c r="C130" s="8">
        <f>garage!C130</f>
        <v>4</v>
      </c>
      <c r="D130" s="8">
        <f>garage!D130</f>
        <v>9</v>
      </c>
      <c r="E130" s="8">
        <f>garage!E130</f>
        <v>20</v>
      </c>
      <c r="F130" s="8" t="str">
        <f>garage!F130</f>
        <v>--</v>
      </c>
      <c r="G130" s="8" t="str">
        <f>garage!G130</f>
        <v>N</v>
      </c>
      <c r="H130" s="8" t="str">
        <f>garage!H130</f>
        <v>N</v>
      </c>
      <c r="I130" s="8" t="str">
        <f>garage!I130</f>
        <v>N</v>
      </c>
      <c r="J130" s="8" t="str">
        <f>garage!J169</f>
        <v>N</v>
      </c>
      <c r="K130" s="8" t="str">
        <f>garage!K130</f>
        <v>A</v>
      </c>
      <c r="L130" s="9" t="str">
        <f>garage!L130</f>
        <v>Pagani</v>
      </c>
      <c r="M130" s="9" t="str">
        <f>garage!M130</f>
        <v>Zonda HP Barchetta</v>
      </c>
      <c r="O130" s="45">
        <v>350.1</v>
      </c>
      <c r="P130" s="45">
        <v>79.430000000000007</v>
      </c>
      <c r="Q130" s="45">
        <v>73.540000000000006</v>
      </c>
      <c r="R130" s="45">
        <v>73.67</v>
      </c>
      <c r="S130" s="47">
        <f t="shared" si="3"/>
        <v>144.185</v>
      </c>
      <c r="U130" s="8">
        <v>9</v>
      </c>
    </row>
    <row r="131" spans="2:21" ht="18" customHeight="1" x14ac:dyDescent="0.2">
      <c r="B131" s="10">
        <f>garage!B131</f>
        <v>131</v>
      </c>
      <c r="C131" s="10">
        <f>garage!C131</f>
        <v>4</v>
      </c>
      <c r="D131" s="10">
        <f>garage!D131</f>
        <v>10</v>
      </c>
      <c r="E131" s="10">
        <f>garage!E131</f>
        <v>0</v>
      </c>
      <c r="F131" s="10" t="str">
        <f>garage!F131</f>
        <v>L</v>
      </c>
      <c r="G131" s="10" t="str">
        <f>garage!G131</f>
        <v>O</v>
      </c>
      <c r="H131" s="10" t="str">
        <f>garage!H131</f>
        <v>O</v>
      </c>
      <c r="I131" s="10" t="str">
        <f>garage!I131</f>
        <v>O</v>
      </c>
      <c r="J131" s="10" t="str">
        <f>garage!J170</f>
        <v>N</v>
      </c>
      <c r="K131" s="10" t="str">
        <f>garage!K131</f>
        <v>A</v>
      </c>
      <c r="L131" s="11" t="str">
        <f>garage!L131</f>
        <v>Lamborghini</v>
      </c>
      <c r="M131" s="11" t="str">
        <f>garage!M131</f>
        <v>Aventador SV Coupé</v>
      </c>
      <c r="O131" s="46">
        <v>367.9</v>
      </c>
      <c r="P131" s="46">
        <v>80.83</v>
      </c>
      <c r="Q131" s="46">
        <v>50.14</v>
      </c>
      <c r="R131" s="46">
        <v>70.599999999999994</v>
      </c>
      <c r="S131" s="48">
        <f t="shared" si="3"/>
        <v>142.36749999999998</v>
      </c>
      <c r="U131" s="10">
        <v>10</v>
      </c>
    </row>
    <row r="132" spans="2:21" ht="18" customHeight="1" x14ac:dyDescent="0.2">
      <c r="B132" s="8">
        <f>garage!B132</f>
        <v>132</v>
      </c>
      <c r="C132" s="8">
        <f>garage!C132</f>
        <v>4</v>
      </c>
      <c r="D132" s="8">
        <f>garage!D132</f>
        <v>11</v>
      </c>
      <c r="E132" s="8">
        <f>garage!E132</f>
        <v>6</v>
      </c>
      <c r="F132" s="8" t="str">
        <f>garage!F132</f>
        <v>F</v>
      </c>
      <c r="G132" s="8" t="str">
        <f>garage!G132</f>
        <v>O</v>
      </c>
      <c r="H132" s="8" t="str">
        <f>garage!H132</f>
        <v>O</v>
      </c>
      <c r="I132" s="8" t="str">
        <f>garage!I132</f>
        <v>O</v>
      </c>
      <c r="J132" s="8" t="str">
        <f>garage!J171</f>
        <v>N</v>
      </c>
      <c r="K132" s="8" t="str">
        <f>garage!K132</f>
        <v>A</v>
      </c>
      <c r="L132" s="9" t="str">
        <f>garage!L132</f>
        <v>Ferrari</v>
      </c>
      <c r="M132" s="9" t="str">
        <f>garage!M132</f>
        <v>812 Superfast</v>
      </c>
      <c r="O132" s="45">
        <v>353.6</v>
      </c>
      <c r="P132" s="45">
        <v>81.13</v>
      </c>
      <c r="Q132" s="45">
        <v>63.17</v>
      </c>
      <c r="R132" s="45">
        <v>74.36</v>
      </c>
      <c r="S132" s="47">
        <f t="shared" si="3"/>
        <v>143.065</v>
      </c>
      <c r="U132" s="8">
        <v>11</v>
      </c>
    </row>
    <row r="133" spans="2:21" ht="18" customHeight="1" x14ac:dyDescent="0.2">
      <c r="B133" s="10">
        <f>garage!B133</f>
        <v>133</v>
      </c>
      <c r="C133" s="10">
        <f>garage!C133</f>
        <v>4</v>
      </c>
      <c r="D133" s="10">
        <f>garage!D133</f>
        <v>12</v>
      </c>
      <c r="E133" s="10">
        <f>garage!E133</f>
        <v>0</v>
      </c>
      <c r="F133" s="10" t="str">
        <f>garage!F133</f>
        <v>C</v>
      </c>
      <c r="G133" s="10" t="str">
        <f>garage!G133</f>
        <v>O</v>
      </c>
      <c r="H133" s="10" t="str">
        <f>garage!H133</f>
        <v>O</v>
      </c>
      <c r="I133" s="10" t="str">
        <f>garage!I133</f>
        <v>N</v>
      </c>
      <c r="J133" s="10" t="str">
        <f>garage!J172</f>
        <v>N</v>
      </c>
      <c r="K133" s="10" t="str">
        <f>garage!K133</f>
        <v>A</v>
      </c>
      <c r="L133" s="11" t="str">
        <f>garage!L133</f>
        <v>Chevrolet</v>
      </c>
      <c r="M133" s="11" t="str">
        <f>garage!M133</f>
        <v>Corvette ZR1</v>
      </c>
      <c r="O133" s="46">
        <v>355.4</v>
      </c>
      <c r="P133" s="46">
        <v>82.03</v>
      </c>
      <c r="Q133" s="46">
        <v>60.09</v>
      </c>
      <c r="R133" s="46">
        <v>76.33</v>
      </c>
      <c r="S133" s="48">
        <f t="shared" si="3"/>
        <v>143.46250000000001</v>
      </c>
      <c r="U133" s="10">
        <v>12</v>
      </c>
    </row>
    <row r="134" spans="2:21" ht="18" customHeight="1" x14ac:dyDescent="0.2">
      <c r="B134" s="8">
        <f>garage!B134</f>
        <v>134</v>
      </c>
      <c r="C134" s="8">
        <f>garage!C134</f>
        <v>4</v>
      </c>
      <c r="D134" s="8">
        <f>garage!D134</f>
        <v>13</v>
      </c>
      <c r="E134" s="8">
        <f>garage!E134</f>
        <v>14</v>
      </c>
      <c r="F134" s="8" t="str">
        <f>garage!F134</f>
        <v>--</v>
      </c>
      <c r="G134" s="8" t="str">
        <f>garage!G134</f>
        <v>O</v>
      </c>
      <c r="H134" s="8" t="str">
        <f>garage!H134</f>
        <v>N</v>
      </c>
      <c r="I134" s="8" t="str">
        <f>garage!I134</f>
        <v>N</v>
      </c>
      <c r="J134" s="8" t="str">
        <f>garage!J173</f>
        <v>N</v>
      </c>
      <c r="K134" s="8" t="str">
        <f>garage!K134</f>
        <v>A</v>
      </c>
      <c r="L134" s="9" t="str">
        <f>garage!L134</f>
        <v>Jaguar</v>
      </c>
      <c r="M134" s="9" t="str">
        <f>garage!M134</f>
        <v>C-X75</v>
      </c>
      <c r="O134" s="45">
        <v>369.2</v>
      </c>
      <c r="P134" s="45">
        <v>75.540000000000006</v>
      </c>
      <c r="Q134" s="45">
        <v>73.17</v>
      </c>
      <c r="R134" s="45">
        <v>74.12</v>
      </c>
      <c r="S134" s="47">
        <f t="shared" si="3"/>
        <v>148.00749999999999</v>
      </c>
      <c r="U134" s="8">
        <v>13</v>
      </c>
    </row>
    <row r="135" spans="2:21" ht="18" customHeight="1" x14ac:dyDescent="0.2">
      <c r="B135" s="10">
        <f>garage!B135</f>
        <v>135</v>
      </c>
      <c r="C135" s="10">
        <f>garage!C135</f>
        <v>4</v>
      </c>
      <c r="D135" s="10">
        <f>garage!D135</f>
        <v>14</v>
      </c>
      <c r="E135" s="10">
        <f>garage!E135</f>
        <v>0</v>
      </c>
      <c r="F135" s="10" t="str">
        <f>garage!F135</f>
        <v>--</v>
      </c>
      <c r="G135" s="10" t="str">
        <f>garage!G135</f>
        <v>O</v>
      </c>
      <c r="H135" s="10" t="str">
        <f>garage!H135</f>
        <v>O</v>
      </c>
      <c r="I135" s="10" t="str">
        <f>garage!I135</f>
        <v>O</v>
      </c>
      <c r="J135" s="10" t="str">
        <f>garage!J174</f>
        <v>N</v>
      </c>
      <c r="K135" s="10" t="str">
        <f>garage!K135</f>
        <v>A</v>
      </c>
      <c r="L135" s="11" t="str">
        <f>garage!L135</f>
        <v>VLF</v>
      </c>
      <c r="M135" s="11" t="str">
        <f>garage!M135</f>
        <v>Force 1 V10</v>
      </c>
      <c r="O135" s="46">
        <v>368.8</v>
      </c>
      <c r="P135" s="46">
        <v>80.33</v>
      </c>
      <c r="Q135" s="46">
        <v>54.68</v>
      </c>
      <c r="R135" s="46">
        <v>74.62</v>
      </c>
      <c r="S135" s="48">
        <f t="shared" si="3"/>
        <v>144.60750000000002</v>
      </c>
      <c r="U135" s="10">
        <v>14</v>
      </c>
    </row>
    <row r="136" spans="2:21" ht="18" customHeight="1" x14ac:dyDescent="0.2">
      <c r="B136" s="8">
        <f>garage!B136</f>
        <v>136</v>
      </c>
      <c r="C136" s="8">
        <f>garage!C136</f>
        <v>4</v>
      </c>
      <c r="D136" s="8">
        <f>garage!D136</f>
        <v>15</v>
      </c>
      <c r="E136" s="8">
        <f>garage!E136</f>
        <v>23</v>
      </c>
      <c r="F136" s="8" t="str">
        <f>garage!F136</f>
        <v>M</v>
      </c>
      <c r="G136" s="8" t="str">
        <f>garage!G136</f>
        <v>O</v>
      </c>
      <c r="H136" s="8" t="str">
        <f>garage!H136</f>
        <v>N</v>
      </c>
      <c r="I136" s="8" t="str">
        <f>garage!I136</f>
        <v>N</v>
      </c>
      <c r="J136" s="8" t="str">
        <f>garage!J175</f>
        <v>N</v>
      </c>
      <c r="K136" s="8" t="str">
        <f>garage!K136</f>
        <v>A</v>
      </c>
      <c r="L136" s="9" t="str">
        <f>garage!L136</f>
        <v>McLaren</v>
      </c>
      <c r="M136" s="9" t="str">
        <f>garage!M136</f>
        <v>Senna GTR</v>
      </c>
      <c r="O136" s="45">
        <v>358</v>
      </c>
      <c r="P136" s="45">
        <v>82.03</v>
      </c>
      <c r="Q136" s="45">
        <v>60.84</v>
      </c>
      <c r="R136" s="45">
        <v>77.62</v>
      </c>
      <c r="S136" s="47">
        <f t="shared" si="3"/>
        <v>144.6225</v>
      </c>
      <c r="U136" s="8">
        <v>15</v>
      </c>
    </row>
    <row r="137" spans="2:21" ht="18" customHeight="1" x14ac:dyDescent="0.2">
      <c r="B137" s="10">
        <f>garage!B137</f>
        <v>137</v>
      </c>
      <c r="C137" s="10">
        <f>garage!C137</f>
        <v>4</v>
      </c>
      <c r="D137" s="10">
        <f>garage!D137</f>
        <v>16</v>
      </c>
      <c r="E137" s="10">
        <f>garage!E137</f>
        <v>20</v>
      </c>
      <c r="F137" s="10" t="str">
        <f>garage!F137</f>
        <v>L</v>
      </c>
      <c r="G137" s="10" t="str">
        <f>garage!G137</f>
        <v>N</v>
      </c>
      <c r="H137" s="10" t="str">
        <f>garage!H137</f>
        <v>N</v>
      </c>
      <c r="I137" s="10" t="str">
        <f>garage!I137</f>
        <v>N</v>
      </c>
      <c r="J137" s="10" t="str">
        <f>garage!J176</f>
        <v>N</v>
      </c>
      <c r="K137" s="10" t="str">
        <f>garage!K137</f>
        <v>A</v>
      </c>
      <c r="L137" s="11" t="str">
        <f>garage!L137</f>
        <v>Lamborghini</v>
      </c>
      <c r="M137" s="11" t="str">
        <f>garage!M137</f>
        <v>Aventador SVJ Roadster</v>
      </c>
      <c r="O137" s="46">
        <v>364.7</v>
      </c>
      <c r="P137" s="46">
        <v>81.13</v>
      </c>
      <c r="Q137" s="46">
        <v>73.73</v>
      </c>
      <c r="R137" s="46">
        <v>73.930000000000007</v>
      </c>
      <c r="S137" s="48">
        <f t="shared" si="3"/>
        <v>148.3725</v>
      </c>
      <c r="U137" s="10">
        <v>16</v>
      </c>
    </row>
    <row r="138" spans="2:21" ht="18" customHeight="1" x14ac:dyDescent="0.2">
      <c r="B138" s="8">
        <f>garage!B138</f>
        <v>138</v>
      </c>
      <c r="C138" s="8">
        <f>garage!C138</f>
        <v>4</v>
      </c>
      <c r="D138" s="8">
        <f>garage!D138</f>
        <v>17</v>
      </c>
      <c r="E138" s="8">
        <f>garage!E138</f>
        <v>8</v>
      </c>
      <c r="F138" s="8" t="str">
        <f>garage!F138</f>
        <v>--</v>
      </c>
      <c r="G138" s="8" t="str">
        <f>garage!G138</f>
        <v>O</v>
      </c>
      <c r="H138" s="8" t="str">
        <f>garage!H138</f>
        <v>O</v>
      </c>
      <c r="I138" s="8" t="str">
        <f>garage!I138</f>
        <v>O</v>
      </c>
      <c r="J138" s="8" t="str">
        <f>garage!J177</f>
        <v>N</v>
      </c>
      <c r="K138" s="8" t="str">
        <f>garage!K138</f>
        <v>A</v>
      </c>
      <c r="L138" s="9" t="str">
        <f>garage!L138</f>
        <v>Vanda Electrics</v>
      </c>
      <c r="M138" s="9" t="str">
        <f>garage!M138</f>
        <v>Dendrobium</v>
      </c>
      <c r="O138" s="45">
        <v>339.9</v>
      </c>
      <c r="P138" s="45">
        <v>86.24</v>
      </c>
      <c r="Q138" s="45">
        <v>95.92</v>
      </c>
      <c r="R138" s="45">
        <v>84.9</v>
      </c>
      <c r="S138" s="47">
        <f t="shared" si="3"/>
        <v>151.73999999999998</v>
      </c>
      <c r="U138" s="8">
        <v>17</v>
      </c>
    </row>
    <row r="139" spans="2:21" ht="18" customHeight="1" x14ac:dyDescent="0.2">
      <c r="B139" s="10">
        <f>garage!B139</f>
        <v>139</v>
      </c>
      <c r="C139" s="10">
        <f>garage!C139</f>
        <v>4</v>
      </c>
      <c r="D139" s="10">
        <f>garage!D139</f>
        <v>18</v>
      </c>
      <c r="E139" s="10">
        <f>garage!E139</f>
        <v>0</v>
      </c>
      <c r="F139" s="10" t="str">
        <f>garage!F139</f>
        <v>P</v>
      </c>
      <c r="G139" s="10" t="str">
        <f>garage!G139</f>
        <v>O</v>
      </c>
      <c r="H139" s="10" t="str">
        <f>garage!H139</f>
        <v>O</v>
      </c>
      <c r="I139" s="10" t="str">
        <f>garage!I139</f>
        <v>O</v>
      </c>
      <c r="J139" s="10" t="str">
        <f>garage!J178</f>
        <v>N</v>
      </c>
      <c r="K139" s="10" t="str">
        <f>garage!K139</f>
        <v>A</v>
      </c>
      <c r="L139" s="11" t="str">
        <f>garage!L139</f>
        <v>Porsche</v>
      </c>
      <c r="M139" s="11" t="str">
        <f>garage!M139</f>
        <v>918 Spyder</v>
      </c>
      <c r="O139" s="46">
        <v>362.4</v>
      </c>
      <c r="P139" s="46">
        <v>83.02</v>
      </c>
      <c r="Q139" s="46">
        <v>51.79</v>
      </c>
      <c r="R139" s="46">
        <v>79.959999999999994</v>
      </c>
      <c r="S139" s="48">
        <f t="shared" si="3"/>
        <v>144.29249999999999</v>
      </c>
      <c r="U139" s="10">
        <v>18</v>
      </c>
    </row>
    <row r="140" spans="2:21" ht="18" customHeight="1" x14ac:dyDescent="0.2">
      <c r="B140" s="8">
        <f>garage!B140</f>
        <v>140</v>
      </c>
      <c r="C140" s="8">
        <f>garage!C140</f>
        <v>4</v>
      </c>
      <c r="D140" s="8">
        <f>garage!D140</f>
        <v>19</v>
      </c>
      <c r="E140" s="8">
        <f>garage!E140</f>
        <v>28</v>
      </c>
      <c r="F140" s="8" t="str">
        <f>garage!F140</f>
        <v>--</v>
      </c>
      <c r="G140" s="8" t="str">
        <f>garage!G140</f>
        <v>N</v>
      </c>
      <c r="H140" s="8" t="str">
        <f>garage!H140</f>
        <v>N</v>
      </c>
      <c r="I140" s="8" t="str">
        <f>garage!I140</f>
        <v>N</v>
      </c>
      <c r="J140" s="8" t="str">
        <f>garage!J179</f>
        <v>N</v>
      </c>
      <c r="K140" s="8" t="str">
        <f>garage!K140</f>
        <v>A</v>
      </c>
      <c r="L140" s="9" t="str">
        <f>garage!L140</f>
        <v>Peugeot</v>
      </c>
      <c r="M140" s="9" t="str">
        <f>garage!M140</f>
        <v>9X8</v>
      </c>
      <c r="O140" s="45">
        <v>344.3</v>
      </c>
      <c r="P140" s="45">
        <v>90.03</v>
      </c>
      <c r="Q140" s="45">
        <v>94.15</v>
      </c>
      <c r="R140" s="45">
        <v>69.94</v>
      </c>
      <c r="S140" s="47">
        <f t="shared" si="3"/>
        <v>149.60500000000002</v>
      </c>
      <c r="U140" s="8">
        <v>19</v>
      </c>
    </row>
    <row r="141" spans="2:21" ht="18" customHeight="1" x14ac:dyDescent="0.2">
      <c r="B141" s="10">
        <f>garage!B141</f>
        <v>141</v>
      </c>
      <c r="C141" s="10">
        <f>garage!C141</f>
        <v>4</v>
      </c>
      <c r="D141" s="10">
        <f>garage!D141</f>
        <v>20</v>
      </c>
      <c r="E141" s="10">
        <f>garage!E141</f>
        <v>0</v>
      </c>
      <c r="F141" s="10" t="str">
        <f>garage!F141</f>
        <v>M</v>
      </c>
      <c r="G141" s="10" t="str">
        <f>garage!G141</f>
        <v>O</v>
      </c>
      <c r="H141" s="10" t="str">
        <f>garage!H141</f>
        <v>O</v>
      </c>
      <c r="I141" s="10" t="str">
        <f>garage!I141</f>
        <v>O</v>
      </c>
      <c r="J141" s="10" t="str">
        <f>garage!J180</f>
        <v>N</v>
      </c>
      <c r="K141" s="10" t="str">
        <f>garage!K141</f>
        <v>A</v>
      </c>
      <c r="L141" s="11" t="str">
        <f>garage!L141</f>
        <v>McLaren</v>
      </c>
      <c r="M141" s="11" t="str">
        <f>garage!M141</f>
        <v>570S Spider</v>
      </c>
      <c r="O141" s="46">
        <v>377.2</v>
      </c>
      <c r="P141" s="46">
        <v>79.23</v>
      </c>
      <c r="Q141" s="46">
        <v>66.06</v>
      </c>
      <c r="R141" s="46">
        <v>64.75</v>
      </c>
      <c r="S141" s="48">
        <f t="shared" si="3"/>
        <v>146.81</v>
      </c>
      <c r="U141" s="10">
        <v>20</v>
      </c>
    </row>
    <row r="142" spans="2:21" ht="18" customHeight="1" x14ac:dyDescent="0.2">
      <c r="B142" s="8">
        <f>garage!B142</f>
        <v>142</v>
      </c>
      <c r="C142" s="8">
        <f>garage!C142</f>
        <v>4</v>
      </c>
      <c r="D142" s="8">
        <f>garage!D142</f>
        <v>21</v>
      </c>
      <c r="E142" s="8">
        <f>garage!E142</f>
        <v>0</v>
      </c>
      <c r="F142" s="8" t="str">
        <f>garage!F142</f>
        <v>L</v>
      </c>
      <c r="G142" s="8" t="str">
        <f>garage!G142</f>
        <v>O</v>
      </c>
      <c r="H142" s="8" t="str">
        <f>garage!H142</f>
        <v>O</v>
      </c>
      <c r="I142" s="8" t="str">
        <f>garage!I142</f>
        <v>O</v>
      </c>
      <c r="J142" s="8" t="str">
        <f>garage!J181</f>
        <v>N</v>
      </c>
      <c r="K142" s="8" t="str">
        <f>garage!K142</f>
        <v>A</v>
      </c>
      <c r="L142" s="9" t="str">
        <f>garage!L142</f>
        <v>Lamborghini</v>
      </c>
      <c r="M142" s="9" t="str">
        <f>garage!M142</f>
        <v>Aventador J</v>
      </c>
      <c r="O142" s="45">
        <v>363.8</v>
      </c>
      <c r="P142" s="45">
        <v>79.83</v>
      </c>
      <c r="Q142" s="45">
        <v>73.099999999999994</v>
      </c>
      <c r="R142" s="45">
        <v>77.86</v>
      </c>
      <c r="S142" s="47">
        <f t="shared" ref="S142:S162" si="4">AVERAGE(O142:R142)</f>
        <v>148.64750000000001</v>
      </c>
      <c r="U142" s="8">
        <v>21</v>
      </c>
    </row>
    <row r="143" spans="2:21" ht="18" customHeight="1" x14ac:dyDescent="0.2">
      <c r="B143" s="10">
        <f>garage!B143</f>
        <v>143</v>
      </c>
      <c r="C143" s="10">
        <f>garage!C143</f>
        <v>4</v>
      </c>
      <c r="D143" s="10">
        <f>garage!D143</f>
        <v>22</v>
      </c>
      <c r="E143" s="10">
        <f>garage!E143</f>
        <v>16</v>
      </c>
      <c r="F143" s="10" t="str">
        <f>garage!F143</f>
        <v>--</v>
      </c>
      <c r="G143" s="10" t="str">
        <f>garage!G143</f>
        <v>O</v>
      </c>
      <c r="H143" s="10" t="str">
        <f>garage!H143</f>
        <v>N</v>
      </c>
      <c r="I143" s="10" t="str">
        <f>garage!I143</f>
        <v>N</v>
      </c>
      <c r="J143" s="10" t="str">
        <f>garage!J182</f>
        <v>N</v>
      </c>
      <c r="K143" s="10" t="str">
        <f>garage!K143</f>
        <v>A</v>
      </c>
      <c r="L143" s="11" t="str">
        <f>garage!L143</f>
        <v>Peugeot</v>
      </c>
      <c r="M143" s="11" t="str">
        <f>garage!M143</f>
        <v>Onyx</v>
      </c>
      <c r="O143" s="46">
        <v>370.6</v>
      </c>
      <c r="P143" s="46">
        <v>81.93</v>
      </c>
      <c r="Q143" s="46">
        <v>84.82</v>
      </c>
      <c r="R143" s="46">
        <v>59.61</v>
      </c>
      <c r="S143" s="48">
        <f t="shared" si="4"/>
        <v>149.24</v>
      </c>
      <c r="U143" s="10">
        <v>22</v>
      </c>
    </row>
    <row r="144" spans="2:21" ht="18" customHeight="1" x14ac:dyDescent="0.2">
      <c r="B144" s="8">
        <f>garage!B144</f>
        <v>144</v>
      </c>
      <c r="C144" s="8">
        <f>garage!C144</f>
        <v>4</v>
      </c>
      <c r="D144" s="8">
        <f>garage!D144</f>
        <v>23</v>
      </c>
      <c r="E144" s="8">
        <f>garage!E144</f>
        <v>22</v>
      </c>
      <c r="F144" s="8" t="str">
        <f>garage!F144</f>
        <v>--</v>
      </c>
      <c r="G144" s="8" t="str">
        <f>garage!G144</f>
        <v>N</v>
      </c>
      <c r="H144" s="8" t="str">
        <f>garage!H144</f>
        <v>N</v>
      </c>
      <c r="I144" s="8" t="str">
        <f>garage!I144</f>
        <v>N</v>
      </c>
      <c r="J144" s="8" t="str">
        <f>garage!J183</f>
        <v>N</v>
      </c>
      <c r="K144" s="8" t="str">
        <f>garage!K144</f>
        <v>A</v>
      </c>
      <c r="L144" s="9" t="str">
        <f>garage!L144</f>
        <v>Pagani</v>
      </c>
      <c r="M144" s="9" t="str">
        <f>garage!M144</f>
        <v>Zonda R</v>
      </c>
      <c r="O144" s="45">
        <v>368.3</v>
      </c>
      <c r="P144" s="45">
        <v>84.54</v>
      </c>
      <c r="Q144" s="45">
        <v>57.29</v>
      </c>
      <c r="R144" s="45">
        <v>67.540000000000006</v>
      </c>
      <c r="S144" s="47">
        <f t="shared" si="4"/>
        <v>144.41750000000002</v>
      </c>
      <c r="U144" s="8">
        <v>23</v>
      </c>
    </row>
    <row r="145" spans="2:21" ht="18" customHeight="1" x14ac:dyDescent="0.2">
      <c r="B145" s="10">
        <f>garage!B145</f>
        <v>145</v>
      </c>
      <c r="C145" s="10">
        <f>garage!C145</f>
        <v>4</v>
      </c>
      <c r="D145" s="10">
        <f>garage!D145</f>
        <v>24</v>
      </c>
      <c r="E145" s="10">
        <f>garage!E145</f>
        <v>22</v>
      </c>
      <c r="F145" s="10" t="str">
        <f>garage!F145</f>
        <v>--</v>
      </c>
      <c r="G145" s="10" t="str">
        <f>garage!G145</f>
        <v>N</v>
      </c>
      <c r="H145" s="10" t="str">
        <f>garage!H145</f>
        <v>N</v>
      </c>
      <c r="I145" s="10" t="str">
        <f>garage!I145</f>
        <v>N</v>
      </c>
      <c r="J145" s="10" t="str">
        <f>garage!J184</f>
        <v>N</v>
      </c>
      <c r="K145" s="10" t="str">
        <f>garage!K145</f>
        <v>A</v>
      </c>
      <c r="L145" s="11" t="str">
        <f>garage!L145</f>
        <v>Glickhaus</v>
      </c>
      <c r="M145" s="11" t="str">
        <f>garage!M145</f>
        <v>007S</v>
      </c>
      <c r="O145" s="46">
        <v>358.6</v>
      </c>
      <c r="P145" s="46">
        <v>89.33</v>
      </c>
      <c r="Q145" s="46">
        <v>82.63</v>
      </c>
      <c r="R145" s="46">
        <v>55.24</v>
      </c>
      <c r="S145" s="48">
        <f t="shared" si="4"/>
        <v>146.44999999999999</v>
      </c>
      <c r="U145" s="10">
        <v>24</v>
      </c>
    </row>
    <row r="146" spans="2:21" ht="18" customHeight="1" x14ac:dyDescent="0.2">
      <c r="B146" s="8">
        <f>garage!B146</f>
        <v>146</v>
      </c>
      <c r="C146" s="8">
        <f>garage!C146</f>
        <v>4</v>
      </c>
      <c r="D146" s="8">
        <f>garage!D146</f>
        <v>25</v>
      </c>
      <c r="E146" s="8">
        <f>garage!E146</f>
        <v>16</v>
      </c>
      <c r="F146" s="8" t="str">
        <f>garage!F146</f>
        <v>--</v>
      </c>
      <c r="G146" s="8" t="str">
        <f>garage!G146</f>
        <v>O</v>
      </c>
      <c r="H146" s="8" t="str">
        <f>garage!H146</f>
        <v>N</v>
      </c>
      <c r="I146" s="8" t="str">
        <f>garage!I146</f>
        <v>N</v>
      </c>
      <c r="J146" s="8" t="str">
        <f>garage!J185</f>
        <v>N</v>
      </c>
      <c r="K146" s="8" t="str">
        <f>garage!K146</f>
        <v>A</v>
      </c>
      <c r="L146" s="9" t="str">
        <f>garage!L146</f>
        <v>Citroen</v>
      </c>
      <c r="M146" s="9" t="str">
        <f>garage!M146</f>
        <v>GT by Citroen</v>
      </c>
      <c r="O146" s="45">
        <v>388.7</v>
      </c>
      <c r="P146" s="45">
        <v>76.53</v>
      </c>
      <c r="Q146" s="45">
        <v>64.61</v>
      </c>
      <c r="R146" s="45">
        <v>67.2</v>
      </c>
      <c r="S146" s="47">
        <f t="shared" si="4"/>
        <v>149.26000000000002</v>
      </c>
      <c r="U146" s="8">
        <v>25</v>
      </c>
    </row>
    <row r="147" spans="2:21" ht="18" customHeight="1" x14ac:dyDescent="0.2">
      <c r="B147" s="10">
        <f>garage!B147</f>
        <v>147</v>
      </c>
      <c r="C147" s="10">
        <f>garage!C147</f>
        <v>4</v>
      </c>
      <c r="D147" s="10">
        <f>garage!D147</f>
        <v>26</v>
      </c>
      <c r="E147" s="10">
        <f>garage!E147</f>
        <v>19</v>
      </c>
      <c r="F147" s="10" t="str">
        <f>garage!F147</f>
        <v>AM</v>
      </c>
      <c r="G147" s="10" t="str">
        <f>garage!G147</f>
        <v>O</v>
      </c>
      <c r="H147" s="10" t="str">
        <f>garage!H147</f>
        <v>N</v>
      </c>
      <c r="I147" s="10" t="str">
        <f>garage!I147</f>
        <v>N</v>
      </c>
      <c r="J147" s="10" t="str">
        <f>garage!J186</f>
        <v>N</v>
      </c>
      <c r="K147" s="10" t="str">
        <f>garage!K147</f>
        <v>A</v>
      </c>
      <c r="L147" s="11" t="str">
        <f>garage!L147</f>
        <v>Aston Martin</v>
      </c>
      <c r="M147" s="11" t="str">
        <f>garage!M147</f>
        <v>Victor</v>
      </c>
      <c r="O147" s="46">
        <v>371.4</v>
      </c>
      <c r="P147" s="46">
        <v>78.33</v>
      </c>
      <c r="Q147" s="46">
        <v>76.84</v>
      </c>
      <c r="R147" s="46">
        <v>69.63</v>
      </c>
      <c r="S147" s="48">
        <f t="shared" si="4"/>
        <v>149.04999999999998</v>
      </c>
      <c r="U147" s="10">
        <v>26</v>
      </c>
    </row>
    <row r="148" spans="2:21" ht="18" customHeight="1" x14ac:dyDescent="0.2">
      <c r="B148" s="8">
        <f>garage!B148</f>
        <v>148</v>
      </c>
      <c r="C148" s="8">
        <f>garage!C148</f>
        <v>4</v>
      </c>
      <c r="D148" s="8">
        <f>garage!D148</f>
        <v>27</v>
      </c>
      <c r="E148" s="8">
        <f>garage!E148</f>
        <v>11</v>
      </c>
      <c r="F148" s="8" t="str">
        <f>garage!F148</f>
        <v>P</v>
      </c>
      <c r="G148" s="8" t="str">
        <f>garage!G148</f>
        <v>O</v>
      </c>
      <c r="H148" s="8" t="str">
        <f>garage!H148</f>
        <v>O</v>
      </c>
      <c r="I148" s="8" t="str">
        <f>garage!I148</f>
        <v>N</v>
      </c>
      <c r="J148" s="8" t="str">
        <f>garage!J187</f>
        <v>N</v>
      </c>
      <c r="K148" s="8" t="str">
        <f>garage!K148</f>
        <v>A</v>
      </c>
      <c r="L148" s="9" t="str">
        <f>garage!L148</f>
        <v>Porsche</v>
      </c>
      <c r="M148" s="9" t="str">
        <f>garage!M148</f>
        <v>911 GT2 RS Clubsport</v>
      </c>
      <c r="O148" s="45">
        <v>356.9</v>
      </c>
      <c r="P148" s="45">
        <v>83.64</v>
      </c>
      <c r="Q148" s="45">
        <v>85.42</v>
      </c>
      <c r="R148" s="45">
        <v>73.650000000000006</v>
      </c>
      <c r="S148" s="47">
        <f t="shared" si="4"/>
        <v>149.90249999999997</v>
      </c>
      <c r="U148" s="8">
        <v>27</v>
      </c>
    </row>
    <row r="149" spans="2:21" ht="18" customHeight="1" x14ac:dyDescent="0.2">
      <c r="B149" s="10">
        <f>garage!B149</f>
        <v>149</v>
      </c>
      <c r="C149" s="10">
        <f>garage!C149</f>
        <v>4</v>
      </c>
      <c r="D149" s="10">
        <f>garage!D149</f>
        <v>28</v>
      </c>
      <c r="E149" s="10">
        <f>garage!E149</f>
        <v>0</v>
      </c>
      <c r="F149" s="10" t="str">
        <f>garage!F149</f>
        <v>--</v>
      </c>
      <c r="G149" s="10" t="str">
        <f>garage!G149</f>
        <v>O</v>
      </c>
      <c r="H149" s="10" t="str">
        <f>garage!H149</f>
        <v>O</v>
      </c>
      <c r="I149" s="10" t="str">
        <f>garage!I149</f>
        <v>O</v>
      </c>
      <c r="J149" s="10" t="str">
        <f>garage!J188</f>
        <v>N</v>
      </c>
      <c r="K149" s="10" t="str">
        <f>garage!K149</f>
        <v>A</v>
      </c>
      <c r="L149" s="11" t="str">
        <f>garage!L149</f>
        <v>Pagani</v>
      </c>
      <c r="M149" s="11" t="str">
        <f>garage!M149</f>
        <v>Huayra BC</v>
      </c>
      <c r="O149" s="46">
        <v>365.4</v>
      </c>
      <c r="P149" s="46">
        <v>80.040000000000006</v>
      </c>
      <c r="Q149" s="46">
        <v>63.11</v>
      </c>
      <c r="R149" s="46">
        <v>86.75</v>
      </c>
      <c r="S149" s="48">
        <f t="shared" si="4"/>
        <v>148.82499999999999</v>
      </c>
      <c r="U149" s="10">
        <v>28</v>
      </c>
    </row>
    <row r="150" spans="2:21" ht="18" customHeight="1" x14ac:dyDescent="0.2">
      <c r="B150" s="8">
        <f>garage!B150</f>
        <v>150</v>
      </c>
      <c r="C150" s="8">
        <f>garage!C150</f>
        <v>4</v>
      </c>
      <c r="D150" s="8">
        <f>garage!D150</f>
        <v>29</v>
      </c>
      <c r="E150" s="8">
        <f>garage!E150</f>
        <v>28</v>
      </c>
      <c r="F150" s="8" t="str">
        <f>garage!F150</f>
        <v>M</v>
      </c>
      <c r="G150" s="8" t="str">
        <f>garage!G150</f>
        <v>N</v>
      </c>
      <c r="H150" s="8" t="str">
        <f>garage!H150</f>
        <v>N</v>
      </c>
      <c r="I150" s="8" t="str">
        <f>garage!I150</f>
        <v>N</v>
      </c>
      <c r="J150" s="8" t="str">
        <f>garage!J189</f>
        <v>N</v>
      </c>
      <c r="K150" s="8" t="str">
        <f>garage!K150</f>
        <v>A</v>
      </c>
      <c r="L150" s="9" t="str">
        <f>garage!L150</f>
        <v>McLaren</v>
      </c>
      <c r="M150" s="9" t="str">
        <f>garage!M150</f>
        <v>650S GT3</v>
      </c>
      <c r="O150" s="45">
        <v>357</v>
      </c>
      <c r="P150" s="45">
        <v>84.34</v>
      </c>
      <c r="Q150" s="45">
        <v>85.82</v>
      </c>
      <c r="R150" s="45">
        <v>78.22</v>
      </c>
      <c r="S150" s="47">
        <f t="shared" si="4"/>
        <v>151.34500000000003</v>
      </c>
      <c r="U150" s="8">
        <v>29</v>
      </c>
    </row>
    <row r="151" spans="2:21" ht="18" customHeight="1" x14ac:dyDescent="0.2">
      <c r="B151" s="10">
        <f>garage!B151</f>
        <v>151</v>
      </c>
      <c r="C151" s="10">
        <f>garage!C151</f>
        <v>4</v>
      </c>
      <c r="D151" s="10">
        <f>garage!D151</f>
        <v>30</v>
      </c>
      <c r="E151" s="10">
        <f>garage!E151</f>
        <v>12</v>
      </c>
      <c r="F151" s="10" t="str">
        <f>garage!F151</f>
        <v>L</v>
      </c>
      <c r="G151" s="10" t="str">
        <f>garage!G151</f>
        <v>O</v>
      </c>
      <c r="H151" s="10" t="str">
        <f>garage!H151</f>
        <v>N</v>
      </c>
      <c r="I151" s="10" t="str">
        <f>garage!I151</f>
        <v>N</v>
      </c>
      <c r="J151" s="10" t="str">
        <f>garage!J190</f>
        <v>N</v>
      </c>
      <c r="K151" s="10" t="str">
        <f>garage!K151</f>
        <v>A</v>
      </c>
      <c r="L151" s="11" t="str">
        <f>garage!L151</f>
        <v>Lamborghini</v>
      </c>
      <c r="M151" s="11" t="str">
        <f>garage!M151</f>
        <v>SC18</v>
      </c>
      <c r="O151" s="46">
        <v>362.1</v>
      </c>
      <c r="P151" s="46">
        <v>82.03</v>
      </c>
      <c r="Q151" s="46">
        <v>64</v>
      </c>
      <c r="R151" s="46">
        <v>82.48</v>
      </c>
      <c r="S151" s="48">
        <f t="shared" si="4"/>
        <v>147.6525</v>
      </c>
      <c r="U151" s="10">
        <v>30</v>
      </c>
    </row>
    <row r="152" spans="2:21" ht="18" customHeight="1" x14ac:dyDescent="0.2">
      <c r="B152" s="8">
        <f>garage!B152</f>
        <v>152</v>
      </c>
      <c r="C152" s="8">
        <f>garage!C152</f>
        <v>4</v>
      </c>
      <c r="D152" s="8">
        <f>garage!D152</f>
        <v>31</v>
      </c>
      <c r="E152" s="8">
        <f>garage!E152</f>
        <v>6</v>
      </c>
      <c r="F152" s="8" t="str">
        <f>garage!F152</f>
        <v>F</v>
      </c>
      <c r="G152" s="8" t="str">
        <f>garage!G152</f>
        <v>O</v>
      </c>
      <c r="H152" s="8" t="str">
        <f>garage!H152</f>
        <v>O</v>
      </c>
      <c r="I152" s="8" t="str">
        <f>garage!I152</f>
        <v>O</v>
      </c>
      <c r="J152" s="8" t="str">
        <f>garage!J191</f>
        <v>N</v>
      </c>
      <c r="K152" s="8" t="str">
        <f>garage!K152</f>
        <v>A</v>
      </c>
      <c r="L152" s="9" t="str">
        <f>garage!L152</f>
        <v>Ferrari</v>
      </c>
      <c r="M152" s="9" t="str">
        <f>garage!M152</f>
        <v>LaFerrari Aperta</v>
      </c>
      <c r="O152" s="45">
        <v>366.2</v>
      </c>
      <c r="P152" s="45">
        <v>81.03</v>
      </c>
      <c r="Q152" s="45">
        <v>82.48</v>
      </c>
      <c r="R152" s="45">
        <v>70.099999999999994</v>
      </c>
      <c r="S152" s="47">
        <f t="shared" si="4"/>
        <v>149.95250000000001</v>
      </c>
      <c r="U152" s="8">
        <v>31</v>
      </c>
    </row>
    <row r="153" spans="2:21" ht="18" customHeight="1" x14ac:dyDescent="0.2">
      <c r="B153" s="10">
        <f>garage!B153</f>
        <v>153</v>
      </c>
      <c r="C153" s="10">
        <f>garage!C153</f>
        <v>4</v>
      </c>
      <c r="D153" s="10">
        <f>garage!D153</f>
        <v>32</v>
      </c>
      <c r="E153" s="10">
        <f>garage!E153</f>
        <v>15</v>
      </c>
      <c r="F153" s="10" t="str">
        <f>garage!F153</f>
        <v>F</v>
      </c>
      <c r="G153" s="10" t="str">
        <f>garage!G153</f>
        <v>N</v>
      </c>
      <c r="H153" s="10" t="str">
        <f>garage!H153</f>
        <v>N</v>
      </c>
      <c r="I153" s="10" t="str">
        <f>garage!I153</f>
        <v>N</v>
      </c>
      <c r="J153" s="10" t="str">
        <f>garage!J192</f>
        <v>N</v>
      </c>
      <c r="K153" s="10" t="str">
        <f>garage!K153</f>
        <v>A</v>
      </c>
      <c r="L153" s="11" t="str">
        <f>garage!L153</f>
        <v>Ferrari</v>
      </c>
      <c r="M153" s="11" t="str">
        <f>garage!M153</f>
        <v>F8 Tributo</v>
      </c>
      <c r="O153" s="46">
        <v>360.2</v>
      </c>
      <c r="P153" s="46">
        <v>83.14</v>
      </c>
      <c r="Q153" s="46">
        <v>94.22</v>
      </c>
      <c r="R153" s="46">
        <v>69.790000000000006</v>
      </c>
      <c r="S153" s="48">
        <f t="shared" si="4"/>
        <v>151.83749999999998</v>
      </c>
      <c r="U153" s="10">
        <v>32</v>
      </c>
    </row>
    <row r="154" spans="2:21" ht="18" customHeight="1" x14ac:dyDescent="0.2">
      <c r="B154" s="8">
        <f>garage!B154</f>
        <v>154</v>
      </c>
      <c r="C154" s="8">
        <f>garage!C154</f>
        <v>4</v>
      </c>
      <c r="D154" s="8">
        <f>garage!D154</f>
        <v>33</v>
      </c>
      <c r="E154" s="8">
        <f>garage!E154</f>
        <v>20</v>
      </c>
      <c r="F154" s="8" t="str">
        <f>garage!F154</f>
        <v>L</v>
      </c>
      <c r="G154" s="8" t="str">
        <f>garage!G154</f>
        <v>N</v>
      </c>
      <c r="H154" s="8" t="str">
        <f>garage!H154</f>
        <v>N</v>
      </c>
      <c r="I154" s="8" t="str">
        <f>garage!I154</f>
        <v>N</v>
      </c>
      <c r="J154" s="8" t="str">
        <f>garage!J193</f>
        <v>N</v>
      </c>
      <c r="K154" s="8" t="str">
        <f>garage!K154</f>
        <v>A</v>
      </c>
      <c r="L154" s="9" t="str">
        <f>garage!L154</f>
        <v>Lamborghini</v>
      </c>
      <c r="M154" s="9" t="str">
        <f>garage!M154</f>
        <v>SC20</v>
      </c>
      <c r="O154" s="45">
        <v>370.7</v>
      </c>
      <c r="P154" s="45">
        <v>81.900000000000006</v>
      </c>
      <c r="Q154" s="45">
        <v>72.510000000000005</v>
      </c>
      <c r="R154" s="45">
        <v>68.900000000000006</v>
      </c>
      <c r="S154" s="47">
        <f t="shared" si="4"/>
        <v>148.5025</v>
      </c>
      <c r="U154" s="8">
        <v>33</v>
      </c>
    </row>
    <row r="155" spans="2:21" ht="18" customHeight="1" x14ac:dyDescent="0.2">
      <c r="B155" s="10">
        <f>garage!B155</f>
        <v>155</v>
      </c>
      <c r="C155" s="10">
        <f>garage!C155</f>
        <v>4</v>
      </c>
      <c r="D155" s="10">
        <f>garage!D155</f>
        <v>34</v>
      </c>
      <c r="E155" s="10">
        <f>garage!E155</f>
        <v>0</v>
      </c>
      <c r="F155" s="10" t="str">
        <f>garage!F155</f>
        <v>--</v>
      </c>
      <c r="G155" s="10" t="str">
        <f>garage!G155</f>
        <v>O</v>
      </c>
      <c r="H155" s="10" t="str">
        <f>garage!H155</f>
        <v>O</v>
      </c>
      <c r="I155" s="10" t="str">
        <f>garage!I155</f>
        <v>O</v>
      </c>
      <c r="J155" s="10" t="str">
        <f>garage!J194</f>
        <v>N</v>
      </c>
      <c r="K155" s="10" t="str">
        <f>garage!K155</f>
        <v>A</v>
      </c>
      <c r="L155" s="11" t="str">
        <f>garage!L155</f>
        <v>Genty</v>
      </c>
      <c r="M155" s="11" t="str">
        <f>garage!M155</f>
        <v>Akylone</v>
      </c>
      <c r="O155" s="46">
        <v>371.7</v>
      </c>
      <c r="P155" s="46">
        <v>82.93</v>
      </c>
      <c r="Q155" s="46">
        <v>67.81</v>
      </c>
      <c r="R155" s="46">
        <v>70.349999999999994</v>
      </c>
      <c r="S155" s="48">
        <f t="shared" si="4"/>
        <v>148.19750000000002</v>
      </c>
      <c r="U155" s="10">
        <v>34</v>
      </c>
    </row>
    <row r="156" spans="2:21" ht="18" customHeight="1" x14ac:dyDescent="0.2">
      <c r="B156" s="8">
        <f>garage!B156</f>
        <v>156</v>
      </c>
      <c r="C156" s="8">
        <f>garage!C156</f>
        <v>4</v>
      </c>
      <c r="D156" s="8">
        <f>garage!D156</f>
        <v>35</v>
      </c>
      <c r="E156" s="8">
        <f>garage!E156</f>
        <v>0</v>
      </c>
      <c r="F156" s="8" t="str">
        <f>garage!F156</f>
        <v>--</v>
      </c>
      <c r="G156" s="8" t="str">
        <f>garage!G156</f>
        <v>O</v>
      </c>
      <c r="H156" s="8" t="str">
        <f>garage!H156</f>
        <v>N</v>
      </c>
      <c r="I156" s="8" t="str">
        <f>garage!I156</f>
        <v>N</v>
      </c>
      <c r="J156" s="8" t="str">
        <f>garage!J195</f>
        <v>N</v>
      </c>
      <c r="K156" s="8" t="str">
        <f>garage!K156</f>
        <v>A</v>
      </c>
      <c r="L156" s="9" t="str">
        <f>garage!L156</f>
        <v>Techrules</v>
      </c>
      <c r="M156" s="9" t="str">
        <f>garage!M156</f>
        <v>AT96 track version</v>
      </c>
      <c r="O156" s="45">
        <v>364.6</v>
      </c>
      <c r="P156" s="45">
        <v>85.53</v>
      </c>
      <c r="Q156" s="45">
        <v>75.739999999999995</v>
      </c>
      <c r="R156" s="45">
        <v>69.650000000000006</v>
      </c>
      <c r="S156" s="47">
        <f t="shared" si="4"/>
        <v>148.88</v>
      </c>
      <c r="U156" s="8">
        <v>35</v>
      </c>
    </row>
    <row r="157" spans="2:21" ht="18" customHeight="1" x14ac:dyDescent="0.2">
      <c r="B157" s="10">
        <f>garage!B157</f>
        <v>157</v>
      </c>
      <c r="C157" s="10">
        <f>garage!C157</f>
        <v>4</v>
      </c>
      <c r="D157" s="10">
        <f>garage!D157</f>
        <v>36</v>
      </c>
      <c r="E157" s="10">
        <f>garage!E157</f>
        <v>21</v>
      </c>
      <c r="F157" s="10" t="str">
        <f>garage!F157</f>
        <v>--</v>
      </c>
      <c r="G157" s="10" t="str">
        <f>garage!G157</f>
        <v>O</v>
      </c>
      <c r="H157" s="10" t="str">
        <f>garage!H157</f>
        <v>N</v>
      </c>
      <c r="I157" s="10" t="str">
        <f>garage!I157</f>
        <v>N</v>
      </c>
      <c r="J157" s="10" t="str">
        <f>garage!J196</f>
        <v>N</v>
      </c>
      <c r="K157" s="10" t="str">
        <f>garage!K157</f>
        <v>A</v>
      </c>
      <c r="L157" s="11" t="str">
        <f>garage!L157</f>
        <v>Rimac</v>
      </c>
      <c r="M157" s="11" t="str">
        <f>garage!M157</f>
        <v>Concept_One</v>
      </c>
      <c r="O157" s="46">
        <v>368.5</v>
      </c>
      <c r="P157" s="46">
        <v>86.34</v>
      </c>
      <c r="Q157" s="46">
        <v>84.08</v>
      </c>
      <c r="R157" s="46">
        <v>54.53</v>
      </c>
      <c r="S157" s="48">
        <f t="shared" si="4"/>
        <v>148.36250000000001</v>
      </c>
      <c r="U157" s="10">
        <v>36</v>
      </c>
    </row>
    <row r="158" spans="2:21" ht="18" customHeight="1" x14ac:dyDescent="0.2">
      <c r="B158" s="8">
        <f>garage!B158</f>
        <v>158</v>
      </c>
      <c r="C158" s="8">
        <f>garage!C158</f>
        <v>4</v>
      </c>
      <c r="D158" s="8">
        <f>garage!D158</f>
        <v>37</v>
      </c>
      <c r="E158" s="8">
        <f>garage!E158</f>
        <v>14</v>
      </c>
      <c r="F158" s="8" t="str">
        <f>garage!F158</f>
        <v>AM</v>
      </c>
      <c r="G158" s="8" t="str">
        <f>garage!G158</f>
        <v>O</v>
      </c>
      <c r="H158" s="8" t="str">
        <f>garage!H158</f>
        <v>O</v>
      </c>
      <c r="I158" s="8" t="str">
        <f>garage!I158</f>
        <v>N</v>
      </c>
      <c r="J158" s="8" t="str">
        <f>garage!J197</f>
        <v>N</v>
      </c>
      <c r="K158" s="8" t="str">
        <f>garage!K158</f>
        <v>A</v>
      </c>
      <c r="L158" s="9" t="str">
        <f>garage!L158</f>
        <v>Aston Martin</v>
      </c>
      <c r="M158" s="9" t="str">
        <f>garage!M158</f>
        <v>Valhalla Concept Car</v>
      </c>
      <c r="O158" s="45">
        <v>377.4</v>
      </c>
      <c r="P158" s="45">
        <v>82.23</v>
      </c>
      <c r="Q158" s="45">
        <v>81.760000000000005</v>
      </c>
      <c r="R158" s="45">
        <v>59.55</v>
      </c>
      <c r="S158" s="47">
        <f t="shared" si="4"/>
        <v>150.23499999999999</v>
      </c>
      <c r="U158" s="8">
        <v>37</v>
      </c>
    </row>
    <row r="159" spans="2:21" ht="18" customHeight="1" x14ac:dyDescent="0.2">
      <c r="B159" s="10">
        <f>garage!B159</f>
        <v>159</v>
      </c>
      <c r="C159" s="10">
        <f>garage!C159</f>
        <v>4</v>
      </c>
      <c r="D159" s="10">
        <f>garage!D159</f>
        <v>38</v>
      </c>
      <c r="E159" s="10">
        <f>garage!E159</f>
        <v>18</v>
      </c>
      <c r="F159" s="10" t="str">
        <f>garage!F159</f>
        <v>--</v>
      </c>
      <c r="G159" s="10" t="str">
        <f>garage!G159</f>
        <v>O</v>
      </c>
      <c r="H159" s="10" t="str">
        <f>garage!H159</f>
        <v>N</v>
      </c>
      <c r="I159" s="10" t="str">
        <f>garage!I159</f>
        <v>N</v>
      </c>
      <c r="J159" s="10" t="str">
        <f>garage!J198</f>
        <v>N</v>
      </c>
      <c r="K159" s="10" t="str">
        <f>garage!K159</f>
        <v>A</v>
      </c>
      <c r="L159" s="11" t="str">
        <f>garage!L159</f>
        <v>Pagani</v>
      </c>
      <c r="M159" s="11" t="str">
        <f>garage!M159</f>
        <v>Imola</v>
      </c>
      <c r="O159" s="46">
        <v>378.9</v>
      </c>
      <c r="P159" s="46">
        <v>80.23</v>
      </c>
      <c r="Q159" s="46">
        <v>72.17</v>
      </c>
      <c r="R159" s="46">
        <v>71.14</v>
      </c>
      <c r="S159" s="48">
        <f t="shared" si="4"/>
        <v>150.60999999999999</v>
      </c>
      <c r="U159" s="10">
        <v>38</v>
      </c>
    </row>
    <row r="160" spans="2:21" ht="18" customHeight="1" x14ac:dyDescent="0.2">
      <c r="B160" s="8">
        <f>garage!B160</f>
        <v>160</v>
      </c>
      <c r="C160" s="8">
        <f>garage!C160</f>
        <v>4</v>
      </c>
      <c r="D160" s="8">
        <f>garage!D160</f>
        <v>39</v>
      </c>
      <c r="E160" s="8">
        <f>garage!E160</f>
        <v>30</v>
      </c>
      <c r="F160" s="8" t="str">
        <f>garage!F160</f>
        <v>--</v>
      </c>
      <c r="G160" s="8" t="str">
        <f>garage!G160</f>
        <v>N</v>
      </c>
      <c r="H160" s="8" t="str">
        <f>garage!H160</f>
        <v>N</v>
      </c>
      <c r="I160" s="8" t="str">
        <f>garage!I160</f>
        <v>N</v>
      </c>
      <c r="J160" s="8" t="str">
        <f>garage!J199</f>
        <v>N</v>
      </c>
      <c r="K160" s="8" t="str">
        <f>garage!K160</f>
        <v>A</v>
      </c>
      <c r="L160" s="9" t="str">
        <f>garage!L160</f>
        <v>Jaguar</v>
      </c>
      <c r="M160" s="9" t="str">
        <f>garage!M160</f>
        <v>XJR-9</v>
      </c>
      <c r="O160" s="45">
        <v>412.3</v>
      </c>
      <c r="P160" s="45">
        <v>69.239999999999995</v>
      </c>
      <c r="Q160" s="45">
        <v>59.33</v>
      </c>
      <c r="R160" s="45">
        <v>84.95</v>
      </c>
      <c r="S160" s="47">
        <f t="shared" si="4"/>
        <v>156.45500000000001</v>
      </c>
      <c r="U160" s="8">
        <v>39</v>
      </c>
    </row>
    <row r="161" spans="2:21" ht="18" customHeight="1" x14ac:dyDescent="0.2">
      <c r="B161" s="10">
        <f>garage!B161</f>
        <v>161</v>
      </c>
      <c r="C161" s="10">
        <f>garage!C161</f>
        <v>4</v>
      </c>
      <c r="D161" s="10">
        <f>garage!D161</f>
        <v>40</v>
      </c>
      <c r="E161" s="10">
        <f>garage!E161</f>
        <v>25</v>
      </c>
      <c r="F161" s="10" t="str">
        <f>garage!F161</f>
        <v>L</v>
      </c>
      <c r="G161" s="10" t="str">
        <f>garage!G161</f>
        <v>N</v>
      </c>
      <c r="H161" s="10" t="str">
        <f>garage!H161</f>
        <v>N</v>
      </c>
      <c r="I161" s="10" t="str">
        <f>garage!I161</f>
        <v>N</v>
      </c>
      <c r="J161" s="10" t="str">
        <f>garage!J200</f>
        <v>N</v>
      </c>
      <c r="K161" s="10" t="str">
        <f>garage!K161</f>
        <v>A</v>
      </c>
      <c r="L161" s="11" t="str">
        <f>garage!L161</f>
        <v>Lamborghini</v>
      </c>
      <c r="M161" s="11" t="str">
        <f>garage!M161</f>
        <v>Countach LPI 800-4</v>
      </c>
      <c r="O161" s="46">
        <v>373.4</v>
      </c>
      <c r="P161" s="46">
        <v>81.23</v>
      </c>
      <c r="Q161" s="46">
        <v>85.96</v>
      </c>
      <c r="R161" s="46">
        <v>72.400000000000006</v>
      </c>
      <c r="S161" s="48">
        <f t="shared" si="4"/>
        <v>153.2475</v>
      </c>
      <c r="U161" s="10">
        <v>40</v>
      </c>
    </row>
    <row r="162" spans="2:21" ht="18" customHeight="1" x14ac:dyDescent="0.2">
      <c r="B162" s="8">
        <f>garage!B162</f>
        <v>162</v>
      </c>
      <c r="C162" s="8">
        <f>garage!C162</f>
        <v>4</v>
      </c>
      <c r="D162" s="8">
        <f>garage!D162</f>
        <v>99</v>
      </c>
      <c r="E162" s="8">
        <f>garage!E162</f>
        <v>20</v>
      </c>
      <c r="F162" s="8" t="str">
        <f>garage!F162</f>
        <v>--</v>
      </c>
      <c r="G162" s="8" t="str">
        <f>garage!G162</f>
        <v>N</v>
      </c>
      <c r="H162" s="8" t="str">
        <f>garage!H162</f>
        <v>N</v>
      </c>
      <c r="I162" s="8" t="str">
        <f>garage!I162</f>
        <v>N</v>
      </c>
      <c r="J162" s="8" t="str">
        <f>garage!J201</f>
        <v>N</v>
      </c>
      <c r="K162" s="8" t="str">
        <f>garage!K162</f>
        <v>A</v>
      </c>
      <c r="L162" s="9" t="str">
        <f>garage!L162</f>
        <v>Lego Technic McLaren</v>
      </c>
      <c r="M162" s="9" t="str">
        <f>garage!M162</f>
        <v>Senna GTR</v>
      </c>
      <c r="O162" s="45">
        <v>349.8</v>
      </c>
      <c r="P162" s="45">
        <v>82.43</v>
      </c>
      <c r="Q162" s="45">
        <v>79.319999999999993</v>
      </c>
      <c r="R162" s="45">
        <v>65.28</v>
      </c>
      <c r="S162" s="47">
        <f t="shared" si="4"/>
        <v>144.20750000000001</v>
      </c>
      <c r="U162" s="8">
        <v>99</v>
      </c>
    </row>
    <row r="163" spans="2:21" ht="18" customHeight="1" x14ac:dyDescent="0.2">
      <c r="B163" s="10">
        <f>garage!B163</f>
        <v>163</v>
      </c>
      <c r="C163" s="10">
        <f>garage!C163</f>
        <v>5</v>
      </c>
      <c r="D163" s="10">
        <f>garage!D163</f>
        <v>1</v>
      </c>
      <c r="E163" s="10">
        <f>garage!E163</f>
        <v>0</v>
      </c>
      <c r="F163" s="10" t="str">
        <f>garage!F163</f>
        <v>L</v>
      </c>
      <c r="G163" s="10" t="str">
        <f>garage!G163</f>
        <v>O</v>
      </c>
      <c r="H163" s="10" t="str">
        <f>garage!H163</f>
        <v>O</v>
      </c>
      <c r="I163" s="10" t="str">
        <f>garage!I163</f>
        <v>O</v>
      </c>
      <c r="J163" s="10" t="str">
        <f>garage!J202</f>
        <v>N</v>
      </c>
      <c r="K163" s="10" t="str">
        <f>garage!K163</f>
        <v>S</v>
      </c>
      <c r="L163" s="11" t="str">
        <f>garage!L163</f>
        <v>Lamborghini</v>
      </c>
      <c r="M163" s="11" t="str">
        <f>garage!M163</f>
        <v>Centenario</v>
      </c>
      <c r="O163" s="46">
        <v>363.9</v>
      </c>
      <c r="P163" s="46">
        <v>80.48</v>
      </c>
      <c r="Q163" s="46">
        <v>47.46</v>
      </c>
      <c r="R163" s="46">
        <v>70.31</v>
      </c>
      <c r="S163" s="48">
        <f t="shared" ref="S163:S177" si="5">AVERAGE(O163:R163)</f>
        <v>140.53749999999999</v>
      </c>
      <c r="U163" s="10">
        <v>1</v>
      </c>
    </row>
    <row r="164" spans="2:21" ht="18" customHeight="1" x14ac:dyDescent="0.2">
      <c r="B164" s="8">
        <f>garage!B164</f>
        <v>164</v>
      </c>
      <c r="C164" s="8">
        <f>garage!C164</f>
        <v>5</v>
      </c>
      <c r="D164" s="8">
        <f>garage!D164</f>
        <v>2</v>
      </c>
      <c r="E164" s="8">
        <f>garage!E164</f>
        <v>0</v>
      </c>
      <c r="F164" s="8" t="str">
        <f>garage!F164</f>
        <v>F</v>
      </c>
      <c r="G164" s="8" t="str">
        <f>garage!G164</f>
        <v>O</v>
      </c>
      <c r="H164" s="8" t="str">
        <f>garage!H164</f>
        <v>O</v>
      </c>
      <c r="I164" s="8" t="str">
        <f>garage!I164</f>
        <v>O</v>
      </c>
      <c r="J164" s="8" t="str">
        <f>garage!J203</f>
        <v>N</v>
      </c>
      <c r="K164" s="8" t="str">
        <f>garage!K164</f>
        <v>S</v>
      </c>
      <c r="L164" s="9" t="str">
        <f>garage!L164</f>
        <v>Ferrari</v>
      </c>
      <c r="M164" s="9" t="str">
        <f>garage!M164</f>
        <v>FXX K</v>
      </c>
      <c r="O164" s="45">
        <v>363.1</v>
      </c>
      <c r="P164" s="45">
        <v>83.9</v>
      </c>
      <c r="Q164" s="45">
        <v>43.75</v>
      </c>
      <c r="R164" s="45">
        <v>72.39</v>
      </c>
      <c r="S164" s="47">
        <f t="shared" si="5"/>
        <v>140.785</v>
      </c>
      <c r="U164" s="8">
        <v>2</v>
      </c>
    </row>
    <row r="165" spans="2:21" ht="18" customHeight="1" x14ac:dyDescent="0.2">
      <c r="B165" s="10">
        <f>garage!B165</f>
        <v>165</v>
      </c>
      <c r="C165" s="10">
        <f>garage!C165</f>
        <v>5</v>
      </c>
      <c r="D165" s="10">
        <f>garage!D165</f>
        <v>3</v>
      </c>
      <c r="E165" s="10">
        <f>garage!E165</f>
        <v>0</v>
      </c>
      <c r="F165" s="10" t="str">
        <f>garage!F165</f>
        <v>--</v>
      </c>
      <c r="G165" s="10" t="str">
        <f>garage!G165</f>
        <v>O</v>
      </c>
      <c r="H165" s="10" t="str">
        <f>garage!H165</f>
        <v>O</v>
      </c>
      <c r="I165" s="10" t="str">
        <f>garage!I165</f>
        <v>O</v>
      </c>
      <c r="J165" s="10" t="str">
        <f>garage!J204</f>
        <v>N</v>
      </c>
      <c r="K165" s="10" t="str">
        <f>garage!K165</f>
        <v>S</v>
      </c>
      <c r="L165" s="11" t="str">
        <f>garage!L165</f>
        <v>Icona</v>
      </c>
      <c r="M165" s="11" t="str">
        <f>garage!M165</f>
        <v>Vulcano Titanium</v>
      </c>
      <c r="O165" s="46">
        <v>381.7</v>
      </c>
      <c r="P165" s="46">
        <v>81.38</v>
      </c>
      <c r="Q165" s="46">
        <v>43.38</v>
      </c>
      <c r="R165" s="46">
        <v>65.89</v>
      </c>
      <c r="S165" s="48">
        <f t="shared" si="5"/>
        <v>143.08750000000001</v>
      </c>
      <c r="U165" s="10">
        <v>3</v>
      </c>
    </row>
    <row r="166" spans="2:21" ht="18" customHeight="1" x14ac:dyDescent="0.2">
      <c r="B166" s="8">
        <f>garage!B166</f>
        <v>166</v>
      </c>
      <c r="C166" s="8">
        <f>garage!C166</f>
        <v>5</v>
      </c>
      <c r="D166" s="8">
        <f>garage!D166</f>
        <v>4</v>
      </c>
      <c r="E166" s="8">
        <f>garage!E166</f>
        <v>0</v>
      </c>
      <c r="F166" s="8" t="str">
        <f>garage!F166</f>
        <v>--</v>
      </c>
      <c r="G166" s="8" t="str">
        <f>garage!G166</f>
        <v>O</v>
      </c>
      <c r="H166" s="8" t="str">
        <f>garage!H166</f>
        <v>O</v>
      </c>
      <c r="I166" s="8" t="str">
        <f>garage!I166</f>
        <v>O</v>
      </c>
      <c r="J166" s="8" t="str">
        <f>garage!J205</f>
        <v>N</v>
      </c>
      <c r="K166" s="8" t="str">
        <f>garage!K166</f>
        <v>S</v>
      </c>
      <c r="L166" s="9" t="str">
        <f>garage!L166</f>
        <v>W Motors</v>
      </c>
      <c r="M166" s="9" t="str">
        <f>garage!M166</f>
        <v>Lykan Hypersport</v>
      </c>
      <c r="O166" s="45">
        <v>407.5</v>
      </c>
      <c r="P166" s="45">
        <v>80.48</v>
      </c>
      <c r="Q166" s="45">
        <v>40.97</v>
      </c>
      <c r="R166" s="45">
        <v>58.26</v>
      </c>
      <c r="S166" s="47">
        <f t="shared" si="5"/>
        <v>146.80250000000001</v>
      </c>
      <c r="U166" s="8">
        <v>4</v>
      </c>
    </row>
    <row r="167" spans="2:21" ht="18" customHeight="1" x14ac:dyDescent="0.2">
      <c r="B167" s="10">
        <f>garage!B167</f>
        <v>167</v>
      </c>
      <c r="C167" s="10">
        <f>garage!C167</f>
        <v>5</v>
      </c>
      <c r="D167" s="10">
        <f>garage!D167</f>
        <v>5</v>
      </c>
      <c r="E167" s="10">
        <f>garage!E167</f>
        <v>21</v>
      </c>
      <c r="F167" s="10" t="str">
        <f>garage!F167</f>
        <v>--</v>
      </c>
      <c r="G167" s="10" t="str">
        <f>garage!G167</f>
        <v>N</v>
      </c>
      <c r="H167" s="10" t="str">
        <f>garage!H167</f>
        <v>N</v>
      </c>
      <c r="I167" s="10" t="str">
        <f>garage!I167</f>
        <v>N</v>
      </c>
      <c r="J167" s="10" t="str">
        <f>garage!J206</f>
        <v>N</v>
      </c>
      <c r="K167" s="10" t="str">
        <f>garage!K167</f>
        <v>S</v>
      </c>
      <c r="L167" s="11" t="str">
        <f>garage!L167</f>
        <v>Raesr</v>
      </c>
      <c r="M167" s="11" t="str">
        <f>garage!M167</f>
        <v>Tachyon Speed</v>
      </c>
      <c r="O167" s="46">
        <v>400.3</v>
      </c>
      <c r="P167" s="46">
        <v>77.91</v>
      </c>
      <c r="Q167" s="46">
        <v>53.44</v>
      </c>
      <c r="R167" s="46">
        <v>59.94</v>
      </c>
      <c r="S167" s="48">
        <f t="shared" si="5"/>
        <v>147.89750000000004</v>
      </c>
      <c r="U167" s="10">
        <v>5</v>
      </c>
    </row>
    <row r="168" spans="2:21" ht="18" customHeight="1" x14ac:dyDescent="0.2">
      <c r="B168" s="8">
        <f>garage!B168</f>
        <v>168</v>
      </c>
      <c r="C168" s="8">
        <f>garage!C168</f>
        <v>5</v>
      </c>
      <c r="D168" s="8">
        <f>garage!D168</f>
        <v>6</v>
      </c>
      <c r="E168" s="8">
        <f>garage!E168</f>
        <v>12</v>
      </c>
      <c r="F168" s="8" t="str">
        <f>garage!F168</f>
        <v>L</v>
      </c>
      <c r="G168" s="8" t="str">
        <f>garage!G168</f>
        <v>O</v>
      </c>
      <c r="H168" s="8" t="str">
        <f>garage!H168</f>
        <v>O</v>
      </c>
      <c r="I168" s="8" t="str">
        <f>garage!I168</f>
        <v>O</v>
      </c>
      <c r="J168" s="8" t="str">
        <f>garage!J207</f>
        <v>N</v>
      </c>
      <c r="K168" s="8" t="str">
        <f>garage!K168</f>
        <v>S</v>
      </c>
      <c r="L168" s="9" t="str">
        <f>garage!L168</f>
        <v>Lamborghini</v>
      </c>
      <c r="M168" s="9" t="str">
        <f>garage!M168</f>
        <v>Veneno</v>
      </c>
      <c r="O168" s="45">
        <v>370.2</v>
      </c>
      <c r="P168" s="45">
        <v>81.2</v>
      </c>
      <c r="Q168" s="45">
        <v>62.39</v>
      </c>
      <c r="R168" s="45">
        <v>78.790000000000006</v>
      </c>
      <c r="S168" s="47">
        <f t="shared" si="5"/>
        <v>148.14499999999998</v>
      </c>
      <c r="U168" s="8">
        <v>6</v>
      </c>
    </row>
    <row r="169" spans="2:21" ht="18" customHeight="1" x14ac:dyDescent="0.2">
      <c r="B169" s="10">
        <f>garage!B169</f>
        <v>169</v>
      </c>
      <c r="C169" s="10">
        <f>garage!C169</f>
        <v>5</v>
      </c>
      <c r="D169" s="10">
        <f>garage!D169</f>
        <v>7</v>
      </c>
      <c r="E169" s="10">
        <f>garage!E169</f>
        <v>23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garage!J208</f>
        <v>N</v>
      </c>
      <c r="K169" s="10" t="str">
        <f>garage!K169</f>
        <v>S</v>
      </c>
      <c r="L169" s="11" t="str">
        <f>garage!L169</f>
        <v>Jaguar</v>
      </c>
      <c r="M169" s="11" t="str">
        <f>garage!M169</f>
        <v>XJ220S TWR</v>
      </c>
      <c r="O169" s="46">
        <v>383.2</v>
      </c>
      <c r="P169" s="46">
        <v>75.17</v>
      </c>
      <c r="Q169" s="46">
        <v>60.57</v>
      </c>
      <c r="R169" s="46">
        <v>82.21</v>
      </c>
      <c r="S169" s="48">
        <f t="shared" si="5"/>
        <v>150.28750000000002</v>
      </c>
      <c r="U169" s="10">
        <v>7</v>
      </c>
    </row>
    <row r="170" spans="2:21" ht="18" customHeight="1" x14ac:dyDescent="0.2">
      <c r="B170" s="8">
        <f>garage!B170</f>
        <v>170</v>
      </c>
      <c r="C170" s="8">
        <f>garage!C170</f>
        <v>5</v>
      </c>
      <c r="D170" s="8">
        <f>garage!D170</f>
        <v>8</v>
      </c>
      <c r="E170" s="8">
        <f>garage!E170</f>
        <v>0</v>
      </c>
      <c r="F170" s="8" t="str">
        <f>garage!F170</f>
        <v>L</v>
      </c>
      <c r="G170" s="8" t="str">
        <f>garage!G170</f>
        <v>O</v>
      </c>
      <c r="H170" s="8" t="str">
        <f>garage!H170</f>
        <v>O</v>
      </c>
      <c r="I170" s="8" t="str">
        <f>garage!I170</f>
        <v>O</v>
      </c>
      <c r="J170" s="8" t="str">
        <f>garage!J209</f>
        <v>N</v>
      </c>
      <c r="K170" s="8" t="str">
        <f>garage!K170</f>
        <v>S</v>
      </c>
      <c r="L170" s="9" t="str">
        <f>garage!L170</f>
        <v>Lamborghini</v>
      </c>
      <c r="M170" s="9" t="str">
        <f>garage!M170</f>
        <v>Egoista</v>
      </c>
      <c r="O170" s="45">
        <v>366.4</v>
      </c>
      <c r="P170" s="45">
        <v>84.48</v>
      </c>
      <c r="Q170" s="45">
        <v>61.54</v>
      </c>
      <c r="R170" s="45">
        <v>72.02</v>
      </c>
      <c r="S170" s="47">
        <f t="shared" si="5"/>
        <v>146.10999999999999</v>
      </c>
      <c r="U170" s="8">
        <v>8</v>
      </c>
    </row>
    <row r="171" spans="2:21" ht="18" customHeight="1" x14ac:dyDescent="0.2">
      <c r="B171" s="10">
        <f>garage!B171</f>
        <v>171</v>
      </c>
      <c r="C171" s="10">
        <f>garage!C171</f>
        <v>5</v>
      </c>
      <c r="D171" s="10">
        <f>garage!D171</f>
        <v>9</v>
      </c>
      <c r="E171" s="10">
        <f>garage!E171</f>
        <v>28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garage!J210</f>
        <v>N</v>
      </c>
      <c r="K171" s="10" t="str">
        <f>garage!K171</f>
        <v>S</v>
      </c>
      <c r="L171" s="11" t="str">
        <f>garage!L171</f>
        <v>Chrysler</v>
      </c>
      <c r="M171" s="11" t="str">
        <f>garage!M171</f>
        <v>ME412</v>
      </c>
      <c r="O171" s="46">
        <v>399.1</v>
      </c>
      <c r="P171" s="46">
        <v>74.900000000000006</v>
      </c>
      <c r="Q171" s="46">
        <v>66.52</v>
      </c>
      <c r="R171" s="46">
        <v>63.39</v>
      </c>
      <c r="S171" s="48">
        <f t="shared" si="5"/>
        <v>150.97749999999999</v>
      </c>
      <c r="U171" s="10">
        <v>9</v>
      </c>
    </row>
    <row r="172" spans="2:21" ht="18" customHeight="1" x14ac:dyDescent="0.2">
      <c r="B172" s="8">
        <f>garage!B172</f>
        <v>172</v>
      </c>
      <c r="C172" s="8">
        <f>garage!C172</f>
        <v>5</v>
      </c>
      <c r="D172" s="8">
        <f>garage!D172</f>
        <v>10</v>
      </c>
      <c r="E172" s="8">
        <f>garage!E172</f>
        <v>0</v>
      </c>
      <c r="F172" s="8" t="str">
        <f>garage!F172</f>
        <v>--</v>
      </c>
      <c r="G172" s="8" t="str">
        <f>garage!G172</f>
        <v>O</v>
      </c>
      <c r="H172" s="8" t="str">
        <f>garage!H172</f>
        <v>O</v>
      </c>
      <c r="I172" s="8" t="str">
        <f>garage!I172</f>
        <v>O</v>
      </c>
      <c r="J172" s="8">
        <f>garage!J211</f>
        <v>0</v>
      </c>
      <c r="K172" s="8" t="str">
        <f>garage!K172</f>
        <v>S</v>
      </c>
      <c r="L172" s="9" t="str">
        <f>garage!L172</f>
        <v>Trion</v>
      </c>
      <c r="M172" s="9" t="str">
        <f>garage!M172</f>
        <v>Nemesis</v>
      </c>
      <c r="O172" s="45">
        <v>450.7</v>
      </c>
      <c r="P172" s="45">
        <v>79.98</v>
      </c>
      <c r="Q172" s="45">
        <v>48.49</v>
      </c>
      <c r="R172" s="45">
        <v>44.79</v>
      </c>
      <c r="S172" s="47">
        <f t="shared" si="5"/>
        <v>155.98999999999998</v>
      </c>
      <c r="U172" s="8">
        <v>10</v>
      </c>
    </row>
    <row r="173" spans="2:21" ht="18" customHeight="1" x14ac:dyDescent="0.2">
      <c r="B173" s="10">
        <f>garage!B173</f>
        <v>173</v>
      </c>
      <c r="C173" s="10">
        <f>garage!C173</f>
        <v>5</v>
      </c>
      <c r="D173" s="10">
        <f>garage!D173</f>
        <v>11</v>
      </c>
      <c r="E173" s="10">
        <f>garage!E173</f>
        <v>29</v>
      </c>
      <c r="F173" s="10" t="str">
        <f>garage!F173</f>
        <v>--</v>
      </c>
      <c r="G173" s="10" t="str">
        <f>garage!G173</f>
        <v>N</v>
      </c>
      <c r="H173" s="10" t="str">
        <f>garage!H173</f>
        <v>N</v>
      </c>
      <c r="I173" s="10" t="str">
        <f>garage!I173</f>
        <v>N</v>
      </c>
      <c r="J173" s="10">
        <f>garage!J212</f>
        <v>0</v>
      </c>
      <c r="K173" s="10" t="str">
        <f>garage!K173</f>
        <v>S</v>
      </c>
      <c r="L173" s="11" t="str">
        <f>garage!L173</f>
        <v>Spania GTA</v>
      </c>
      <c r="M173" s="11" t="str">
        <f>garage!M173</f>
        <v>2015 GTA Spano</v>
      </c>
      <c r="O173" s="46">
        <v>383.7</v>
      </c>
      <c r="P173" s="46">
        <v>81.2</v>
      </c>
      <c r="Q173" s="46">
        <v>59.72</v>
      </c>
      <c r="R173" s="46">
        <v>69.97</v>
      </c>
      <c r="S173" s="48">
        <f t="shared" si="5"/>
        <v>148.64750000000001</v>
      </c>
      <c r="U173" s="10">
        <v>11</v>
      </c>
    </row>
    <row r="174" spans="2:21" ht="18" customHeight="1" x14ac:dyDescent="0.2">
      <c r="B174" s="8">
        <f>garage!B174</f>
        <v>174</v>
      </c>
      <c r="C174" s="8">
        <f>garage!C174</f>
        <v>5</v>
      </c>
      <c r="D174" s="8">
        <f>garage!D174</f>
        <v>12</v>
      </c>
      <c r="E174" s="8">
        <f>garage!E174</f>
        <v>15</v>
      </c>
      <c r="F174" s="8" t="str">
        <f>garage!F174</f>
        <v>F</v>
      </c>
      <c r="G174" s="8" t="str">
        <f>garage!G174</f>
        <v>O</v>
      </c>
      <c r="H174" s="8" t="str">
        <f>garage!H174</f>
        <v>N</v>
      </c>
      <c r="I174" s="8" t="str">
        <f>garage!I174</f>
        <v>N</v>
      </c>
      <c r="J174" s="8">
        <f>garage!J213</f>
        <v>0</v>
      </c>
      <c r="K174" s="8" t="str">
        <f>garage!K174</f>
        <v>S</v>
      </c>
      <c r="L174" s="9" t="str">
        <f>garage!L174</f>
        <v>Ferrari</v>
      </c>
      <c r="M174" s="9" t="str">
        <f>garage!M174</f>
        <v>SF90 Stradale</v>
      </c>
      <c r="O174" s="45">
        <v>355.4</v>
      </c>
      <c r="P174" s="45">
        <v>86.83</v>
      </c>
      <c r="Q174" s="45">
        <v>93.51</v>
      </c>
      <c r="R174" s="45">
        <v>71.959999999999994</v>
      </c>
      <c r="S174" s="47">
        <f t="shared" si="5"/>
        <v>151.92500000000001</v>
      </c>
      <c r="U174" s="8">
        <v>12</v>
      </c>
    </row>
    <row r="175" spans="2:21" ht="18" customHeight="1" x14ac:dyDescent="0.2">
      <c r="B175" s="10">
        <f>garage!B175</f>
        <v>175</v>
      </c>
      <c r="C175" s="10">
        <f>garage!C175</f>
        <v>5</v>
      </c>
      <c r="D175" s="10">
        <f>garage!D175</f>
        <v>13</v>
      </c>
      <c r="E175" s="10">
        <f>garage!E175</f>
        <v>30</v>
      </c>
      <c r="F175" s="10" t="str">
        <f>garage!F175</f>
        <v>--</v>
      </c>
      <c r="G175" s="10" t="str">
        <f>garage!G175</f>
        <v>N</v>
      </c>
      <c r="H175" s="10" t="str">
        <f>garage!H175</f>
        <v>N</v>
      </c>
      <c r="I175" s="10" t="str">
        <f>garage!I175</f>
        <v>N</v>
      </c>
      <c r="J175" s="10">
        <f>garage!J214</f>
        <v>0</v>
      </c>
      <c r="K175" s="10" t="str">
        <f>garage!K175</f>
        <v>S</v>
      </c>
      <c r="L175" s="11" t="str">
        <f>garage!L175</f>
        <v>FV Frangivento</v>
      </c>
      <c r="M175" s="11" t="str">
        <f>garage!M175</f>
        <v>Sorpasso GT3</v>
      </c>
      <c r="O175" s="46">
        <v>391.3</v>
      </c>
      <c r="P175" s="46">
        <v>85.7</v>
      </c>
      <c r="Q175" s="46">
        <v>56.68</v>
      </c>
      <c r="R175" s="46">
        <v>47.35</v>
      </c>
      <c r="S175" s="48">
        <f t="shared" si="5"/>
        <v>145.25749999999999</v>
      </c>
      <c r="U175" s="10">
        <v>13</v>
      </c>
    </row>
    <row r="176" spans="2:21" ht="18" customHeight="1" x14ac:dyDescent="0.2">
      <c r="B176" s="8">
        <f>garage!B176</f>
        <v>176</v>
      </c>
      <c r="C176" s="8">
        <f>garage!C176</f>
        <v>5</v>
      </c>
      <c r="D176" s="8">
        <f>garage!D176</f>
        <v>14</v>
      </c>
      <c r="E176" s="8">
        <f>garage!E176</f>
        <v>7</v>
      </c>
      <c r="F176" s="8" t="str">
        <f>garage!F176</f>
        <v>M</v>
      </c>
      <c r="G176" s="8" t="str">
        <f>garage!G176</f>
        <v>O</v>
      </c>
      <c r="H176" s="8" t="str">
        <f>garage!H176</f>
        <v>N</v>
      </c>
      <c r="I176" s="8" t="str">
        <f>garage!I176</f>
        <v>N</v>
      </c>
      <c r="J176" s="8">
        <f>garage!J215</f>
        <v>0</v>
      </c>
      <c r="K176" s="8" t="str">
        <f>garage!K176</f>
        <v>S</v>
      </c>
      <c r="L176" s="9" t="str">
        <f>garage!L176</f>
        <v>McLaren</v>
      </c>
      <c r="M176" s="9" t="str">
        <f>garage!M176</f>
        <v>Senna</v>
      </c>
      <c r="O176" s="45">
        <v>358.3</v>
      </c>
      <c r="P176" s="45">
        <v>82.91</v>
      </c>
      <c r="Q176" s="45">
        <v>101.81</v>
      </c>
      <c r="R176" s="45">
        <v>78.25</v>
      </c>
      <c r="S176" s="47">
        <f t="shared" si="5"/>
        <v>155.3175</v>
      </c>
      <c r="U176" s="8">
        <v>14</v>
      </c>
    </row>
    <row r="177" spans="2:21" ht="18" customHeight="1" x14ac:dyDescent="0.2">
      <c r="B177" s="10">
        <f>garage!B177</f>
        <v>177</v>
      </c>
      <c r="C177" s="10">
        <f>garage!C177</f>
        <v>5</v>
      </c>
      <c r="D177" s="10">
        <f>garage!D177</f>
        <v>15</v>
      </c>
      <c r="E177" s="10">
        <f>garage!E177</f>
        <v>20</v>
      </c>
      <c r="F177" s="10" t="str">
        <f>garage!F177</f>
        <v>B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>
        <f>garage!J216</f>
        <v>0</v>
      </c>
      <c r="K177" s="10" t="str">
        <f>garage!K177</f>
        <v>S</v>
      </c>
      <c r="L177" s="11" t="str">
        <f>garage!L177</f>
        <v>Bugatti</v>
      </c>
      <c r="M177" s="11" t="str">
        <f>garage!M177</f>
        <v>Veyron 16.4 Grand Sport Vitesse</v>
      </c>
      <c r="O177" s="46">
        <v>419</v>
      </c>
      <c r="P177" s="46">
        <v>81.06</v>
      </c>
      <c r="Q177" s="46">
        <v>49.15</v>
      </c>
      <c r="R177" s="46">
        <v>50.72</v>
      </c>
      <c r="S177" s="48">
        <f t="shared" si="5"/>
        <v>149.98250000000002</v>
      </c>
      <c r="U177" s="10">
        <v>15</v>
      </c>
    </row>
    <row r="178" spans="2:21" ht="18" customHeight="1" x14ac:dyDescent="0.2">
      <c r="B178" s="8">
        <f>garage!B178</f>
        <v>178</v>
      </c>
      <c r="C178" s="8">
        <f>garage!C178</f>
        <v>5</v>
      </c>
      <c r="D178" s="8">
        <f>garage!D178</f>
        <v>16</v>
      </c>
      <c r="E178" s="8">
        <f>garage!E178</f>
        <v>0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>
        <f>garage!J217</f>
        <v>0</v>
      </c>
      <c r="K178" s="8" t="str">
        <f>garage!K178</f>
        <v>S</v>
      </c>
      <c r="L178" s="9" t="str">
        <f>garage!L178</f>
        <v>Lamborghini</v>
      </c>
      <c r="M178" s="9" t="str">
        <f>garage!M178</f>
        <v>Terzo Millennio</v>
      </c>
      <c r="O178" s="45">
        <v>394.3</v>
      </c>
      <c r="P178" s="45">
        <v>82.77</v>
      </c>
      <c r="Q178" s="45">
        <v>52.84</v>
      </c>
      <c r="R178" s="45">
        <v>69.290000000000006</v>
      </c>
      <c r="S178" s="47">
        <f t="shared" ref="S178:S209" si="6">AVERAGE(O178:R178)</f>
        <v>149.79999999999998</v>
      </c>
      <c r="U178" s="8">
        <v>16</v>
      </c>
    </row>
    <row r="179" spans="2:21" ht="18" customHeight="1" x14ac:dyDescent="0.2">
      <c r="B179" s="10">
        <f>garage!B179</f>
        <v>179</v>
      </c>
      <c r="C179" s="10">
        <f>garage!C179</f>
        <v>5</v>
      </c>
      <c r="D179" s="10">
        <f>garage!D179</f>
        <v>17</v>
      </c>
      <c r="E179" s="10">
        <f>garage!E179</f>
        <v>24</v>
      </c>
      <c r="F179" s="10" t="str">
        <f>garage!F179</f>
        <v>--</v>
      </c>
      <c r="G179" s="10" t="str">
        <f>garage!G179</f>
        <v>O</v>
      </c>
      <c r="H179" s="10" t="str">
        <f>garage!H179</f>
        <v>N</v>
      </c>
      <c r="I179" s="10" t="str">
        <f>garage!I179</f>
        <v>N</v>
      </c>
      <c r="J179" s="10">
        <f>garage!J218</f>
        <v>0</v>
      </c>
      <c r="K179" s="10" t="str">
        <f>garage!K179</f>
        <v>S</v>
      </c>
      <c r="L179" s="11" t="str">
        <f>garage!L179</f>
        <v>Vision</v>
      </c>
      <c r="M179" s="11">
        <f>garage!M179</f>
        <v>1789</v>
      </c>
      <c r="O179" s="46">
        <v>390.2</v>
      </c>
      <c r="P179" s="46">
        <v>81.290000000000006</v>
      </c>
      <c r="Q179" s="46">
        <v>59.91</v>
      </c>
      <c r="R179" s="46">
        <v>72.19</v>
      </c>
      <c r="S179" s="48">
        <f t="shared" si="6"/>
        <v>150.89749999999998</v>
      </c>
      <c r="U179" s="10">
        <v>17</v>
      </c>
    </row>
    <row r="180" spans="2:21" ht="18" customHeight="1" x14ac:dyDescent="0.2">
      <c r="B180" s="8">
        <f>garage!B180</f>
        <v>180</v>
      </c>
      <c r="C180" s="8">
        <f>garage!C180</f>
        <v>5</v>
      </c>
      <c r="D180" s="8">
        <f>garage!D180</f>
        <v>18</v>
      </c>
      <c r="E180" s="8">
        <f>garage!E180</f>
        <v>0</v>
      </c>
      <c r="F180" s="8" t="str">
        <f>garage!F180</f>
        <v>--</v>
      </c>
      <c r="G180" s="8" t="str">
        <f>garage!G180</f>
        <v>O</v>
      </c>
      <c r="H180" s="8" t="str">
        <f>garage!H180</f>
        <v>O</v>
      </c>
      <c r="I180" s="8" t="str">
        <f>garage!I180</f>
        <v>N</v>
      </c>
      <c r="J180" s="8">
        <f>garage!J219</f>
        <v>0</v>
      </c>
      <c r="K180" s="8" t="str">
        <f>garage!K180</f>
        <v>S</v>
      </c>
      <c r="L180" s="9" t="str">
        <f>garage!L180</f>
        <v>W Motors</v>
      </c>
      <c r="M180" s="9" t="str">
        <f>garage!M180</f>
        <v>Fenyr Supersport</v>
      </c>
      <c r="O180" s="45">
        <v>416.9</v>
      </c>
      <c r="P180" s="45">
        <v>82.19</v>
      </c>
      <c r="Q180" s="45">
        <v>43.24</v>
      </c>
      <c r="R180" s="45">
        <v>68.599999999999994</v>
      </c>
      <c r="S180" s="47">
        <f t="shared" si="6"/>
        <v>152.73249999999999</v>
      </c>
      <c r="U180" s="8">
        <v>18</v>
      </c>
    </row>
    <row r="181" spans="2:21" ht="18" customHeight="1" x14ac:dyDescent="0.2">
      <c r="B181" s="10">
        <f>garage!B181</f>
        <v>181</v>
      </c>
      <c r="C181" s="10">
        <f>garage!C181</f>
        <v>5</v>
      </c>
      <c r="D181" s="10">
        <f>garage!D181</f>
        <v>19</v>
      </c>
      <c r="E181" s="10">
        <f>garage!E181</f>
        <v>19</v>
      </c>
      <c r="F181" s="10" t="str">
        <f>garage!F181</f>
        <v>AM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>
        <f>garage!J220</f>
        <v>0</v>
      </c>
      <c r="K181" s="10" t="str">
        <f>garage!K181</f>
        <v>S</v>
      </c>
      <c r="L181" s="11" t="str">
        <f>garage!L181</f>
        <v>Aston Martin</v>
      </c>
      <c r="M181" s="11" t="str">
        <f>garage!M181</f>
        <v>Valkyrie</v>
      </c>
      <c r="O181" s="46">
        <v>378.2</v>
      </c>
      <c r="P181" s="46">
        <v>80.3</v>
      </c>
      <c r="Q181" s="46">
        <v>77.91</v>
      </c>
      <c r="R181" s="46">
        <v>76.7</v>
      </c>
      <c r="S181" s="48">
        <f t="shared" si="6"/>
        <v>153.2775</v>
      </c>
      <c r="U181" s="10">
        <v>19</v>
      </c>
    </row>
    <row r="182" spans="2:21" ht="18" customHeight="1" x14ac:dyDescent="0.2">
      <c r="B182" s="8">
        <f>garage!B182</f>
        <v>182</v>
      </c>
      <c r="C182" s="8">
        <f>garage!C182</f>
        <v>5</v>
      </c>
      <c r="D182" s="8">
        <f>garage!D182</f>
        <v>20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N</v>
      </c>
      <c r="J182" s="8">
        <f>garage!J221</f>
        <v>0</v>
      </c>
      <c r="K182" s="8" t="str">
        <f>garage!K182</f>
        <v>S</v>
      </c>
      <c r="L182" s="9" t="str">
        <f>garage!L182</f>
        <v>Zenvo</v>
      </c>
      <c r="M182" s="9" t="str">
        <f>garage!M182</f>
        <v>TS1 GT Anniversary</v>
      </c>
      <c r="O182" s="45">
        <v>418.2</v>
      </c>
      <c r="P182" s="45">
        <v>81.290000000000006</v>
      </c>
      <c r="Q182" s="45">
        <v>46.66</v>
      </c>
      <c r="R182" s="45">
        <v>63.43</v>
      </c>
      <c r="S182" s="47">
        <f t="shared" si="6"/>
        <v>152.39499999999998</v>
      </c>
      <c r="U182" s="8">
        <v>20</v>
      </c>
    </row>
    <row r="183" spans="2:21" ht="18" customHeight="1" x14ac:dyDescent="0.2">
      <c r="B183" s="10">
        <f>garage!B183</f>
        <v>183</v>
      </c>
      <c r="C183" s="10">
        <f>garage!C183</f>
        <v>5</v>
      </c>
      <c r="D183" s="10">
        <f>garage!D183</f>
        <v>21</v>
      </c>
      <c r="E183" s="10">
        <f>garage!E183</f>
        <v>8</v>
      </c>
      <c r="F183" s="10" t="str">
        <f>garage!F183</f>
        <v>--</v>
      </c>
      <c r="G183" s="10" t="str">
        <f>garage!G183</f>
        <v>O</v>
      </c>
      <c r="H183" s="10" t="str">
        <f>garage!H183</f>
        <v>N</v>
      </c>
      <c r="I183" s="10" t="str">
        <f>garage!I183</f>
        <v>N</v>
      </c>
      <c r="J183" s="10">
        <f>garage!J222</f>
        <v>0</v>
      </c>
      <c r="K183" s="10" t="str">
        <f>garage!K183</f>
        <v>S</v>
      </c>
      <c r="L183" s="11" t="str">
        <f>garage!L183</f>
        <v>Automobili Pininfarina</v>
      </c>
      <c r="M183" s="11" t="str">
        <f>garage!M183</f>
        <v>Battista</v>
      </c>
      <c r="O183" s="46">
        <v>368.5</v>
      </c>
      <c r="P183" s="46">
        <v>88.49</v>
      </c>
      <c r="Q183" s="46">
        <v>80.45</v>
      </c>
      <c r="R183" s="46">
        <v>78.260000000000005</v>
      </c>
      <c r="S183" s="48">
        <f t="shared" si="6"/>
        <v>153.92500000000001</v>
      </c>
      <c r="U183" s="10">
        <v>21</v>
      </c>
    </row>
    <row r="184" spans="2:21" ht="18" customHeight="1" x14ac:dyDescent="0.2">
      <c r="B184" s="8">
        <f>garage!B184</f>
        <v>184</v>
      </c>
      <c r="C184" s="8">
        <f>garage!C184</f>
        <v>5</v>
      </c>
      <c r="D184" s="8">
        <f>garage!D184</f>
        <v>22</v>
      </c>
      <c r="E184" s="8">
        <f>garage!E184</f>
        <v>22</v>
      </c>
      <c r="F184" s="8" t="str">
        <f>garage!F184</f>
        <v>--</v>
      </c>
      <c r="G184" s="8" t="str">
        <f>garage!G184</f>
        <v>N</v>
      </c>
      <c r="H184" s="8" t="str">
        <f>garage!H184</f>
        <v>N</v>
      </c>
      <c r="I184" s="8" t="str">
        <f>garage!I184</f>
        <v>N</v>
      </c>
      <c r="J184" s="8">
        <f>garage!J223</f>
        <v>0</v>
      </c>
      <c r="K184" s="8" t="str">
        <f>garage!K184</f>
        <v>S</v>
      </c>
      <c r="L184" s="9" t="str">
        <f>garage!L184</f>
        <v>Naran</v>
      </c>
      <c r="M184" s="9" t="str">
        <f>garage!M184</f>
        <v>Hyper Coupé</v>
      </c>
      <c r="O184" s="45">
        <v>383.4</v>
      </c>
      <c r="P184" s="45">
        <v>85.79</v>
      </c>
      <c r="Q184" s="45">
        <v>67.31</v>
      </c>
      <c r="R184" s="45">
        <v>65.58</v>
      </c>
      <c r="S184" s="47">
        <f t="shared" si="6"/>
        <v>150.52000000000001</v>
      </c>
      <c r="U184" s="8">
        <v>22</v>
      </c>
    </row>
    <row r="185" spans="2:21" ht="18" customHeight="1" x14ac:dyDescent="0.2">
      <c r="B185" s="10">
        <f>garage!B185</f>
        <v>185</v>
      </c>
      <c r="C185" s="10">
        <f>garage!C185</f>
        <v>5</v>
      </c>
      <c r="D185" s="10">
        <f>garage!D185</f>
        <v>23</v>
      </c>
      <c r="E185" s="10">
        <f>garage!E185</f>
        <v>14</v>
      </c>
      <c r="F185" s="10" t="str">
        <f>garage!F185</f>
        <v>M</v>
      </c>
      <c r="G185" s="10" t="str">
        <f>garage!G185</f>
        <v>O</v>
      </c>
      <c r="H185" s="10" t="str">
        <f>garage!H185</f>
        <v>N</v>
      </c>
      <c r="I185" s="10" t="str">
        <f>garage!I185</f>
        <v>N</v>
      </c>
      <c r="J185" s="10">
        <f>garage!J224</f>
        <v>0</v>
      </c>
      <c r="K185" s="10" t="str">
        <f>garage!K185</f>
        <v>S</v>
      </c>
      <c r="L185" s="11" t="str">
        <f>garage!L185</f>
        <v>McLaren</v>
      </c>
      <c r="M185" s="11" t="str">
        <f>garage!M185</f>
        <v>Speedtail</v>
      </c>
      <c r="O185" s="46">
        <v>416.7</v>
      </c>
      <c r="P185" s="46">
        <v>81.11</v>
      </c>
      <c r="Q185" s="46">
        <v>56.65</v>
      </c>
      <c r="R185" s="46">
        <v>74.2</v>
      </c>
      <c r="S185" s="48">
        <f t="shared" si="6"/>
        <v>157.16500000000002</v>
      </c>
      <c r="U185" s="10">
        <v>23</v>
      </c>
    </row>
    <row r="186" spans="2:21" ht="18" customHeight="1" x14ac:dyDescent="0.2">
      <c r="B186" s="8">
        <f>garage!B186</f>
        <v>186</v>
      </c>
      <c r="C186" s="8">
        <f>garage!C186</f>
        <v>5</v>
      </c>
      <c r="D186" s="8">
        <f>garage!D186</f>
        <v>24</v>
      </c>
      <c r="E186" s="8">
        <f>garage!E186</f>
        <v>28</v>
      </c>
      <c r="F186" s="8" t="str">
        <f>garage!F186</f>
        <v>--</v>
      </c>
      <c r="G186" s="8" t="str">
        <f>garage!G186</f>
        <v>N</v>
      </c>
      <c r="H186" s="8" t="str">
        <f>garage!H186</f>
        <v>N</v>
      </c>
      <c r="I186" s="8" t="str">
        <f>garage!I186</f>
        <v>N</v>
      </c>
      <c r="J186" s="8">
        <f>garage!J225</f>
        <v>0</v>
      </c>
      <c r="K186" s="8" t="str">
        <f>garage!K186</f>
        <v>S</v>
      </c>
      <c r="L186" s="9" t="str">
        <f>garage!L186</f>
        <v>Faraday</v>
      </c>
      <c r="M186" s="9" t="str">
        <f>garage!M186</f>
        <v>FFZero1</v>
      </c>
      <c r="O186" s="45">
        <v>423</v>
      </c>
      <c r="P186" s="45">
        <v>86.06</v>
      </c>
      <c r="Q186" s="45">
        <v>42.83</v>
      </c>
      <c r="R186" s="45">
        <v>51.7</v>
      </c>
      <c r="S186" s="47">
        <f t="shared" si="6"/>
        <v>150.89750000000001</v>
      </c>
      <c r="U186" s="8">
        <v>24</v>
      </c>
    </row>
    <row r="187" spans="2:21" ht="18" customHeight="1" x14ac:dyDescent="0.2">
      <c r="B187" s="10">
        <f>garage!B187</f>
        <v>187</v>
      </c>
      <c r="C187" s="10">
        <f>garage!C187</f>
        <v>5</v>
      </c>
      <c r="D187" s="10">
        <f>garage!D187</f>
        <v>25</v>
      </c>
      <c r="E187" s="10">
        <f>garage!E187</f>
        <v>0</v>
      </c>
      <c r="F187" s="10" t="str">
        <f>garage!F187</f>
        <v>--</v>
      </c>
      <c r="G187" s="10" t="str">
        <f>garage!G187</f>
        <v>O</v>
      </c>
      <c r="H187" s="10" t="str">
        <f>garage!H187</f>
        <v>O</v>
      </c>
      <c r="I187" s="10" t="str">
        <f>garage!I187</f>
        <v>O</v>
      </c>
      <c r="J187" s="10">
        <f>garage!J226</f>
        <v>0</v>
      </c>
      <c r="K187" s="10" t="str">
        <f>garage!K187</f>
        <v>S</v>
      </c>
      <c r="L187" s="11" t="str">
        <f>garage!L187</f>
        <v>Koenigsegg</v>
      </c>
      <c r="M187" s="11" t="str">
        <f>garage!M187</f>
        <v>Regera</v>
      </c>
      <c r="O187" s="46">
        <v>457.1</v>
      </c>
      <c r="P187" s="46">
        <v>80.88</v>
      </c>
      <c r="Q187" s="46">
        <v>48.75</v>
      </c>
      <c r="R187" s="46">
        <v>52.48</v>
      </c>
      <c r="S187" s="48">
        <f t="shared" si="6"/>
        <v>159.80250000000001</v>
      </c>
      <c r="U187" s="10">
        <v>25</v>
      </c>
    </row>
    <row r="188" spans="2:21" ht="18" customHeight="1" x14ac:dyDescent="0.2">
      <c r="B188" s="8">
        <f>garage!B188</f>
        <v>188</v>
      </c>
      <c r="C188" s="8">
        <f>garage!C188</f>
        <v>5</v>
      </c>
      <c r="D188" s="8">
        <f>garage!D188</f>
        <v>26</v>
      </c>
      <c r="E188" s="8">
        <f>garage!E188</f>
        <v>23</v>
      </c>
      <c r="F188" s="8" t="str">
        <f>garage!F188</f>
        <v>--</v>
      </c>
      <c r="G188" s="8" t="str">
        <f>garage!G188</f>
        <v>N</v>
      </c>
      <c r="H188" s="8" t="str">
        <f>garage!H188</f>
        <v>N</v>
      </c>
      <c r="I188" s="8" t="str">
        <f>garage!I188</f>
        <v>N</v>
      </c>
      <c r="J188" s="8">
        <f>garage!J227</f>
        <v>0</v>
      </c>
      <c r="K188" s="8" t="str">
        <f>garage!K188</f>
        <v>S</v>
      </c>
      <c r="L188" s="9" t="str">
        <f>garage!L188</f>
        <v>Ultima</v>
      </c>
      <c r="M188" s="9" t="str">
        <f>garage!M188</f>
        <v>RS</v>
      </c>
      <c r="O188" s="45">
        <v>418.2</v>
      </c>
      <c r="P188" s="45">
        <v>81.38</v>
      </c>
      <c r="Q188" s="45">
        <v>63.54</v>
      </c>
      <c r="R188" s="45">
        <v>63.24</v>
      </c>
      <c r="S188" s="47">
        <f t="shared" si="6"/>
        <v>156.59</v>
      </c>
      <c r="U188" s="8">
        <v>26</v>
      </c>
    </row>
    <row r="189" spans="2:21" ht="18" customHeight="1" x14ac:dyDescent="0.2">
      <c r="B189" s="10">
        <f>garage!B189</f>
        <v>189</v>
      </c>
      <c r="C189" s="10">
        <f>garage!C189</f>
        <v>5</v>
      </c>
      <c r="D189" s="10">
        <f>garage!D189</f>
        <v>27</v>
      </c>
      <c r="E189" s="10">
        <f>garage!E189</f>
        <v>12</v>
      </c>
      <c r="F189" s="10" t="str">
        <f>garage!F189</f>
        <v>L</v>
      </c>
      <c r="G189" s="10" t="str">
        <f>garage!G189</f>
        <v>N</v>
      </c>
      <c r="H189" s="10" t="str">
        <f>garage!H189</f>
        <v>N</v>
      </c>
      <c r="I189" s="10" t="str">
        <f>garage!I189</f>
        <v>N</v>
      </c>
      <c r="J189" s="10">
        <f>garage!J228</f>
        <v>0</v>
      </c>
      <c r="K189" s="10" t="str">
        <f>garage!K189</f>
        <v>S</v>
      </c>
      <c r="L189" s="11" t="str">
        <f>garage!L189</f>
        <v>Lamborghini</v>
      </c>
      <c r="M189" s="11" t="str">
        <f>garage!M189</f>
        <v>Sián FKP 37</v>
      </c>
      <c r="O189" s="46">
        <v>368.1</v>
      </c>
      <c r="P189" s="46">
        <v>82.1</v>
      </c>
      <c r="Q189" s="46">
        <v>92.35</v>
      </c>
      <c r="R189" s="46">
        <v>81.180000000000007</v>
      </c>
      <c r="S189" s="48">
        <f t="shared" si="6"/>
        <v>155.9325</v>
      </c>
      <c r="U189" s="10">
        <v>27</v>
      </c>
    </row>
    <row r="190" spans="2:21" ht="18" customHeight="1" x14ac:dyDescent="0.2">
      <c r="B190" s="8">
        <f>garage!B190</f>
        <v>190</v>
      </c>
      <c r="C190" s="8">
        <f>garage!C190</f>
        <v>5</v>
      </c>
      <c r="D190" s="8">
        <f>garage!D190</f>
        <v>28</v>
      </c>
      <c r="E190" s="8">
        <f>garage!E190</f>
        <v>27</v>
      </c>
      <c r="F190" s="8" t="str">
        <f>garage!F190</f>
        <v>--</v>
      </c>
      <c r="G190" s="8" t="str">
        <f>garage!G190</f>
        <v>N</v>
      </c>
      <c r="H190" s="8" t="str">
        <f>garage!H190</f>
        <v>N</v>
      </c>
      <c r="I190" s="8" t="str">
        <f>garage!I190</f>
        <v>N</v>
      </c>
      <c r="J190" s="8">
        <f>garage!J229</f>
        <v>0</v>
      </c>
      <c r="K190" s="8" t="str">
        <f>garage!K190</f>
        <v>S</v>
      </c>
      <c r="L190" s="9" t="str">
        <f>garage!L190</f>
        <v>Ajlani</v>
      </c>
      <c r="M190" s="9" t="str">
        <f>garage!M190</f>
        <v>Drakuma</v>
      </c>
      <c r="O190" s="45">
        <v>441</v>
      </c>
      <c r="P190" s="45">
        <v>81.56</v>
      </c>
      <c r="Q190" s="45">
        <v>47.91</v>
      </c>
      <c r="R190" s="45">
        <v>60.58</v>
      </c>
      <c r="S190" s="47">
        <f t="shared" si="6"/>
        <v>157.76249999999999</v>
      </c>
      <c r="U190" s="8">
        <v>28</v>
      </c>
    </row>
    <row r="191" spans="2:21" ht="18" customHeight="1" x14ac:dyDescent="0.2">
      <c r="B191" s="10">
        <f>garage!B191</f>
        <v>191</v>
      </c>
      <c r="C191" s="10">
        <f>garage!C191</f>
        <v>5</v>
      </c>
      <c r="D191" s="10">
        <f>garage!D191</f>
        <v>29</v>
      </c>
      <c r="E191" s="10">
        <f>garage!E191</f>
        <v>29</v>
      </c>
      <c r="F191" s="10" t="str">
        <f>garage!F191</f>
        <v>--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>
        <f>garage!J230</f>
        <v>0</v>
      </c>
      <c r="K191" s="10" t="str">
        <f>garage!K191</f>
        <v>S</v>
      </c>
      <c r="L191" s="11" t="str">
        <f>garage!L191</f>
        <v>Torino Design</v>
      </c>
      <c r="M191" s="11" t="str">
        <f>garage!M191</f>
        <v>Super Sport</v>
      </c>
      <c r="O191" s="46">
        <v>405.3</v>
      </c>
      <c r="P191" s="46">
        <v>82.28</v>
      </c>
      <c r="Q191" s="46">
        <v>62.3</v>
      </c>
      <c r="R191" s="46">
        <v>75.81</v>
      </c>
      <c r="S191" s="48">
        <f t="shared" si="6"/>
        <v>156.42250000000001</v>
      </c>
      <c r="U191" s="10">
        <v>29</v>
      </c>
    </row>
    <row r="192" spans="2:21" ht="18" customHeight="1" x14ac:dyDescent="0.2">
      <c r="B192" s="8">
        <f>garage!B192</f>
        <v>192</v>
      </c>
      <c r="C192" s="8">
        <f>garage!C192</f>
        <v>5</v>
      </c>
      <c r="D192" s="8">
        <f>garage!D192</f>
        <v>30</v>
      </c>
      <c r="E192" s="8">
        <f>garage!E192</f>
        <v>17</v>
      </c>
      <c r="F192" s="8" t="str">
        <f>garage!F192</f>
        <v>--</v>
      </c>
      <c r="G192" s="8" t="str">
        <f>garage!G192</f>
        <v>O</v>
      </c>
      <c r="H192" s="8" t="str">
        <f>garage!H192</f>
        <v>N</v>
      </c>
      <c r="I192" s="8" t="str">
        <f>garage!I192</f>
        <v>N</v>
      </c>
      <c r="J192" s="8">
        <f>garage!J231</f>
        <v>0</v>
      </c>
      <c r="K192" s="8" t="str">
        <f>garage!K192</f>
        <v>S</v>
      </c>
      <c r="L192" s="9" t="str">
        <f>garage!L192</f>
        <v>Inferno Automobili</v>
      </c>
      <c r="M192" s="9" t="str">
        <f>garage!M192</f>
        <v>Inferno</v>
      </c>
      <c r="O192" s="45">
        <v>412.6</v>
      </c>
      <c r="P192" s="45">
        <v>83.05</v>
      </c>
      <c r="Q192" s="45">
        <v>54.88</v>
      </c>
      <c r="R192" s="45">
        <v>76.62</v>
      </c>
      <c r="S192" s="47">
        <f t="shared" si="6"/>
        <v>156.78750000000002</v>
      </c>
      <c r="U192" s="8">
        <v>30</v>
      </c>
    </row>
    <row r="193" spans="2:21" ht="18" customHeight="1" x14ac:dyDescent="0.2">
      <c r="B193" s="10">
        <f>garage!B193</f>
        <v>193</v>
      </c>
      <c r="C193" s="10">
        <f>garage!C193</f>
        <v>5</v>
      </c>
      <c r="D193" s="10">
        <f>garage!D193</f>
        <v>31</v>
      </c>
      <c r="E193" s="10">
        <f>garage!E193</f>
        <v>0</v>
      </c>
      <c r="F193" s="10" t="str">
        <f>garage!F193</f>
        <v>B</v>
      </c>
      <c r="G193" s="10" t="str">
        <f>garage!G193</f>
        <v>O</v>
      </c>
      <c r="H193" s="10" t="str">
        <f>garage!H193</f>
        <v>O</v>
      </c>
      <c r="I193" s="10" t="str">
        <f>garage!I193</f>
        <v>O</v>
      </c>
      <c r="J193" s="10">
        <f>garage!J232</f>
        <v>0</v>
      </c>
      <c r="K193" s="10" t="str">
        <f>garage!K193</f>
        <v>S</v>
      </c>
      <c r="L193" s="11" t="str">
        <f>garage!L193</f>
        <v>Bugatti</v>
      </c>
      <c r="M193" s="11" t="str">
        <f>garage!M193</f>
        <v>Chiron</v>
      </c>
      <c r="O193" s="46">
        <v>443.4</v>
      </c>
      <c r="P193" s="46">
        <v>84.4</v>
      </c>
      <c r="Q193" s="46">
        <v>45.62</v>
      </c>
      <c r="R193" s="46">
        <v>63.63</v>
      </c>
      <c r="S193" s="48">
        <f t="shared" si="6"/>
        <v>159.26249999999999</v>
      </c>
      <c r="U193" s="10">
        <v>31</v>
      </c>
    </row>
    <row r="194" spans="2:21" ht="18" customHeight="1" x14ac:dyDescent="0.2">
      <c r="B194" s="8">
        <f>garage!B194</f>
        <v>194</v>
      </c>
      <c r="C194" s="8">
        <f>garage!C194</f>
        <v>5</v>
      </c>
      <c r="D194" s="8">
        <f>garage!D194</f>
        <v>32</v>
      </c>
      <c r="E194" s="8">
        <f>garage!E194</f>
        <v>13</v>
      </c>
      <c r="F194" s="8" t="str">
        <f>garage!F194</f>
        <v>--</v>
      </c>
      <c r="G194" s="8" t="str">
        <f>garage!G194</f>
        <v>O</v>
      </c>
      <c r="H194" s="8" t="str">
        <f>garage!H194</f>
        <v>O</v>
      </c>
      <c r="I194" s="8" t="str">
        <f>garage!I194</f>
        <v>N</v>
      </c>
      <c r="J194" s="8">
        <f>garage!J233</f>
        <v>0</v>
      </c>
      <c r="K194" s="8" t="str">
        <f>garage!K194</f>
        <v>S</v>
      </c>
      <c r="L194" s="9" t="str">
        <f>garage!L194</f>
        <v>BXR</v>
      </c>
      <c r="M194" s="9" t="str">
        <f>garage!M194</f>
        <v>Bailey Blade GT1</v>
      </c>
      <c r="O194" s="45">
        <v>449.5</v>
      </c>
      <c r="P194" s="45">
        <v>80.48</v>
      </c>
      <c r="Q194" s="45">
        <v>46.87</v>
      </c>
      <c r="R194" s="45">
        <v>70.66</v>
      </c>
      <c r="S194" s="47">
        <f t="shared" si="6"/>
        <v>161.8775</v>
      </c>
      <c r="U194" s="8">
        <v>32</v>
      </c>
    </row>
    <row r="195" spans="2:21" ht="18" customHeight="1" x14ac:dyDescent="0.2">
      <c r="B195" s="10">
        <f>garage!B195</f>
        <v>195</v>
      </c>
      <c r="C195" s="10">
        <f>garage!C195</f>
        <v>5</v>
      </c>
      <c r="D195" s="10">
        <f>garage!D195</f>
        <v>33</v>
      </c>
      <c r="E195" s="10">
        <f>garage!E195</f>
        <v>18</v>
      </c>
      <c r="F195" s="10" t="str">
        <f>garage!F195</f>
        <v>--</v>
      </c>
      <c r="G195" s="10" t="str">
        <f>garage!G195</f>
        <v>N</v>
      </c>
      <c r="H195" s="10" t="str">
        <f>garage!H195</f>
        <v>N</v>
      </c>
      <c r="I195" s="10" t="str">
        <f>garage!I195</f>
        <v>N</v>
      </c>
      <c r="J195" s="10">
        <f>garage!J234</f>
        <v>0</v>
      </c>
      <c r="K195" s="10" t="str">
        <f>garage!K195</f>
        <v>S</v>
      </c>
      <c r="L195" s="11" t="str">
        <f>garage!L195</f>
        <v>Mazzanti</v>
      </c>
      <c r="M195" s="11" t="str">
        <f>garage!M195</f>
        <v>Evantra Millecavalli</v>
      </c>
      <c r="O195" s="46">
        <v>412.5</v>
      </c>
      <c r="P195" s="46">
        <v>82.6</v>
      </c>
      <c r="Q195" s="46">
        <v>63.86</v>
      </c>
      <c r="R195" s="46">
        <v>64.86</v>
      </c>
      <c r="S195" s="48">
        <f t="shared" si="6"/>
        <v>155.95500000000001</v>
      </c>
      <c r="U195" s="10">
        <v>33</v>
      </c>
    </row>
    <row r="196" spans="2:21" ht="18" customHeight="1" x14ac:dyDescent="0.2">
      <c r="B196" s="8">
        <f>garage!B196</f>
        <v>196</v>
      </c>
      <c r="C196" s="8">
        <f>garage!C196</f>
        <v>5</v>
      </c>
      <c r="D196" s="8">
        <f>garage!D196</f>
        <v>34</v>
      </c>
      <c r="E196" s="8">
        <f>garage!E196</f>
        <v>21</v>
      </c>
      <c r="F196" s="8" t="str">
        <f>garage!F196</f>
        <v>TD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>
        <f>garage!J235</f>
        <v>0</v>
      </c>
      <c r="K196" s="8" t="str">
        <f>garage!K196</f>
        <v>S</v>
      </c>
      <c r="L196" s="9" t="str">
        <f>garage!L196</f>
        <v>Toroidion</v>
      </c>
      <c r="M196" s="9" t="str">
        <f>garage!M196</f>
        <v>1MW</v>
      </c>
      <c r="O196" s="45">
        <v>460.6</v>
      </c>
      <c r="P196" s="45">
        <v>81.290000000000006</v>
      </c>
      <c r="Q196" s="45">
        <v>60.32</v>
      </c>
      <c r="R196" s="45">
        <v>54.19</v>
      </c>
      <c r="S196" s="47">
        <f t="shared" si="6"/>
        <v>164.10000000000002</v>
      </c>
      <c r="U196" s="8">
        <v>34</v>
      </c>
    </row>
    <row r="197" spans="2:21" ht="18" customHeight="1" x14ac:dyDescent="0.2">
      <c r="B197" s="10">
        <f>garage!B197</f>
        <v>197</v>
      </c>
      <c r="C197" s="10">
        <f>garage!C197</f>
        <v>5</v>
      </c>
      <c r="D197" s="10">
        <f>garage!D197</f>
        <v>35</v>
      </c>
      <c r="E197" s="10">
        <f>garage!E197</f>
        <v>27</v>
      </c>
      <c r="F197" s="10" t="str">
        <f>garage!F197</f>
        <v>--</v>
      </c>
      <c r="G197" s="10" t="str">
        <f>garage!G197</f>
        <v>N</v>
      </c>
      <c r="H197" s="10" t="str">
        <f>garage!H197</f>
        <v>N</v>
      </c>
      <c r="I197" s="10" t="str">
        <f>garage!I197</f>
        <v>N</v>
      </c>
      <c r="J197" s="10">
        <f>garage!J236</f>
        <v>0</v>
      </c>
      <c r="K197" s="10" t="str">
        <f>garage!K197</f>
        <v>S</v>
      </c>
      <c r="L197" s="11" t="str">
        <f>garage!L197</f>
        <v>Inferno Automobili</v>
      </c>
      <c r="M197" s="11" t="str">
        <f>garage!M197</f>
        <v>Settimo Cerchio</v>
      </c>
      <c r="O197" s="46">
        <v>447.1</v>
      </c>
      <c r="P197" s="46">
        <v>84.34</v>
      </c>
      <c r="Q197" s="46">
        <v>61.43</v>
      </c>
      <c r="R197" s="46">
        <v>39.21</v>
      </c>
      <c r="S197" s="48">
        <f t="shared" si="6"/>
        <v>158.02000000000001</v>
      </c>
      <c r="U197" s="10">
        <v>35</v>
      </c>
    </row>
    <row r="198" spans="2:21" ht="18" customHeight="1" x14ac:dyDescent="0.2">
      <c r="B198" s="8">
        <f>garage!B198</f>
        <v>198</v>
      </c>
      <c r="C198" s="8">
        <f>garage!C198</f>
        <v>5</v>
      </c>
      <c r="D198" s="8">
        <f>garage!D198</f>
        <v>36</v>
      </c>
      <c r="E198" s="8">
        <f>garage!E198</f>
        <v>6</v>
      </c>
      <c r="F198" s="8" t="str">
        <f>garage!F198</f>
        <v>--</v>
      </c>
      <c r="G198" s="8" t="str">
        <f>garage!G198</f>
        <v>N</v>
      </c>
      <c r="H198" s="8" t="str">
        <f>garage!H198</f>
        <v>O</v>
      </c>
      <c r="I198" s="8" t="str">
        <f>garage!I198</f>
        <v>N</v>
      </c>
      <c r="J198" s="8">
        <f>garage!J237</f>
        <v>0</v>
      </c>
      <c r="K198" s="8" t="str">
        <f>garage!K198</f>
        <v>S</v>
      </c>
      <c r="L198" s="9" t="str">
        <f>garage!L198</f>
        <v>Koenigsegg</v>
      </c>
      <c r="M198" s="9" t="str">
        <f>garage!M198</f>
        <v>Jesko</v>
      </c>
      <c r="O198" s="45">
        <v>496.6</v>
      </c>
      <c r="P198" s="45">
        <v>80.069999999999993</v>
      </c>
      <c r="Q198" s="45">
        <v>48.19</v>
      </c>
      <c r="R198" s="45">
        <v>58.23</v>
      </c>
      <c r="S198" s="47">
        <f t="shared" si="6"/>
        <v>170.77250000000004</v>
      </c>
      <c r="U198" s="8">
        <v>36</v>
      </c>
    </row>
    <row r="199" spans="2:21" ht="18" customHeight="1" x14ac:dyDescent="0.2">
      <c r="B199" s="10">
        <f>garage!B199</f>
        <v>199</v>
      </c>
      <c r="C199" s="10">
        <f>garage!C199</f>
        <v>5</v>
      </c>
      <c r="D199" s="10">
        <f>garage!D199</f>
        <v>37</v>
      </c>
      <c r="E199" s="10">
        <f>garage!E199</f>
        <v>26</v>
      </c>
      <c r="F199" s="10" t="str">
        <f>garage!F199</f>
        <v>B</v>
      </c>
      <c r="G199" s="10" t="str">
        <f>garage!G199</f>
        <v>N</v>
      </c>
      <c r="H199" s="10" t="str">
        <f>garage!H199</f>
        <v>N</v>
      </c>
      <c r="I199" s="10" t="str">
        <f>garage!I199</f>
        <v>N</v>
      </c>
      <c r="J199" s="10">
        <f>garage!J238</f>
        <v>0</v>
      </c>
      <c r="K199" s="10" t="str">
        <f>garage!K199</f>
        <v>S</v>
      </c>
      <c r="L199" s="11" t="str">
        <f>garage!L199</f>
        <v>Bugatti</v>
      </c>
      <c r="M199" s="11" t="str">
        <f>garage!M199</f>
        <v>Centodieci</v>
      </c>
      <c r="O199" s="46">
        <v>402.7</v>
      </c>
      <c r="P199" s="46">
        <v>86.51</v>
      </c>
      <c r="Q199" s="46">
        <v>52.58</v>
      </c>
      <c r="R199" s="46">
        <v>77.09</v>
      </c>
      <c r="S199" s="48">
        <f t="shared" si="6"/>
        <v>154.72</v>
      </c>
      <c r="U199" s="10">
        <v>37</v>
      </c>
    </row>
    <row r="200" spans="2:21" ht="18" customHeight="1" x14ac:dyDescent="0.2">
      <c r="B200" s="8">
        <f>garage!B200</f>
        <v>200</v>
      </c>
      <c r="C200" s="8">
        <f>garage!C200</f>
        <v>5</v>
      </c>
      <c r="D200" s="8">
        <f>garage!D200</f>
        <v>38</v>
      </c>
      <c r="E200" s="8">
        <f>garage!E200</f>
        <v>17</v>
      </c>
      <c r="F200" s="8" t="str">
        <f>garage!F200</f>
        <v>--</v>
      </c>
      <c r="G200" s="8" t="str">
        <f>garage!G200</f>
        <v>N</v>
      </c>
      <c r="H200" s="8" t="str">
        <f>garage!H200</f>
        <v>N</v>
      </c>
      <c r="I200" s="8" t="str">
        <f>garage!I200</f>
        <v>N</v>
      </c>
      <c r="J200" s="8">
        <f>garage!J239</f>
        <v>0</v>
      </c>
      <c r="K200" s="8" t="str">
        <f>garage!K200</f>
        <v>S</v>
      </c>
      <c r="L200" s="9" t="str">
        <f>garage!L200</f>
        <v>Aspark</v>
      </c>
      <c r="M200" s="9" t="str">
        <f>garage!M200</f>
        <v>Owl</v>
      </c>
      <c r="O200" s="45">
        <v>414.7</v>
      </c>
      <c r="P200" s="45">
        <v>89.4</v>
      </c>
      <c r="Q200" s="45">
        <v>51.75</v>
      </c>
      <c r="R200" s="45">
        <v>51.27</v>
      </c>
      <c r="S200" s="47">
        <f t="shared" si="6"/>
        <v>151.78</v>
      </c>
      <c r="U200" s="8">
        <v>38</v>
      </c>
    </row>
    <row r="201" spans="2:21" ht="18" customHeight="1" x14ac:dyDescent="0.2">
      <c r="B201" s="10">
        <f>garage!B201</f>
        <v>201</v>
      </c>
      <c r="C201" s="10">
        <f>garage!C201</f>
        <v>5</v>
      </c>
      <c r="D201" s="10">
        <f>garage!D201</f>
        <v>39</v>
      </c>
      <c r="E201" s="10">
        <f>garage!E201</f>
        <v>0</v>
      </c>
      <c r="F201" s="10" t="str">
        <f>garage!F201</f>
        <v>--</v>
      </c>
      <c r="G201" s="10" t="str">
        <f>garage!G201</f>
        <v>N</v>
      </c>
      <c r="H201" s="10" t="str">
        <f>garage!H201</f>
        <v>N</v>
      </c>
      <c r="I201" s="10" t="str">
        <f>garage!I201</f>
        <v>N</v>
      </c>
      <c r="J201" s="10">
        <f>garage!J240</f>
        <v>0</v>
      </c>
      <c r="K201" s="10" t="str">
        <f>garage!K201</f>
        <v>S</v>
      </c>
      <c r="L201" s="11" t="str">
        <f>garage!L201</f>
        <v>Rimac</v>
      </c>
      <c r="M201" s="11" t="str">
        <f>garage!M201</f>
        <v>Nevera</v>
      </c>
      <c r="O201" s="46">
        <v>421.6</v>
      </c>
      <c r="P201" s="46">
        <v>87.71</v>
      </c>
      <c r="Q201" s="46">
        <v>51.33</v>
      </c>
      <c r="R201" s="46">
        <v>56.51</v>
      </c>
      <c r="S201" s="48">
        <f t="shared" si="6"/>
        <v>154.28749999999999</v>
      </c>
      <c r="U201" s="10">
        <v>39</v>
      </c>
    </row>
    <row r="202" spans="2:21" ht="18" customHeight="1" x14ac:dyDescent="0.2">
      <c r="B202" s="8">
        <f>garage!B202</f>
        <v>202</v>
      </c>
      <c r="C202" s="8">
        <f>garage!C202</f>
        <v>5</v>
      </c>
      <c r="D202" s="8">
        <f>garage!D202</f>
        <v>40</v>
      </c>
      <c r="E202" s="8">
        <f>garage!E202</f>
        <v>27</v>
      </c>
      <c r="F202" s="8" t="str">
        <f>garage!F202</f>
        <v>--</v>
      </c>
      <c r="G202" s="8" t="str">
        <f>garage!G202</f>
        <v>N</v>
      </c>
      <c r="H202" s="8" t="str">
        <f>garage!H202</f>
        <v>N</v>
      </c>
      <c r="I202" s="8" t="str">
        <f>garage!I202</f>
        <v>N</v>
      </c>
      <c r="J202" s="8">
        <f>garage!J241</f>
        <v>0</v>
      </c>
      <c r="K202" s="8" t="str">
        <f>garage!K202</f>
        <v>S</v>
      </c>
      <c r="L202" s="9" t="str">
        <f>garage!L202</f>
        <v>Koenigsegg</v>
      </c>
      <c r="M202" s="9" t="str">
        <f>garage!M202</f>
        <v>Agera RS</v>
      </c>
      <c r="O202" s="45">
        <v>484.8</v>
      </c>
      <c r="P202" s="45">
        <v>79.67</v>
      </c>
      <c r="Q202" s="45">
        <v>60.03</v>
      </c>
      <c r="R202" s="45">
        <v>58.86</v>
      </c>
      <c r="S202" s="47">
        <f t="shared" si="6"/>
        <v>170.84</v>
      </c>
      <c r="U202" s="8">
        <v>40</v>
      </c>
    </row>
    <row r="203" spans="2:21" ht="18" customHeight="1" x14ac:dyDescent="0.2">
      <c r="B203" s="10">
        <f>garage!B203</f>
        <v>203</v>
      </c>
      <c r="C203" s="10">
        <f>garage!C203</f>
        <v>5</v>
      </c>
      <c r="D203" s="10">
        <f>garage!D203</f>
        <v>41</v>
      </c>
      <c r="E203" s="10">
        <f>garage!E203</f>
        <v>13</v>
      </c>
      <c r="F203" s="10" t="str">
        <f>garage!F203</f>
        <v>--</v>
      </c>
      <c r="G203" s="10" t="str">
        <f>garage!G203</f>
        <v>N</v>
      </c>
      <c r="H203" s="10" t="str">
        <f>garage!H203</f>
        <v>O</v>
      </c>
      <c r="I203" s="10" t="str">
        <f>garage!I203</f>
        <v>N</v>
      </c>
      <c r="J203" s="10">
        <f>garage!J242</f>
        <v>0</v>
      </c>
      <c r="K203" s="10" t="str">
        <f>garage!K203</f>
        <v>S</v>
      </c>
      <c r="L203" s="11" t="str">
        <f>garage!L203</f>
        <v>SSC</v>
      </c>
      <c r="M203" s="11" t="str">
        <f>garage!M203</f>
        <v>Tuatara</v>
      </c>
      <c r="O203" s="46">
        <v>490.6</v>
      </c>
      <c r="P203" s="46">
        <v>82.51</v>
      </c>
      <c r="Q203" s="46">
        <v>48.77</v>
      </c>
      <c r="R203" s="46">
        <v>62.04</v>
      </c>
      <c r="S203" s="48">
        <f t="shared" si="6"/>
        <v>170.98</v>
      </c>
      <c r="U203" s="10">
        <v>41</v>
      </c>
    </row>
    <row r="204" spans="2:21" ht="18" customHeight="1" x14ac:dyDescent="0.2">
      <c r="B204" s="8">
        <f>garage!B204</f>
        <v>204</v>
      </c>
      <c r="C204" s="8">
        <f>garage!C204</f>
        <v>5</v>
      </c>
      <c r="D204" s="8">
        <f>garage!D204</f>
        <v>42</v>
      </c>
      <c r="E204" s="8">
        <f>garage!E204</f>
        <v>16</v>
      </c>
      <c r="F204" s="8" t="str">
        <f>garage!F204</f>
        <v>B</v>
      </c>
      <c r="G204" s="8" t="str">
        <f>garage!G204</f>
        <v>N</v>
      </c>
      <c r="H204" s="8" t="str">
        <f>garage!H204</f>
        <v>N</v>
      </c>
      <c r="I204" s="8" t="str">
        <f>garage!I204</f>
        <v>N</v>
      </c>
      <c r="J204" s="8">
        <f>garage!J243</f>
        <v>0</v>
      </c>
      <c r="K204" s="8" t="str">
        <f>garage!K204</f>
        <v>S</v>
      </c>
      <c r="L204" s="9" t="str">
        <f>garage!L204</f>
        <v>Bugatti</v>
      </c>
      <c r="M204" s="9" t="str">
        <f>garage!M204</f>
        <v>La Voiture Noire</v>
      </c>
      <c r="O204" s="45">
        <v>443.4</v>
      </c>
      <c r="P204" s="45">
        <v>84.89</v>
      </c>
      <c r="Q204" s="45">
        <v>54.63</v>
      </c>
      <c r="R204" s="45">
        <v>63.79</v>
      </c>
      <c r="S204" s="47">
        <f t="shared" si="6"/>
        <v>161.67749999999998</v>
      </c>
      <c r="U204" s="8">
        <v>42</v>
      </c>
    </row>
    <row r="205" spans="2:21" ht="18" customHeight="1" x14ac:dyDescent="0.2">
      <c r="B205" s="10">
        <f>garage!B205</f>
        <v>205</v>
      </c>
      <c r="C205" s="10">
        <f>garage!C205</f>
        <v>5</v>
      </c>
      <c r="D205" s="10">
        <f>garage!D205</f>
        <v>43</v>
      </c>
      <c r="E205" s="10">
        <f>garage!E205</f>
        <v>20</v>
      </c>
      <c r="F205" s="10" t="str">
        <f>garage!F205</f>
        <v>TD</v>
      </c>
      <c r="G205" s="10" t="str">
        <f>garage!G205</f>
        <v>N</v>
      </c>
      <c r="H205" s="10" t="str">
        <f>garage!H205</f>
        <v>N</v>
      </c>
      <c r="I205" s="10" t="str">
        <f>garage!I205</f>
        <v>N</v>
      </c>
      <c r="J205" s="10">
        <f>garage!J244</f>
        <v>0</v>
      </c>
      <c r="K205" s="10" t="str">
        <f>garage!K205</f>
        <v>S</v>
      </c>
      <c r="L205" s="11" t="str">
        <f>garage!L205</f>
        <v>Hennessey</v>
      </c>
      <c r="M205" s="11" t="str">
        <f>garage!M205</f>
        <v>Venom F5</v>
      </c>
      <c r="O205" s="46">
        <v>512.29999999999995</v>
      </c>
      <c r="P205" s="46">
        <v>80.66</v>
      </c>
      <c r="Q205" s="46">
        <v>49.07</v>
      </c>
      <c r="R205" s="46">
        <v>49.53</v>
      </c>
      <c r="S205" s="48">
        <f t="shared" si="6"/>
        <v>172.89</v>
      </c>
      <c r="U205" s="10">
        <v>43</v>
      </c>
    </row>
    <row r="206" spans="2:21" ht="18" customHeight="1" x14ac:dyDescent="0.2">
      <c r="B206" s="8">
        <f>garage!B206</f>
        <v>206</v>
      </c>
      <c r="C206" s="8">
        <f>garage!C206</f>
        <v>5</v>
      </c>
      <c r="D206" s="8">
        <f>garage!D206</f>
        <v>44</v>
      </c>
      <c r="E206" s="8">
        <f>garage!E206</f>
        <v>22</v>
      </c>
      <c r="F206" s="8" t="str">
        <f>garage!F206</f>
        <v>--</v>
      </c>
      <c r="G206" s="8" t="str">
        <f>garage!G206</f>
        <v>N</v>
      </c>
      <c r="H206" s="8" t="str">
        <f>garage!H206</f>
        <v>N</v>
      </c>
      <c r="I206" s="8" t="str">
        <f>garage!I206</f>
        <v>N</v>
      </c>
      <c r="J206" s="8">
        <f>garage!J245</f>
        <v>0</v>
      </c>
      <c r="K206" s="8" t="str">
        <f>garage!K206</f>
        <v>S</v>
      </c>
      <c r="L206" s="9" t="str">
        <f>garage!L206</f>
        <v>Koenigsegg</v>
      </c>
      <c r="M206" s="9" t="str">
        <f>garage!M206</f>
        <v>Gemera</v>
      </c>
      <c r="O206" s="45">
        <v>413.1</v>
      </c>
      <c r="P206" s="45">
        <v>88.58</v>
      </c>
      <c r="Q206" s="45">
        <v>66.06</v>
      </c>
      <c r="R206" s="45">
        <v>48.36</v>
      </c>
      <c r="S206" s="47">
        <f t="shared" si="6"/>
        <v>154.02500000000001</v>
      </c>
      <c r="U206" s="8">
        <v>44</v>
      </c>
    </row>
    <row r="207" spans="2:21" ht="18" customHeight="1" x14ac:dyDescent="0.2">
      <c r="B207" s="10">
        <f>garage!B207</f>
        <v>207</v>
      </c>
      <c r="C207" s="10">
        <f>garage!C207</f>
        <v>5</v>
      </c>
      <c r="D207" s="10">
        <f>garage!D207</f>
        <v>45</v>
      </c>
      <c r="E207" s="10">
        <f>garage!E207</f>
        <v>24</v>
      </c>
      <c r="F207" s="10" t="str">
        <f>garage!F207</f>
        <v>--</v>
      </c>
      <c r="G207" s="10" t="str">
        <f>garage!G207</f>
        <v>N</v>
      </c>
      <c r="H207" s="10" t="str">
        <f>garage!H207</f>
        <v>N</v>
      </c>
      <c r="I207" s="10" t="str">
        <f>garage!I207</f>
        <v>N</v>
      </c>
      <c r="J207" s="10">
        <f>garage!J246</f>
        <v>0</v>
      </c>
      <c r="K207" s="10" t="str">
        <f>garage!K207</f>
        <v>S</v>
      </c>
      <c r="L207" s="11" t="str">
        <f>garage!L207</f>
        <v>Tushek</v>
      </c>
      <c r="M207" s="11" t="str">
        <f>garage!M207</f>
        <v>TS 900 Racer Pro</v>
      </c>
      <c r="O207" s="46">
        <v>395.2</v>
      </c>
      <c r="P207" s="46">
        <v>86</v>
      </c>
      <c r="Q207" s="46">
        <v>73.709999999999994</v>
      </c>
      <c r="R207" s="46">
        <v>61.51</v>
      </c>
      <c r="S207" s="48">
        <f t="shared" si="6"/>
        <v>154.10499999999999</v>
      </c>
      <c r="U207" s="10">
        <v>45</v>
      </c>
    </row>
    <row r="208" spans="2:21" ht="18" customHeight="1" x14ac:dyDescent="0.2">
      <c r="B208" s="8">
        <f>garage!B208</f>
        <v>208</v>
      </c>
      <c r="C208" s="8">
        <f>garage!C208</f>
        <v>5</v>
      </c>
      <c r="D208" s="8">
        <f>garage!D208</f>
        <v>46</v>
      </c>
      <c r="E208" s="8">
        <f>garage!E208</f>
        <v>28</v>
      </c>
      <c r="F208" s="8" t="str">
        <f>garage!F208</f>
        <v>B</v>
      </c>
      <c r="G208" s="8" t="str">
        <f>garage!G208</f>
        <v>N</v>
      </c>
      <c r="H208" s="8" t="str">
        <f>garage!H208</f>
        <v>N</v>
      </c>
      <c r="I208" s="8" t="str">
        <f>garage!I208</f>
        <v>N</v>
      </c>
      <c r="J208" s="8">
        <f>garage!J247</f>
        <v>0</v>
      </c>
      <c r="K208" s="8" t="str">
        <f>garage!K208</f>
        <v>S</v>
      </c>
      <c r="L208" s="9" t="str">
        <f>garage!L208</f>
        <v>Bugatti</v>
      </c>
      <c r="M208" s="9" t="str">
        <f>garage!M208</f>
        <v>Bolide</v>
      </c>
      <c r="O208" s="45">
        <v>497.1</v>
      </c>
      <c r="P208" s="45">
        <v>84.69</v>
      </c>
      <c r="Q208" s="45">
        <v>51.07</v>
      </c>
      <c r="R208" s="45">
        <v>21.71</v>
      </c>
      <c r="S208" s="47">
        <f t="shared" si="6"/>
        <v>163.64250000000001</v>
      </c>
      <c r="U208" s="8">
        <v>46</v>
      </c>
    </row>
    <row r="209" spans="2:21" ht="18" customHeight="1" x14ac:dyDescent="0.2">
      <c r="B209" s="10">
        <f>garage!B209</f>
        <v>209</v>
      </c>
      <c r="C209" s="10">
        <f>garage!C209</f>
        <v>5</v>
      </c>
      <c r="D209" s="10">
        <f>garage!D209</f>
        <v>47</v>
      </c>
      <c r="E209" s="10">
        <f>garage!E209</f>
        <v>0</v>
      </c>
      <c r="F209" s="10" t="str">
        <f>garage!F209</f>
        <v>--</v>
      </c>
      <c r="G209" s="10" t="str">
        <f>garage!G209</f>
        <v>N</v>
      </c>
      <c r="H209" s="10" t="str">
        <f>garage!H209</f>
        <v>N</v>
      </c>
      <c r="I209" s="10" t="str">
        <f>garage!I209</f>
        <v>N</v>
      </c>
      <c r="J209" s="10">
        <f>garage!J248</f>
        <v>0</v>
      </c>
      <c r="K209" s="10" t="str">
        <f>garage!K209</f>
        <v>S</v>
      </c>
      <c r="L209" s="11" t="str">
        <f>garage!L209</f>
        <v>Rimac</v>
      </c>
      <c r="M209" s="11" t="str">
        <f>garage!M209</f>
        <v>C TWO</v>
      </c>
      <c r="O209" s="46">
        <v>421.6</v>
      </c>
      <c r="P209" s="46">
        <v>87.71</v>
      </c>
      <c r="Q209" s="46">
        <v>51.33</v>
      </c>
      <c r="R209" s="46">
        <v>56.51</v>
      </c>
      <c r="S209" s="48">
        <f t="shared" si="6"/>
        <v>154.28749999999999</v>
      </c>
      <c r="U209" s="10">
        <v>47</v>
      </c>
    </row>
    <row r="210" spans="2:21" ht="18" customHeight="1" x14ac:dyDescent="0.2">
      <c r="B210" s="8">
        <f>garage!B210</f>
        <v>210</v>
      </c>
      <c r="C210" s="8">
        <f>garage!C210</f>
        <v>5</v>
      </c>
      <c r="D210" s="8">
        <f>garage!D210</f>
        <v>48</v>
      </c>
      <c r="E210" s="8">
        <f>garage!E210</f>
        <v>16</v>
      </c>
      <c r="F210" s="8" t="str">
        <f>garage!F210</f>
        <v>B</v>
      </c>
      <c r="G210" s="8" t="str">
        <f>garage!G210</f>
        <v>N</v>
      </c>
      <c r="H210" s="8" t="str">
        <f>garage!H210</f>
        <v>N</v>
      </c>
      <c r="I210" s="8" t="str">
        <f>garage!I210</f>
        <v>N</v>
      </c>
      <c r="J210" s="8">
        <f>garage!J249</f>
        <v>0</v>
      </c>
      <c r="K210" s="8" t="str">
        <f>garage!K210</f>
        <v>S</v>
      </c>
      <c r="L210" s="9" t="str">
        <f>garage!L210</f>
        <v>Bugatti</v>
      </c>
      <c r="M210" s="9" t="str">
        <f>garage!M210</f>
        <v>Divo</v>
      </c>
      <c r="O210" s="45">
        <v>396</v>
      </c>
      <c r="P210" s="45">
        <v>85.7</v>
      </c>
      <c r="Q210" s="45">
        <v>61.48</v>
      </c>
      <c r="R210" s="45">
        <v>73.989999999999995</v>
      </c>
      <c r="S210" s="47">
        <f t="shared" ref="S210" si="7">AVERAGE(O210:R210)</f>
        <v>154.29249999999999</v>
      </c>
      <c r="U210" s="8">
        <v>48</v>
      </c>
    </row>
  </sheetData>
  <autoFilter ref="E1:L210"/>
  <sortState ref="B2:S205">
    <sortCondition ref="C2:C205"/>
    <sortCondition ref="D2:D205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B1:U210"/>
  <sheetViews>
    <sheetView showGridLines="0" workbookViewId="0">
      <pane ySplit="1" topLeftCell="A2" activePane="bottomLeft" state="frozenSplit"/>
      <selection activeCell="A175" sqref="A175:XFD175"/>
      <selection pane="bottomLeft" activeCell="P121" sqref="P121"/>
    </sheetView>
  </sheetViews>
  <sheetFormatPr baseColWidth="10" defaultColWidth="3.7109375" defaultRowHeight="18" customHeight="1" x14ac:dyDescent="0.2"/>
  <cols>
    <col min="2" max="8" width="3.7109375" style="2"/>
    <col min="11" max="11" width="3.7109375" style="4"/>
    <col min="12" max="12" width="20.7109375" style="4" customWidth="1"/>
    <col min="13" max="13" width="30.7109375" customWidth="1"/>
    <col min="15" max="18" width="10.7109375" customWidth="1"/>
    <col min="19" max="19" width="10.7109375" style="12" customWidth="1"/>
    <col min="21" max="21" width="3.7109375" style="2"/>
  </cols>
  <sheetData>
    <row r="1" spans="2:21" ht="50.1" customHeight="1" x14ac:dyDescent="0.2">
      <c r="B1" s="7" t="s">
        <v>113</v>
      </c>
      <c r="C1" s="7" t="s">
        <v>114</v>
      </c>
      <c r="D1" s="7" t="s">
        <v>115</v>
      </c>
      <c r="E1" s="7" t="s">
        <v>116</v>
      </c>
      <c r="F1" s="7" t="s">
        <v>117</v>
      </c>
      <c r="G1" s="7" t="s">
        <v>69</v>
      </c>
      <c r="H1" s="7" t="s">
        <v>70</v>
      </c>
      <c r="I1" s="7" t="s">
        <v>71</v>
      </c>
      <c r="J1" s="7" t="s">
        <v>118</v>
      </c>
      <c r="K1" s="6" t="s">
        <v>119</v>
      </c>
      <c r="L1" s="6" t="s">
        <v>120</v>
      </c>
      <c r="M1" s="6" t="s">
        <v>121</v>
      </c>
      <c r="O1" s="7" t="s">
        <v>433</v>
      </c>
      <c r="P1" s="7" t="s">
        <v>434</v>
      </c>
      <c r="Q1" s="7" t="s">
        <v>435</v>
      </c>
      <c r="R1" s="7" t="s">
        <v>436</v>
      </c>
      <c r="S1" s="7" t="s">
        <v>440</v>
      </c>
      <c r="U1" s="7" t="s">
        <v>115</v>
      </c>
    </row>
    <row r="2" spans="2:21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garage!J2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45">
        <v>250</v>
      </c>
      <c r="P2" s="45">
        <v>42.4</v>
      </c>
      <c r="Q2" s="45">
        <v>54.8</v>
      </c>
      <c r="R2" s="45">
        <v>54.8</v>
      </c>
      <c r="S2" s="47">
        <f t="shared" ref="S2:S65" si="0">AVERAGE(O2:R2)</f>
        <v>100.5</v>
      </c>
      <c r="U2" s="8">
        <v>1</v>
      </c>
    </row>
    <row r="3" spans="2:21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garage!J3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46">
        <v>250</v>
      </c>
      <c r="P3" s="46">
        <v>58.6</v>
      </c>
      <c r="Q3" s="46">
        <v>39.020000000000003</v>
      </c>
      <c r="R3" s="46">
        <v>45.09</v>
      </c>
      <c r="S3" s="48">
        <f t="shared" si="0"/>
        <v>98.177500000000009</v>
      </c>
      <c r="U3" s="10">
        <v>2</v>
      </c>
    </row>
    <row r="4" spans="2:21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45">
        <v>265</v>
      </c>
      <c r="P4" s="45">
        <v>51.4</v>
      </c>
      <c r="Q4" s="45">
        <v>41.17</v>
      </c>
      <c r="R4" s="45">
        <v>48.53</v>
      </c>
      <c r="S4" s="47">
        <f t="shared" si="0"/>
        <v>101.52500000000001</v>
      </c>
      <c r="U4" s="8">
        <v>3</v>
      </c>
    </row>
    <row r="5" spans="2:21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garage!J5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46">
        <v>220</v>
      </c>
      <c r="P5" s="46">
        <v>69.400000000000006</v>
      </c>
      <c r="Q5" s="46">
        <v>38.17</v>
      </c>
      <c r="R5" s="46">
        <v>48.27</v>
      </c>
      <c r="S5" s="48">
        <f t="shared" si="0"/>
        <v>93.96</v>
      </c>
      <c r="U5" s="10">
        <v>4</v>
      </c>
    </row>
    <row r="6" spans="2:21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garage!J6</f>
        <v>N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45">
        <v>250</v>
      </c>
      <c r="P6" s="45">
        <v>53.2</v>
      </c>
      <c r="Q6" s="45">
        <v>52.37</v>
      </c>
      <c r="R6" s="45">
        <v>41.85</v>
      </c>
      <c r="S6" s="47">
        <f t="shared" si="0"/>
        <v>99.355000000000004</v>
      </c>
      <c r="U6" s="8">
        <v>5</v>
      </c>
    </row>
    <row r="7" spans="2:21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garage!J7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46">
        <v>231</v>
      </c>
      <c r="P7" s="46">
        <v>64.900000000000006</v>
      </c>
      <c r="Q7" s="46">
        <v>42.69</v>
      </c>
      <c r="R7" s="46">
        <v>50.35</v>
      </c>
      <c r="S7" s="48">
        <f t="shared" si="0"/>
        <v>97.234999999999999</v>
      </c>
      <c r="U7" s="10">
        <v>6</v>
      </c>
    </row>
    <row r="8" spans="2:21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garage!J8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45">
        <v>270</v>
      </c>
      <c r="P8" s="45">
        <v>46.9</v>
      </c>
      <c r="Q8" s="45">
        <v>49.35</v>
      </c>
      <c r="R8" s="45">
        <v>42.32</v>
      </c>
      <c r="S8" s="47">
        <f t="shared" si="0"/>
        <v>102.1425</v>
      </c>
      <c r="U8" s="8">
        <v>7</v>
      </c>
    </row>
    <row r="9" spans="2:21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garage!J9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46">
        <v>250</v>
      </c>
      <c r="P9" s="46">
        <v>59.5</v>
      </c>
      <c r="Q9" s="46">
        <v>45.09</v>
      </c>
      <c r="R9" s="46">
        <v>51.56</v>
      </c>
      <c r="S9" s="48">
        <f t="shared" si="0"/>
        <v>101.53750000000001</v>
      </c>
      <c r="U9" s="10">
        <v>8</v>
      </c>
    </row>
    <row r="10" spans="2:21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garage!J10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45">
        <v>283</v>
      </c>
      <c r="P10" s="45">
        <v>62.2</v>
      </c>
      <c r="Q10" s="45">
        <v>36.1</v>
      </c>
      <c r="R10" s="45">
        <v>50.71</v>
      </c>
      <c r="S10" s="47">
        <f t="shared" si="0"/>
        <v>108.0025</v>
      </c>
      <c r="U10" s="8">
        <v>9</v>
      </c>
    </row>
    <row r="11" spans="2:21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garage!J11</f>
        <v>O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46">
        <v>275.7</v>
      </c>
      <c r="P11" s="46">
        <v>55</v>
      </c>
      <c r="Q11" s="46">
        <v>44.86</v>
      </c>
      <c r="R11" s="46">
        <v>44.86</v>
      </c>
      <c r="S11" s="48">
        <f t="shared" si="0"/>
        <v>105.105</v>
      </c>
      <c r="U11" s="10">
        <v>10</v>
      </c>
    </row>
    <row r="12" spans="2:21" ht="18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garage!J12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45">
        <v>250</v>
      </c>
      <c r="P12" s="45">
        <v>68.5</v>
      </c>
      <c r="Q12" s="45">
        <v>45.09</v>
      </c>
      <c r="R12" s="45">
        <v>35.380000000000003</v>
      </c>
      <c r="S12" s="47">
        <f t="shared" si="0"/>
        <v>99.742500000000007</v>
      </c>
      <c r="U12" s="8">
        <v>11</v>
      </c>
    </row>
    <row r="13" spans="2:21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garage!J13</f>
        <v>O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46">
        <v>250</v>
      </c>
      <c r="P13" s="46">
        <v>58.6</v>
      </c>
      <c r="Q13" s="46">
        <v>51.16</v>
      </c>
      <c r="R13" s="46">
        <v>48.33</v>
      </c>
      <c r="S13" s="48">
        <f t="shared" si="0"/>
        <v>102.02249999999999</v>
      </c>
      <c r="U13" s="10">
        <v>12</v>
      </c>
    </row>
    <row r="14" spans="2:21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garage!J14</f>
        <v>N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45">
        <v>290</v>
      </c>
      <c r="P14" s="45">
        <v>57.7</v>
      </c>
      <c r="Q14" s="45">
        <v>32.35</v>
      </c>
      <c r="R14" s="45">
        <v>8.68</v>
      </c>
      <c r="S14" s="47">
        <f t="shared" si="0"/>
        <v>97.182500000000005</v>
      </c>
      <c r="U14" s="8">
        <v>13</v>
      </c>
    </row>
    <row r="15" spans="2:21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garage!J15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46">
        <v>275</v>
      </c>
      <c r="P15" s="46">
        <v>55.9</v>
      </c>
      <c r="Q15" s="46">
        <v>51.9</v>
      </c>
      <c r="R15" s="46">
        <v>39.4</v>
      </c>
      <c r="S15" s="48">
        <f t="shared" si="0"/>
        <v>105.54999999999998</v>
      </c>
      <c r="U15" s="10">
        <v>14</v>
      </c>
    </row>
    <row r="16" spans="2:21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garage!J16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45">
        <v>246.2</v>
      </c>
      <c r="P16" s="45">
        <v>64</v>
      </c>
      <c r="Q16" s="45">
        <v>47.65</v>
      </c>
      <c r="R16" s="45">
        <v>44.65</v>
      </c>
      <c r="S16" s="47">
        <f t="shared" si="0"/>
        <v>100.62499999999999</v>
      </c>
      <c r="U16" s="8">
        <v>15</v>
      </c>
    </row>
    <row r="17" spans="2:21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garage!J17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46">
        <v>234</v>
      </c>
      <c r="P17" s="46">
        <v>59.5</v>
      </c>
      <c r="Q17" s="46">
        <v>54.8</v>
      </c>
      <c r="R17" s="46">
        <v>47.82</v>
      </c>
      <c r="S17" s="48">
        <f t="shared" si="0"/>
        <v>99.03</v>
      </c>
      <c r="U17" s="10">
        <v>16</v>
      </c>
    </row>
    <row r="18" spans="2:21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garage!J18</f>
        <v>O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45">
        <v>293</v>
      </c>
      <c r="P18" s="45">
        <v>59.5</v>
      </c>
      <c r="Q18" s="45">
        <v>43.38</v>
      </c>
      <c r="R18" s="45">
        <v>14.14</v>
      </c>
      <c r="S18" s="47">
        <f t="shared" si="0"/>
        <v>102.505</v>
      </c>
      <c r="U18" s="8">
        <v>17</v>
      </c>
    </row>
    <row r="19" spans="2:21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garage!J19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46">
        <v>276</v>
      </c>
      <c r="P19" s="46">
        <v>64.900000000000006</v>
      </c>
      <c r="Q19" s="46">
        <v>47.58</v>
      </c>
      <c r="R19" s="46">
        <v>34.380000000000003</v>
      </c>
      <c r="S19" s="48">
        <f t="shared" si="0"/>
        <v>105.71499999999999</v>
      </c>
      <c r="U19" s="10">
        <v>18</v>
      </c>
    </row>
    <row r="20" spans="2:21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garage!J20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45">
        <v>303</v>
      </c>
      <c r="P20" s="45">
        <v>64</v>
      </c>
      <c r="Q20" s="45">
        <v>29.2</v>
      </c>
      <c r="R20" s="45">
        <v>18.149999999999999</v>
      </c>
      <c r="S20" s="47">
        <f t="shared" si="0"/>
        <v>103.58749999999999</v>
      </c>
      <c r="U20" s="8">
        <v>19</v>
      </c>
    </row>
    <row r="21" spans="2:21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garage!J21</f>
        <v>O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46">
        <v>290</v>
      </c>
      <c r="P21" s="46">
        <v>59.5</v>
      </c>
      <c r="Q21" s="46">
        <v>43.07</v>
      </c>
      <c r="R21" s="46">
        <v>31.91</v>
      </c>
      <c r="S21" s="48">
        <f t="shared" si="0"/>
        <v>106.12</v>
      </c>
      <c r="U21" s="10">
        <v>20</v>
      </c>
    </row>
    <row r="22" spans="2:21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garage!J22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45">
        <v>268</v>
      </c>
      <c r="P22" s="45">
        <v>74.8</v>
      </c>
      <c r="Q22" s="45">
        <v>42.12</v>
      </c>
      <c r="R22" s="45">
        <v>38.729999999999997</v>
      </c>
      <c r="S22" s="47">
        <f t="shared" si="0"/>
        <v>105.91250000000001</v>
      </c>
      <c r="U22" s="8">
        <v>21</v>
      </c>
    </row>
    <row r="23" spans="2:21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garage!J23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46">
        <v>275</v>
      </c>
      <c r="P23" s="46">
        <v>57.7</v>
      </c>
      <c r="Q23" s="46">
        <v>54.48</v>
      </c>
      <c r="R23" s="46">
        <v>46.29</v>
      </c>
      <c r="S23" s="48">
        <f t="shared" si="0"/>
        <v>108.36750000000001</v>
      </c>
      <c r="U23" s="10">
        <v>22</v>
      </c>
    </row>
    <row r="24" spans="2:21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garage!J24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45">
        <v>280</v>
      </c>
      <c r="P24" s="45">
        <v>64</v>
      </c>
      <c r="Q24" s="45">
        <v>42.06</v>
      </c>
      <c r="R24" s="45">
        <v>41.62</v>
      </c>
      <c r="S24" s="47">
        <f t="shared" si="0"/>
        <v>106.92</v>
      </c>
      <c r="U24" s="8">
        <v>23</v>
      </c>
    </row>
    <row r="25" spans="2:21" ht="18" customHeight="1" x14ac:dyDescent="0.2">
      <c r="B25" s="10">
        <f>garage!B25</f>
        <v>25</v>
      </c>
      <c r="C25" s="10">
        <f>garage!C25</f>
        <v>1</v>
      </c>
      <c r="D25" s="10">
        <f>garage!D25</f>
        <v>24</v>
      </c>
      <c r="E25" s="10">
        <f>garage!E25</f>
        <v>10</v>
      </c>
      <c r="F25" s="10" t="str">
        <f>garage!F25</f>
        <v>--</v>
      </c>
      <c r="G25" s="10" t="str">
        <f>garage!G25</f>
        <v>O</v>
      </c>
      <c r="H25" s="10" t="str">
        <f>garage!H25</f>
        <v>O</v>
      </c>
      <c r="I25" s="10" t="str">
        <f>garage!I25</f>
        <v>N</v>
      </c>
      <c r="J25" s="10" t="str">
        <f>garage!J25</f>
        <v>N</v>
      </c>
      <c r="K25" s="10" t="str">
        <f>garage!K25</f>
        <v>D</v>
      </c>
      <c r="L25" s="11" t="str">
        <f>garage!L25</f>
        <v>Honda</v>
      </c>
      <c r="M25" s="11" t="str">
        <f>garage!M25</f>
        <v>Civic Type-R</v>
      </c>
      <c r="O25" s="46">
        <v>271</v>
      </c>
      <c r="P25" s="46">
        <v>72.099999999999994</v>
      </c>
      <c r="Q25" s="46">
        <v>41.15</v>
      </c>
      <c r="R25" s="46">
        <v>36.450000000000003</v>
      </c>
      <c r="S25" s="48">
        <f t="shared" si="0"/>
        <v>105.175</v>
      </c>
      <c r="U25" s="10">
        <v>24</v>
      </c>
    </row>
    <row r="26" spans="2:21" ht="18" customHeight="1" x14ac:dyDescent="0.2">
      <c r="B26" s="8">
        <f>garage!B26</f>
        <v>26</v>
      </c>
      <c r="C26" s="8">
        <f>garage!C26</f>
        <v>1</v>
      </c>
      <c r="D26" s="8">
        <f>garage!D26</f>
        <v>25</v>
      </c>
      <c r="E26" s="8">
        <f>garage!E26</f>
        <v>11</v>
      </c>
      <c r="F26" s="8" t="str">
        <f>garage!F26</f>
        <v>P</v>
      </c>
      <c r="G26" s="8" t="str">
        <f>garage!G26</f>
        <v>O</v>
      </c>
      <c r="H26" s="8" t="str">
        <f>garage!H26</f>
        <v>O</v>
      </c>
      <c r="I26" s="8" t="str">
        <f>garage!I26</f>
        <v>O</v>
      </c>
      <c r="J26" s="8" t="str">
        <f>garage!J26</f>
        <v>N</v>
      </c>
      <c r="K26" s="8" t="str">
        <f>garage!K26</f>
        <v>D</v>
      </c>
      <c r="L26" s="9" t="str">
        <f>garage!L26</f>
        <v>Porsche</v>
      </c>
      <c r="M26" s="9" t="str">
        <f>garage!M26</f>
        <v>Taycan Turbo S</v>
      </c>
      <c r="O26" s="45">
        <v>260</v>
      </c>
      <c r="P26" s="45">
        <v>74.8</v>
      </c>
      <c r="Q26" s="45">
        <v>52.49</v>
      </c>
      <c r="R26" s="45">
        <v>37.96</v>
      </c>
      <c r="S26" s="47">
        <f t="shared" si="0"/>
        <v>106.3125</v>
      </c>
      <c r="U26" s="8">
        <v>25</v>
      </c>
    </row>
    <row r="27" spans="2:21" ht="18" customHeight="1" x14ac:dyDescent="0.2">
      <c r="B27" s="10">
        <f>garage!B27</f>
        <v>27</v>
      </c>
      <c r="C27" s="10">
        <f>garage!C27</f>
        <v>1</v>
      </c>
      <c r="D27" s="10">
        <f>garage!D27</f>
        <v>26</v>
      </c>
      <c r="E27" s="10">
        <f>garage!E27</f>
        <v>7</v>
      </c>
      <c r="F27" s="10" t="str">
        <f>garage!F27</f>
        <v>--</v>
      </c>
      <c r="G27" s="10" t="str">
        <f>garage!G27</f>
        <v>O</v>
      </c>
      <c r="H27" s="10" t="str">
        <f>garage!H27</f>
        <v>O</v>
      </c>
      <c r="I27" s="10" t="str">
        <f>garage!I27</f>
        <v>O</v>
      </c>
      <c r="J27" s="10" t="str">
        <f>garage!J27</f>
        <v>N</v>
      </c>
      <c r="K27" s="10" t="str">
        <f>garage!K27</f>
        <v>D</v>
      </c>
      <c r="L27" s="11" t="str">
        <f>garage!L27</f>
        <v>TVR</v>
      </c>
      <c r="M27" s="11" t="str">
        <f>garage!M27</f>
        <v>Griffith</v>
      </c>
      <c r="O27" s="46">
        <v>322</v>
      </c>
      <c r="P27" s="46">
        <v>64</v>
      </c>
      <c r="Q27" s="46">
        <v>39.11</v>
      </c>
      <c r="R27" s="46">
        <v>17.02</v>
      </c>
      <c r="S27" s="48">
        <f t="shared" si="0"/>
        <v>110.5325</v>
      </c>
      <c r="U27" s="10">
        <v>26</v>
      </c>
    </row>
    <row r="28" spans="2:21" ht="18" customHeight="1" x14ac:dyDescent="0.2">
      <c r="B28" s="8">
        <f>garage!B28</f>
        <v>28</v>
      </c>
      <c r="C28" s="8">
        <f>garage!C28</f>
        <v>1</v>
      </c>
      <c r="D28" s="8">
        <f>garage!D28</f>
        <v>27</v>
      </c>
      <c r="E28" s="8">
        <f>garage!E28</f>
        <v>14</v>
      </c>
      <c r="F28" s="8" t="str">
        <f>garage!F28</f>
        <v>--</v>
      </c>
      <c r="G28" s="8" t="str">
        <f>garage!G28</f>
        <v>O</v>
      </c>
      <c r="H28" s="8" t="str">
        <f>garage!H28</f>
        <v>O</v>
      </c>
      <c r="I28" s="8" t="str">
        <f>garage!I28</f>
        <v>N</v>
      </c>
      <c r="J28" s="8" t="str">
        <f>garage!J28</f>
        <v>N</v>
      </c>
      <c r="K28" s="8" t="str">
        <f>garage!K28</f>
        <v>D</v>
      </c>
      <c r="L28" s="9" t="str">
        <f>garage!L28</f>
        <v>Bentley</v>
      </c>
      <c r="M28" s="9" t="str">
        <f>garage!M28</f>
        <v>Continental GT3</v>
      </c>
      <c r="O28" s="45">
        <v>285</v>
      </c>
      <c r="P28" s="45">
        <v>65.8</v>
      </c>
      <c r="Q28" s="45">
        <v>45.88</v>
      </c>
      <c r="R28" s="45">
        <v>20.94</v>
      </c>
      <c r="S28" s="47">
        <f t="shared" si="0"/>
        <v>104.405</v>
      </c>
      <c r="U28" s="8">
        <v>27</v>
      </c>
    </row>
    <row r="29" spans="2:21" ht="18" customHeight="1" x14ac:dyDescent="0.2">
      <c r="B29" s="10">
        <f>garage!B29</f>
        <v>29</v>
      </c>
      <c r="C29" s="10">
        <f>garage!C29</f>
        <v>1</v>
      </c>
      <c r="D29" s="10">
        <f>garage!D29</f>
        <v>28</v>
      </c>
      <c r="E29" s="10">
        <f>garage!E29</f>
        <v>0</v>
      </c>
      <c r="F29" s="10" t="str">
        <f>garage!F29</f>
        <v>--</v>
      </c>
      <c r="G29" s="10" t="str">
        <f>garage!G29</f>
        <v>O</v>
      </c>
      <c r="H29" s="10" t="str">
        <f>garage!H29</f>
        <v>O</v>
      </c>
      <c r="I29" s="10" t="str">
        <f>garage!I29</f>
        <v>O</v>
      </c>
      <c r="J29" s="10" t="str">
        <f>garage!J29</f>
        <v>N</v>
      </c>
      <c r="K29" s="10" t="str">
        <f>garage!K29</f>
        <v>D</v>
      </c>
      <c r="L29" s="11" t="str">
        <f>garage!L29</f>
        <v>Mazda</v>
      </c>
      <c r="M29" s="11" t="str">
        <f>garage!M29</f>
        <v>Furai</v>
      </c>
      <c r="O29" s="46">
        <v>290</v>
      </c>
      <c r="P29" s="46">
        <v>71.2</v>
      </c>
      <c r="Q29" s="46">
        <v>43.07</v>
      </c>
      <c r="R29" s="46">
        <v>30.12</v>
      </c>
      <c r="S29" s="48">
        <f t="shared" si="0"/>
        <v>108.5975</v>
      </c>
      <c r="U29" s="10">
        <v>28</v>
      </c>
    </row>
    <row r="30" spans="2:21" ht="18" customHeight="1" x14ac:dyDescent="0.2">
      <c r="B30" s="8">
        <f>garage!B30</f>
        <v>30</v>
      </c>
      <c r="C30" s="8">
        <f>garage!C30</f>
        <v>1</v>
      </c>
      <c r="D30" s="8">
        <f>garage!D30</f>
        <v>29</v>
      </c>
      <c r="E30" s="8">
        <f>garage!E30</f>
        <v>13</v>
      </c>
      <c r="F30" s="8" t="str">
        <f>garage!F30</f>
        <v>C</v>
      </c>
      <c r="G30" s="8" t="str">
        <f>garage!G30</f>
        <v>O</v>
      </c>
      <c r="H30" s="8" t="str">
        <f>garage!H30</f>
        <v>O</v>
      </c>
      <c r="I30" s="8" t="str">
        <f>garage!I30</f>
        <v>N</v>
      </c>
      <c r="J30" s="8" t="str">
        <f>garage!J30</f>
        <v>N</v>
      </c>
      <c r="K30" s="8" t="str">
        <f>garage!K30</f>
        <v>D</v>
      </c>
      <c r="L30" s="9" t="str">
        <f>garage!L30</f>
        <v>Chevrolet</v>
      </c>
      <c r="M30" s="9" t="str">
        <f>garage!M30</f>
        <v>Corvette C7.R</v>
      </c>
      <c r="O30" s="45">
        <v>295</v>
      </c>
      <c r="P30" s="45">
        <v>71.2</v>
      </c>
      <c r="Q30" s="45">
        <v>34.770000000000003</v>
      </c>
      <c r="R30" s="45">
        <v>35.9</v>
      </c>
      <c r="S30" s="47">
        <f t="shared" si="0"/>
        <v>109.21749999999999</v>
      </c>
      <c r="U30" s="8">
        <v>29</v>
      </c>
    </row>
    <row r="31" spans="2:21" ht="18" customHeight="1" x14ac:dyDescent="0.2">
      <c r="B31" s="10">
        <f>garage!B31</f>
        <v>31</v>
      </c>
      <c r="C31" s="10">
        <f>garage!C31</f>
        <v>1</v>
      </c>
      <c r="D31" s="10">
        <f>garage!D31</f>
        <v>30</v>
      </c>
      <c r="E31" s="10">
        <f>garage!E31</f>
        <v>16</v>
      </c>
      <c r="F31" s="10" t="str">
        <f>garage!F31</f>
        <v>L</v>
      </c>
      <c r="G31" s="10" t="str">
        <f>garage!G31</f>
        <v>N</v>
      </c>
      <c r="H31" s="10" t="str">
        <f>garage!H31</f>
        <v>N</v>
      </c>
      <c r="I31" s="10" t="str">
        <f>garage!I31</f>
        <v>N</v>
      </c>
      <c r="J31" s="10" t="str">
        <f>garage!J31</f>
        <v>N</v>
      </c>
      <c r="K31" s="10" t="str">
        <f>garage!K31</f>
        <v>D</v>
      </c>
      <c r="L31" s="11" t="str">
        <f>garage!L31</f>
        <v>Lamborghini</v>
      </c>
      <c r="M31" s="11" t="str">
        <f>garage!M31</f>
        <v>Huracan Super Trofeo Evo</v>
      </c>
      <c r="O31" s="46">
        <v>290</v>
      </c>
      <c r="P31" s="46">
        <v>72.099999999999994</v>
      </c>
      <c r="Q31" s="46">
        <v>46.42</v>
      </c>
      <c r="R31" s="46">
        <v>31.01</v>
      </c>
      <c r="S31" s="48">
        <f t="shared" si="0"/>
        <v>109.88250000000001</v>
      </c>
      <c r="U31" s="10">
        <v>30</v>
      </c>
    </row>
    <row r="32" spans="2:21" ht="18" customHeight="1" x14ac:dyDescent="0.2">
      <c r="B32" s="8">
        <f>garage!B32</f>
        <v>32</v>
      </c>
      <c r="C32" s="8">
        <f>garage!C32</f>
        <v>1</v>
      </c>
      <c r="D32" s="8">
        <f>garage!D32</f>
        <v>31</v>
      </c>
      <c r="E32" s="8">
        <f>garage!E32</f>
        <v>21</v>
      </c>
      <c r="F32" s="8" t="str">
        <f>garage!F32</f>
        <v>--</v>
      </c>
      <c r="G32" s="8" t="str">
        <f>garage!G32</f>
        <v>N</v>
      </c>
      <c r="H32" s="8" t="str">
        <f>garage!H32</f>
        <v>N</v>
      </c>
      <c r="I32" s="8" t="str">
        <f>garage!I32</f>
        <v>N</v>
      </c>
      <c r="J32" s="8" t="str">
        <f>garage!J32</f>
        <v>N</v>
      </c>
      <c r="K32" s="8" t="str">
        <f>garage!K32</f>
        <v>D</v>
      </c>
      <c r="L32" s="9" t="str">
        <f>garage!L32</f>
        <v>Volkswagen</v>
      </c>
      <c r="M32" s="9" t="str">
        <f>garage!M32</f>
        <v>Electric R</v>
      </c>
      <c r="O32" s="45">
        <v>270</v>
      </c>
      <c r="P32" s="45">
        <v>82.45</v>
      </c>
      <c r="Q32" s="45">
        <v>37.85</v>
      </c>
      <c r="R32" s="45">
        <v>50.84</v>
      </c>
      <c r="S32" s="47">
        <f t="shared" si="0"/>
        <v>110.285</v>
      </c>
      <c r="U32" s="8">
        <v>31</v>
      </c>
    </row>
    <row r="33" spans="2:21" ht="18" customHeight="1" x14ac:dyDescent="0.2">
      <c r="B33" s="10">
        <f>garage!B33</f>
        <v>33</v>
      </c>
      <c r="C33" s="10">
        <f>garage!C33</f>
        <v>1</v>
      </c>
      <c r="D33" s="10">
        <f>garage!D33</f>
        <v>32</v>
      </c>
      <c r="E33" s="10">
        <f>garage!E33</f>
        <v>27</v>
      </c>
      <c r="F33" s="10" t="str">
        <f>garage!F33</f>
        <v>--</v>
      </c>
      <c r="G33" s="10" t="str">
        <f>garage!G33</f>
        <v>N</v>
      </c>
      <c r="H33" s="10" t="str">
        <f>garage!H33</f>
        <v>N</v>
      </c>
      <c r="I33" s="10" t="str">
        <f>garage!I33</f>
        <v>N</v>
      </c>
      <c r="J33" s="10" t="str">
        <f>garage!J33</f>
        <v>N</v>
      </c>
      <c r="K33" s="10" t="str">
        <f>garage!K33</f>
        <v>D</v>
      </c>
      <c r="L33" s="11" t="str">
        <f>garage!L33</f>
        <v>Glickhaus</v>
      </c>
      <c r="M33" s="11" t="str">
        <f>garage!M33</f>
        <v>004C</v>
      </c>
      <c r="O33" s="46">
        <v>298</v>
      </c>
      <c r="P33" s="46">
        <v>70.3</v>
      </c>
      <c r="Q33" s="46">
        <v>40.47</v>
      </c>
      <c r="R33" s="46">
        <v>36.15</v>
      </c>
      <c r="S33" s="48">
        <f t="shared" si="0"/>
        <v>111.22999999999999</v>
      </c>
      <c r="U33" s="10">
        <v>32</v>
      </c>
    </row>
    <row r="34" spans="2:21" ht="18" customHeight="1" x14ac:dyDescent="0.2">
      <c r="B34" s="8">
        <f>garage!B34</f>
        <v>34</v>
      </c>
      <c r="C34" s="8">
        <f>garage!C34</f>
        <v>2</v>
      </c>
      <c r="D34" s="8">
        <f>garage!D34</f>
        <v>1</v>
      </c>
      <c r="E34" s="8">
        <f>garage!E34</f>
        <v>0</v>
      </c>
      <c r="F34" s="8" t="str">
        <f>garage!F34</f>
        <v>--</v>
      </c>
      <c r="G34" s="8" t="str">
        <f>garage!G34</f>
        <v>O</v>
      </c>
      <c r="H34" s="8" t="str">
        <f>garage!H34</f>
        <v>O</v>
      </c>
      <c r="I34" s="8" t="str">
        <f>garage!I34</f>
        <v>O</v>
      </c>
      <c r="J34" s="8" t="str">
        <f>garage!J34</f>
        <v>N</v>
      </c>
      <c r="K34" s="8" t="str">
        <f>garage!K34</f>
        <v>C</v>
      </c>
      <c r="L34" s="9" t="str">
        <f>garage!L34</f>
        <v>Dodge</v>
      </c>
      <c r="M34" s="9" t="str">
        <f>garage!M34</f>
        <v>Challenger SRT8</v>
      </c>
      <c r="O34" s="45">
        <v>292</v>
      </c>
      <c r="P34" s="45">
        <v>64</v>
      </c>
      <c r="Q34" s="45">
        <v>26.47</v>
      </c>
      <c r="R34" s="45">
        <v>23.08</v>
      </c>
      <c r="S34" s="47">
        <f t="shared" si="0"/>
        <v>101.3875</v>
      </c>
      <c r="U34" s="8">
        <v>1</v>
      </c>
    </row>
    <row r="35" spans="2:21" ht="18" customHeight="1" x14ac:dyDescent="0.2">
      <c r="B35" s="10">
        <f>garage!B35</f>
        <v>35</v>
      </c>
      <c r="C35" s="10">
        <f>garage!C35</f>
        <v>2</v>
      </c>
      <c r="D35" s="10">
        <f>garage!D35</f>
        <v>2</v>
      </c>
      <c r="E35" s="10">
        <f>garage!E35</f>
        <v>0</v>
      </c>
      <c r="F35" s="10" t="str">
        <f>garage!F35</f>
        <v>--</v>
      </c>
      <c r="G35" s="10" t="str">
        <f>garage!G35</f>
        <v>O</v>
      </c>
      <c r="H35" s="10" t="str">
        <f>garage!H35</f>
        <v>O</v>
      </c>
      <c r="I35" s="10" t="str">
        <f>garage!I35</f>
        <v>O</v>
      </c>
      <c r="J35" s="10" t="str">
        <f>garage!J35</f>
        <v>N</v>
      </c>
      <c r="K35" s="10" t="str">
        <f>garage!K35</f>
        <v>C</v>
      </c>
      <c r="L35" s="11" t="str">
        <f>garage!L35</f>
        <v>BMW</v>
      </c>
      <c r="M35" s="11" t="str">
        <f>garage!M35</f>
        <v>3.0 CSL Hommage</v>
      </c>
      <c r="O35" s="46">
        <v>280</v>
      </c>
      <c r="P35" s="46">
        <v>63.1</v>
      </c>
      <c r="Q35" s="46">
        <v>44.02</v>
      </c>
      <c r="R35" s="46">
        <v>39.880000000000003</v>
      </c>
      <c r="S35" s="48">
        <f t="shared" si="0"/>
        <v>106.75</v>
      </c>
      <c r="U35" s="10">
        <v>2</v>
      </c>
    </row>
    <row r="36" spans="2:21" ht="18" customHeight="1" x14ac:dyDescent="0.2">
      <c r="B36" s="8">
        <f>garage!B36</f>
        <v>36</v>
      </c>
      <c r="C36" s="8">
        <f>garage!C36</f>
        <v>2</v>
      </c>
      <c r="D36" s="8">
        <f>garage!D36</f>
        <v>3</v>
      </c>
      <c r="E36" s="8">
        <f>garage!E36</f>
        <v>28</v>
      </c>
      <c r="F36" s="8" t="str">
        <f>garage!F36</f>
        <v>P</v>
      </c>
      <c r="G36" s="8" t="str">
        <f>garage!G36</f>
        <v>O</v>
      </c>
      <c r="H36" s="8" t="str">
        <f>garage!H36</f>
        <v>O</v>
      </c>
      <c r="I36" s="8" t="str">
        <f>garage!I36</f>
        <v>N</v>
      </c>
      <c r="J36" s="8" t="str">
        <f>garage!J36</f>
        <v>N</v>
      </c>
      <c r="K36" s="8" t="str">
        <f>garage!K36</f>
        <v>C</v>
      </c>
      <c r="L36" s="9" t="str">
        <f>garage!L36</f>
        <v>Porsche</v>
      </c>
      <c r="M36" s="9" t="str">
        <f>garage!M36</f>
        <v>Boxster 25th</v>
      </c>
      <c r="O36" s="45">
        <v>288</v>
      </c>
      <c r="P36" s="45">
        <v>64</v>
      </c>
      <c r="Q36" s="45">
        <v>39.54</v>
      </c>
      <c r="R36" s="45">
        <v>35.31</v>
      </c>
      <c r="S36" s="47">
        <f t="shared" si="0"/>
        <v>106.71250000000001</v>
      </c>
      <c r="U36" s="8">
        <v>3</v>
      </c>
    </row>
    <row r="37" spans="2:21" ht="18" customHeight="1" x14ac:dyDescent="0.2">
      <c r="B37" s="10">
        <f>garage!B37</f>
        <v>37</v>
      </c>
      <c r="C37" s="10">
        <f>garage!C37</f>
        <v>2</v>
      </c>
      <c r="D37" s="10">
        <f>garage!D37</f>
        <v>4</v>
      </c>
      <c r="E37" s="10">
        <f>garage!E37</f>
        <v>0</v>
      </c>
      <c r="F37" s="10" t="str">
        <f>garage!F37</f>
        <v>C</v>
      </c>
      <c r="G37" s="10" t="str">
        <f>garage!G37</f>
        <v>O</v>
      </c>
      <c r="H37" s="10" t="str">
        <f>garage!H37</f>
        <v>O</v>
      </c>
      <c r="I37" s="10" t="str">
        <f>garage!I37</f>
        <v>O</v>
      </c>
      <c r="J37" s="10" t="str">
        <f>garage!J37</f>
        <v>N</v>
      </c>
      <c r="K37" s="10" t="str">
        <f>garage!K37</f>
        <v>C</v>
      </c>
      <c r="L37" s="11" t="str">
        <f>garage!L37</f>
        <v>Chevrolet</v>
      </c>
      <c r="M37" s="11" t="str">
        <f>garage!M37</f>
        <v>Camaro ZL1 50th Edition</v>
      </c>
      <c r="O37" s="46">
        <v>250</v>
      </c>
      <c r="P37" s="46">
        <v>63.1</v>
      </c>
      <c r="Q37" s="46">
        <v>58.14</v>
      </c>
      <c r="R37" s="46">
        <v>49.95</v>
      </c>
      <c r="S37" s="48">
        <f t="shared" si="0"/>
        <v>105.2975</v>
      </c>
      <c r="U37" s="10">
        <v>4</v>
      </c>
    </row>
    <row r="38" spans="2:21" ht="18" customHeight="1" x14ac:dyDescent="0.2">
      <c r="B38" s="8">
        <f>garage!B38</f>
        <v>38</v>
      </c>
      <c r="C38" s="8">
        <f>garage!C38</f>
        <v>2</v>
      </c>
      <c r="D38" s="8">
        <f>garage!D38</f>
        <v>5</v>
      </c>
      <c r="E38" s="8">
        <f>garage!E38</f>
        <v>0</v>
      </c>
      <c r="F38" s="8" t="str">
        <f>garage!F38</f>
        <v>--</v>
      </c>
      <c r="G38" s="8" t="str">
        <f>garage!G38</f>
        <v>O</v>
      </c>
      <c r="H38" s="8" t="str">
        <f>garage!H38</f>
        <v>O</v>
      </c>
      <c r="I38" s="8" t="str">
        <f>garage!I38</f>
        <v>O</v>
      </c>
      <c r="J38" s="8" t="str">
        <f>garage!J38</f>
        <v>N</v>
      </c>
      <c r="K38" s="8" t="str">
        <f>garage!K38</f>
        <v>C</v>
      </c>
      <c r="L38" s="9" t="str">
        <f>garage!L38</f>
        <v>Lotus</v>
      </c>
      <c r="M38" s="9" t="str">
        <f>garage!M38</f>
        <v>Evora Sport 410</v>
      </c>
      <c r="O38" s="45">
        <v>300</v>
      </c>
      <c r="P38" s="45">
        <v>62.2</v>
      </c>
      <c r="Q38" s="45">
        <v>44.09</v>
      </c>
      <c r="R38" s="45">
        <v>36.32</v>
      </c>
      <c r="S38" s="47">
        <f t="shared" si="0"/>
        <v>110.65249999999999</v>
      </c>
      <c r="U38" s="8">
        <v>5</v>
      </c>
    </row>
    <row r="39" spans="2:21" ht="18" customHeight="1" x14ac:dyDescent="0.2">
      <c r="B39" s="10">
        <f>garage!B39</f>
        <v>39</v>
      </c>
      <c r="C39" s="10">
        <f>garage!C39</f>
        <v>2</v>
      </c>
      <c r="D39" s="10">
        <f>garage!D39</f>
        <v>6</v>
      </c>
      <c r="E39" s="10">
        <f>garage!E39</f>
        <v>0</v>
      </c>
      <c r="F39" s="10" t="str">
        <f>garage!F39</f>
        <v>--</v>
      </c>
      <c r="G39" s="10" t="str">
        <f>garage!G39</f>
        <v>O</v>
      </c>
      <c r="H39" s="10" t="str">
        <f>garage!H39</f>
        <v>O</v>
      </c>
      <c r="I39" s="10" t="str">
        <f>garage!I39</f>
        <v>O</v>
      </c>
      <c r="J39" s="10" t="str">
        <f>garage!J39</f>
        <v>N</v>
      </c>
      <c r="K39" s="10" t="str">
        <f>garage!K39</f>
        <v>C</v>
      </c>
      <c r="L39" s="11" t="str">
        <f>garage!L39</f>
        <v>Mercedes-Benz</v>
      </c>
      <c r="M39" s="11" t="str">
        <f>garage!M39</f>
        <v>AMG GT S</v>
      </c>
      <c r="O39" s="46">
        <v>310</v>
      </c>
      <c r="P39" s="46">
        <v>65.8</v>
      </c>
      <c r="Q39" s="46">
        <v>35.630000000000003</v>
      </c>
      <c r="R39" s="46">
        <v>39.96</v>
      </c>
      <c r="S39" s="48">
        <f t="shared" si="0"/>
        <v>112.8475</v>
      </c>
      <c r="U39" s="10">
        <v>6</v>
      </c>
    </row>
    <row r="40" spans="2:21" ht="18" customHeight="1" x14ac:dyDescent="0.2">
      <c r="B40" s="8">
        <f>garage!B40</f>
        <v>40</v>
      </c>
      <c r="C40" s="8">
        <f>garage!C40</f>
        <v>2</v>
      </c>
      <c r="D40" s="8">
        <f>garage!D40</f>
        <v>7</v>
      </c>
      <c r="E40" s="8">
        <f>garage!E40</f>
        <v>0</v>
      </c>
      <c r="F40" s="8" t="str">
        <f>garage!F40</f>
        <v>--</v>
      </c>
      <c r="G40" s="8" t="str">
        <f>garage!G40</f>
        <v>O</v>
      </c>
      <c r="H40" s="8" t="str">
        <f>garage!H40</f>
        <v>O</v>
      </c>
      <c r="I40" s="8" t="str">
        <f>garage!I40</f>
        <v>O</v>
      </c>
      <c r="J40" s="8" t="str">
        <f>garage!J40</f>
        <v>N</v>
      </c>
      <c r="K40" s="8" t="str">
        <f>garage!K40</f>
        <v>C</v>
      </c>
      <c r="L40" s="9" t="str">
        <f>garage!L40</f>
        <v>BMW</v>
      </c>
      <c r="M40" s="9" t="str">
        <f>garage!M40</f>
        <v>M4 GTS</v>
      </c>
      <c r="O40" s="45">
        <v>305</v>
      </c>
      <c r="P40" s="45">
        <v>65.8</v>
      </c>
      <c r="Q40" s="45">
        <v>43.9</v>
      </c>
      <c r="R40" s="45">
        <v>38.58</v>
      </c>
      <c r="S40" s="47">
        <f t="shared" si="0"/>
        <v>113.32</v>
      </c>
      <c r="U40" s="8">
        <v>7</v>
      </c>
    </row>
    <row r="41" spans="2:21" ht="18" customHeight="1" x14ac:dyDescent="0.2">
      <c r="B41" s="10">
        <f>garage!B41</f>
        <v>41</v>
      </c>
      <c r="C41" s="10">
        <f>garage!C41</f>
        <v>2</v>
      </c>
      <c r="D41" s="10">
        <f>garage!D41</f>
        <v>8</v>
      </c>
      <c r="E41" s="10">
        <f>garage!E41</f>
        <v>0</v>
      </c>
      <c r="F41" s="10" t="str">
        <f>garage!F41</f>
        <v>--</v>
      </c>
      <c r="G41" s="10" t="str">
        <f>garage!G41</f>
        <v>O</v>
      </c>
      <c r="H41" s="10" t="str">
        <f>garage!H41</f>
        <v>O</v>
      </c>
      <c r="I41" s="10" t="str">
        <f>garage!I41</f>
        <v>O</v>
      </c>
      <c r="J41" s="10" t="str">
        <f>garage!J41</f>
        <v>N</v>
      </c>
      <c r="K41" s="10" t="str">
        <f>garage!K41</f>
        <v>C</v>
      </c>
      <c r="L41" s="11" t="str">
        <f>garage!L41</f>
        <v>Rezvani</v>
      </c>
      <c r="M41" s="11" t="str">
        <f>garage!M41</f>
        <v>Beast X</v>
      </c>
      <c r="O41" s="46">
        <v>282</v>
      </c>
      <c r="P41" s="46">
        <v>73</v>
      </c>
      <c r="Q41" s="46">
        <v>48.18</v>
      </c>
      <c r="R41" s="46">
        <v>46.21</v>
      </c>
      <c r="S41" s="48">
        <f t="shared" si="0"/>
        <v>112.3475</v>
      </c>
      <c r="U41" s="10">
        <v>8</v>
      </c>
    </row>
    <row r="42" spans="2:21" ht="18" customHeight="1" x14ac:dyDescent="0.2">
      <c r="B42" s="8">
        <f>garage!B42</f>
        <v>42</v>
      </c>
      <c r="C42" s="8">
        <f>garage!C42</f>
        <v>2</v>
      </c>
      <c r="D42" s="8">
        <f>garage!D42</f>
        <v>9</v>
      </c>
      <c r="E42" s="8">
        <f>garage!E42</f>
        <v>20</v>
      </c>
      <c r="F42" s="8" t="str">
        <f>garage!F42</f>
        <v>AM</v>
      </c>
      <c r="G42" s="8" t="str">
        <f>garage!G42</f>
        <v>O</v>
      </c>
      <c r="H42" s="8" t="str">
        <f>garage!H42</f>
        <v>N</v>
      </c>
      <c r="I42" s="8" t="str">
        <f>garage!I42</f>
        <v>N</v>
      </c>
      <c r="J42" s="8" t="str">
        <f>garage!J42</f>
        <v>N</v>
      </c>
      <c r="K42" s="8" t="str">
        <f>garage!K42</f>
        <v>C</v>
      </c>
      <c r="L42" s="9" t="str">
        <f>garage!L42</f>
        <v>Aston Martin</v>
      </c>
      <c r="M42" s="9" t="str">
        <f>garage!M42</f>
        <v>V12 Speedster</v>
      </c>
      <c r="O42" s="45">
        <v>300</v>
      </c>
      <c r="P42" s="45">
        <v>68.5</v>
      </c>
      <c r="Q42" s="45">
        <v>37.229999999999997</v>
      </c>
      <c r="R42" s="45">
        <v>42.72</v>
      </c>
      <c r="S42" s="47">
        <f t="shared" si="0"/>
        <v>112.11250000000001</v>
      </c>
      <c r="U42" s="8">
        <v>9</v>
      </c>
    </row>
    <row r="43" spans="2:21" ht="18" customHeight="1" x14ac:dyDescent="0.2">
      <c r="B43" s="10">
        <f>garage!B43</f>
        <v>43</v>
      </c>
      <c r="C43" s="10">
        <f>garage!C43</f>
        <v>2</v>
      </c>
      <c r="D43" s="10">
        <f>garage!D43</f>
        <v>10</v>
      </c>
      <c r="E43" s="10">
        <f>garage!E43</f>
        <v>29</v>
      </c>
      <c r="F43" s="10" t="str">
        <f>garage!F43</f>
        <v>--</v>
      </c>
      <c r="G43" s="10" t="str">
        <f>garage!G43</f>
        <v>O</v>
      </c>
      <c r="H43" s="10" t="str">
        <f>garage!H43</f>
        <v>N</v>
      </c>
      <c r="I43" s="10" t="str">
        <f>garage!I43</f>
        <v>N</v>
      </c>
      <c r="J43" s="10" t="str">
        <f>garage!J43</f>
        <v>N</v>
      </c>
      <c r="K43" s="10" t="str">
        <f>garage!K43</f>
        <v>C</v>
      </c>
      <c r="L43" s="11" t="str">
        <f>garage!L43</f>
        <v>Donkervoort</v>
      </c>
      <c r="M43" s="11" t="str">
        <f>garage!M43</f>
        <v>D8 GTO</v>
      </c>
      <c r="O43" s="46">
        <v>286</v>
      </c>
      <c r="P43" s="46">
        <v>76.599999999999994</v>
      </c>
      <c r="Q43" s="46">
        <v>52.62</v>
      </c>
      <c r="R43" s="46">
        <v>44.88</v>
      </c>
      <c r="S43" s="48">
        <f t="shared" si="0"/>
        <v>115.02500000000001</v>
      </c>
      <c r="U43" s="10">
        <v>10</v>
      </c>
    </row>
    <row r="44" spans="2:21" ht="18" customHeight="1" x14ac:dyDescent="0.2">
      <c r="B44" s="8">
        <f>garage!B44</f>
        <v>44</v>
      </c>
      <c r="C44" s="8">
        <f>garage!C44</f>
        <v>2</v>
      </c>
      <c r="D44" s="8">
        <f>garage!D44</f>
        <v>11</v>
      </c>
      <c r="E44" s="8">
        <f>garage!E44</f>
        <v>0</v>
      </c>
      <c r="F44" s="8" t="str">
        <f>garage!F44</f>
        <v>--</v>
      </c>
      <c r="G44" s="8" t="str">
        <f>garage!G44</f>
        <v>O</v>
      </c>
      <c r="H44" s="8" t="str">
        <f>garage!H44</f>
        <v>O</v>
      </c>
      <c r="I44" s="8" t="str">
        <f>garage!I44</f>
        <v>O</v>
      </c>
      <c r="J44" s="8" t="str">
        <f>garage!J44</f>
        <v>N</v>
      </c>
      <c r="K44" s="8" t="str">
        <f>garage!K44</f>
        <v>C</v>
      </c>
      <c r="L44" s="9" t="str">
        <f>garage!L44</f>
        <v>Dodge</v>
      </c>
      <c r="M44" s="9" t="str">
        <f>garage!M44</f>
        <v>Viper ACR</v>
      </c>
      <c r="O44" s="45">
        <v>285</v>
      </c>
      <c r="P44" s="45">
        <v>68.5</v>
      </c>
      <c r="Q44" s="45">
        <v>55.81</v>
      </c>
      <c r="R44" s="45">
        <v>50.95</v>
      </c>
      <c r="S44" s="47">
        <f t="shared" si="0"/>
        <v>115.065</v>
      </c>
      <c r="U44" s="8">
        <v>11</v>
      </c>
    </row>
    <row r="45" spans="2:21" ht="18" customHeight="1" x14ac:dyDescent="0.2">
      <c r="B45" s="10">
        <f>garage!B45</f>
        <v>45</v>
      </c>
      <c r="C45" s="10">
        <f>garage!C45</f>
        <v>2</v>
      </c>
      <c r="D45" s="10">
        <f>garage!D45</f>
        <v>12</v>
      </c>
      <c r="E45" s="10">
        <f>garage!E45</f>
        <v>24</v>
      </c>
      <c r="F45" s="10" t="str">
        <f>garage!F45</f>
        <v>--</v>
      </c>
      <c r="G45" s="10" t="str">
        <f>garage!G45</f>
        <v>O</v>
      </c>
      <c r="H45" s="10" t="str">
        <f>garage!H45</f>
        <v>N</v>
      </c>
      <c r="I45" s="10" t="str">
        <f>garage!I45</f>
        <v>N</v>
      </c>
      <c r="J45" s="10" t="str">
        <f>garage!J45</f>
        <v>O</v>
      </c>
      <c r="K45" s="10" t="str">
        <f>garage!K45</f>
        <v>C</v>
      </c>
      <c r="L45" s="11" t="str">
        <f>garage!L45</f>
        <v>Bolwell</v>
      </c>
      <c r="M45" s="11" t="str">
        <f>garage!M45</f>
        <v>MK X Nagari 500</v>
      </c>
      <c r="O45" s="46">
        <v>300</v>
      </c>
      <c r="P45" s="46">
        <v>73</v>
      </c>
      <c r="Q45" s="46">
        <v>44.09</v>
      </c>
      <c r="R45" s="46">
        <v>37.229999999999997</v>
      </c>
      <c r="S45" s="48">
        <f t="shared" si="0"/>
        <v>113.58000000000001</v>
      </c>
      <c r="U45" s="10">
        <v>12</v>
      </c>
    </row>
    <row r="46" spans="2:21" ht="18" customHeight="1" x14ac:dyDescent="0.2">
      <c r="B46" s="8">
        <f>garage!B46</f>
        <v>46</v>
      </c>
      <c r="C46" s="8">
        <f>garage!C46</f>
        <v>2</v>
      </c>
      <c r="D46" s="8">
        <f>garage!D46</f>
        <v>13</v>
      </c>
      <c r="E46" s="8">
        <f>garage!E46</f>
        <v>0</v>
      </c>
      <c r="F46" s="8" t="str">
        <f>garage!F46</f>
        <v>--</v>
      </c>
      <c r="G46" s="8" t="str">
        <f>garage!G46</f>
        <v>O</v>
      </c>
      <c r="H46" s="8" t="str">
        <f>garage!H46</f>
        <v>O</v>
      </c>
      <c r="I46" s="8" t="str">
        <f>garage!I46</f>
        <v>O</v>
      </c>
      <c r="J46" s="8" t="str">
        <f>garage!J46</f>
        <v>N</v>
      </c>
      <c r="K46" s="8" t="str">
        <f>garage!K46</f>
        <v>C</v>
      </c>
      <c r="L46" s="9" t="str">
        <f>garage!L46</f>
        <v>Ford</v>
      </c>
      <c r="M46" s="9" t="str">
        <f>garage!M46</f>
        <v>Shelby GR-1</v>
      </c>
      <c r="O46" s="45">
        <v>305</v>
      </c>
      <c r="P46" s="45">
        <v>64.900000000000006</v>
      </c>
      <c r="Q46" s="45">
        <v>51.53</v>
      </c>
      <c r="R46" s="45">
        <v>45.98</v>
      </c>
      <c r="S46" s="47">
        <f t="shared" si="0"/>
        <v>116.85249999999999</v>
      </c>
      <c r="U46" s="8">
        <v>13</v>
      </c>
    </row>
    <row r="47" spans="2:21" ht="18" customHeight="1" x14ac:dyDescent="0.2">
      <c r="B47" s="10">
        <f>garage!B47</f>
        <v>47</v>
      </c>
      <c r="C47" s="10">
        <f>garage!C47</f>
        <v>2</v>
      </c>
      <c r="D47" s="10">
        <f>garage!D47</f>
        <v>14</v>
      </c>
      <c r="E47" s="10">
        <f>garage!E47</f>
        <v>0</v>
      </c>
      <c r="F47" s="10" t="str">
        <f>garage!F47</f>
        <v>--</v>
      </c>
      <c r="G47" s="10" t="str">
        <f>garage!G47</f>
        <v>O</v>
      </c>
      <c r="H47" s="10" t="str">
        <f>garage!H47</f>
        <v>O</v>
      </c>
      <c r="I47" s="10" t="str">
        <f>garage!I47</f>
        <v>O</v>
      </c>
      <c r="J47" s="10" t="str">
        <f>garage!J47</f>
        <v>N</v>
      </c>
      <c r="K47" s="10" t="str">
        <f>garage!K47</f>
        <v>C</v>
      </c>
      <c r="L47" s="11" t="str">
        <f>garage!L47</f>
        <v>Pininfarina</v>
      </c>
      <c r="M47" s="11" t="str">
        <f>garage!M47</f>
        <v>H2 Speed</v>
      </c>
      <c r="O47" s="46">
        <v>300</v>
      </c>
      <c r="P47" s="46">
        <v>69.400000000000006</v>
      </c>
      <c r="Q47" s="46">
        <v>64.66</v>
      </c>
      <c r="R47" s="46">
        <v>41.8</v>
      </c>
      <c r="S47" s="48">
        <f t="shared" si="0"/>
        <v>118.96499999999999</v>
      </c>
      <c r="U47" s="10">
        <v>14</v>
      </c>
    </row>
    <row r="48" spans="2:21" ht="18" customHeight="1" x14ac:dyDescent="0.2">
      <c r="B48" s="8">
        <f>garage!B48</f>
        <v>48</v>
      </c>
      <c r="C48" s="8">
        <f>garage!C48</f>
        <v>2</v>
      </c>
      <c r="D48" s="8">
        <f>garage!D48</f>
        <v>15</v>
      </c>
      <c r="E48" s="8">
        <f>garage!E48</f>
        <v>7</v>
      </c>
      <c r="F48" s="8" t="str">
        <f>garage!F48</f>
        <v>--</v>
      </c>
      <c r="G48" s="8" t="str">
        <f>garage!G48</f>
        <v>O</v>
      </c>
      <c r="H48" s="8" t="str">
        <f>garage!H48</f>
        <v>O</v>
      </c>
      <c r="I48" s="8" t="str">
        <f>garage!I48</f>
        <v>O</v>
      </c>
      <c r="J48" s="8" t="str">
        <f>garage!J48</f>
        <v>N</v>
      </c>
      <c r="K48" s="8" t="str">
        <f>garage!K48</f>
        <v>C</v>
      </c>
      <c r="L48" s="9" t="str">
        <f>garage!L48</f>
        <v>Artega</v>
      </c>
      <c r="M48" s="9" t="str">
        <f>garage!M48</f>
        <v>Scalo Superelletra</v>
      </c>
      <c r="O48" s="45">
        <v>300</v>
      </c>
      <c r="P48" s="45">
        <v>75.7</v>
      </c>
      <c r="Q48" s="45">
        <v>39.29</v>
      </c>
      <c r="R48" s="45">
        <v>54.6</v>
      </c>
      <c r="S48" s="47">
        <f t="shared" si="0"/>
        <v>117.39750000000001</v>
      </c>
      <c r="U48" s="8">
        <v>15</v>
      </c>
    </row>
    <row r="49" spans="2:21" ht="18" customHeight="1" x14ac:dyDescent="0.2">
      <c r="B49" s="10">
        <f>garage!B49</f>
        <v>49</v>
      </c>
      <c r="C49" s="10">
        <f>garage!C49</f>
        <v>2</v>
      </c>
      <c r="D49" s="10">
        <f>garage!D49</f>
        <v>16</v>
      </c>
      <c r="E49" s="10">
        <f>garage!E49</f>
        <v>22</v>
      </c>
      <c r="F49" s="10" t="str">
        <f>garage!F49</f>
        <v>--</v>
      </c>
      <c r="G49" s="10" t="str">
        <f>garage!G49</f>
        <v>O</v>
      </c>
      <c r="H49" s="10" t="str">
        <f>garage!H49</f>
        <v>N</v>
      </c>
      <c r="I49" s="10" t="str">
        <f>garage!I49</f>
        <v>N</v>
      </c>
      <c r="J49" s="10" t="str">
        <f>garage!J49</f>
        <v>N</v>
      </c>
      <c r="K49" s="10" t="str">
        <f>garage!K49</f>
        <v>C</v>
      </c>
      <c r="L49" s="11" t="str">
        <f>garage!L49</f>
        <v>Saleen</v>
      </c>
      <c r="M49" s="11" t="str">
        <f>garage!M49</f>
        <v>S1</v>
      </c>
      <c r="O49" s="46">
        <v>290</v>
      </c>
      <c r="P49" s="46">
        <v>67.599999999999994</v>
      </c>
      <c r="Q49" s="46">
        <v>57.15</v>
      </c>
      <c r="R49" s="46">
        <v>58.71</v>
      </c>
      <c r="S49" s="48">
        <f t="shared" si="0"/>
        <v>118.36499999999999</v>
      </c>
      <c r="U49" s="10">
        <v>16</v>
      </c>
    </row>
    <row r="50" spans="2:21" ht="18" customHeight="1" x14ac:dyDescent="0.2">
      <c r="B50" s="8">
        <f>garage!B50</f>
        <v>50</v>
      </c>
      <c r="C50" s="8">
        <f>garage!C50</f>
        <v>2</v>
      </c>
      <c r="D50" s="8">
        <f>garage!D50</f>
        <v>17</v>
      </c>
      <c r="E50" s="8">
        <f>garage!E50</f>
        <v>0</v>
      </c>
      <c r="F50" s="8" t="str">
        <f>garage!F50</f>
        <v>--</v>
      </c>
      <c r="G50" s="8" t="str">
        <f>garage!G50</f>
        <v>O</v>
      </c>
      <c r="H50" s="8" t="str">
        <f>garage!H50</f>
        <v>O</v>
      </c>
      <c r="I50" s="8" t="str">
        <f>garage!I50</f>
        <v>O</v>
      </c>
      <c r="J50" s="8" t="str">
        <f>garage!J50</f>
        <v>N</v>
      </c>
      <c r="K50" s="8" t="str">
        <f>garage!K50</f>
        <v>C</v>
      </c>
      <c r="L50" s="9" t="str">
        <f>garage!L50</f>
        <v>Acura</v>
      </c>
      <c r="M50" s="9" t="str">
        <f>garage!M50</f>
        <v>2017 NSX</v>
      </c>
      <c r="O50" s="45">
        <v>305</v>
      </c>
      <c r="P50" s="45">
        <v>75.7</v>
      </c>
      <c r="Q50" s="45">
        <v>48.17</v>
      </c>
      <c r="R50" s="45">
        <v>36.81</v>
      </c>
      <c r="S50" s="47">
        <f t="shared" si="0"/>
        <v>116.42</v>
      </c>
      <c r="U50" s="8">
        <v>17</v>
      </c>
    </row>
    <row r="51" spans="2:21" ht="18" customHeight="1" x14ac:dyDescent="0.2">
      <c r="B51" s="10">
        <f>garage!B51</f>
        <v>51</v>
      </c>
      <c r="C51" s="10">
        <f>garage!C51</f>
        <v>2</v>
      </c>
      <c r="D51" s="10">
        <f>garage!D51</f>
        <v>18</v>
      </c>
      <c r="E51" s="10">
        <f>garage!E51</f>
        <v>0</v>
      </c>
      <c r="F51" s="10" t="str">
        <f>garage!F51</f>
        <v>--</v>
      </c>
      <c r="G51" s="10" t="str">
        <f>garage!G51</f>
        <v>O</v>
      </c>
      <c r="H51" s="10" t="str">
        <f>garage!H51</f>
        <v>O</v>
      </c>
      <c r="I51" s="10" t="str">
        <f>garage!I51</f>
        <v>O</v>
      </c>
      <c r="J51" s="10" t="str">
        <f>garage!J51</f>
        <v>N</v>
      </c>
      <c r="K51" s="10" t="str">
        <f>garage!K51</f>
        <v>C</v>
      </c>
      <c r="L51" s="11" t="str">
        <f>garage!L51</f>
        <v>Maserati</v>
      </c>
      <c r="M51" s="11" t="str">
        <f>garage!M51</f>
        <v>Alfieri</v>
      </c>
      <c r="O51" s="46">
        <v>305</v>
      </c>
      <c r="P51" s="46">
        <v>60.4</v>
      </c>
      <c r="Q51" s="46">
        <v>29.33</v>
      </c>
      <c r="R51" s="46">
        <v>51.53</v>
      </c>
      <c r="S51" s="48">
        <f t="shared" si="0"/>
        <v>111.565</v>
      </c>
      <c r="U51" s="10">
        <v>18</v>
      </c>
    </row>
    <row r="52" spans="2:21" ht="18" customHeight="1" x14ac:dyDescent="0.2">
      <c r="B52" s="8">
        <f>garage!B52</f>
        <v>52</v>
      </c>
      <c r="C52" s="8">
        <f>garage!C52</f>
        <v>2</v>
      </c>
      <c r="D52" s="8">
        <f>garage!D52</f>
        <v>19</v>
      </c>
      <c r="E52" s="8">
        <f>garage!E52</f>
        <v>26</v>
      </c>
      <c r="F52" s="8" t="str">
        <f>garage!F52</f>
        <v>F</v>
      </c>
      <c r="G52" s="8" t="str">
        <f>garage!G52</f>
        <v>O</v>
      </c>
      <c r="H52" s="8" t="str">
        <f>garage!H52</f>
        <v>N</v>
      </c>
      <c r="I52" s="8" t="str">
        <f>garage!I52</f>
        <v>N</v>
      </c>
      <c r="J52" s="8" t="str">
        <f>garage!J52</f>
        <v>O</v>
      </c>
      <c r="K52" s="8" t="str">
        <f>garage!K52</f>
        <v>C</v>
      </c>
      <c r="L52" s="9" t="str">
        <f>garage!L52</f>
        <v>Ferrari</v>
      </c>
      <c r="M52" s="9" t="str">
        <f>garage!M52</f>
        <v>Monza SP1</v>
      </c>
      <c r="O52" s="45">
        <v>300</v>
      </c>
      <c r="P52" s="45">
        <v>73.900000000000006</v>
      </c>
      <c r="Q52" s="45">
        <v>44.86</v>
      </c>
      <c r="R52" s="45">
        <v>51.55</v>
      </c>
      <c r="S52" s="47">
        <f t="shared" si="0"/>
        <v>117.5775</v>
      </c>
      <c r="U52" s="8">
        <v>19</v>
      </c>
    </row>
    <row r="53" spans="2:21" ht="18" customHeight="1" x14ac:dyDescent="0.2">
      <c r="B53" s="10">
        <f>garage!B53</f>
        <v>53</v>
      </c>
      <c r="C53" s="10">
        <f>garage!C53</f>
        <v>2</v>
      </c>
      <c r="D53" s="10">
        <f>garage!D53</f>
        <v>20</v>
      </c>
      <c r="E53" s="10">
        <f>garage!E53</f>
        <v>18</v>
      </c>
      <c r="F53" s="10" t="str">
        <f>garage!F53</f>
        <v>--</v>
      </c>
      <c r="G53" s="10" t="str">
        <f>garage!G53</f>
        <v>O</v>
      </c>
      <c r="H53" s="10" t="str">
        <f>garage!H53</f>
        <v>O</v>
      </c>
      <c r="I53" s="10" t="str">
        <f>garage!I53</f>
        <v>N</v>
      </c>
      <c r="J53" s="10" t="str">
        <f>garage!J53</f>
        <v>N</v>
      </c>
      <c r="K53" s="10" t="str">
        <f>garage!K53</f>
        <v>C</v>
      </c>
      <c r="L53" s="11" t="str">
        <f>garage!L53</f>
        <v>ATS Automobili</v>
      </c>
      <c r="M53" s="11" t="str">
        <f>garage!M53</f>
        <v>Corsa RRTurbo</v>
      </c>
      <c r="O53" s="46">
        <v>305</v>
      </c>
      <c r="P53" s="46">
        <v>81.099999999999994</v>
      </c>
      <c r="Q53" s="46">
        <v>39.39</v>
      </c>
      <c r="R53" s="46">
        <v>17.309999999999999</v>
      </c>
      <c r="S53" s="48">
        <f t="shared" si="0"/>
        <v>110.7</v>
      </c>
      <c r="U53" s="10">
        <v>20</v>
      </c>
    </row>
    <row r="54" spans="2:21" ht="18" customHeight="1" x14ac:dyDescent="0.2">
      <c r="B54" s="8">
        <f>garage!B54</f>
        <v>54</v>
      </c>
      <c r="C54" s="8">
        <f>garage!C54</f>
        <v>2</v>
      </c>
      <c r="D54" s="8">
        <f>garage!D54</f>
        <v>21</v>
      </c>
      <c r="E54" s="8">
        <f>garage!E54</f>
        <v>27</v>
      </c>
      <c r="F54" s="8" t="str">
        <f>garage!F54</f>
        <v>--</v>
      </c>
      <c r="G54" s="8" t="str">
        <f>garage!G54</f>
        <v>N</v>
      </c>
      <c r="H54" s="8" t="str">
        <f>garage!H54</f>
        <v>N</v>
      </c>
      <c r="I54" s="8" t="str">
        <f>garage!I54</f>
        <v>N</v>
      </c>
      <c r="J54" s="8" t="str">
        <f>garage!J54</f>
        <v>N</v>
      </c>
      <c r="K54" s="8" t="str">
        <f>garage!K54</f>
        <v>C</v>
      </c>
      <c r="L54" s="9" t="str">
        <f>garage!L54</f>
        <v>Jaguar</v>
      </c>
      <c r="M54" s="9" t="str">
        <f>garage!M54</f>
        <v>XE SV Project 8</v>
      </c>
      <c r="O54" s="45">
        <v>322</v>
      </c>
      <c r="P54" s="45">
        <v>68.5</v>
      </c>
      <c r="Q54" s="45">
        <v>33.35</v>
      </c>
      <c r="R54" s="45">
        <v>37.19</v>
      </c>
      <c r="S54" s="47">
        <f t="shared" si="0"/>
        <v>115.26</v>
      </c>
      <c r="U54" s="8">
        <v>21</v>
      </c>
    </row>
    <row r="55" spans="2:21" ht="18" customHeight="1" x14ac:dyDescent="0.2">
      <c r="B55" s="10">
        <f>garage!B55</f>
        <v>55</v>
      </c>
      <c r="C55" s="10">
        <f>garage!C55</f>
        <v>2</v>
      </c>
      <c r="D55" s="10">
        <f>garage!D55</f>
        <v>22</v>
      </c>
      <c r="E55" s="10">
        <f>garage!E55</f>
        <v>15</v>
      </c>
      <c r="F55" s="10" t="str">
        <f>garage!F55</f>
        <v>F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garage!J55</f>
        <v>N</v>
      </c>
      <c r="K55" s="10" t="str">
        <f>garage!K55</f>
        <v>C</v>
      </c>
      <c r="L55" s="11" t="str">
        <f>garage!L55</f>
        <v>Ferrari</v>
      </c>
      <c r="M55" s="11" t="str">
        <f>garage!M55</f>
        <v>F40</v>
      </c>
      <c r="O55" s="46">
        <v>324</v>
      </c>
      <c r="P55" s="46">
        <v>63.1</v>
      </c>
      <c r="Q55" s="46">
        <v>53.76</v>
      </c>
      <c r="R55" s="46">
        <v>40.25</v>
      </c>
      <c r="S55" s="48">
        <f t="shared" si="0"/>
        <v>120.2775</v>
      </c>
      <c r="U55" s="10">
        <v>22</v>
      </c>
    </row>
    <row r="56" spans="2:21" ht="18" customHeight="1" x14ac:dyDescent="0.2">
      <c r="B56" s="8">
        <f>garage!B56</f>
        <v>56</v>
      </c>
      <c r="C56" s="8">
        <f>garage!C56</f>
        <v>2</v>
      </c>
      <c r="D56" s="8">
        <f>garage!D56</f>
        <v>23</v>
      </c>
      <c r="E56" s="8">
        <f>garage!E56</f>
        <v>19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garage!J56</f>
        <v>N</v>
      </c>
      <c r="K56" s="8" t="str">
        <f>garage!K56</f>
        <v>C</v>
      </c>
      <c r="L56" s="9" t="str">
        <f>garage!L56</f>
        <v>Renault</v>
      </c>
      <c r="M56" s="9" t="str">
        <f>garage!M56</f>
        <v>R.S. 01</v>
      </c>
      <c r="O56" s="45">
        <v>300</v>
      </c>
      <c r="P56" s="45">
        <v>73.900000000000006</v>
      </c>
      <c r="Q56" s="45">
        <v>42.37</v>
      </c>
      <c r="R56" s="45">
        <v>54.6</v>
      </c>
      <c r="S56" s="47">
        <f t="shared" si="0"/>
        <v>117.7175</v>
      </c>
      <c r="U56" s="8">
        <v>23</v>
      </c>
    </row>
    <row r="57" spans="2:21" ht="18" customHeight="1" x14ac:dyDescent="0.2">
      <c r="B57" s="10">
        <f>garage!B57</f>
        <v>57</v>
      </c>
      <c r="C57" s="10">
        <f>garage!C57</f>
        <v>2</v>
      </c>
      <c r="D57" s="10">
        <f>garage!D57</f>
        <v>24</v>
      </c>
      <c r="E57" s="10">
        <f>garage!E57</f>
        <v>17</v>
      </c>
      <c r="F57" s="10" t="str">
        <f>garage!F57</f>
        <v>--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garage!J57</f>
        <v>N</v>
      </c>
      <c r="K57" s="10" t="str">
        <f>garage!K57</f>
        <v>C</v>
      </c>
      <c r="L57" s="11" t="str">
        <f>garage!L57</f>
        <v>Acura</v>
      </c>
      <c r="M57" s="11" t="str">
        <f>garage!M57</f>
        <v>NSX GT3 EVO</v>
      </c>
      <c r="O57" s="46">
        <v>295</v>
      </c>
      <c r="P57" s="46">
        <v>60.85</v>
      </c>
      <c r="Q57" s="46">
        <v>63.92</v>
      </c>
      <c r="R57" s="46">
        <v>55.78</v>
      </c>
      <c r="S57" s="48">
        <f t="shared" si="0"/>
        <v>118.88750000000002</v>
      </c>
      <c r="U57" s="10">
        <v>24</v>
      </c>
    </row>
    <row r="58" spans="2:21" ht="18" customHeight="1" x14ac:dyDescent="0.2">
      <c r="B58" s="8">
        <f>garage!B58</f>
        <v>58</v>
      </c>
      <c r="C58" s="8">
        <f>garage!C58</f>
        <v>2</v>
      </c>
      <c r="D58" s="8">
        <f>garage!D58</f>
        <v>25</v>
      </c>
      <c r="E58" s="8">
        <f>garage!E58</f>
        <v>0</v>
      </c>
      <c r="F58" s="8" t="str">
        <f>garage!F58</f>
        <v>--</v>
      </c>
      <c r="G58" s="8" t="str">
        <f>garage!G58</f>
        <v>O</v>
      </c>
      <c r="H58" s="8" t="str">
        <f>garage!H58</f>
        <v>O</v>
      </c>
      <c r="I58" s="8" t="str">
        <f>garage!I58</f>
        <v>O</v>
      </c>
      <c r="J58" s="8" t="str">
        <f>garage!J58</f>
        <v>N</v>
      </c>
      <c r="K58" s="8" t="str">
        <f>garage!K58</f>
        <v>C</v>
      </c>
      <c r="L58" s="9" t="str">
        <f>garage!L58</f>
        <v>Vencer</v>
      </c>
      <c r="M58" s="9" t="str">
        <f>garage!M58</f>
        <v>Sarthe</v>
      </c>
      <c r="O58" s="45">
        <v>340</v>
      </c>
      <c r="P58" s="45">
        <v>67.599999999999994</v>
      </c>
      <c r="Q58" s="45">
        <v>48.14</v>
      </c>
      <c r="R58" s="45">
        <v>29.67</v>
      </c>
      <c r="S58" s="47">
        <f t="shared" si="0"/>
        <v>121.35250000000001</v>
      </c>
      <c r="U58" s="8">
        <v>25</v>
      </c>
    </row>
    <row r="59" spans="2:21" ht="18" customHeight="1" x14ac:dyDescent="0.2">
      <c r="B59" s="10">
        <f>garage!B59</f>
        <v>59</v>
      </c>
      <c r="C59" s="10">
        <f>garage!C59</f>
        <v>2</v>
      </c>
      <c r="D59" s="10">
        <f>garage!D59</f>
        <v>26</v>
      </c>
      <c r="E59" s="10">
        <f>garage!E59</f>
        <v>30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garage!J59</f>
        <v>N</v>
      </c>
      <c r="K59" s="10" t="str">
        <f>garage!K59</f>
        <v>C</v>
      </c>
      <c r="L59" s="11" t="str">
        <f>garage!L59</f>
        <v>Maserati</v>
      </c>
      <c r="M59" s="11" t="str">
        <f>garage!M59</f>
        <v>MC12</v>
      </c>
      <c r="O59" s="46">
        <v>330</v>
      </c>
      <c r="P59" s="46">
        <v>66.7</v>
      </c>
      <c r="Q59" s="46">
        <v>47.13</v>
      </c>
      <c r="R59" s="46">
        <v>9.5</v>
      </c>
      <c r="S59" s="48">
        <f t="shared" si="0"/>
        <v>113.3325</v>
      </c>
      <c r="U59" s="10">
        <v>26</v>
      </c>
    </row>
    <row r="60" spans="2:21" ht="18" customHeight="1" x14ac:dyDescent="0.2">
      <c r="B60" s="8">
        <f>garage!B60</f>
        <v>60</v>
      </c>
      <c r="C60" s="8">
        <f>garage!C60</f>
        <v>2</v>
      </c>
      <c r="D60" s="8">
        <f>garage!D60</f>
        <v>27</v>
      </c>
      <c r="E60" s="8">
        <f>garage!E60</f>
        <v>14</v>
      </c>
      <c r="F60" s="8" t="str">
        <f>garage!F60</f>
        <v>--</v>
      </c>
      <c r="G60" s="8" t="str">
        <f>garage!G60</f>
        <v>O</v>
      </c>
      <c r="H60" s="8" t="str">
        <f>garage!H60</f>
        <v>N</v>
      </c>
      <c r="I60" s="8" t="str">
        <f>garage!I60</f>
        <v>N</v>
      </c>
      <c r="J60" s="8" t="str">
        <f>garage!J60</f>
        <v>N</v>
      </c>
      <c r="K60" s="8" t="str">
        <f>garage!K60</f>
        <v>C</v>
      </c>
      <c r="L60" s="9" t="str">
        <f>garage!L60</f>
        <v>Bentley</v>
      </c>
      <c r="M60" s="9" t="str">
        <f>garage!M60</f>
        <v>Mulliner Bacalar</v>
      </c>
      <c r="O60" s="45">
        <v>322</v>
      </c>
      <c r="P60" s="45">
        <v>67.599999999999994</v>
      </c>
      <c r="Q60" s="45">
        <v>46.32</v>
      </c>
      <c r="R60" s="45">
        <v>36.229999999999997</v>
      </c>
      <c r="S60" s="47">
        <f t="shared" si="0"/>
        <v>118.03750000000001</v>
      </c>
      <c r="U60" s="8">
        <v>27</v>
      </c>
    </row>
    <row r="61" spans="2:21" ht="18" customHeight="1" x14ac:dyDescent="0.2">
      <c r="B61" s="10">
        <f>garage!B61</f>
        <v>61</v>
      </c>
      <c r="C61" s="10">
        <f>garage!C61</f>
        <v>2</v>
      </c>
      <c r="D61" s="10">
        <f>garage!D61</f>
        <v>28</v>
      </c>
      <c r="E61" s="10">
        <f>garage!E61</f>
        <v>25</v>
      </c>
      <c r="F61" s="10" t="str">
        <f>garage!F61</f>
        <v>L</v>
      </c>
      <c r="G61" s="10" t="str">
        <f>garage!G61</f>
        <v>N</v>
      </c>
      <c r="H61" s="10" t="str">
        <f>garage!H61</f>
        <v>N</v>
      </c>
      <c r="I61" s="10" t="str">
        <f>garage!I61</f>
        <v>N</v>
      </c>
      <c r="J61" s="10" t="str">
        <f>garage!J61</f>
        <v>N</v>
      </c>
      <c r="K61" s="10" t="str">
        <f>garage!K61</f>
        <v>C</v>
      </c>
      <c r="L61" s="11" t="str">
        <f>garage!L61</f>
        <v>Lamborghini</v>
      </c>
      <c r="M61" s="11" t="str">
        <f>garage!M61</f>
        <v>Miura Concept</v>
      </c>
      <c r="O61" s="46">
        <v>330</v>
      </c>
      <c r="P61" s="46">
        <v>65.8</v>
      </c>
      <c r="Q61" s="46">
        <v>39.799999999999997</v>
      </c>
      <c r="R61" s="46">
        <v>38.82</v>
      </c>
      <c r="S61" s="48">
        <f t="shared" si="0"/>
        <v>118.605</v>
      </c>
      <c r="U61" s="10">
        <v>28</v>
      </c>
    </row>
    <row r="62" spans="2:21" ht="18" customHeight="1" x14ac:dyDescent="0.2">
      <c r="B62" s="8">
        <f>garage!B62</f>
        <v>62</v>
      </c>
      <c r="C62" s="8">
        <f>garage!C62</f>
        <v>2</v>
      </c>
      <c r="D62" s="8">
        <f>garage!D62</f>
        <v>29</v>
      </c>
      <c r="E62" s="8">
        <f>garage!E62</f>
        <v>11</v>
      </c>
      <c r="F62" s="8" t="str">
        <f>garage!F62</f>
        <v>P</v>
      </c>
      <c r="G62" s="8" t="str">
        <f>garage!G62</f>
        <v>O</v>
      </c>
      <c r="H62" s="8" t="str">
        <f>garage!H62</f>
        <v>O</v>
      </c>
      <c r="I62" s="8" t="str">
        <f>garage!I62</f>
        <v>N</v>
      </c>
      <c r="J62" s="8" t="str">
        <f>garage!J62</f>
        <v>N</v>
      </c>
      <c r="K62" s="8" t="str">
        <f>garage!K62</f>
        <v>C</v>
      </c>
      <c r="L62" s="9" t="str">
        <f>garage!L62</f>
        <v>Porsche</v>
      </c>
      <c r="M62" s="9" t="str">
        <f>garage!M62</f>
        <v>718 Cayman GT4 Clubsport</v>
      </c>
      <c r="O62" s="45">
        <v>304</v>
      </c>
      <c r="P62" s="45">
        <v>60.4</v>
      </c>
      <c r="Q62" s="45">
        <v>58.34</v>
      </c>
      <c r="R62" s="45">
        <v>44.03</v>
      </c>
      <c r="S62" s="47">
        <f t="shared" si="0"/>
        <v>116.6925</v>
      </c>
      <c r="U62" s="8">
        <v>29</v>
      </c>
    </row>
    <row r="63" spans="2:21" ht="18" customHeight="1" x14ac:dyDescent="0.2">
      <c r="B63" s="10">
        <f>garage!B63</f>
        <v>63</v>
      </c>
      <c r="C63" s="10">
        <f>garage!C63</f>
        <v>2</v>
      </c>
      <c r="D63" s="10">
        <f>garage!D63</f>
        <v>30</v>
      </c>
      <c r="E63" s="10">
        <f>garage!E63</f>
        <v>13</v>
      </c>
      <c r="F63" s="10" t="str">
        <f>garage!F63</f>
        <v>C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garage!J63</f>
        <v>N</v>
      </c>
      <c r="K63" s="10" t="str">
        <f>garage!K63</f>
        <v>C</v>
      </c>
      <c r="L63" s="11" t="str">
        <f>garage!L63</f>
        <v>Chevrolet</v>
      </c>
      <c r="M63" s="11" t="str">
        <f>garage!M63</f>
        <v>Corvette Stingray</v>
      </c>
      <c r="O63" s="46">
        <v>312</v>
      </c>
      <c r="P63" s="46">
        <v>73</v>
      </c>
      <c r="Q63" s="46">
        <v>45.3</v>
      </c>
      <c r="R63" s="46">
        <v>48.59</v>
      </c>
      <c r="S63" s="48">
        <f t="shared" si="0"/>
        <v>119.7225</v>
      </c>
      <c r="U63" s="10">
        <v>30</v>
      </c>
    </row>
    <row r="64" spans="2:21" ht="18" customHeight="1" x14ac:dyDescent="0.2">
      <c r="B64" s="8">
        <f>garage!B64</f>
        <v>64</v>
      </c>
      <c r="C64" s="8">
        <f>garage!C64</f>
        <v>2</v>
      </c>
      <c r="D64" s="8">
        <f>garage!D64</f>
        <v>31</v>
      </c>
      <c r="E64" s="8">
        <f>garage!E64</f>
        <v>24</v>
      </c>
      <c r="F64" s="8" t="str">
        <f>garage!F64</f>
        <v>--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garage!J64</f>
        <v>O</v>
      </c>
      <c r="K64" s="8" t="str">
        <f>garage!K64</f>
        <v>C</v>
      </c>
      <c r="L64" s="9" t="str">
        <f>garage!L64</f>
        <v>Brabham</v>
      </c>
      <c r="M64" s="9" t="str">
        <f>garage!M64</f>
        <v>BT62</v>
      </c>
      <c r="O64" s="45">
        <v>305</v>
      </c>
      <c r="P64" s="45">
        <v>76.599999999999994</v>
      </c>
      <c r="Q64" s="45">
        <v>48.06</v>
      </c>
      <c r="R64" s="45">
        <v>45.98</v>
      </c>
      <c r="S64" s="47">
        <f t="shared" si="0"/>
        <v>118.91000000000001</v>
      </c>
      <c r="U64" s="8">
        <v>31</v>
      </c>
    </row>
    <row r="65" spans="2:21" ht="18" customHeight="1" x14ac:dyDescent="0.2">
      <c r="B65" s="10">
        <f>garage!B65</f>
        <v>65</v>
      </c>
      <c r="C65" s="10">
        <f>garage!C65</f>
        <v>2</v>
      </c>
      <c r="D65" s="10">
        <f>garage!D65</f>
        <v>32</v>
      </c>
      <c r="E65" s="10">
        <f>garage!E65</f>
        <v>15</v>
      </c>
      <c r="F65" s="10" t="str">
        <f>garage!F65</f>
        <v>F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garage!J65</f>
        <v>N</v>
      </c>
      <c r="K65" s="10" t="str">
        <f>garage!K65</f>
        <v>C</v>
      </c>
      <c r="L65" s="11" t="str">
        <f>garage!L65</f>
        <v>Ferrari</v>
      </c>
      <c r="M65" s="11" t="str">
        <f>garage!M65</f>
        <v>599XX EVO</v>
      </c>
      <c r="O65" s="46">
        <v>305</v>
      </c>
      <c r="P65" s="46">
        <v>71.2</v>
      </c>
      <c r="Q65" s="46">
        <v>58.47</v>
      </c>
      <c r="R65" s="46">
        <v>49.68</v>
      </c>
      <c r="S65" s="48">
        <f t="shared" si="0"/>
        <v>121.08749999999999</v>
      </c>
      <c r="U65" s="10">
        <v>32</v>
      </c>
    </row>
    <row r="66" spans="2:21" ht="18" customHeight="1" x14ac:dyDescent="0.2">
      <c r="B66" s="8">
        <f>garage!B66</f>
        <v>66</v>
      </c>
      <c r="C66" s="8">
        <f>garage!C66</f>
        <v>2</v>
      </c>
      <c r="D66" s="8">
        <f>garage!D66</f>
        <v>33</v>
      </c>
      <c r="E66" s="8">
        <f>garage!E66</f>
        <v>28</v>
      </c>
      <c r="F66" s="8" t="str">
        <f>garage!F66</f>
        <v>--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garage!J66</f>
        <v>N</v>
      </c>
      <c r="K66" s="8" t="str">
        <f>garage!K66</f>
        <v>C</v>
      </c>
      <c r="L66" s="9" t="str">
        <f>garage!L66</f>
        <v>Ares</v>
      </c>
      <c r="M66" s="9" t="str">
        <f>garage!M66</f>
        <v>S1</v>
      </c>
      <c r="O66" s="45">
        <v>296</v>
      </c>
      <c r="P66" s="45">
        <v>75.7</v>
      </c>
      <c r="Q66" s="45">
        <v>62.03</v>
      </c>
      <c r="R66" s="45">
        <v>52.29</v>
      </c>
      <c r="S66" s="47">
        <f t="shared" ref="S66:S129" si="1">AVERAGE(O66:R66)</f>
        <v>121.50500000000001</v>
      </c>
      <c r="U66" s="8">
        <v>33</v>
      </c>
    </row>
    <row r="67" spans="2:21" ht="18" customHeight="1" x14ac:dyDescent="0.2">
      <c r="B67" s="10">
        <f>garage!B67</f>
        <v>67</v>
      </c>
      <c r="C67" s="10">
        <f>garage!C67</f>
        <v>2</v>
      </c>
      <c r="D67" s="10">
        <f>garage!D67</f>
        <v>34</v>
      </c>
      <c r="E67" s="10">
        <f>garage!E67</f>
        <v>25</v>
      </c>
      <c r="F67" s="10" t="str">
        <f>garage!F67</f>
        <v>L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garage!J67</f>
        <v>N</v>
      </c>
      <c r="K67" s="10" t="str">
        <f>garage!K67</f>
        <v>C</v>
      </c>
      <c r="L67" s="11" t="str">
        <f>garage!L67</f>
        <v>Lamborghini</v>
      </c>
      <c r="M67" s="11" t="str">
        <f>garage!M67</f>
        <v>Diablo GT</v>
      </c>
      <c r="O67" s="46">
        <v>338</v>
      </c>
      <c r="P67" s="46">
        <v>66.7</v>
      </c>
      <c r="Q67" s="46">
        <v>44.21</v>
      </c>
      <c r="R67" s="46">
        <v>37.5</v>
      </c>
      <c r="S67" s="48">
        <f t="shared" si="1"/>
        <v>121.60249999999999</v>
      </c>
      <c r="U67" s="10">
        <v>34</v>
      </c>
    </row>
    <row r="68" spans="2:21" ht="18" customHeight="1" x14ac:dyDescent="0.2">
      <c r="B68" s="8">
        <f>garage!B68</f>
        <v>68</v>
      </c>
      <c r="C68" s="8">
        <f>garage!C68</f>
        <v>2</v>
      </c>
      <c r="D68" s="8">
        <f>garage!D68</f>
        <v>35</v>
      </c>
      <c r="E68" s="8">
        <f>garage!E68</f>
        <v>7</v>
      </c>
      <c r="F68" s="8" t="str">
        <f>garage!F68</f>
        <v>--</v>
      </c>
      <c r="G68" s="8" t="str">
        <f>garage!G68</f>
        <v>O</v>
      </c>
      <c r="H68" s="8" t="str">
        <f>garage!H68</f>
        <v>O</v>
      </c>
      <c r="I68" s="8" t="str">
        <f>garage!I68</f>
        <v>O</v>
      </c>
      <c r="J68" s="8" t="str">
        <f>garage!J68</f>
        <v>N</v>
      </c>
      <c r="K68" s="8" t="str">
        <f>garage!K68</f>
        <v>C</v>
      </c>
      <c r="L68" s="9" t="str">
        <f>garage!L68</f>
        <v>Arrinera</v>
      </c>
      <c r="M68" s="9" t="str">
        <f>garage!M68</f>
        <v>Hussarya 33</v>
      </c>
      <c r="O68" s="45">
        <v>340</v>
      </c>
      <c r="P68" s="45">
        <v>71.2</v>
      </c>
      <c r="Q68" s="45">
        <v>44.4</v>
      </c>
      <c r="R68" s="45">
        <v>25.68</v>
      </c>
      <c r="S68" s="47">
        <f t="shared" si="1"/>
        <v>120.32</v>
      </c>
      <c r="U68" s="8">
        <v>35</v>
      </c>
    </row>
    <row r="69" spans="2:21" ht="18" customHeight="1" x14ac:dyDescent="0.2">
      <c r="B69" s="10">
        <f>garage!B69</f>
        <v>69</v>
      </c>
      <c r="C69" s="10">
        <f>garage!C69</f>
        <v>2</v>
      </c>
      <c r="D69" s="10">
        <f>garage!D69</f>
        <v>36</v>
      </c>
      <c r="E69" s="10">
        <f>garage!E69</f>
        <v>26</v>
      </c>
      <c r="F69" s="10" t="str">
        <f>garage!F69</f>
        <v>B</v>
      </c>
      <c r="G69" s="10" t="str">
        <f>garage!G69</f>
        <v>O</v>
      </c>
      <c r="H69" s="10" t="str">
        <f>garage!H69</f>
        <v>O</v>
      </c>
      <c r="I69" s="10" t="str">
        <f>garage!I69</f>
        <v>N</v>
      </c>
      <c r="J69" s="10" t="str">
        <f>garage!J69</f>
        <v>N</v>
      </c>
      <c r="K69" s="10" t="str">
        <f>garage!K69</f>
        <v>C</v>
      </c>
      <c r="L69" s="11" t="str">
        <f>garage!L69</f>
        <v>Bugatti</v>
      </c>
      <c r="M69" s="11" t="str">
        <f>garage!M69</f>
        <v>EB110</v>
      </c>
      <c r="O69" s="46">
        <v>336</v>
      </c>
      <c r="P69" s="46">
        <v>67.599999999999994</v>
      </c>
      <c r="Q69" s="46">
        <v>45.51</v>
      </c>
      <c r="R69" s="46">
        <v>32.39</v>
      </c>
      <c r="S69" s="48">
        <f t="shared" si="1"/>
        <v>120.375</v>
      </c>
      <c r="U69" s="10">
        <v>36</v>
      </c>
    </row>
    <row r="70" spans="2:21" ht="18" customHeight="1" x14ac:dyDescent="0.2">
      <c r="B70" s="8">
        <f>garage!B70</f>
        <v>70</v>
      </c>
      <c r="C70" s="8">
        <f>garage!C70</f>
        <v>2</v>
      </c>
      <c r="D70" s="8">
        <f>garage!D70</f>
        <v>37</v>
      </c>
      <c r="E70" s="8">
        <f>garage!E70</f>
        <v>12</v>
      </c>
      <c r="F70" s="8" t="str">
        <f>garage!F70</f>
        <v>L</v>
      </c>
      <c r="G70" s="8" t="str">
        <f>garage!G70</f>
        <v>O</v>
      </c>
      <c r="H70" s="8" t="str">
        <f>garage!H70</f>
        <v>N</v>
      </c>
      <c r="I70" s="8" t="str">
        <f>garage!I70</f>
        <v>N</v>
      </c>
      <c r="J70" s="8" t="str">
        <f>garage!J70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Gallardo LP560-4</v>
      </c>
      <c r="O70" s="45">
        <v>325</v>
      </c>
      <c r="P70" s="45">
        <v>67.599999999999994</v>
      </c>
      <c r="Q70" s="45">
        <v>50.25</v>
      </c>
      <c r="R70" s="45">
        <v>38.4</v>
      </c>
      <c r="S70" s="47">
        <f t="shared" si="1"/>
        <v>120.3125</v>
      </c>
      <c r="U70" s="8">
        <v>37</v>
      </c>
    </row>
    <row r="71" spans="2:21" ht="18" customHeight="1" x14ac:dyDescent="0.2">
      <c r="B71" s="10">
        <f>garage!B71</f>
        <v>71</v>
      </c>
      <c r="C71" s="10">
        <f>garage!C71</f>
        <v>2</v>
      </c>
      <c r="D71" s="10">
        <f>garage!D71</f>
        <v>38</v>
      </c>
      <c r="E71" s="10">
        <f>garage!E71</f>
        <v>23</v>
      </c>
      <c r="F71" s="10" t="str">
        <f>garage!F71</f>
        <v>M</v>
      </c>
      <c r="G71" s="10" t="str">
        <f>garage!G71</f>
        <v>O</v>
      </c>
      <c r="H71" s="10" t="str">
        <f>garage!H71</f>
        <v>N</v>
      </c>
      <c r="I71" s="10" t="str">
        <f>garage!I71</f>
        <v>N</v>
      </c>
      <c r="J71" s="10" t="str">
        <f>garage!J71</f>
        <v>N</v>
      </c>
      <c r="K71" s="10" t="str">
        <f>garage!K71</f>
        <v>C</v>
      </c>
      <c r="L71" s="11" t="str">
        <f>garage!L71</f>
        <v>McLaren</v>
      </c>
      <c r="M71" s="11" t="str">
        <f>garage!M71</f>
        <v>GT</v>
      </c>
      <c r="O71" s="46">
        <v>326</v>
      </c>
      <c r="P71" s="46">
        <v>71.2</v>
      </c>
      <c r="Q71" s="46">
        <v>53.99</v>
      </c>
      <c r="R71" s="46">
        <v>34.61</v>
      </c>
      <c r="S71" s="48">
        <f t="shared" si="1"/>
        <v>121.45</v>
      </c>
      <c r="U71" s="10">
        <v>38</v>
      </c>
    </row>
    <row r="72" spans="2:21" ht="18" customHeight="1" x14ac:dyDescent="0.2">
      <c r="B72" s="8">
        <f>garage!B72</f>
        <v>72</v>
      </c>
      <c r="C72" s="8">
        <f>garage!C72</f>
        <v>2</v>
      </c>
      <c r="D72" s="8">
        <f>garage!D72</f>
        <v>39</v>
      </c>
      <c r="E72" s="8">
        <f>garage!E72</f>
        <v>29</v>
      </c>
      <c r="F72" s="8" t="str">
        <f>garage!F72</f>
        <v>--</v>
      </c>
      <c r="G72" s="8" t="str">
        <f>garage!G72</f>
        <v>O</v>
      </c>
      <c r="H72" s="8" t="str">
        <f>garage!H72</f>
        <v>N</v>
      </c>
      <c r="I72" s="8" t="str">
        <f>garage!I72</f>
        <v>N</v>
      </c>
      <c r="J72" s="8" t="str">
        <f>garage!J72</f>
        <v>N</v>
      </c>
      <c r="K72" s="8" t="str">
        <f>garage!K72</f>
        <v>C</v>
      </c>
      <c r="L72" s="9" t="str">
        <f>garage!L72</f>
        <v>Mercedes-Benz</v>
      </c>
      <c r="M72" s="9" t="str">
        <f>garage!M72</f>
        <v>AMG GT Black Series</v>
      </c>
      <c r="O72" s="45">
        <v>325</v>
      </c>
      <c r="P72" s="45">
        <v>72.2</v>
      </c>
      <c r="Q72" s="45">
        <v>43</v>
      </c>
      <c r="R72" s="45">
        <v>50.97</v>
      </c>
      <c r="S72" s="47">
        <f t="shared" si="1"/>
        <v>122.79249999999999</v>
      </c>
      <c r="U72" s="8">
        <v>39</v>
      </c>
    </row>
    <row r="73" spans="2:21" ht="18" customHeight="1" x14ac:dyDescent="0.2">
      <c r="B73" s="10">
        <f>garage!B73</f>
        <v>73</v>
      </c>
      <c r="C73" s="10">
        <f>garage!C73</f>
        <v>3</v>
      </c>
      <c r="D73" s="10">
        <f>garage!D73</f>
        <v>1</v>
      </c>
      <c r="E73" s="10">
        <f>garage!E73</f>
        <v>0</v>
      </c>
      <c r="F73" s="10" t="str">
        <f>garage!F73</f>
        <v>P</v>
      </c>
      <c r="G73" s="10" t="str">
        <f>garage!G73</f>
        <v>O</v>
      </c>
      <c r="H73" s="10" t="str">
        <f>garage!H73</f>
        <v>O</v>
      </c>
      <c r="I73" s="10" t="str">
        <f>garage!I73</f>
        <v>O</v>
      </c>
      <c r="J73" s="10" t="str">
        <f>garage!J73</f>
        <v>N</v>
      </c>
      <c r="K73" s="10" t="str">
        <f>garage!K73</f>
        <v>B</v>
      </c>
      <c r="L73" s="11" t="str">
        <f>garage!L73</f>
        <v>Porsche</v>
      </c>
      <c r="M73" s="11" t="str">
        <f>garage!M73</f>
        <v>911 GTS Coupé</v>
      </c>
      <c r="O73" s="46">
        <v>312</v>
      </c>
      <c r="P73" s="46">
        <v>64.900000000000006</v>
      </c>
      <c r="Q73" s="46">
        <v>41.08</v>
      </c>
      <c r="R73" s="46">
        <v>42.95</v>
      </c>
      <c r="S73" s="48">
        <f t="shared" si="1"/>
        <v>115.23249999999999</v>
      </c>
      <c r="U73" s="10">
        <v>1</v>
      </c>
    </row>
    <row r="74" spans="2:21" ht="18" customHeight="1" x14ac:dyDescent="0.2">
      <c r="B74" s="8">
        <f>garage!B74</f>
        <v>74</v>
      </c>
      <c r="C74" s="8">
        <f>garage!C74</f>
        <v>3</v>
      </c>
      <c r="D74" s="8">
        <f>garage!D74</f>
        <v>2</v>
      </c>
      <c r="E74" s="8">
        <f>garage!E74</f>
        <v>0</v>
      </c>
      <c r="F74" s="8" t="str">
        <f>garage!F74</f>
        <v>AM</v>
      </c>
      <c r="G74" s="8" t="str">
        <f>garage!G74</f>
        <v>O</v>
      </c>
      <c r="H74" s="8" t="str">
        <f>garage!H74</f>
        <v>O</v>
      </c>
      <c r="I74" s="8" t="str">
        <f>garage!I74</f>
        <v>O</v>
      </c>
      <c r="J74" s="8" t="str">
        <f>garage!J74</f>
        <v>N</v>
      </c>
      <c r="K74" s="8" t="str">
        <f>garage!K74</f>
        <v>B</v>
      </c>
      <c r="L74" s="9" t="str">
        <f>garage!L74</f>
        <v>Aston Martin</v>
      </c>
      <c r="M74" s="9" t="str">
        <f>garage!M74</f>
        <v>DB11</v>
      </c>
      <c r="O74" s="45">
        <v>322</v>
      </c>
      <c r="P74" s="45">
        <v>66.7</v>
      </c>
      <c r="Q74" s="45">
        <v>38.03</v>
      </c>
      <c r="R74" s="45">
        <v>43.92</v>
      </c>
      <c r="S74" s="47">
        <f t="shared" si="1"/>
        <v>117.66250000000001</v>
      </c>
      <c r="U74" s="8">
        <v>2</v>
      </c>
    </row>
    <row r="75" spans="2:21" ht="18" customHeight="1" x14ac:dyDescent="0.2">
      <c r="B75" s="10">
        <f>garage!B75</f>
        <v>75</v>
      </c>
      <c r="C75" s="10">
        <f>garage!C75</f>
        <v>3</v>
      </c>
      <c r="D75" s="10">
        <f>garage!D75</f>
        <v>3</v>
      </c>
      <c r="E75" s="10">
        <f>garage!E75</f>
        <v>0</v>
      </c>
      <c r="F75" s="10" t="str">
        <f>garage!F75</f>
        <v>--</v>
      </c>
      <c r="G75" s="10" t="str">
        <f>garage!G75</f>
        <v>O</v>
      </c>
      <c r="H75" s="10" t="str">
        <f>garage!H75</f>
        <v>O</v>
      </c>
      <c r="I75" s="10" t="str">
        <f>garage!I75</f>
        <v>O</v>
      </c>
      <c r="J75" s="10" t="str">
        <f>garage!J75</f>
        <v>N</v>
      </c>
      <c r="K75" s="10" t="str">
        <f>garage!K75</f>
        <v>B</v>
      </c>
      <c r="L75" s="11" t="str">
        <f>garage!L75</f>
        <v>Jaguar</v>
      </c>
      <c r="M75" s="11" t="str">
        <f>garage!M75</f>
        <v>F-Type SVR</v>
      </c>
      <c r="O75" s="46">
        <v>322</v>
      </c>
      <c r="P75" s="46">
        <v>66.7</v>
      </c>
      <c r="Q75" s="46">
        <v>43.33</v>
      </c>
      <c r="R75" s="46">
        <v>34.31</v>
      </c>
      <c r="S75" s="48">
        <f t="shared" si="1"/>
        <v>116.58499999999999</v>
      </c>
      <c r="U75" s="10">
        <v>3</v>
      </c>
    </row>
    <row r="76" spans="2:21" ht="18" customHeight="1" x14ac:dyDescent="0.2">
      <c r="B76" s="8">
        <f>garage!B76</f>
        <v>76</v>
      </c>
      <c r="C76" s="8">
        <f>garage!C76</f>
        <v>3</v>
      </c>
      <c r="D76" s="8">
        <f>garage!D76</f>
        <v>4</v>
      </c>
      <c r="E76" s="8">
        <f>garage!E76</f>
        <v>29</v>
      </c>
      <c r="F76" s="8" t="str">
        <f>garage!F76</f>
        <v>F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garage!J76</f>
        <v>N</v>
      </c>
      <c r="K76" s="8" t="str">
        <f>garage!K76</f>
        <v>B</v>
      </c>
      <c r="L76" s="9" t="str">
        <f>garage!L76</f>
        <v>Ferrari</v>
      </c>
      <c r="M76" s="9" t="str">
        <f>garage!M76</f>
        <v>F50</v>
      </c>
      <c r="O76" s="45">
        <v>325</v>
      </c>
      <c r="P76" s="45">
        <v>65.8</v>
      </c>
      <c r="Q76" s="45">
        <v>35.74</v>
      </c>
      <c r="R76" s="45">
        <v>42.27</v>
      </c>
      <c r="S76" s="47">
        <f t="shared" si="1"/>
        <v>117.2025</v>
      </c>
      <c r="U76" s="8">
        <v>4</v>
      </c>
    </row>
    <row r="77" spans="2:21" ht="18" customHeight="1" x14ac:dyDescent="0.2">
      <c r="B77" s="10">
        <f>garage!B77</f>
        <v>77</v>
      </c>
      <c r="C77" s="10">
        <f>garage!C77</f>
        <v>3</v>
      </c>
      <c r="D77" s="10">
        <f>garage!D77</f>
        <v>5</v>
      </c>
      <c r="E77" s="10">
        <f>garage!E77</f>
        <v>0</v>
      </c>
      <c r="F77" s="10" t="str">
        <f>garage!F77</f>
        <v>--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garage!J77</f>
        <v>N</v>
      </c>
      <c r="K77" s="10" t="str">
        <f>garage!K77</f>
        <v>B</v>
      </c>
      <c r="L77" s="11" t="str">
        <f>garage!L77</f>
        <v>Exotic Rides</v>
      </c>
      <c r="M77" s="11" t="str">
        <f>garage!M77</f>
        <v>W70</v>
      </c>
      <c r="O77" s="46">
        <v>313</v>
      </c>
      <c r="P77" s="46">
        <v>73.900000000000006</v>
      </c>
      <c r="Q77" s="46">
        <v>40.46</v>
      </c>
      <c r="R77" s="46">
        <v>43.05</v>
      </c>
      <c r="S77" s="48">
        <f t="shared" si="1"/>
        <v>117.60249999999999</v>
      </c>
      <c r="U77" s="10">
        <v>5</v>
      </c>
    </row>
    <row r="78" spans="2:21" ht="18" customHeight="1" x14ac:dyDescent="0.2">
      <c r="B78" s="8">
        <f>garage!B78</f>
        <v>78</v>
      </c>
      <c r="C78" s="8">
        <f>garage!C78</f>
        <v>3</v>
      </c>
      <c r="D78" s="8">
        <f>garage!D78</f>
        <v>6</v>
      </c>
      <c r="E78" s="8">
        <f>garage!E78</f>
        <v>11</v>
      </c>
      <c r="F78" s="8" t="str">
        <f>garage!F78</f>
        <v>P</v>
      </c>
      <c r="G78" s="8" t="str">
        <f>garage!G78</f>
        <v>O</v>
      </c>
      <c r="H78" s="8" t="str">
        <f>garage!H78</f>
        <v>O</v>
      </c>
      <c r="I78" s="8" t="str">
        <f>garage!I78</f>
        <v>N</v>
      </c>
      <c r="J78" s="8" t="str">
        <f>garage!J78</f>
        <v>N</v>
      </c>
      <c r="K78" s="8" t="str">
        <f>garage!K78</f>
        <v>B</v>
      </c>
      <c r="L78" s="9" t="str">
        <f>garage!L78</f>
        <v>Porsche</v>
      </c>
      <c r="M78" s="9" t="str">
        <f>garage!M78</f>
        <v>911 GT1 Evolution</v>
      </c>
      <c r="O78" s="45">
        <v>310</v>
      </c>
      <c r="P78" s="45">
        <v>66.7</v>
      </c>
      <c r="Q78" s="45">
        <v>45.1</v>
      </c>
      <c r="R78" s="45">
        <v>55.86</v>
      </c>
      <c r="S78" s="47">
        <f t="shared" si="1"/>
        <v>119.41500000000001</v>
      </c>
      <c r="U78" s="8">
        <v>6</v>
      </c>
    </row>
    <row r="79" spans="2:21" ht="18" customHeight="1" x14ac:dyDescent="0.2">
      <c r="B79" s="10">
        <f>garage!B79</f>
        <v>79</v>
      </c>
      <c r="C79" s="10">
        <f>garage!C79</f>
        <v>3</v>
      </c>
      <c r="D79" s="10">
        <f>garage!D79</f>
        <v>7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garage!J79</f>
        <v>N</v>
      </c>
      <c r="K79" s="10" t="str">
        <f>garage!K79</f>
        <v>B</v>
      </c>
      <c r="L79" s="11" t="str">
        <f>garage!L79</f>
        <v>Ford</v>
      </c>
      <c r="M79" s="11" t="str">
        <f>garage!M79</f>
        <v>GT</v>
      </c>
      <c r="O79" s="46">
        <v>348</v>
      </c>
      <c r="P79" s="46">
        <v>70.3</v>
      </c>
      <c r="Q79" s="46">
        <v>29.92</v>
      </c>
      <c r="R79" s="46">
        <v>38.29</v>
      </c>
      <c r="S79" s="48">
        <f t="shared" si="1"/>
        <v>121.62750000000001</v>
      </c>
      <c r="U79" s="10">
        <v>7</v>
      </c>
    </row>
    <row r="80" spans="2:21" ht="18" customHeight="1" x14ac:dyDescent="0.2">
      <c r="B80" s="8">
        <f>garage!B80</f>
        <v>80</v>
      </c>
      <c r="C80" s="8">
        <f>garage!C80</f>
        <v>3</v>
      </c>
      <c r="D80" s="8">
        <f>garage!D80</f>
        <v>8</v>
      </c>
      <c r="E80" s="8">
        <f>garage!E80</f>
        <v>0</v>
      </c>
      <c r="F80" s="8" t="str">
        <f>garage!F80</f>
        <v>L</v>
      </c>
      <c r="G80" s="8" t="str">
        <f>garage!G80</f>
        <v>O</v>
      </c>
      <c r="H80" s="8" t="str">
        <f>garage!H80</f>
        <v>O</v>
      </c>
      <c r="I80" s="8" t="str">
        <f>garage!I80</f>
        <v>N</v>
      </c>
      <c r="J80" s="8" t="str">
        <f>garage!J80</f>
        <v>N</v>
      </c>
      <c r="K80" s="8" t="str">
        <f>garage!K80</f>
        <v>B</v>
      </c>
      <c r="L80" s="9" t="str">
        <f>garage!L80</f>
        <v>Lamborghini</v>
      </c>
      <c r="M80" s="9" t="str">
        <f>garage!M80</f>
        <v>Asterion</v>
      </c>
      <c r="O80" s="45">
        <v>320</v>
      </c>
      <c r="P80" s="45">
        <v>73</v>
      </c>
      <c r="Q80" s="45">
        <v>37.51</v>
      </c>
      <c r="R80" s="45">
        <v>58.07</v>
      </c>
      <c r="S80" s="47">
        <f t="shared" si="1"/>
        <v>122.145</v>
      </c>
      <c r="U80" s="8">
        <v>8</v>
      </c>
    </row>
    <row r="81" spans="2:21" ht="18" customHeight="1" x14ac:dyDescent="0.2">
      <c r="B81" s="10">
        <f>garage!B81</f>
        <v>81</v>
      </c>
      <c r="C81" s="10">
        <f>garage!C81</f>
        <v>3</v>
      </c>
      <c r="D81" s="10">
        <f>garage!D81</f>
        <v>9</v>
      </c>
      <c r="E81" s="10">
        <f>garage!E81</f>
        <v>18</v>
      </c>
      <c r="F81" s="10" t="str">
        <f>garage!F81</f>
        <v>F</v>
      </c>
      <c r="G81" s="10" t="str">
        <f>garage!G81</f>
        <v>O</v>
      </c>
      <c r="H81" s="10" t="str">
        <f>garage!H81</f>
        <v>O</v>
      </c>
      <c r="I81" s="10" t="str">
        <f>garage!I81</f>
        <v>N</v>
      </c>
      <c r="J81" s="10" t="str">
        <f>garage!J81</f>
        <v>N</v>
      </c>
      <c r="K81" s="10" t="str">
        <f>garage!K81</f>
        <v>B</v>
      </c>
      <c r="L81" s="11" t="str">
        <f>garage!L81</f>
        <v>Ferrari</v>
      </c>
      <c r="M81" s="11" t="str">
        <f>garage!M81</f>
        <v>Roma</v>
      </c>
      <c r="O81" s="46">
        <v>320</v>
      </c>
      <c r="P81" s="46">
        <v>69.400000000000006</v>
      </c>
      <c r="Q81" s="46">
        <v>46.11</v>
      </c>
      <c r="R81" s="46">
        <v>51.38</v>
      </c>
      <c r="S81" s="48">
        <f t="shared" si="1"/>
        <v>121.7225</v>
      </c>
      <c r="U81" s="10">
        <v>9</v>
      </c>
    </row>
    <row r="82" spans="2:21" ht="18" customHeight="1" x14ac:dyDescent="0.2">
      <c r="B82" s="8">
        <f>garage!B82</f>
        <v>82</v>
      </c>
      <c r="C82" s="8">
        <f>garage!C82</f>
        <v>3</v>
      </c>
      <c r="D82" s="8">
        <f>garage!D82</f>
        <v>10</v>
      </c>
      <c r="E82" s="8">
        <f>garage!E82</f>
        <v>22</v>
      </c>
      <c r="F82" s="8" t="str">
        <f>garage!F82</f>
        <v>--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garage!J82</f>
        <v>N</v>
      </c>
      <c r="K82" s="8" t="str">
        <f>garage!K82</f>
        <v>B</v>
      </c>
      <c r="L82" s="9" t="str">
        <f>garage!L82</f>
        <v>Arash</v>
      </c>
      <c r="M82" s="9" t="str">
        <f>garage!M82</f>
        <v>AF10</v>
      </c>
      <c r="O82" s="45">
        <v>323</v>
      </c>
      <c r="P82" s="45">
        <v>73.900000000000006</v>
      </c>
      <c r="Q82" s="45">
        <v>39.200000000000003</v>
      </c>
      <c r="R82" s="45">
        <v>44.1</v>
      </c>
      <c r="S82" s="47">
        <f t="shared" si="1"/>
        <v>120.05</v>
      </c>
      <c r="U82" s="8">
        <v>10</v>
      </c>
    </row>
    <row r="83" spans="2:21" ht="18" customHeight="1" x14ac:dyDescent="0.2">
      <c r="B83" s="10">
        <f>garage!B83</f>
        <v>83</v>
      </c>
      <c r="C83" s="10">
        <f>garage!C83</f>
        <v>3</v>
      </c>
      <c r="D83" s="10">
        <f>garage!D83</f>
        <v>11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garage!J83</f>
        <v>N</v>
      </c>
      <c r="K83" s="10" t="str">
        <f>garage!K83</f>
        <v>B</v>
      </c>
      <c r="L83" s="11" t="str">
        <f>garage!L83</f>
        <v>Cadillac</v>
      </c>
      <c r="M83" s="11" t="str">
        <f>garage!M83</f>
        <v>Cien Concept</v>
      </c>
      <c r="O83" s="46">
        <v>350</v>
      </c>
      <c r="P83" s="46">
        <v>68.5</v>
      </c>
      <c r="Q83" s="46">
        <v>30.04</v>
      </c>
      <c r="R83" s="46">
        <v>50.68</v>
      </c>
      <c r="S83" s="48">
        <f t="shared" si="1"/>
        <v>124.80500000000001</v>
      </c>
      <c r="U83" s="10">
        <v>11</v>
      </c>
    </row>
    <row r="84" spans="2:21" ht="18" customHeight="1" x14ac:dyDescent="0.2">
      <c r="B84" s="8">
        <f>garage!B84</f>
        <v>84</v>
      </c>
      <c r="C84" s="8">
        <f>garage!C84</f>
        <v>3</v>
      </c>
      <c r="D84" s="8">
        <f>garage!D84</f>
        <v>12</v>
      </c>
      <c r="E84" s="8">
        <f>garage!E84</f>
        <v>13</v>
      </c>
      <c r="F84" s="8" t="str">
        <f>garage!F84</f>
        <v>--</v>
      </c>
      <c r="G84" s="8" t="str">
        <f>garage!G84</f>
        <v>O</v>
      </c>
      <c r="H84" s="8" t="str">
        <f>garage!H84</f>
        <v>N</v>
      </c>
      <c r="I84" s="8" t="str">
        <f>garage!I84</f>
        <v>N</v>
      </c>
      <c r="J84" s="8" t="str">
        <f>garage!J84</f>
        <v>N</v>
      </c>
      <c r="K84" s="8" t="str">
        <f>garage!K84</f>
        <v>B</v>
      </c>
      <c r="L84" s="9" t="str">
        <f>garage!L84</f>
        <v>Ford</v>
      </c>
      <c r="M84" s="9" t="str">
        <f>garage!M84</f>
        <v>GT MK II</v>
      </c>
      <c r="O84" s="45">
        <v>300</v>
      </c>
      <c r="P84" s="45">
        <v>76.599999999999994</v>
      </c>
      <c r="Q84" s="45">
        <v>57.8</v>
      </c>
      <c r="R84" s="45">
        <v>49.12</v>
      </c>
      <c r="S84" s="47">
        <f t="shared" si="1"/>
        <v>120.88000000000001</v>
      </c>
      <c r="U84" s="8">
        <v>12</v>
      </c>
    </row>
    <row r="85" spans="2:21" ht="18" customHeight="1" x14ac:dyDescent="0.2">
      <c r="B85" s="10">
        <f>garage!B85</f>
        <v>85</v>
      </c>
      <c r="C85" s="10">
        <f>garage!C85</f>
        <v>3</v>
      </c>
      <c r="D85" s="10">
        <f>garage!D85</f>
        <v>13</v>
      </c>
      <c r="E85" s="10">
        <f>garage!E85</f>
        <v>0</v>
      </c>
      <c r="F85" s="10" t="str">
        <f>garage!F85</f>
        <v>--</v>
      </c>
      <c r="G85" s="10" t="str">
        <f>garage!G85</f>
        <v>O</v>
      </c>
      <c r="H85" s="10" t="str">
        <f>garage!H85</f>
        <v>O</v>
      </c>
      <c r="I85" s="10" t="str">
        <f>garage!I85</f>
        <v>O</v>
      </c>
      <c r="J85" s="10" t="str">
        <f>garage!J85</f>
        <v>N</v>
      </c>
      <c r="K85" s="10" t="str">
        <f>garage!K85</f>
        <v>B</v>
      </c>
      <c r="L85" s="11" t="str">
        <f>garage!L85</f>
        <v>Italdesign</v>
      </c>
      <c r="M85" s="11" t="str">
        <f>garage!M85</f>
        <v>Zerouno</v>
      </c>
      <c r="O85" s="46">
        <v>330</v>
      </c>
      <c r="P85" s="46">
        <v>71.2</v>
      </c>
      <c r="Q85" s="46">
        <v>47.13</v>
      </c>
      <c r="R85" s="46">
        <v>38.82</v>
      </c>
      <c r="S85" s="48">
        <f t="shared" si="1"/>
        <v>121.78749999999999</v>
      </c>
      <c r="U85" s="10">
        <v>13</v>
      </c>
    </row>
    <row r="86" spans="2:21" ht="18" customHeight="1" x14ac:dyDescent="0.2">
      <c r="B86" s="8">
        <f>garage!B86</f>
        <v>86</v>
      </c>
      <c r="C86" s="8">
        <f>garage!C86</f>
        <v>3</v>
      </c>
      <c r="D86" s="8">
        <f>garage!D86</f>
        <v>14</v>
      </c>
      <c r="E86" s="8">
        <f>garage!E86</f>
        <v>24</v>
      </c>
      <c r="F86" s="8" t="str">
        <f>garage!F86</f>
        <v>--</v>
      </c>
      <c r="G86" s="8" t="str">
        <f>garage!G86</f>
        <v>N</v>
      </c>
      <c r="H86" s="8" t="str">
        <f>garage!H86</f>
        <v>N</v>
      </c>
      <c r="I86" s="8" t="str">
        <f>garage!I86</f>
        <v>N</v>
      </c>
      <c r="J86" s="8" t="str">
        <f>garage!J86</f>
        <v>O</v>
      </c>
      <c r="K86" s="8" t="str">
        <f>garage!K86</f>
        <v>B</v>
      </c>
      <c r="L86" s="9" t="str">
        <f>garage!L86</f>
        <v>Arash</v>
      </c>
      <c r="M86" s="9" t="str">
        <f>garage!M86</f>
        <v>AF8 Falcon Edition</v>
      </c>
      <c r="O86" s="45">
        <v>321</v>
      </c>
      <c r="P86" s="45">
        <v>70.03</v>
      </c>
      <c r="Q86" s="45">
        <v>53.41</v>
      </c>
      <c r="R86" s="45">
        <v>62.99</v>
      </c>
      <c r="S86" s="47">
        <f t="shared" si="1"/>
        <v>126.85749999999999</v>
      </c>
      <c r="U86" s="8">
        <v>14</v>
      </c>
    </row>
    <row r="87" spans="2:21" ht="18" customHeight="1" x14ac:dyDescent="0.2">
      <c r="B87" s="10">
        <f>garage!B87</f>
        <v>87</v>
      </c>
      <c r="C87" s="10">
        <f>garage!C87</f>
        <v>3</v>
      </c>
      <c r="D87" s="10">
        <f>garage!D87</f>
        <v>15</v>
      </c>
      <c r="E87" s="10">
        <f>garage!E87</f>
        <v>0</v>
      </c>
      <c r="F87" s="10" t="str">
        <f>garage!F87</f>
        <v>F</v>
      </c>
      <c r="G87" s="10" t="str">
        <f>garage!G87</f>
        <v>O</v>
      </c>
      <c r="H87" s="10" t="str">
        <f>garage!H87</f>
        <v>O</v>
      </c>
      <c r="I87" s="10" t="str">
        <f>garage!I87</f>
        <v>O</v>
      </c>
      <c r="J87" s="10" t="str">
        <f>garage!J87</f>
        <v>N</v>
      </c>
      <c r="K87" s="10" t="str">
        <f>garage!K87</f>
        <v>B</v>
      </c>
      <c r="L87" s="11" t="str">
        <f>garage!L87</f>
        <v>Ferrari</v>
      </c>
      <c r="M87" s="11" t="str">
        <f>garage!M87</f>
        <v>488 GTB</v>
      </c>
      <c r="O87" s="46">
        <v>330</v>
      </c>
      <c r="P87" s="46">
        <v>73</v>
      </c>
      <c r="Q87" s="46">
        <v>41.99</v>
      </c>
      <c r="R87" s="46">
        <v>56.41</v>
      </c>
      <c r="S87" s="48">
        <f t="shared" si="1"/>
        <v>125.35</v>
      </c>
      <c r="U87" s="10">
        <v>15</v>
      </c>
    </row>
    <row r="88" spans="2:21" ht="18" customHeight="1" x14ac:dyDescent="0.2">
      <c r="B88" s="8">
        <f>garage!B88</f>
        <v>88</v>
      </c>
      <c r="C88" s="8">
        <f>garage!C88</f>
        <v>3</v>
      </c>
      <c r="D88" s="8">
        <f>garage!D88</f>
        <v>16</v>
      </c>
      <c r="E88" s="8">
        <f>garage!E88</f>
        <v>30</v>
      </c>
      <c r="F88" s="8" t="str">
        <f>garage!F88</f>
        <v>--</v>
      </c>
      <c r="G88" s="8" t="str">
        <f>garage!G88</f>
        <v>N</v>
      </c>
      <c r="H88" s="8" t="str">
        <f>garage!H88</f>
        <v>O</v>
      </c>
      <c r="I88" s="8" t="str">
        <f>garage!I88</f>
        <v>N</v>
      </c>
      <c r="J88" s="8" t="str">
        <f>garage!J88</f>
        <v>N</v>
      </c>
      <c r="K88" s="8" t="str">
        <f>garage!K88</f>
        <v>B</v>
      </c>
      <c r="L88" s="9" t="str">
        <f>garage!L88</f>
        <v>Kepler</v>
      </c>
      <c r="M88" s="9" t="str">
        <f>garage!M88</f>
        <v>Motion</v>
      </c>
      <c r="O88" s="45">
        <v>322</v>
      </c>
      <c r="P88" s="45">
        <v>78.400000000000006</v>
      </c>
      <c r="Q88" s="45">
        <v>40.549999999999997</v>
      </c>
      <c r="R88" s="45">
        <v>40.07</v>
      </c>
      <c r="S88" s="47">
        <f t="shared" si="1"/>
        <v>120.255</v>
      </c>
      <c r="U88" s="8">
        <v>16</v>
      </c>
    </row>
    <row r="89" spans="2:21" ht="18" customHeight="1" x14ac:dyDescent="0.2">
      <c r="B89" s="10">
        <f>garage!B89</f>
        <v>89</v>
      </c>
      <c r="C89" s="10">
        <f>garage!C89</f>
        <v>3</v>
      </c>
      <c r="D89" s="10">
        <f>garage!D89</f>
        <v>17</v>
      </c>
      <c r="E89" s="10">
        <f>garage!E89</f>
        <v>21</v>
      </c>
      <c r="F89" s="10" t="str">
        <f>garage!F89</f>
        <v>--</v>
      </c>
      <c r="G89" s="10" t="str">
        <f>garage!G89</f>
        <v>O</v>
      </c>
      <c r="H89" s="10" t="str">
        <f>garage!H89</f>
        <v>N</v>
      </c>
      <c r="I89" s="10" t="str">
        <f>garage!I89</f>
        <v>N</v>
      </c>
      <c r="J89" s="10" t="str">
        <f>garage!J89</f>
        <v>O</v>
      </c>
      <c r="K89" s="10" t="str">
        <f>garage!K89</f>
        <v>B</v>
      </c>
      <c r="L89" s="11" t="str">
        <f>garage!L89</f>
        <v>Drako</v>
      </c>
      <c r="M89" s="11" t="str">
        <f>garage!M89</f>
        <v>GTE</v>
      </c>
      <c r="O89" s="46">
        <v>332</v>
      </c>
      <c r="P89" s="46">
        <v>73</v>
      </c>
      <c r="Q89" s="46">
        <v>39.97</v>
      </c>
      <c r="R89" s="46">
        <v>48.8</v>
      </c>
      <c r="S89" s="48">
        <f t="shared" si="1"/>
        <v>123.44250000000001</v>
      </c>
      <c r="U89" s="10">
        <v>17</v>
      </c>
    </row>
    <row r="90" spans="2:21" ht="18" customHeight="1" x14ac:dyDescent="0.2">
      <c r="B90" s="8">
        <f>garage!B90</f>
        <v>90</v>
      </c>
      <c r="C90" s="8">
        <f>garage!C90</f>
        <v>3</v>
      </c>
      <c r="D90" s="8">
        <f>garage!D90</f>
        <v>18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garage!J90</f>
        <v>N</v>
      </c>
      <c r="K90" s="8" t="str">
        <f>garage!K90</f>
        <v>B</v>
      </c>
      <c r="L90" s="9" t="str">
        <f>garage!L90</f>
        <v>Glickhaus</v>
      </c>
      <c r="M90" s="9" t="str">
        <f>garage!M90</f>
        <v>003S</v>
      </c>
      <c r="O90" s="45">
        <v>350</v>
      </c>
      <c r="P90" s="45">
        <v>73</v>
      </c>
      <c r="Q90" s="45">
        <v>32.33</v>
      </c>
      <c r="R90" s="45">
        <v>50.68</v>
      </c>
      <c r="S90" s="47">
        <f t="shared" si="1"/>
        <v>126.5025</v>
      </c>
      <c r="U90" s="8">
        <v>18</v>
      </c>
    </row>
    <row r="91" spans="2:21" ht="18" customHeight="1" x14ac:dyDescent="0.2">
      <c r="B91" s="10">
        <f>garage!B91</f>
        <v>91</v>
      </c>
      <c r="C91" s="10">
        <f>garage!C91</f>
        <v>3</v>
      </c>
      <c r="D91" s="10">
        <f>garage!D91</f>
        <v>19</v>
      </c>
      <c r="E91" s="10">
        <f>garage!E91</f>
        <v>20</v>
      </c>
      <c r="F91" s="10" t="str">
        <f>garage!F91</f>
        <v>M</v>
      </c>
      <c r="G91" s="10" t="str">
        <f>garage!G91</f>
        <v>O</v>
      </c>
      <c r="H91" s="10" t="str">
        <f>garage!H91</f>
        <v>N</v>
      </c>
      <c r="I91" s="10" t="str">
        <f>garage!I91</f>
        <v>N</v>
      </c>
      <c r="J91" s="10" t="str">
        <f>garage!J91</f>
        <v>N</v>
      </c>
      <c r="K91" s="10" t="str">
        <f>garage!K91</f>
        <v>B</v>
      </c>
      <c r="L91" s="11" t="str">
        <f>garage!L91</f>
        <v>McLaren</v>
      </c>
      <c r="M91" s="11" t="str">
        <f>garage!M91</f>
        <v>Elva</v>
      </c>
      <c r="O91" s="46">
        <v>326</v>
      </c>
      <c r="P91" s="46">
        <v>74.8</v>
      </c>
      <c r="Q91" s="46">
        <v>50.36</v>
      </c>
      <c r="R91" s="46">
        <v>49.15</v>
      </c>
      <c r="S91" s="48">
        <f t="shared" si="1"/>
        <v>125.0775</v>
      </c>
      <c r="U91" s="10">
        <v>19</v>
      </c>
    </row>
    <row r="92" spans="2:21" ht="18" customHeight="1" x14ac:dyDescent="0.2">
      <c r="B92" s="8">
        <f>garage!B92</f>
        <v>92</v>
      </c>
      <c r="C92" s="8">
        <f>garage!C92</f>
        <v>3</v>
      </c>
      <c r="D92" s="8">
        <f>garage!D92</f>
        <v>20</v>
      </c>
      <c r="E92" s="8">
        <f>garage!E92</f>
        <v>27</v>
      </c>
      <c r="F92" s="8" t="str">
        <f>garage!F92</f>
        <v>--</v>
      </c>
      <c r="G92" s="8" t="str">
        <f>garage!G92</f>
        <v>O</v>
      </c>
      <c r="H92" s="8" t="str">
        <f>garage!H92</f>
        <v>N</v>
      </c>
      <c r="I92" s="8" t="str">
        <f>garage!I92</f>
        <v>N</v>
      </c>
      <c r="J92" s="8" t="str">
        <f>garage!J92</f>
        <v>N</v>
      </c>
      <c r="K92" s="8" t="str">
        <f>garage!K92</f>
        <v>B</v>
      </c>
      <c r="L92" s="9" t="str">
        <f>garage!L92</f>
        <v>Nissan</v>
      </c>
      <c r="M92" s="9" t="str">
        <f>garage!M92</f>
        <v>R390 GT1</v>
      </c>
      <c r="O92" s="45">
        <v>354</v>
      </c>
      <c r="P92" s="45">
        <v>69.400000000000006</v>
      </c>
      <c r="Q92" s="45">
        <v>45.71</v>
      </c>
      <c r="R92" s="45">
        <v>34.659999999999997</v>
      </c>
      <c r="S92" s="47">
        <f t="shared" si="1"/>
        <v>125.9425</v>
      </c>
      <c r="U92" s="8">
        <v>20</v>
      </c>
    </row>
    <row r="93" spans="2:21" ht="18" customHeight="1" x14ac:dyDescent="0.2">
      <c r="B93" s="10">
        <f>garage!B93</f>
        <v>93</v>
      </c>
      <c r="C93" s="10">
        <f>garage!C93</f>
        <v>3</v>
      </c>
      <c r="D93" s="10">
        <f>garage!D93</f>
        <v>21</v>
      </c>
      <c r="E93" s="10">
        <f>garage!E93</f>
        <v>0</v>
      </c>
      <c r="F93" s="10" t="str">
        <f>garage!F93</f>
        <v>F</v>
      </c>
      <c r="G93" s="10" t="str">
        <f>garage!G93</f>
        <v>O</v>
      </c>
      <c r="H93" s="10" t="str">
        <f>garage!H93</f>
        <v>O</v>
      </c>
      <c r="I93" s="10" t="str">
        <f>garage!I93</f>
        <v>O</v>
      </c>
      <c r="J93" s="10" t="str">
        <f>garage!J93</f>
        <v>N</v>
      </c>
      <c r="K93" s="10" t="str">
        <f>garage!K93</f>
        <v>B</v>
      </c>
      <c r="L93" s="11" t="str">
        <f>garage!L93</f>
        <v>Ferrari</v>
      </c>
      <c r="M93" s="11" t="str">
        <f>garage!M93</f>
        <v>F12TDF</v>
      </c>
      <c r="O93" s="46">
        <v>340</v>
      </c>
      <c r="P93" s="46">
        <v>73.900000000000006</v>
      </c>
      <c r="Q93" s="46">
        <v>31.67</v>
      </c>
      <c r="R93" s="46">
        <v>69.61</v>
      </c>
      <c r="S93" s="48">
        <f t="shared" si="1"/>
        <v>128.79499999999999</v>
      </c>
      <c r="U93" s="10">
        <v>21</v>
      </c>
    </row>
    <row r="94" spans="2:21" ht="18" customHeight="1" x14ac:dyDescent="0.2">
      <c r="B94" s="8">
        <f>garage!B94</f>
        <v>94</v>
      </c>
      <c r="C94" s="8">
        <f>garage!C94</f>
        <v>3</v>
      </c>
      <c r="D94" s="8">
        <f>garage!D94</f>
        <v>22</v>
      </c>
      <c r="E94" s="8">
        <f>garage!E94</f>
        <v>18</v>
      </c>
      <c r="F94" s="8" t="str">
        <f>garage!F94</f>
        <v>L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garage!J94</f>
        <v>N</v>
      </c>
      <c r="K94" s="8" t="str">
        <f>garage!K94</f>
        <v>B</v>
      </c>
      <c r="L94" s="9" t="str">
        <f>garage!L94</f>
        <v>Lamborghini</v>
      </c>
      <c r="M94" s="9" t="str">
        <f>garage!M94</f>
        <v>Murcielago LP 640 Roadster</v>
      </c>
      <c r="O94" s="45">
        <v>342</v>
      </c>
      <c r="P94" s="45">
        <v>69.400000000000006</v>
      </c>
      <c r="Q94" s="45">
        <v>49.88</v>
      </c>
      <c r="R94" s="45">
        <v>37.840000000000003</v>
      </c>
      <c r="S94" s="47">
        <f t="shared" si="1"/>
        <v>124.78</v>
      </c>
      <c r="U94" s="8">
        <v>22</v>
      </c>
    </row>
    <row r="95" spans="2:21" ht="18" customHeight="1" x14ac:dyDescent="0.2">
      <c r="B95" s="10">
        <f>garage!B95</f>
        <v>95</v>
      </c>
      <c r="C95" s="10">
        <f>garage!C95</f>
        <v>3</v>
      </c>
      <c r="D95" s="10">
        <f>garage!D95</f>
        <v>23</v>
      </c>
      <c r="E95" s="10">
        <f>garage!E95</f>
        <v>26</v>
      </c>
      <c r="F95" s="10" t="str">
        <f>garage!F95</f>
        <v>M</v>
      </c>
      <c r="G95" s="10" t="str">
        <f>garage!G95</f>
        <v>O</v>
      </c>
      <c r="H95" s="10" t="str">
        <f>garage!H95</f>
        <v>N</v>
      </c>
      <c r="I95" s="10" t="str">
        <f>garage!I95</f>
        <v>N</v>
      </c>
      <c r="J95" s="10" t="str">
        <f>garage!J95</f>
        <v>N</v>
      </c>
      <c r="K95" s="10" t="str">
        <f>garage!K95</f>
        <v>B</v>
      </c>
      <c r="L95" s="11" t="str">
        <f>garage!L95</f>
        <v>McLaren</v>
      </c>
      <c r="M95" s="11" t="str">
        <f>garage!M95</f>
        <v>765LT</v>
      </c>
      <c r="O95" s="46">
        <v>330</v>
      </c>
      <c r="P95" s="46">
        <v>74.8</v>
      </c>
      <c r="Q95" s="46">
        <v>54.46</v>
      </c>
      <c r="R95" s="46">
        <v>34.909999999999997</v>
      </c>
      <c r="S95" s="48">
        <f t="shared" si="1"/>
        <v>123.54249999999999</v>
      </c>
      <c r="U95" s="10">
        <v>23</v>
      </c>
    </row>
    <row r="96" spans="2:21" ht="18" customHeight="1" x14ac:dyDescent="0.2">
      <c r="B96" s="8">
        <f>garage!B96</f>
        <v>96</v>
      </c>
      <c r="C96" s="8">
        <f>garage!C96</f>
        <v>3</v>
      </c>
      <c r="D96" s="8">
        <f>garage!D96</f>
        <v>24</v>
      </c>
      <c r="E96" s="8">
        <f>garage!E96</f>
        <v>0</v>
      </c>
      <c r="F96" s="8" t="str">
        <f>garage!F96</f>
        <v>C</v>
      </c>
      <c r="G96" s="8" t="str">
        <f>garage!G96</f>
        <v>O</v>
      </c>
      <c r="H96" s="8" t="str">
        <f>garage!H96</f>
        <v>O</v>
      </c>
      <c r="I96" s="8" t="str">
        <f>garage!I96</f>
        <v>O</v>
      </c>
      <c r="J96" s="8" t="str">
        <f>garage!J96</f>
        <v>N</v>
      </c>
      <c r="K96" s="8" t="str">
        <f>garage!K96</f>
        <v>B</v>
      </c>
      <c r="L96" s="9" t="str">
        <f>garage!L96</f>
        <v>Chevrolet</v>
      </c>
      <c r="M96" s="9" t="str">
        <f>garage!M96</f>
        <v>Corvette Grand Sport</v>
      </c>
      <c r="O96" s="45">
        <v>314</v>
      </c>
      <c r="P96" s="45">
        <v>67.599999999999994</v>
      </c>
      <c r="Q96" s="45">
        <v>70.28</v>
      </c>
      <c r="R96" s="45">
        <v>66.739999999999995</v>
      </c>
      <c r="S96" s="47">
        <f t="shared" si="1"/>
        <v>129.655</v>
      </c>
      <c r="U96" s="8">
        <v>24</v>
      </c>
    </row>
    <row r="97" spans="2:21" ht="18" customHeight="1" x14ac:dyDescent="0.2">
      <c r="B97" s="10">
        <f>garage!B97</f>
        <v>97</v>
      </c>
      <c r="C97" s="10">
        <f>garage!C97</f>
        <v>3</v>
      </c>
      <c r="D97" s="10">
        <f>garage!D97</f>
        <v>25</v>
      </c>
      <c r="E97" s="10">
        <f>garage!E97</f>
        <v>7</v>
      </c>
      <c r="F97" s="10" t="str">
        <f>garage!F97</f>
        <v>AM</v>
      </c>
      <c r="G97" s="10" t="str">
        <f>garage!G97</f>
        <v>O</v>
      </c>
      <c r="H97" s="10" t="str">
        <f>garage!H97</f>
        <v>O</v>
      </c>
      <c r="I97" s="10" t="str">
        <f>garage!I97</f>
        <v>O</v>
      </c>
      <c r="J97" s="10" t="str">
        <f>garage!J97</f>
        <v>N</v>
      </c>
      <c r="K97" s="10" t="str">
        <f>garage!K97</f>
        <v>B</v>
      </c>
      <c r="L97" s="11" t="str">
        <f>garage!L97</f>
        <v>Aston Martin</v>
      </c>
      <c r="M97" s="11" t="str">
        <f>garage!M97</f>
        <v>Vantage GT12</v>
      </c>
      <c r="O97" s="46">
        <v>322</v>
      </c>
      <c r="P97" s="46">
        <v>68.5</v>
      </c>
      <c r="Q97" s="46">
        <v>64.33</v>
      </c>
      <c r="R97" s="46">
        <v>61.21</v>
      </c>
      <c r="S97" s="48">
        <f t="shared" si="1"/>
        <v>129.01</v>
      </c>
      <c r="U97" s="10">
        <v>25</v>
      </c>
    </row>
    <row r="98" spans="2:21" ht="18" customHeight="1" x14ac:dyDescent="0.2">
      <c r="B98" s="8">
        <f>garage!B98</f>
        <v>98</v>
      </c>
      <c r="C98" s="8">
        <f>garage!C98</f>
        <v>3</v>
      </c>
      <c r="D98" s="8">
        <f>garage!D98</f>
        <v>26</v>
      </c>
      <c r="E98" s="8">
        <f>garage!E98</f>
        <v>14</v>
      </c>
      <c r="F98" s="8" t="str">
        <f>garage!F98</f>
        <v>--</v>
      </c>
      <c r="G98" s="8" t="str">
        <f>garage!G98</f>
        <v>O</v>
      </c>
      <c r="H98" s="8" t="str">
        <f>garage!H98</f>
        <v>O</v>
      </c>
      <c r="I98" s="8" t="str">
        <f>garage!I98</f>
        <v>N</v>
      </c>
      <c r="J98" s="8" t="str">
        <f>garage!J98</f>
        <v>N</v>
      </c>
      <c r="K98" s="8" t="str">
        <f>garage!K98</f>
        <v>B</v>
      </c>
      <c r="L98" s="9" t="str">
        <f>garage!L98</f>
        <v>Apex</v>
      </c>
      <c r="M98" s="9" t="str">
        <f>garage!M98</f>
        <v>AP-0</v>
      </c>
      <c r="O98" s="45">
        <v>320</v>
      </c>
      <c r="P98" s="45">
        <v>71.2</v>
      </c>
      <c r="Q98" s="45">
        <v>60.46</v>
      </c>
      <c r="R98" s="45">
        <v>57.11</v>
      </c>
      <c r="S98" s="47">
        <f t="shared" si="1"/>
        <v>127.1925</v>
      </c>
      <c r="U98" s="8">
        <v>26</v>
      </c>
    </row>
    <row r="99" spans="2:21" ht="18" customHeight="1" x14ac:dyDescent="0.2">
      <c r="B99" s="10">
        <f>garage!B99</f>
        <v>99</v>
      </c>
      <c r="C99" s="10">
        <f>garage!C99</f>
        <v>3</v>
      </c>
      <c r="D99" s="10">
        <f>garage!D99</f>
        <v>27</v>
      </c>
      <c r="E99" s="10">
        <f>garage!E99</f>
        <v>16</v>
      </c>
      <c r="F99" s="10" t="str">
        <f>garage!F99</f>
        <v>--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garage!J99</f>
        <v>N</v>
      </c>
      <c r="K99" s="10" t="str">
        <f>garage!K99</f>
        <v>B</v>
      </c>
      <c r="L99" s="11" t="str">
        <f>garage!L99</f>
        <v>Apollo</v>
      </c>
      <c r="M99" s="11" t="str">
        <f>garage!M99</f>
        <v>IE</v>
      </c>
      <c r="O99" s="46">
        <v>335</v>
      </c>
      <c r="P99" s="46">
        <v>75.7</v>
      </c>
      <c r="Q99" s="46">
        <v>47.64</v>
      </c>
      <c r="R99" s="46">
        <v>51.09</v>
      </c>
      <c r="S99" s="48">
        <f t="shared" si="1"/>
        <v>127.35749999999999</v>
      </c>
      <c r="U99" s="10">
        <v>27</v>
      </c>
    </row>
    <row r="100" spans="2:21" ht="18" customHeight="1" x14ac:dyDescent="0.2">
      <c r="B100" s="8">
        <f>garage!B100</f>
        <v>100</v>
      </c>
      <c r="C100" s="8">
        <f>garage!C100</f>
        <v>3</v>
      </c>
      <c r="D100" s="8">
        <f>garage!D100</f>
        <v>28</v>
      </c>
      <c r="E100" s="8">
        <f>garage!E100</f>
        <v>0</v>
      </c>
      <c r="F100" s="8" t="str">
        <f>garage!F100</f>
        <v>--</v>
      </c>
      <c r="G100" s="8" t="str">
        <f>garage!G100</f>
        <v>O</v>
      </c>
      <c r="H100" s="8" t="str">
        <f>garage!H100</f>
        <v>O</v>
      </c>
      <c r="I100" s="8" t="str">
        <f>garage!I100</f>
        <v>O</v>
      </c>
      <c r="J100" s="8" t="str">
        <f>garage!J100</f>
        <v>N</v>
      </c>
      <c r="K100" s="8" t="str">
        <f>garage!K100</f>
        <v>B</v>
      </c>
      <c r="L100" s="9" t="str">
        <f>garage!L100</f>
        <v>Sin</v>
      </c>
      <c r="M100" s="9" t="str">
        <f>garage!M100</f>
        <v>R1 550</v>
      </c>
      <c r="O100" s="45">
        <v>350</v>
      </c>
      <c r="P100" s="45">
        <v>68.5</v>
      </c>
      <c r="Q100" s="45">
        <v>36.92</v>
      </c>
      <c r="R100" s="45">
        <v>63.94</v>
      </c>
      <c r="S100" s="47">
        <f t="shared" si="1"/>
        <v>129.84</v>
      </c>
      <c r="U100" s="8">
        <v>28</v>
      </c>
    </row>
    <row r="101" spans="2:21" ht="18" customHeight="1" x14ac:dyDescent="0.2">
      <c r="B101" s="10">
        <f>garage!B101</f>
        <v>101</v>
      </c>
      <c r="C101" s="10">
        <f>garage!C101</f>
        <v>3</v>
      </c>
      <c r="D101" s="10">
        <f>garage!D101</f>
        <v>29</v>
      </c>
      <c r="E101" s="10">
        <f>garage!E101</f>
        <v>25</v>
      </c>
      <c r="F101" s="10" t="str">
        <f>garage!F101</f>
        <v>L</v>
      </c>
      <c r="G101" s="10" t="str">
        <f>garage!G101</f>
        <v>O</v>
      </c>
      <c r="H101" s="10" t="str">
        <f>garage!H101</f>
        <v>N</v>
      </c>
      <c r="I101" s="10" t="str">
        <f>garage!I101</f>
        <v>N</v>
      </c>
      <c r="J101" s="10" t="str">
        <f>garage!J101</f>
        <v>N</v>
      </c>
      <c r="K101" s="10" t="str">
        <f>garage!K101</f>
        <v>B</v>
      </c>
      <c r="L101" s="11" t="str">
        <f>garage!L101</f>
        <v>Lamborghini</v>
      </c>
      <c r="M101" s="11" t="str">
        <f>garage!M101</f>
        <v>Reventón Roadster</v>
      </c>
      <c r="O101" s="46">
        <v>340</v>
      </c>
      <c r="P101" s="46">
        <v>69.400000000000006</v>
      </c>
      <c r="Q101" s="46">
        <v>51.14</v>
      </c>
      <c r="R101" s="46">
        <v>55.63</v>
      </c>
      <c r="S101" s="48">
        <f t="shared" si="1"/>
        <v>129.04249999999999</v>
      </c>
      <c r="U101" s="10">
        <v>29</v>
      </c>
    </row>
    <row r="102" spans="2:21" ht="18" customHeight="1" x14ac:dyDescent="0.2">
      <c r="B102" s="8">
        <f>garage!B102</f>
        <v>102</v>
      </c>
      <c r="C102" s="8">
        <f>garage!C102</f>
        <v>3</v>
      </c>
      <c r="D102" s="8">
        <f>garage!D102</f>
        <v>30</v>
      </c>
      <c r="E102" s="8">
        <f>garage!E102</f>
        <v>15</v>
      </c>
      <c r="F102" s="8" t="str">
        <f>garage!F102</f>
        <v>F</v>
      </c>
      <c r="G102" s="8" t="str">
        <f>garage!G102</f>
        <v>O</v>
      </c>
      <c r="H102" s="8" t="str">
        <f>garage!H102</f>
        <v>O</v>
      </c>
      <c r="I102" s="8" t="str">
        <f>garage!I102</f>
        <v>N</v>
      </c>
      <c r="J102" s="8" t="str">
        <f>garage!J102</f>
        <v>N</v>
      </c>
      <c r="K102" s="8" t="str">
        <f>garage!K102</f>
        <v>B</v>
      </c>
      <c r="L102" s="9" t="str">
        <f>garage!L102</f>
        <v>Ferrari</v>
      </c>
      <c r="M102" s="9" t="str">
        <f>garage!M102</f>
        <v>Enzo Ferrari</v>
      </c>
      <c r="O102" s="45">
        <v>350</v>
      </c>
      <c r="P102" s="45">
        <v>67.150000000000006</v>
      </c>
      <c r="Q102" s="45">
        <v>49.16</v>
      </c>
      <c r="R102" s="45">
        <v>60.88</v>
      </c>
      <c r="S102" s="47">
        <f t="shared" si="1"/>
        <v>131.79749999999999</v>
      </c>
      <c r="U102" s="8">
        <v>30</v>
      </c>
    </row>
    <row r="103" spans="2:21" ht="18" customHeight="1" x14ac:dyDescent="0.2">
      <c r="B103" s="10">
        <f>garage!B103</f>
        <v>103</v>
      </c>
      <c r="C103" s="10">
        <f>garage!C103</f>
        <v>3</v>
      </c>
      <c r="D103" s="10">
        <f>garage!D103</f>
        <v>31</v>
      </c>
      <c r="E103" s="10">
        <f>garage!E103</f>
        <v>23</v>
      </c>
      <c r="F103" s="10" t="str">
        <f>garage!F103</f>
        <v>AM</v>
      </c>
      <c r="G103" s="10" t="str">
        <f>garage!G103</f>
        <v>O</v>
      </c>
      <c r="H103" s="10" t="str">
        <f>garage!H103</f>
        <v>N</v>
      </c>
      <c r="I103" s="10" t="str">
        <f>garage!I103</f>
        <v>N</v>
      </c>
      <c r="J103" s="10" t="str">
        <f>garage!J103</f>
        <v>N</v>
      </c>
      <c r="K103" s="10" t="str">
        <f>garage!K103</f>
        <v>B</v>
      </c>
      <c r="L103" s="11" t="str">
        <f>garage!L103</f>
        <v>Aston Martin</v>
      </c>
      <c r="M103" s="11" t="str">
        <f>garage!M103</f>
        <v>One77</v>
      </c>
      <c r="O103" s="46">
        <v>345</v>
      </c>
      <c r="P103" s="46">
        <v>71.2</v>
      </c>
      <c r="Q103" s="46">
        <v>53.42</v>
      </c>
      <c r="R103" s="46">
        <v>38.770000000000003</v>
      </c>
      <c r="S103" s="48">
        <f t="shared" si="1"/>
        <v>127.0975</v>
      </c>
      <c r="U103" s="10">
        <v>31</v>
      </c>
    </row>
    <row r="104" spans="2:21" ht="18" customHeight="1" x14ac:dyDescent="0.2">
      <c r="B104" s="8">
        <f>garage!B104</f>
        <v>104</v>
      </c>
      <c r="C104" s="8">
        <f>garage!C104</f>
        <v>3</v>
      </c>
      <c r="D104" s="8">
        <f>garage!D104</f>
        <v>32</v>
      </c>
      <c r="E104" s="8">
        <f>garage!E104</f>
        <v>0</v>
      </c>
      <c r="F104" s="8" t="str">
        <f>garage!F104</f>
        <v>--</v>
      </c>
      <c r="G104" s="8" t="str">
        <f>garage!G104</f>
        <v>O</v>
      </c>
      <c r="H104" s="8" t="str">
        <f>garage!H104</f>
        <v>O</v>
      </c>
      <c r="I104" s="8" t="str">
        <f>garage!I104</f>
        <v>O</v>
      </c>
      <c r="J104" s="8" t="str">
        <f>garage!J104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N</v>
      </c>
      <c r="O104" s="45">
        <v>360</v>
      </c>
      <c r="P104" s="45">
        <v>73</v>
      </c>
      <c r="Q104" s="45">
        <v>42.36</v>
      </c>
      <c r="R104" s="45">
        <v>47.57</v>
      </c>
      <c r="S104" s="47">
        <f t="shared" si="1"/>
        <v>130.73250000000002</v>
      </c>
      <c r="U104" s="8">
        <v>32</v>
      </c>
    </row>
    <row r="105" spans="2:21" ht="18" customHeight="1" x14ac:dyDescent="0.2">
      <c r="B105" s="10">
        <f>garage!B105</f>
        <v>105</v>
      </c>
      <c r="C105" s="10">
        <f>garage!C105</f>
        <v>3</v>
      </c>
      <c r="D105" s="10">
        <f>garage!D105</f>
        <v>33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N</v>
      </c>
      <c r="J105" s="10" t="str">
        <f>garage!J105</f>
        <v>N</v>
      </c>
      <c r="K105" s="10" t="str">
        <f>garage!K105</f>
        <v>B</v>
      </c>
      <c r="L105" s="11" t="str">
        <f>garage!L105</f>
        <v>Mercedes-Benz</v>
      </c>
      <c r="M105" s="11" t="str">
        <f>garage!M105</f>
        <v>SLR McLaren</v>
      </c>
      <c r="O105" s="46">
        <v>334</v>
      </c>
      <c r="P105" s="46">
        <v>67.599999999999994</v>
      </c>
      <c r="Q105" s="46">
        <v>43.84</v>
      </c>
      <c r="R105" s="46">
        <v>54.93</v>
      </c>
      <c r="S105" s="48">
        <f t="shared" si="1"/>
        <v>125.09250000000002</v>
      </c>
      <c r="U105" s="10">
        <v>33</v>
      </c>
    </row>
    <row r="106" spans="2:21" ht="18" customHeight="1" x14ac:dyDescent="0.2">
      <c r="B106" s="8">
        <f>garage!B106</f>
        <v>106</v>
      </c>
      <c r="C106" s="8">
        <f>garage!C106</f>
        <v>3</v>
      </c>
      <c r="D106" s="8">
        <f>garage!D106</f>
        <v>34</v>
      </c>
      <c r="E106" s="8">
        <f>garage!E106</f>
        <v>8</v>
      </c>
      <c r="F106" s="8" t="str">
        <f>garage!F106</f>
        <v>AM</v>
      </c>
      <c r="G106" s="8" t="str">
        <f>garage!G106</f>
        <v>O</v>
      </c>
      <c r="H106" s="8" t="str">
        <f>garage!H106</f>
        <v>O</v>
      </c>
      <c r="I106" s="8" t="str">
        <f>garage!I106</f>
        <v>O</v>
      </c>
      <c r="J106" s="8" t="str">
        <f>garage!J106</f>
        <v>N</v>
      </c>
      <c r="K106" s="8" t="str">
        <f>garage!K106</f>
        <v>B</v>
      </c>
      <c r="L106" s="9" t="str">
        <f>garage!L106</f>
        <v>Aston Martin</v>
      </c>
      <c r="M106" s="9" t="str">
        <f>garage!M106</f>
        <v>DBS Superleggera</v>
      </c>
      <c r="O106" s="45">
        <v>339</v>
      </c>
      <c r="P106" s="45">
        <v>69.400000000000006</v>
      </c>
      <c r="Q106" s="45">
        <v>48.04</v>
      </c>
      <c r="R106" s="45">
        <v>51.53</v>
      </c>
      <c r="S106" s="47">
        <f t="shared" si="1"/>
        <v>126.99250000000001</v>
      </c>
      <c r="U106" s="8">
        <v>34</v>
      </c>
    </row>
    <row r="107" spans="2:21" ht="18" customHeight="1" x14ac:dyDescent="0.2">
      <c r="B107" s="10">
        <f>garage!B107</f>
        <v>107</v>
      </c>
      <c r="C107" s="10">
        <f>garage!C107</f>
        <v>3</v>
      </c>
      <c r="D107" s="10">
        <f>garage!D107</f>
        <v>35</v>
      </c>
      <c r="E107" s="10">
        <f>garage!E107</f>
        <v>18</v>
      </c>
      <c r="F107" s="10" t="str">
        <f>garage!F107</f>
        <v>L</v>
      </c>
      <c r="G107" s="10" t="str">
        <f>garage!G107</f>
        <v>O</v>
      </c>
      <c r="H107" s="10" t="str">
        <f>garage!H107</f>
        <v>N</v>
      </c>
      <c r="I107" s="10" t="str">
        <f>garage!I107</f>
        <v>N</v>
      </c>
      <c r="J107" s="10" t="str">
        <f>garage!J107</f>
        <v>N</v>
      </c>
      <c r="K107" s="10" t="str">
        <f>garage!K107</f>
        <v>B</v>
      </c>
      <c r="L107" s="11" t="str">
        <f>garage!L107</f>
        <v>Lamborghini</v>
      </c>
      <c r="M107" s="11" t="str">
        <f>garage!M107</f>
        <v>Essenza SCV12</v>
      </c>
      <c r="O107" s="46">
        <v>318</v>
      </c>
      <c r="P107" s="46">
        <v>76.150000000000006</v>
      </c>
      <c r="Q107" s="46">
        <v>49.51</v>
      </c>
      <c r="R107" s="46">
        <v>47.37</v>
      </c>
      <c r="S107" s="48">
        <f t="shared" si="1"/>
        <v>122.75749999999999</v>
      </c>
      <c r="U107" s="10">
        <v>35</v>
      </c>
    </row>
    <row r="108" spans="2:21" ht="18" customHeight="1" x14ac:dyDescent="0.2">
      <c r="B108" s="8">
        <f>garage!B108</f>
        <v>108</v>
      </c>
      <c r="C108" s="8">
        <f>garage!C108</f>
        <v>3</v>
      </c>
      <c r="D108" s="8">
        <f>garage!D108</f>
        <v>36</v>
      </c>
      <c r="E108" s="8">
        <f>garage!E108</f>
        <v>29</v>
      </c>
      <c r="F108" s="8" t="str">
        <f>garage!F108</f>
        <v>M</v>
      </c>
      <c r="G108" s="8" t="str">
        <f>garage!G108</f>
        <v>N</v>
      </c>
      <c r="H108" s="8" t="str">
        <f>garage!H108</f>
        <v>N</v>
      </c>
      <c r="I108" s="8" t="str">
        <f>garage!I108</f>
        <v>N</v>
      </c>
      <c r="J108" s="8" t="str">
        <f>garage!J108</f>
        <v>N</v>
      </c>
      <c r="K108" s="8" t="str">
        <f>garage!K108</f>
        <v>B</v>
      </c>
      <c r="L108" s="9" t="str">
        <f>garage!L108</f>
        <v>McLaren</v>
      </c>
      <c r="M108" s="9" t="str">
        <f>garage!M108</f>
        <v>600LT Spider</v>
      </c>
      <c r="O108" s="45">
        <v>324</v>
      </c>
      <c r="P108" s="45">
        <v>73.900000000000006</v>
      </c>
      <c r="Q108" s="45">
        <v>49.41</v>
      </c>
      <c r="R108" s="45">
        <v>42.18</v>
      </c>
      <c r="S108" s="47">
        <f t="shared" si="1"/>
        <v>122.37249999999999</v>
      </c>
      <c r="U108" s="8">
        <v>36</v>
      </c>
    </row>
    <row r="109" spans="2:21" ht="18" customHeight="1" x14ac:dyDescent="0.2">
      <c r="B109" s="10">
        <f>garage!B109</f>
        <v>109</v>
      </c>
      <c r="C109" s="10">
        <f>garage!C109</f>
        <v>3</v>
      </c>
      <c r="D109" s="10">
        <f>garage!D109</f>
        <v>37</v>
      </c>
      <c r="E109" s="10">
        <f>garage!E109</f>
        <v>24</v>
      </c>
      <c r="F109" s="10" t="str">
        <f>garage!F109</f>
        <v>--</v>
      </c>
      <c r="G109" s="10" t="str">
        <f>garage!G109</f>
        <v>O</v>
      </c>
      <c r="H109" s="10" t="str">
        <f>garage!H109</f>
        <v>N</v>
      </c>
      <c r="I109" s="10" t="str">
        <f>garage!I109</f>
        <v>N</v>
      </c>
      <c r="J109" s="10" t="str">
        <f>garage!J109</f>
        <v>N</v>
      </c>
      <c r="K109" s="10" t="str">
        <f>garage!K109</f>
        <v>B</v>
      </c>
      <c r="L109" s="11" t="str">
        <f>garage!L109</f>
        <v>Puritalia</v>
      </c>
      <c r="M109" s="11" t="str">
        <f>garage!M109</f>
        <v>Berlinetta</v>
      </c>
      <c r="O109" s="46">
        <v>330</v>
      </c>
      <c r="P109" s="46">
        <v>75.7</v>
      </c>
      <c r="Q109" s="46">
        <v>50.79</v>
      </c>
      <c r="R109" s="46">
        <v>34.909999999999997</v>
      </c>
      <c r="S109" s="48">
        <f t="shared" si="1"/>
        <v>122.85</v>
      </c>
      <c r="U109" s="10">
        <v>37</v>
      </c>
    </row>
    <row r="110" spans="2:21" ht="18" customHeight="1" x14ac:dyDescent="0.2">
      <c r="B110" s="8">
        <f>garage!B110</f>
        <v>110</v>
      </c>
      <c r="C110" s="8">
        <f>garage!C110</f>
        <v>3</v>
      </c>
      <c r="D110" s="8">
        <f>garage!D110</f>
        <v>38</v>
      </c>
      <c r="E110" s="8">
        <f>garage!E110</f>
        <v>0</v>
      </c>
      <c r="F110" s="8" t="str">
        <f>garage!F110</f>
        <v>L</v>
      </c>
      <c r="G110" s="8" t="str">
        <f>garage!G110</f>
        <v>O</v>
      </c>
      <c r="H110" s="8" t="str">
        <f>garage!H110</f>
        <v>O</v>
      </c>
      <c r="I110" s="8" t="str">
        <f>garage!I110</f>
        <v>O</v>
      </c>
      <c r="J110" s="8" t="str">
        <f>garage!J110</f>
        <v>N</v>
      </c>
      <c r="K110" s="8" t="str">
        <f>garage!K110</f>
        <v>B</v>
      </c>
      <c r="L110" s="9" t="str">
        <f>garage!L110</f>
        <v>Lamborghini</v>
      </c>
      <c r="M110" s="9" t="str">
        <f>garage!M110</f>
        <v>Huracán Evo Spyder</v>
      </c>
      <c r="O110" s="45">
        <v>325</v>
      </c>
      <c r="P110" s="45">
        <v>72.099999999999994</v>
      </c>
      <c r="Q110" s="45">
        <v>46.62</v>
      </c>
      <c r="R110" s="45">
        <v>51.94</v>
      </c>
      <c r="S110" s="47">
        <f t="shared" si="1"/>
        <v>123.91500000000001</v>
      </c>
      <c r="U110" s="8">
        <v>38</v>
      </c>
    </row>
    <row r="111" spans="2:21" ht="18" customHeight="1" x14ac:dyDescent="0.2">
      <c r="B111" s="10">
        <f>garage!B111</f>
        <v>111</v>
      </c>
      <c r="C111" s="10">
        <f>garage!C111</f>
        <v>3</v>
      </c>
      <c r="D111" s="10">
        <f>garage!D111</f>
        <v>39</v>
      </c>
      <c r="E111" s="10">
        <f>garage!E111</f>
        <v>11</v>
      </c>
      <c r="F111" s="10" t="str">
        <f>garage!F111</f>
        <v>P</v>
      </c>
      <c r="G111" s="10" t="str">
        <f>garage!G111</f>
        <v>O</v>
      </c>
      <c r="H111" s="10" t="str">
        <f>garage!H111</f>
        <v>N</v>
      </c>
      <c r="I111" s="10" t="str">
        <f>garage!I111</f>
        <v>N</v>
      </c>
      <c r="J111" s="10" t="str">
        <f>garage!J111</f>
        <v>N</v>
      </c>
      <c r="K111" s="10" t="str">
        <f>garage!K111</f>
        <v>B</v>
      </c>
      <c r="L111" s="11" t="str">
        <f>garage!L111</f>
        <v>Porsche</v>
      </c>
      <c r="M111" s="11" t="str">
        <f>garage!M111</f>
        <v>Carrera GT</v>
      </c>
      <c r="O111" s="46">
        <v>330</v>
      </c>
      <c r="P111" s="46">
        <v>68.5</v>
      </c>
      <c r="Q111" s="46">
        <v>61.79</v>
      </c>
      <c r="R111" s="46">
        <v>60.32</v>
      </c>
      <c r="S111" s="48">
        <f t="shared" si="1"/>
        <v>130.1525</v>
      </c>
      <c r="U111" s="10">
        <v>39</v>
      </c>
    </row>
    <row r="112" spans="2:21" ht="18" customHeight="1" x14ac:dyDescent="0.2">
      <c r="B112" s="8">
        <f>garage!B112</f>
        <v>112</v>
      </c>
      <c r="C112" s="8">
        <f>garage!C112</f>
        <v>3</v>
      </c>
      <c r="D112" s="8">
        <f>garage!D112</f>
        <v>40</v>
      </c>
      <c r="E112" s="8">
        <f>garage!E112</f>
        <v>22</v>
      </c>
      <c r="F112" s="8" t="str">
        <f>garage!F112</f>
        <v>--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garage!J112</f>
        <v>N</v>
      </c>
      <c r="K112" s="8" t="str">
        <f>garage!K112</f>
        <v>B</v>
      </c>
      <c r="L112" s="9" t="str">
        <f>garage!L112</f>
        <v>Nissan</v>
      </c>
      <c r="M112" s="9" t="str">
        <f>garage!M112</f>
        <v>GTR-50 Italdesign</v>
      </c>
      <c r="O112" s="45">
        <v>330</v>
      </c>
      <c r="P112" s="45">
        <v>76.599999999999994</v>
      </c>
      <c r="Q112" s="45">
        <v>44.93</v>
      </c>
      <c r="R112" s="45">
        <v>39.799999999999997</v>
      </c>
      <c r="S112" s="47">
        <f t="shared" si="1"/>
        <v>122.83250000000001</v>
      </c>
      <c r="U112" s="8">
        <v>40</v>
      </c>
    </row>
    <row r="113" spans="2:21" ht="18" customHeight="1" x14ac:dyDescent="0.2">
      <c r="B113" s="10">
        <f>garage!B113</f>
        <v>113</v>
      </c>
      <c r="C113" s="10">
        <f>garage!C113</f>
        <v>3</v>
      </c>
      <c r="D113" s="10">
        <f>garage!D113</f>
        <v>41</v>
      </c>
      <c r="E113" s="10">
        <f>garage!E113</f>
        <v>19</v>
      </c>
      <c r="F113" s="10" t="str">
        <f>garage!F113</f>
        <v>--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garage!J113</f>
        <v>O</v>
      </c>
      <c r="K113" s="10" t="str">
        <f>garage!K113</f>
        <v>B</v>
      </c>
      <c r="L113" s="11" t="str">
        <f>garage!L113</f>
        <v>Zenvo</v>
      </c>
      <c r="M113" s="11" t="str">
        <f>garage!M113</f>
        <v>TSR-S</v>
      </c>
      <c r="O113" s="46">
        <v>325</v>
      </c>
      <c r="P113" s="46">
        <v>74.8</v>
      </c>
      <c r="Q113" s="46">
        <v>50.25</v>
      </c>
      <c r="R113" s="46">
        <v>40.340000000000003</v>
      </c>
      <c r="S113" s="48">
        <f t="shared" si="1"/>
        <v>122.5975</v>
      </c>
      <c r="U113" s="10">
        <v>41</v>
      </c>
    </row>
    <row r="114" spans="2:21" ht="18" customHeight="1" x14ac:dyDescent="0.2">
      <c r="B114" s="8">
        <f>garage!B114</f>
        <v>114</v>
      </c>
      <c r="C114" s="8">
        <f>garage!C114</f>
        <v>3</v>
      </c>
      <c r="D114" s="8">
        <f>garage!D114</f>
        <v>42</v>
      </c>
      <c r="E114" s="8">
        <f>garage!E114</f>
        <v>25</v>
      </c>
      <c r="F114" s="8" t="str">
        <f>garage!F114</f>
        <v>L</v>
      </c>
      <c r="G114" s="8" t="str">
        <f>garage!G114</f>
        <v>N</v>
      </c>
      <c r="H114" s="8" t="str">
        <f>garage!H114</f>
        <v>N</v>
      </c>
      <c r="I114" s="8" t="str">
        <f>garage!I114</f>
        <v>N</v>
      </c>
      <c r="J114" s="8" t="str">
        <f>garage!J114</f>
        <v>N</v>
      </c>
      <c r="K114" s="8" t="str">
        <f>garage!K114</f>
        <v>B</v>
      </c>
      <c r="L114" s="9" t="str">
        <f>garage!L114</f>
        <v>Lamborghini</v>
      </c>
      <c r="M114" s="9" t="str">
        <f>garage!M114</f>
        <v>Sesto Elemento</v>
      </c>
      <c r="O114" s="45">
        <v>325</v>
      </c>
      <c r="P114" s="45">
        <v>77.5</v>
      </c>
      <c r="Q114" s="45">
        <v>40.46</v>
      </c>
      <c r="R114" s="45">
        <v>44.2</v>
      </c>
      <c r="S114" s="47">
        <f t="shared" si="1"/>
        <v>121.78999999999999</v>
      </c>
      <c r="U114" s="8">
        <v>42</v>
      </c>
    </row>
    <row r="115" spans="2:21" ht="18" customHeight="1" x14ac:dyDescent="0.2">
      <c r="B115" s="10">
        <f>garage!B115</f>
        <v>115</v>
      </c>
      <c r="C115" s="10">
        <f>garage!C115</f>
        <v>3</v>
      </c>
      <c r="D115" s="10">
        <f>garage!D115</f>
        <v>43</v>
      </c>
      <c r="E115" s="10">
        <f>garage!E115</f>
        <v>7</v>
      </c>
      <c r="F115" s="10" t="str">
        <f>garage!F115</f>
        <v>P</v>
      </c>
      <c r="G115" s="10" t="str">
        <f>garage!G115</f>
        <v>O</v>
      </c>
      <c r="H115" s="10" t="str">
        <f>garage!H115</f>
        <v>N</v>
      </c>
      <c r="I115" s="10" t="str">
        <f>garage!I115</f>
        <v>N</v>
      </c>
      <c r="J115" s="10" t="str">
        <f>garage!J115</f>
        <v>N</v>
      </c>
      <c r="K115" s="10" t="str">
        <f>garage!K115</f>
        <v>B</v>
      </c>
      <c r="L115" s="11" t="str">
        <f>garage!L115</f>
        <v>Porsche</v>
      </c>
      <c r="M115" s="11" t="str">
        <f>garage!M115</f>
        <v>911 GT3 RS</v>
      </c>
      <c r="O115" s="46">
        <v>312</v>
      </c>
      <c r="P115" s="46">
        <v>71.2</v>
      </c>
      <c r="Q115" s="46">
        <v>52.35</v>
      </c>
      <c r="R115" s="46">
        <v>52.35</v>
      </c>
      <c r="S115" s="48">
        <f t="shared" si="1"/>
        <v>121.97500000000001</v>
      </c>
      <c r="U115" s="10">
        <v>43</v>
      </c>
    </row>
    <row r="116" spans="2:21" ht="18" customHeight="1" x14ac:dyDescent="0.2">
      <c r="B116" s="8">
        <f>garage!B116</f>
        <v>116</v>
      </c>
      <c r="C116" s="8">
        <f>garage!C116</f>
        <v>3</v>
      </c>
      <c r="D116" s="8">
        <f>garage!D116</f>
        <v>44</v>
      </c>
      <c r="E116" s="8">
        <f>garage!E116</f>
        <v>15</v>
      </c>
      <c r="F116" s="8" t="str">
        <f>garage!F116</f>
        <v>F</v>
      </c>
      <c r="G116" s="8" t="str">
        <f>garage!G116</f>
        <v>N</v>
      </c>
      <c r="H116" s="8" t="str">
        <f>garage!H116</f>
        <v>N</v>
      </c>
      <c r="I116" s="8" t="str">
        <f>garage!I116</f>
        <v>N</v>
      </c>
      <c r="J116" s="8" t="str">
        <f>garage!J116</f>
        <v>O</v>
      </c>
      <c r="K116" s="8" t="str">
        <f>garage!K116</f>
        <v>B</v>
      </c>
      <c r="L116" s="9" t="str">
        <f>garage!L116</f>
        <v>Ferrari</v>
      </c>
      <c r="M116" s="9" t="str">
        <f>garage!M116</f>
        <v>488 GTB Challenge EVO</v>
      </c>
      <c r="O116" s="45">
        <v>330</v>
      </c>
      <c r="P116" s="45">
        <v>73</v>
      </c>
      <c r="Q116" s="45">
        <v>47.13</v>
      </c>
      <c r="R116" s="45">
        <v>50.55</v>
      </c>
      <c r="S116" s="47">
        <f t="shared" si="1"/>
        <v>125.17</v>
      </c>
      <c r="U116" s="8">
        <v>44</v>
      </c>
    </row>
    <row r="117" spans="2:21" ht="18" customHeight="1" x14ac:dyDescent="0.2">
      <c r="B117" s="10">
        <f>garage!B117</f>
        <v>117</v>
      </c>
      <c r="C117" s="10">
        <f>garage!C117</f>
        <v>3</v>
      </c>
      <c r="D117" s="10">
        <f>garage!D117</f>
        <v>45</v>
      </c>
      <c r="E117" s="10">
        <f>garage!E117</f>
        <v>10</v>
      </c>
      <c r="F117" s="10" t="str">
        <f>garage!F117</f>
        <v>--</v>
      </c>
      <c r="G117" s="10" t="str">
        <f>garage!G117</f>
        <v>O</v>
      </c>
      <c r="H117" s="10" t="str">
        <f>garage!H117</f>
        <v>N</v>
      </c>
      <c r="I117" s="10" t="str">
        <f>garage!I117</f>
        <v>N</v>
      </c>
      <c r="J117" s="10" t="str">
        <f>garage!J117</f>
        <v>N</v>
      </c>
      <c r="K117" s="10" t="str">
        <f>garage!K117</f>
        <v>B</v>
      </c>
      <c r="L117" s="11" t="str">
        <f>garage!L117</f>
        <v>Lotus</v>
      </c>
      <c r="M117" s="11" t="str">
        <f>garage!M117</f>
        <v>Evija</v>
      </c>
      <c r="O117" s="46">
        <v>350</v>
      </c>
      <c r="P117" s="46">
        <v>73</v>
      </c>
      <c r="Q117" s="46">
        <v>45.33</v>
      </c>
      <c r="R117" s="46">
        <v>42.53</v>
      </c>
      <c r="S117" s="48">
        <f t="shared" si="1"/>
        <v>127.715</v>
      </c>
      <c r="U117" s="10">
        <v>45</v>
      </c>
    </row>
    <row r="118" spans="2:21" ht="18" customHeight="1" x14ac:dyDescent="0.2">
      <c r="B118" s="8">
        <f>garage!B118</f>
        <v>118</v>
      </c>
      <c r="C118" s="8">
        <f>garage!C118</f>
        <v>3</v>
      </c>
      <c r="D118" s="8">
        <f>garage!D118</f>
        <v>46</v>
      </c>
      <c r="E118" s="8">
        <f>garage!E118</f>
        <v>0</v>
      </c>
      <c r="F118" s="8" t="str">
        <f>garage!F118</f>
        <v>M</v>
      </c>
      <c r="G118" s="8" t="str">
        <f>garage!G118</f>
        <v>O</v>
      </c>
      <c r="H118" s="8" t="str">
        <f>garage!H118</f>
        <v>O</v>
      </c>
      <c r="I118" s="8" t="str">
        <f>garage!I118</f>
        <v>N</v>
      </c>
      <c r="J118" s="8" t="str">
        <f>garage!J118</f>
        <v>N</v>
      </c>
      <c r="K118" s="8" t="str">
        <f>garage!K118</f>
        <v>B</v>
      </c>
      <c r="L118" s="9" t="str">
        <f>garage!L118</f>
        <v>McLaren</v>
      </c>
      <c r="M118" s="9" t="str">
        <f>garage!M118</f>
        <v>F1 LM</v>
      </c>
      <c r="O118" s="45">
        <v>362</v>
      </c>
      <c r="P118" s="45">
        <v>64.900000000000006</v>
      </c>
      <c r="Q118" s="45">
        <v>50.37</v>
      </c>
      <c r="R118" s="45">
        <v>51.94</v>
      </c>
      <c r="S118" s="47">
        <f t="shared" si="1"/>
        <v>132.30250000000001</v>
      </c>
      <c r="U118" s="8">
        <v>46</v>
      </c>
    </row>
    <row r="119" spans="2:21" ht="18" customHeight="1" x14ac:dyDescent="0.2">
      <c r="B119" s="10">
        <f>garage!B119</f>
        <v>119</v>
      </c>
      <c r="C119" s="10">
        <f>garage!C119</f>
        <v>3</v>
      </c>
      <c r="D119" s="10">
        <f>garage!D119</f>
        <v>47</v>
      </c>
      <c r="E119" s="10">
        <f>garage!E119</f>
        <v>19</v>
      </c>
      <c r="F119" s="10" t="str">
        <f>garage!F119</f>
        <v>--</v>
      </c>
      <c r="G119" s="10" t="str">
        <f>garage!G119</f>
        <v>O</v>
      </c>
      <c r="H119" s="10" t="str">
        <f>garage!H119</f>
        <v>O</v>
      </c>
      <c r="I119" s="10" t="str">
        <f>garage!I119</f>
        <v>O</v>
      </c>
      <c r="J119" s="10" t="str">
        <f>garage!J119</f>
        <v>N</v>
      </c>
      <c r="K119" s="10" t="str">
        <f>garage!K119</f>
        <v>B</v>
      </c>
      <c r="L119" s="11" t="str">
        <f>garage!L119</f>
        <v>Volkswagen</v>
      </c>
      <c r="M119" s="11" t="str">
        <f>garage!M119</f>
        <v>W12 Coupe</v>
      </c>
      <c r="O119" s="46">
        <v>357</v>
      </c>
      <c r="P119" s="46">
        <v>68.5</v>
      </c>
      <c r="Q119" s="46">
        <v>57.23</v>
      </c>
      <c r="R119" s="46">
        <v>30.21</v>
      </c>
      <c r="S119" s="48">
        <f t="shared" si="1"/>
        <v>128.23500000000001</v>
      </c>
      <c r="U119" s="10">
        <v>47</v>
      </c>
    </row>
    <row r="120" spans="2:21" ht="18" customHeight="1" x14ac:dyDescent="0.2">
      <c r="B120" s="8">
        <f>garage!B120</f>
        <v>120</v>
      </c>
      <c r="C120" s="8">
        <f>garage!C120</f>
        <v>3</v>
      </c>
      <c r="D120" s="8">
        <f>garage!D120</f>
        <v>48</v>
      </c>
      <c r="E120" s="8">
        <f>garage!E120</f>
        <v>26</v>
      </c>
      <c r="F120" s="8" t="str">
        <f>garage!F120</f>
        <v>--</v>
      </c>
      <c r="G120" s="8" t="str">
        <f>garage!G120</f>
        <v>N</v>
      </c>
      <c r="H120" s="8" t="str">
        <f>garage!H120</f>
        <v>N</v>
      </c>
      <c r="I120" s="8" t="str">
        <f>garage!I120</f>
        <v>N</v>
      </c>
      <c r="J120" s="8" t="str">
        <f>garage!J120</f>
        <v>N</v>
      </c>
      <c r="K120" s="8" t="str">
        <f>garage!K120</f>
        <v>B</v>
      </c>
      <c r="L120" s="9" t="str">
        <f>garage!L120</f>
        <v>Pagani</v>
      </c>
      <c r="M120" s="9" t="str">
        <f>garage!M120</f>
        <v>Huayra R</v>
      </c>
      <c r="O120" s="45">
        <v>360</v>
      </c>
      <c r="P120" s="45">
        <v>73</v>
      </c>
      <c r="Q120" s="45">
        <v>42.36</v>
      </c>
      <c r="R120" s="45">
        <v>43.41</v>
      </c>
      <c r="S120" s="47">
        <f t="shared" si="1"/>
        <v>129.6925</v>
      </c>
      <c r="U120" s="8">
        <v>48</v>
      </c>
    </row>
    <row r="121" spans="2:21" ht="18" customHeight="1" x14ac:dyDescent="0.2">
      <c r="B121" s="10">
        <f>garage!B121</f>
        <v>121</v>
      </c>
      <c r="C121" s="10">
        <f>garage!C121</f>
        <v>3</v>
      </c>
      <c r="D121" s="10">
        <f>garage!D121</f>
        <v>49</v>
      </c>
      <c r="E121" s="10">
        <f>garage!E121</f>
        <v>30</v>
      </c>
      <c r="F121" s="10" t="str">
        <f>garage!F121</f>
        <v>L</v>
      </c>
      <c r="G121" s="10" t="str">
        <f>garage!G121</f>
        <v>O</v>
      </c>
      <c r="H121" s="10" t="str">
        <f>garage!H121</f>
        <v>N</v>
      </c>
      <c r="I121" s="10" t="str">
        <f>garage!I121</f>
        <v>N</v>
      </c>
      <c r="J121" s="10" t="str">
        <f>garage!J121</f>
        <v>N</v>
      </c>
      <c r="K121" s="10" t="str">
        <f>garage!K121</f>
        <v>B</v>
      </c>
      <c r="L121" s="11" t="str">
        <f>garage!L121</f>
        <v>Lamborghini</v>
      </c>
      <c r="M121" s="11" t="str">
        <f>garage!M121</f>
        <v>Revuelto</v>
      </c>
      <c r="O121" s="46">
        <v>350</v>
      </c>
      <c r="P121" s="46">
        <v>76.599999999999994</v>
      </c>
      <c r="Q121" s="46">
        <v>46.86</v>
      </c>
      <c r="R121" s="46">
        <v>16.02</v>
      </c>
      <c r="S121" s="48">
        <f t="shared" si="1"/>
        <v>122.37</v>
      </c>
      <c r="U121" s="10">
        <v>49</v>
      </c>
    </row>
    <row r="122" spans="2:21" ht="18" customHeight="1" x14ac:dyDescent="0.2">
      <c r="B122" s="8">
        <f>garage!B122</f>
        <v>122</v>
      </c>
      <c r="C122" s="8">
        <f>garage!C122</f>
        <v>4</v>
      </c>
      <c r="D122" s="8">
        <f>garage!D122</f>
        <v>1</v>
      </c>
      <c r="E122" s="8">
        <f>garage!E122</f>
        <v>0</v>
      </c>
      <c r="F122" s="8" t="str">
        <f>garage!F122</f>
        <v>AM</v>
      </c>
      <c r="G122" s="8" t="str">
        <f>garage!G122</f>
        <v>O</v>
      </c>
      <c r="H122" s="8" t="str">
        <f>garage!H122</f>
        <v>O</v>
      </c>
      <c r="I122" s="8" t="str">
        <f>garage!I122</f>
        <v>O</v>
      </c>
      <c r="J122" s="8" t="str">
        <f>garage!J122</f>
        <v>N</v>
      </c>
      <c r="K122" s="8" t="str">
        <f>garage!K122</f>
        <v>A</v>
      </c>
      <c r="L122" s="9" t="str">
        <f>garage!L122</f>
        <v>Aston Martin</v>
      </c>
      <c r="M122" s="9" t="str">
        <f>garage!M122</f>
        <v>Vulcan</v>
      </c>
      <c r="O122" s="45">
        <v>328</v>
      </c>
      <c r="P122" s="45">
        <v>73</v>
      </c>
      <c r="Q122" s="45">
        <v>36.630000000000003</v>
      </c>
      <c r="R122" s="45">
        <v>50.33</v>
      </c>
      <c r="S122" s="47">
        <f t="shared" si="1"/>
        <v>121.99</v>
      </c>
      <c r="U122" s="8">
        <v>1</v>
      </c>
    </row>
    <row r="123" spans="2:21" ht="18" customHeight="1" x14ac:dyDescent="0.2">
      <c r="B123" s="10">
        <f>garage!B123</f>
        <v>123</v>
      </c>
      <c r="C123" s="10">
        <f>garage!C123</f>
        <v>4</v>
      </c>
      <c r="D123" s="10">
        <f>garage!D123</f>
        <v>2</v>
      </c>
      <c r="E123" s="10">
        <f>garage!E123</f>
        <v>0</v>
      </c>
      <c r="F123" s="10" t="str">
        <f>garage!F123</f>
        <v>--</v>
      </c>
      <c r="G123" s="10" t="str">
        <f>garage!G123</f>
        <v>O</v>
      </c>
      <c r="H123" s="10" t="str">
        <f>garage!H123</f>
        <v>O</v>
      </c>
      <c r="I123" s="10" t="str">
        <f>garage!I123</f>
        <v>O</v>
      </c>
      <c r="J123" s="10" t="str">
        <f>garage!J123</f>
        <v>N</v>
      </c>
      <c r="K123" s="10" t="str">
        <f>garage!K123</f>
        <v>A</v>
      </c>
      <c r="L123" s="11" t="str">
        <f>garage!L123</f>
        <v>Nissan</v>
      </c>
      <c r="M123" s="11" t="str">
        <f>garage!M123</f>
        <v>GT-R Nismo</v>
      </c>
      <c r="O123" s="46">
        <v>315</v>
      </c>
      <c r="P123" s="46">
        <v>77.5</v>
      </c>
      <c r="Q123" s="46">
        <v>48.8</v>
      </c>
      <c r="R123" s="46">
        <v>43.24</v>
      </c>
      <c r="S123" s="48">
        <f t="shared" si="1"/>
        <v>121.13500000000001</v>
      </c>
      <c r="U123" s="10">
        <v>2</v>
      </c>
    </row>
    <row r="124" spans="2:21" ht="18" customHeight="1" x14ac:dyDescent="0.2">
      <c r="B124" s="8">
        <f>garage!B124</f>
        <v>124</v>
      </c>
      <c r="C124" s="8">
        <f>garage!C124</f>
        <v>4</v>
      </c>
      <c r="D124" s="8">
        <f>garage!D124</f>
        <v>3</v>
      </c>
      <c r="E124" s="8">
        <f>garage!E124</f>
        <v>17</v>
      </c>
      <c r="F124" s="8" t="str">
        <f>garage!F124</f>
        <v>--</v>
      </c>
      <c r="G124" s="8" t="str">
        <f>garage!G124</f>
        <v>O</v>
      </c>
      <c r="H124" s="8" t="str">
        <f>garage!H124</f>
        <v>N</v>
      </c>
      <c r="I124" s="8" t="str">
        <f>garage!I124</f>
        <v>N</v>
      </c>
      <c r="J124" s="8" t="str">
        <f>garage!J124</f>
        <v>N</v>
      </c>
      <c r="K124" s="8" t="str">
        <f>garage!K124</f>
        <v>A</v>
      </c>
      <c r="L124" s="9" t="str">
        <f>garage!L124</f>
        <v>Nio</v>
      </c>
      <c r="M124" s="9" t="str">
        <f>garage!M124</f>
        <v>EP9</v>
      </c>
      <c r="O124" s="45">
        <v>313</v>
      </c>
      <c r="P124" s="45">
        <v>75.7</v>
      </c>
      <c r="Q124" s="45">
        <v>52.47</v>
      </c>
      <c r="R124" s="45">
        <v>49.64</v>
      </c>
      <c r="S124" s="47">
        <f t="shared" si="1"/>
        <v>122.70249999999999</v>
      </c>
      <c r="U124" s="8">
        <v>3</v>
      </c>
    </row>
    <row r="125" spans="2:21" ht="18" customHeight="1" x14ac:dyDescent="0.2">
      <c r="B125" s="10">
        <f>garage!B125</f>
        <v>125</v>
      </c>
      <c r="C125" s="10">
        <f>garage!C125</f>
        <v>4</v>
      </c>
      <c r="D125" s="10">
        <f>garage!D125</f>
        <v>4</v>
      </c>
      <c r="E125" s="10">
        <f>garage!E125</f>
        <v>0</v>
      </c>
      <c r="F125" s="10" t="str">
        <f>garage!F125</f>
        <v>F</v>
      </c>
      <c r="G125" s="10" t="str">
        <f>garage!G125</f>
        <v>O</v>
      </c>
      <c r="H125" s="10" t="str">
        <f>garage!H125</f>
        <v>O</v>
      </c>
      <c r="I125" s="10" t="str">
        <f>garage!I125</f>
        <v>O</v>
      </c>
      <c r="J125" s="10" t="str">
        <f>garage!J125</f>
        <v>N</v>
      </c>
      <c r="K125" s="10" t="str">
        <f>garage!K125</f>
        <v>A</v>
      </c>
      <c r="L125" s="11" t="str">
        <f>garage!L125</f>
        <v>Ferrari</v>
      </c>
      <c r="M125" s="11" t="str">
        <f>garage!M125</f>
        <v>J50</v>
      </c>
      <c r="O125" s="46">
        <v>333</v>
      </c>
      <c r="P125" s="46">
        <v>73.900000000000006</v>
      </c>
      <c r="Q125" s="46">
        <v>42.27</v>
      </c>
      <c r="R125" s="46">
        <v>48.91</v>
      </c>
      <c r="S125" s="48">
        <f t="shared" si="1"/>
        <v>124.51999999999998</v>
      </c>
      <c r="U125" s="10">
        <v>4</v>
      </c>
    </row>
    <row r="126" spans="2:21" ht="18" customHeight="1" x14ac:dyDescent="0.2">
      <c r="B126" s="8">
        <f>garage!B126</f>
        <v>126</v>
      </c>
      <c r="C126" s="8">
        <f>garage!C126</f>
        <v>4</v>
      </c>
      <c r="D126" s="8">
        <f>garage!D126</f>
        <v>5</v>
      </c>
      <c r="E126" s="8">
        <f>garage!E126</f>
        <v>0</v>
      </c>
      <c r="F126" s="8" t="str">
        <f>garage!F126</f>
        <v>--</v>
      </c>
      <c r="G126" s="8" t="str">
        <f>garage!G126</f>
        <v>O</v>
      </c>
      <c r="H126" s="8" t="str">
        <f>garage!H126</f>
        <v>O</v>
      </c>
      <c r="I126" s="8" t="str">
        <f>garage!I126</f>
        <v>O</v>
      </c>
      <c r="J126" s="8" t="str">
        <f>garage!J126</f>
        <v>N</v>
      </c>
      <c r="K126" s="8" t="str">
        <f>garage!K126</f>
        <v>A</v>
      </c>
      <c r="L126" s="9" t="str">
        <f>garage!L126</f>
        <v>Dodge</v>
      </c>
      <c r="M126" s="9" t="str">
        <f>garage!M126</f>
        <v>Viper GTS</v>
      </c>
      <c r="O126" s="45">
        <v>340</v>
      </c>
      <c r="P126" s="45">
        <v>73</v>
      </c>
      <c r="Q126" s="45">
        <v>40.65</v>
      </c>
      <c r="R126" s="45">
        <v>56.62</v>
      </c>
      <c r="S126" s="47">
        <f t="shared" si="1"/>
        <v>127.5675</v>
      </c>
      <c r="U126" s="8">
        <v>5</v>
      </c>
    </row>
    <row r="127" spans="2:21" ht="18" customHeight="1" x14ac:dyDescent="0.2">
      <c r="B127" s="10">
        <f>garage!B127</f>
        <v>127</v>
      </c>
      <c r="C127" s="10">
        <f>garage!C127</f>
        <v>4</v>
      </c>
      <c r="D127" s="10">
        <f>garage!D127</f>
        <v>6</v>
      </c>
      <c r="E127" s="10">
        <f>garage!E127</f>
        <v>26</v>
      </c>
      <c r="F127" s="10" t="str">
        <f>garage!F127</f>
        <v>--</v>
      </c>
      <c r="G127" s="10" t="str">
        <f>garage!G127</f>
        <v>N</v>
      </c>
      <c r="H127" s="10" t="str">
        <f>garage!H127</f>
        <v>N</v>
      </c>
      <c r="I127" s="10" t="str">
        <f>garage!I127</f>
        <v>N</v>
      </c>
      <c r="J127" s="10" t="str">
        <f>garage!J127</f>
        <v>N</v>
      </c>
      <c r="K127" s="10" t="str">
        <f>garage!K127</f>
        <v>A</v>
      </c>
      <c r="L127" s="11" t="str">
        <f>garage!L127</f>
        <v>Bentley</v>
      </c>
      <c r="M127" s="11" t="str">
        <f>garage!M127</f>
        <v>Continental GT Speed</v>
      </c>
      <c r="O127" s="46">
        <v>335</v>
      </c>
      <c r="P127" s="46">
        <v>67.599999999999994</v>
      </c>
      <c r="Q127" s="46">
        <v>58.75</v>
      </c>
      <c r="R127" s="46">
        <v>45.17</v>
      </c>
      <c r="S127" s="48">
        <f t="shared" si="1"/>
        <v>126.63000000000001</v>
      </c>
      <c r="U127" s="10">
        <v>6</v>
      </c>
    </row>
    <row r="128" spans="2:21" ht="18" customHeight="1" x14ac:dyDescent="0.2">
      <c r="B128" s="8">
        <f>garage!B128</f>
        <v>128</v>
      </c>
      <c r="C128" s="8">
        <f>garage!C128</f>
        <v>4</v>
      </c>
      <c r="D128" s="8">
        <f>garage!D128</f>
        <v>7</v>
      </c>
      <c r="E128" s="8">
        <f>garage!E128</f>
        <v>0</v>
      </c>
      <c r="F128" s="8" t="str">
        <f>garage!F128</f>
        <v>F</v>
      </c>
      <c r="G128" s="8" t="str">
        <f>garage!G128</f>
        <v>O</v>
      </c>
      <c r="H128" s="8" t="str">
        <f>garage!H128</f>
        <v>O</v>
      </c>
      <c r="I128" s="8" t="str">
        <f>garage!I128</f>
        <v>O</v>
      </c>
      <c r="J128" s="8" t="str">
        <f>garage!J128</f>
        <v>N</v>
      </c>
      <c r="K128" s="8" t="str">
        <f>garage!K128</f>
        <v>A</v>
      </c>
      <c r="L128" s="9" t="str">
        <f>garage!L128</f>
        <v>Ferrari</v>
      </c>
      <c r="M128" s="9" t="str">
        <f>garage!M128</f>
        <v>LaFerrari</v>
      </c>
      <c r="O128" s="45">
        <v>350</v>
      </c>
      <c r="P128" s="45">
        <v>73</v>
      </c>
      <c r="Q128" s="45">
        <v>37.68</v>
      </c>
      <c r="R128" s="45">
        <v>62.91</v>
      </c>
      <c r="S128" s="47">
        <f t="shared" si="1"/>
        <v>130.89750000000001</v>
      </c>
      <c r="U128" s="8">
        <v>7</v>
      </c>
    </row>
    <row r="129" spans="2:21" ht="18" customHeight="1" x14ac:dyDescent="0.2">
      <c r="B129" s="10">
        <f>garage!B129</f>
        <v>129</v>
      </c>
      <c r="C129" s="10">
        <f>garage!C129</f>
        <v>4</v>
      </c>
      <c r="D129" s="10">
        <f>garage!D129</f>
        <v>8</v>
      </c>
      <c r="E129" s="10">
        <f>garage!E129</f>
        <v>0</v>
      </c>
      <c r="F129" s="10" t="str">
        <f>garage!F129</f>
        <v>M</v>
      </c>
      <c r="G129" s="10" t="str">
        <f>garage!G129</f>
        <v>O</v>
      </c>
      <c r="H129" s="10" t="str">
        <f>garage!H129</f>
        <v>O</v>
      </c>
      <c r="I129" s="10" t="str">
        <f>garage!I129</f>
        <v>O</v>
      </c>
      <c r="J129" s="10" t="str">
        <f>garage!J129</f>
        <v>N</v>
      </c>
      <c r="K129" s="10" t="str">
        <f>garage!K129</f>
        <v>A</v>
      </c>
      <c r="L129" s="11" t="str">
        <f>garage!L129</f>
        <v>McLaren</v>
      </c>
      <c r="M129" s="11" t="str">
        <f>garage!M129</f>
        <v>P1</v>
      </c>
      <c r="O129" s="46">
        <v>350</v>
      </c>
      <c r="P129" s="46">
        <v>74.8</v>
      </c>
      <c r="Q129" s="46">
        <v>39.97</v>
      </c>
      <c r="R129" s="46">
        <v>53.74</v>
      </c>
      <c r="S129" s="48">
        <f t="shared" si="1"/>
        <v>129.6275</v>
      </c>
      <c r="U129" s="10">
        <v>8</v>
      </c>
    </row>
    <row r="130" spans="2:21" ht="18" customHeight="1" x14ac:dyDescent="0.2">
      <c r="B130" s="8">
        <f>garage!B130</f>
        <v>130</v>
      </c>
      <c r="C130" s="8">
        <f>garage!C130</f>
        <v>4</v>
      </c>
      <c r="D130" s="8">
        <f>garage!D130</f>
        <v>9</v>
      </c>
      <c r="E130" s="8">
        <f>garage!E130</f>
        <v>20</v>
      </c>
      <c r="F130" s="8" t="str">
        <f>garage!F130</f>
        <v>--</v>
      </c>
      <c r="G130" s="8" t="str">
        <f>garage!G130</f>
        <v>N</v>
      </c>
      <c r="H130" s="8" t="str">
        <f>garage!H130</f>
        <v>N</v>
      </c>
      <c r="I130" s="8" t="str">
        <f>garage!I130</f>
        <v>N</v>
      </c>
      <c r="J130" s="8" t="str">
        <f>garage!J130</f>
        <v>O</v>
      </c>
      <c r="K130" s="8" t="str">
        <f>garage!K130</f>
        <v>A</v>
      </c>
      <c r="L130" s="9" t="str">
        <f>garage!L130</f>
        <v>Pagani</v>
      </c>
      <c r="M130" s="9" t="str">
        <f>garage!M130</f>
        <v>Zonda HP Barchetta</v>
      </c>
      <c r="O130" s="45">
        <v>338</v>
      </c>
      <c r="P130" s="45">
        <v>73</v>
      </c>
      <c r="Q130" s="45">
        <v>51.67</v>
      </c>
      <c r="R130" s="45">
        <v>59.37</v>
      </c>
      <c r="S130" s="47">
        <f t="shared" ref="S130:S193" si="2">AVERAGE(O130:R130)</f>
        <v>130.51</v>
      </c>
      <c r="U130" s="8">
        <v>9</v>
      </c>
    </row>
    <row r="131" spans="2:21" ht="18" customHeight="1" x14ac:dyDescent="0.2">
      <c r="B131" s="10">
        <f>garage!B131</f>
        <v>131</v>
      </c>
      <c r="C131" s="10">
        <f>garage!C131</f>
        <v>4</v>
      </c>
      <c r="D131" s="10">
        <f>garage!D131</f>
        <v>10</v>
      </c>
      <c r="E131" s="10">
        <f>garage!E131</f>
        <v>0</v>
      </c>
      <c r="F131" s="10" t="str">
        <f>garage!F131</f>
        <v>L</v>
      </c>
      <c r="G131" s="10" t="str">
        <f>garage!G131</f>
        <v>O</v>
      </c>
      <c r="H131" s="10" t="str">
        <f>garage!H131</f>
        <v>O</v>
      </c>
      <c r="I131" s="10" t="str">
        <f>garage!I131</f>
        <v>O</v>
      </c>
      <c r="J131" s="10" t="str">
        <f>garage!J131</f>
        <v>N</v>
      </c>
      <c r="K131" s="10" t="str">
        <f>garage!K131</f>
        <v>A</v>
      </c>
      <c r="L131" s="11" t="str">
        <f>garage!L131</f>
        <v>Lamborghini</v>
      </c>
      <c r="M131" s="11" t="str">
        <f>garage!M131</f>
        <v>Aventador SV Coupé</v>
      </c>
      <c r="O131" s="46">
        <v>350</v>
      </c>
      <c r="P131" s="46">
        <v>74.8</v>
      </c>
      <c r="Q131" s="46">
        <v>41.5</v>
      </c>
      <c r="R131" s="46">
        <v>59.86</v>
      </c>
      <c r="S131" s="48">
        <f t="shared" si="2"/>
        <v>131.54</v>
      </c>
      <c r="U131" s="10">
        <v>10</v>
      </c>
    </row>
    <row r="132" spans="2:21" ht="18" customHeight="1" x14ac:dyDescent="0.2">
      <c r="B132" s="8">
        <f>garage!B132</f>
        <v>132</v>
      </c>
      <c r="C132" s="8">
        <f>garage!C132</f>
        <v>4</v>
      </c>
      <c r="D132" s="8">
        <f>garage!D132</f>
        <v>11</v>
      </c>
      <c r="E132" s="8">
        <f>garage!E132</f>
        <v>6</v>
      </c>
      <c r="F132" s="8" t="str">
        <f>garage!F132</f>
        <v>F</v>
      </c>
      <c r="G132" s="8" t="str">
        <f>garage!G132</f>
        <v>O</v>
      </c>
      <c r="H132" s="8" t="str">
        <f>garage!H132</f>
        <v>O</v>
      </c>
      <c r="I132" s="8" t="str">
        <f>garage!I132</f>
        <v>O</v>
      </c>
      <c r="J132" s="8" t="str">
        <f>garage!J132</f>
        <v>N</v>
      </c>
      <c r="K132" s="8" t="str">
        <f>garage!K132</f>
        <v>A</v>
      </c>
      <c r="L132" s="9" t="str">
        <f>garage!L132</f>
        <v>Ferrari</v>
      </c>
      <c r="M132" s="9" t="str">
        <f>garage!M132</f>
        <v>812 Superfast</v>
      </c>
      <c r="O132" s="45">
        <v>340</v>
      </c>
      <c r="P132" s="45">
        <v>73.900000000000006</v>
      </c>
      <c r="Q132" s="45">
        <v>46.64</v>
      </c>
      <c r="R132" s="45">
        <v>60.62</v>
      </c>
      <c r="S132" s="47">
        <f t="shared" si="2"/>
        <v>130.29</v>
      </c>
      <c r="U132" s="8">
        <v>11</v>
      </c>
    </row>
    <row r="133" spans="2:21" ht="18" customHeight="1" x14ac:dyDescent="0.2">
      <c r="B133" s="10">
        <f>garage!B133</f>
        <v>133</v>
      </c>
      <c r="C133" s="10">
        <f>garage!C133</f>
        <v>4</v>
      </c>
      <c r="D133" s="10">
        <f>garage!D133</f>
        <v>12</v>
      </c>
      <c r="E133" s="10">
        <f>garage!E133</f>
        <v>0</v>
      </c>
      <c r="F133" s="10" t="str">
        <f>garage!F133</f>
        <v>C</v>
      </c>
      <c r="G133" s="10" t="str">
        <f>garage!G133</f>
        <v>O</v>
      </c>
      <c r="H133" s="10" t="str">
        <f>garage!H133</f>
        <v>O</v>
      </c>
      <c r="I133" s="10" t="str">
        <f>garage!I133</f>
        <v>N</v>
      </c>
      <c r="J133" s="10" t="str">
        <f>garage!J133</f>
        <v>N</v>
      </c>
      <c r="K133" s="10" t="str">
        <f>garage!K133</f>
        <v>A</v>
      </c>
      <c r="L133" s="11" t="str">
        <f>garage!L133</f>
        <v>Chevrolet</v>
      </c>
      <c r="M133" s="11" t="str">
        <f>garage!M133</f>
        <v>Corvette ZR1</v>
      </c>
      <c r="O133" s="46">
        <v>341</v>
      </c>
      <c r="P133" s="46">
        <v>74.8</v>
      </c>
      <c r="Q133" s="46">
        <v>48.24</v>
      </c>
      <c r="R133" s="46">
        <v>59.75</v>
      </c>
      <c r="S133" s="48">
        <f t="shared" si="2"/>
        <v>130.94749999999999</v>
      </c>
      <c r="U133" s="10">
        <v>12</v>
      </c>
    </row>
    <row r="134" spans="2:21" ht="18" customHeight="1" x14ac:dyDescent="0.2">
      <c r="B134" s="8">
        <f>garage!B134</f>
        <v>134</v>
      </c>
      <c r="C134" s="8">
        <f>garage!C134</f>
        <v>4</v>
      </c>
      <c r="D134" s="8">
        <f>garage!D134</f>
        <v>13</v>
      </c>
      <c r="E134" s="8">
        <f>garage!E134</f>
        <v>14</v>
      </c>
      <c r="F134" s="8" t="str">
        <f>garage!F134</f>
        <v>--</v>
      </c>
      <c r="G134" s="8" t="str">
        <f>garage!G134</f>
        <v>O</v>
      </c>
      <c r="H134" s="8" t="str">
        <f>garage!H134</f>
        <v>N</v>
      </c>
      <c r="I134" s="8" t="str">
        <f>garage!I134</f>
        <v>N</v>
      </c>
      <c r="J134" s="8" t="str">
        <f>garage!J134</f>
        <v>N</v>
      </c>
      <c r="K134" s="8" t="str">
        <f>garage!K134</f>
        <v>A</v>
      </c>
      <c r="L134" s="9" t="str">
        <f>garage!L134</f>
        <v>Jaguar</v>
      </c>
      <c r="M134" s="9" t="str">
        <f>garage!M134</f>
        <v>C-X75</v>
      </c>
      <c r="O134" s="45">
        <v>354</v>
      </c>
      <c r="P134" s="45">
        <v>66.7</v>
      </c>
      <c r="Q134" s="45">
        <v>57.27</v>
      </c>
      <c r="R134" s="45">
        <v>57.27</v>
      </c>
      <c r="S134" s="47">
        <f t="shared" si="2"/>
        <v>133.81</v>
      </c>
      <c r="U134" s="8">
        <v>13</v>
      </c>
    </row>
    <row r="135" spans="2:21" ht="18" customHeight="1" x14ac:dyDescent="0.2">
      <c r="B135" s="10">
        <f>garage!B135</f>
        <v>135</v>
      </c>
      <c r="C135" s="10">
        <f>garage!C135</f>
        <v>4</v>
      </c>
      <c r="D135" s="10">
        <f>garage!D135</f>
        <v>14</v>
      </c>
      <c r="E135" s="10">
        <f>garage!E135</f>
        <v>0</v>
      </c>
      <c r="F135" s="10" t="str">
        <f>garage!F135</f>
        <v>--</v>
      </c>
      <c r="G135" s="10" t="str">
        <f>garage!G135</f>
        <v>O</v>
      </c>
      <c r="H135" s="10" t="str">
        <f>garage!H135</f>
        <v>O</v>
      </c>
      <c r="I135" s="10" t="str">
        <f>garage!I135</f>
        <v>O</v>
      </c>
      <c r="J135" s="10" t="str">
        <f>garage!J135</f>
        <v>N</v>
      </c>
      <c r="K135" s="10" t="str">
        <f>garage!K135</f>
        <v>A</v>
      </c>
      <c r="L135" s="11" t="str">
        <f>garage!L135</f>
        <v>VLF</v>
      </c>
      <c r="M135" s="11" t="str">
        <f>garage!M135</f>
        <v>Force 1 V10</v>
      </c>
      <c r="O135" s="46">
        <v>350</v>
      </c>
      <c r="P135" s="46">
        <v>73.900000000000006</v>
      </c>
      <c r="Q135" s="46">
        <v>43.04</v>
      </c>
      <c r="R135" s="46">
        <v>60.87</v>
      </c>
      <c r="S135" s="48">
        <f t="shared" si="2"/>
        <v>131.95249999999999</v>
      </c>
      <c r="U135" s="10">
        <v>14</v>
      </c>
    </row>
    <row r="136" spans="2:21" ht="18" customHeight="1" x14ac:dyDescent="0.2">
      <c r="B136" s="8">
        <f>garage!B136</f>
        <v>136</v>
      </c>
      <c r="C136" s="8">
        <f>garage!C136</f>
        <v>4</v>
      </c>
      <c r="D136" s="8">
        <f>garage!D136</f>
        <v>15</v>
      </c>
      <c r="E136" s="8">
        <f>garage!E136</f>
        <v>23</v>
      </c>
      <c r="F136" s="8" t="str">
        <f>garage!F136</f>
        <v>M</v>
      </c>
      <c r="G136" s="8" t="str">
        <f>garage!G136</f>
        <v>O</v>
      </c>
      <c r="H136" s="8" t="str">
        <f>garage!H136</f>
        <v>N</v>
      </c>
      <c r="I136" s="8" t="str">
        <f>garage!I136</f>
        <v>N</v>
      </c>
      <c r="J136" s="8" t="str">
        <f>garage!J136</f>
        <v>N</v>
      </c>
      <c r="K136" s="8" t="str">
        <f>garage!K136</f>
        <v>A</v>
      </c>
      <c r="L136" s="9" t="str">
        <f>garage!L136</f>
        <v>McLaren</v>
      </c>
      <c r="M136" s="9" t="str">
        <f>garage!M136</f>
        <v>Senna GTR</v>
      </c>
      <c r="O136" s="45">
        <v>335</v>
      </c>
      <c r="P136" s="45">
        <v>74.8</v>
      </c>
      <c r="Q136" s="45">
        <v>51.34</v>
      </c>
      <c r="R136" s="45">
        <v>66.900000000000006</v>
      </c>
      <c r="S136" s="47">
        <f t="shared" si="2"/>
        <v>132.01</v>
      </c>
      <c r="U136" s="8">
        <v>15</v>
      </c>
    </row>
    <row r="137" spans="2:21" ht="18" customHeight="1" x14ac:dyDescent="0.2">
      <c r="B137" s="10">
        <f>garage!B137</f>
        <v>137</v>
      </c>
      <c r="C137" s="10">
        <f>garage!C137</f>
        <v>4</v>
      </c>
      <c r="D137" s="10">
        <f>garage!D137</f>
        <v>16</v>
      </c>
      <c r="E137" s="10">
        <f>garage!E137</f>
        <v>20</v>
      </c>
      <c r="F137" s="10" t="str">
        <f>garage!F137</f>
        <v>L</v>
      </c>
      <c r="G137" s="10" t="str">
        <f>garage!G137</f>
        <v>N</v>
      </c>
      <c r="H137" s="10" t="str">
        <f>garage!H137</f>
        <v>N</v>
      </c>
      <c r="I137" s="10" t="str">
        <f>garage!I137</f>
        <v>N</v>
      </c>
      <c r="J137" s="10" t="str">
        <f>garage!J137</f>
        <v>N</v>
      </c>
      <c r="K137" s="10" t="str">
        <f>garage!K137</f>
        <v>A</v>
      </c>
      <c r="L137" s="11" t="str">
        <f>garage!L137</f>
        <v>Lamborghini</v>
      </c>
      <c r="M137" s="11" t="str">
        <f>garage!M137</f>
        <v>Aventador SVJ Roadster</v>
      </c>
      <c r="O137" s="46">
        <v>351</v>
      </c>
      <c r="P137" s="46">
        <v>73.900000000000006</v>
      </c>
      <c r="Q137" s="46">
        <v>40.83</v>
      </c>
      <c r="R137" s="46">
        <v>42.62</v>
      </c>
      <c r="S137" s="48">
        <f t="shared" si="2"/>
        <v>127.08749999999999</v>
      </c>
      <c r="U137" s="10">
        <v>16</v>
      </c>
    </row>
    <row r="138" spans="2:21" ht="18" customHeight="1" x14ac:dyDescent="0.2">
      <c r="B138" s="8">
        <f>garage!B138</f>
        <v>138</v>
      </c>
      <c r="C138" s="8">
        <f>garage!C138</f>
        <v>4</v>
      </c>
      <c r="D138" s="8">
        <f>garage!D138</f>
        <v>17</v>
      </c>
      <c r="E138" s="8">
        <f>garage!E138</f>
        <v>8</v>
      </c>
      <c r="F138" s="8" t="str">
        <f>garage!F138</f>
        <v>--</v>
      </c>
      <c r="G138" s="8" t="str">
        <f>garage!G138</f>
        <v>O</v>
      </c>
      <c r="H138" s="8" t="str">
        <f>garage!H138</f>
        <v>O</v>
      </c>
      <c r="I138" s="8" t="str">
        <f>garage!I138</f>
        <v>O</v>
      </c>
      <c r="J138" s="8" t="str">
        <f>garage!J138</f>
        <v>N</v>
      </c>
      <c r="K138" s="8" t="str">
        <f>garage!K138</f>
        <v>A</v>
      </c>
      <c r="L138" s="9" t="str">
        <f>garage!L138</f>
        <v>Vanda Electrics</v>
      </c>
      <c r="M138" s="9" t="str">
        <f>garage!M138</f>
        <v>Dendrobium</v>
      </c>
      <c r="O138" s="45">
        <v>320</v>
      </c>
      <c r="P138" s="45">
        <v>76.599999999999994</v>
      </c>
      <c r="Q138" s="45">
        <v>53.29</v>
      </c>
      <c r="R138" s="45">
        <v>59.03</v>
      </c>
      <c r="S138" s="47">
        <f t="shared" si="2"/>
        <v>127.23000000000002</v>
      </c>
      <c r="U138" s="8">
        <v>17</v>
      </c>
    </row>
    <row r="139" spans="2:21" ht="18" customHeight="1" x14ac:dyDescent="0.2">
      <c r="B139" s="10">
        <f>garage!B139</f>
        <v>139</v>
      </c>
      <c r="C139" s="10">
        <f>garage!C139</f>
        <v>4</v>
      </c>
      <c r="D139" s="10">
        <f>garage!D139</f>
        <v>18</v>
      </c>
      <c r="E139" s="10">
        <f>garage!E139</f>
        <v>0</v>
      </c>
      <c r="F139" s="10" t="str">
        <f>garage!F139</f>
        <v>P</v>
      </c>
      <c r="G139" s="10" t="str">
        <f>garage!G139</f>
        <v>O</v>
      </c>
      <c r="H139" s="10" t="str">
        <f>garage!H139</f>
        <v>O</v>
      </c>
      <c r="I139" s="10" t="str">
        <f>garage!I139</f>
        <v>O</v>
      </c>
      <c r="J139" s="10" t="str">
        <f>garage!J139</f>
        <v>N</v>
      </c>
      <c r="K139" s="10" t="str">
        <f>garage!K139</f>
        <v>A</v>
      </c>
      <c r="L139" s="11" t="str">
        <f>garage!L139</f>
        <v>Porsche</v>
      </c>
      <c r="M139" s="11" t="str">
        <f>garage!M139</f>
        <v>918 Spyder</v>
      </c>
      <c r="O139" s="46">
        <v>345</v>
      </c>
      <c r="P139" s="46">
        <v>76.59</v>
      </c>
      <c r="Q139" s="46">
        <v>41.83</v>
      </c>
      <c r="R139" s="46">
        <v>66.3</v>
      </c>
      <c r="S139" s="48">
        <f t="shared" si="2"/>
        <v>132.43</v>
      </c>
      <c r="U139" s="10">
        <v>18</v>
      </c>
    </row>
    <row r="140" spans="2:21" ht="18" customHeight="1" x14ac:dyDescent="0.2">
      <c r="B140" s="8">
        <f>garage!B140</f>
        <v>140</v>
      </c>
      <c r="C140" s="8">
        <f>garage!C140</f>
        <v>4</v>
      </c>
      <c r="D140" s="8">
        <f>garage!D140</f>
        <v>19</v>
      </c>
      <c r="E140" s="8">
        <f>garage!E140</f>
        <v>28</v>
      </c>
      <c r="F140" s="8" t="str">
        <f>garage!F140</f>
        <v>--</v>
      </c>
      <c r="G140" s="8" t="str">
        <f>garage!G140</f>
        <v>N</v>
      </c>
      <c r="H140" s="8" t="str">
        <f>garage!H140</f>
        <v>N</v>
      </c>
      <c r="I140" s="8" t="str">
        <f>garage!I140</f>
        <v>N</v>
      </c>
      <c r="J140" s="8" t="str">
        <f>garage!J140</f>
        <v>N</v>
      </c>
      <c r="K140" s="8" t="str">
        <f>garage!K140</f>
        <v>A</v>
      </c>
      <c r="L140" s="9" t="str">
        <f>garage!L140</f>
        <v>Peugeot</v>
      </c>
      <c r="M140" s="9" t="str">
        <f>garage!M140</f>
        <v>9X8</v>
      </c>
      <c r="O140" s="45">
        <v>330</v>
      </c>
      <c r="P140" s="45">
        <v>82</v>
      </c>
      <c r="Q140" s="45">
        <v>61.79</v>
      </c>
      <c r="R140" s="45">
        <v>48.59</v>
      </c>
      <c r="S140" s="47">
        <f t="shared" si="2"/>
        <v>130.595</v>
      </c>
      <c r="U140" s="8">
        <v>19</v>
      </c>
    </row>
    <row r="141" spans="2:21" ht="18" customHeight="1" x14ac:dyDescent="0.2">
      <c r="B141" s="10">
        <f>garage!B141</f>
        <v>141</v>
      </c>
      <c r="C141" s="10">
        <f>garage!C141</f>
        <v>4</v>
      </c>
      <c r="D141" s="10">
        <f>garage!D141</f>
        <v>20</v>
      </c>
      <c r="E141" s="10">
        <f>garage!E141</f>
        <v>0</v>
      </c>
      <c r="F141" s="10" t="str">
        <f>garage!F141</f>
        <v>M</v>
      </c>
      <c r="G141" s="10" t="str">
        <f>garage!G141</f>
        <v>O</v>
      </c>
      <c r="H141" s="10" t="str">
        <f>garage!H141</f>
        <v>O</v>
      </c>
      <c r="I141" s="10" t="str">
        <f>garage!I141</f>
        <v>O</v>
      </c>
      <c r="J141" s="10" t="str">
        <f>garage!J141</f>
        <v>N</v>
      </c>
      <c r="K141" s="10" t="str">
        <f>garage!K141</f>
        <v>A</v>
      </c>
      <c r="L141" s="11" t="str">
        <f>garage!L141</f>
        <v>McLaren</v>
      </c>
      <c r="M141" s="11" t="str">
        <f>garage!M141</f>
        <v>570S Spider</v>
      </c>
      <c r="O141" s="46">
        <v>356</v>
      </c>
      <c r="P141" s="46">
        <v>71.2</v>
      </c>
      <c r="Q141" s="46">
        <v>46.08</v>
      </c>
      <c r="R141" s="46">
        <v>47.38</v>
      </c>
      <c r="S141" s="48">
        <f t="shared" si="2"/>
        <v>130.16499999999999</v>
      </c>
      <c r="U141" s="10">
        <v>20</v>
      </c>
    </row>
    <row r="142" spans="2:21" ht="18" customHeight="1" x14ac:dyDescent="0.2">
      <c r="B142" s="8">
        <f>garage!B142</f>
        <v>142</v>
      </c>
      <c r="C142" s="8">
        <f>garage!C142</f>
        <v>4</v>
      </c>
      <c r="D142" s="8">
        <f>garage!D142</f>
        <v>21</v>
      </c>
      <c r="E142" s="8">
        <f>garage!E142</f>
        <v>0</v>
      </c>
      <c r="F142" s="8" t="str">
        <f>garage!F142</f>
        <v>L</v>
      </c>
      <c r="G142" s="8" t="str">
        <f>garage!G142</f>
        <v>O</v>
      </c>
      <c r="H142" s="8" t="str">
        <f>garage!H142</f>
        <v>O</v>
      </c>
      <c r="I142" s="8" t="str">
        <f>garage!I142</f>
        <v>O</v>
      </c>
      <c r="J142" s="8" t="str">
        <f>garage!J142</f>
        <v>N</v>
      </c>
      <c r="K142" s="8" t="str">
        <f>garage!K142</f>
        <v>A</v>
      </c>
      <c r="L142" s="9" t="str">
        <f>garage!L142</f>
        <v>Lamborghini</v>
      </c>
      <c r="M142" s="9" t="str">
        <f>garage!M142</f>
        <v>Aventador J</v>
      </c>
      <c r="O142" s="45">
        <v>350</v>
      </c>
      <c r="P142" s="45">
        <v>73</v>
      </c>
      <c r="Q142" s="45">
        <v>49.16</v>
      </c>
      <c r="R142" s="45">
        <v>62.92</v>
      </c>
      <c r="S142" s="47">
        <f t="shared" si="2"/>
        <v>133.76999999999998</v>
      </c>
      <c r="U142" s="8">
        <v>21</v>
      </c>
    </row>
    <row r="143" spans="2:21" ht="18" customHeight="1" x14ac:dyDescent="0.2">
      <c r="B143" s="10">
        <f>garage!B143</f>
        <v>143</v>
      </c>
      <c r="C143" s="10">
        <f>garage!C143</f>
        <v>4</v>
      </c>
      <c r="D143" s="10">
        <f>garage!D143</f>
        <v>22</v>
      </c>
      <c r="E143" s="10">
        <f>garage!E143</f>
        <v>16</v>
      </c>
      <c r="F143" s="10" t="str">
        <f>garage!F143</f>
        <v>--</v>
      </c>
      <c r="G143" s="10" t="str">
        <f>garage!G143</f>
        <v>O</v>
      </c>
      <c r="H143" s="10" t="str">
        <f>garage!H143</f>
        <v>N</v>
      </c>
      <c r="I143" s="10" t="str">
        <f>garage!I143</f>
        <v>N</v>
      </c>
      <c r="J143" s="10" t="str">
        <f>garage!J143</f>
        <v>N</v>
      </c>
      <c r="K143" s="10" t="str">
        <f>garage!K143</f>
        <v>A</v>
      </c>
      <c r="L143" s="11" t="str">
        <f>garage!L143</f>
        <v>Peugeot</v>
      </c>
      <c r="M143" s="11" t="str">
        <f>garage!M143</f>
        <v>Onyx</v>
      </c>
      <c r="O143" s="46">
        <v>360</v>
      </c>
      <c r="P143" s="46">
        <v>73.900000000000006</v>
      </c>
      <c r="Q143" s="46">
        <v>63.83</v>
      </c>
      <c r="R143" s="46">
        <v>35.08</v>
      </c>
      <c r="S143" s="48">
        <f t="shared" si="2"/>
        <v>133.20249999999999</v>
      </c>
      <c r="U143" s="10">
        <v>22</v>
      </c>
    </row>
    <row r="144" spans="2:21" ht="18" customHeight="1" x14ac:dyDescent="0.2">
      <c r="B144" s="8">
        <f>garage!B144</f>
        <v>144</v>
      </c>
      <c r="C144" s="8">
        <f>garage!C144</f>
        <v>4</v>
      </c>
      <c r="D144" s="8">
        <f>garage!D144</f>
        <v>23</v>
      </c>
      <c r="E144" s="8">
        <f>garage!E144</f>
        <v>22</v>
      </c>
      <c r="F144" s="8" t="str">
        <f>garage!F144</f>
        <v>--</v>
      </c>
      <c r="G144" s="8" t="str">
        <f>garage!G144</f>
        <v>N</v>
      </c>
      <c r="H144" s="8" t="str">
        <f>garage!H144</f>
        <v>N</v>
      </c>
      <c r="I144" s="8" t="str">
        <f>garage!I144</f>
        <v>N</v>
      </c>
      <c r="J144" s="8" t="str">
        <f>garage!J144</f>
        <v>N</v>
      </c>
      <c r="K144" s="8" t="str">
        <f>garage!K144</f>
        <v>A</v>
      </c>
      <c r="L144" s="9" t="str">
        <f>garage!L144</f>
        <v>Pagani</v>
      </c>
      <c r="M144" s="9" t="str">
        <f>garage!M144</f>
        <v>Zonda R</v>
      </c>
      <c r="O144" s="45">
        <v>353</v>
      </c>
      <c r="P144" s="45">
        <v>75.7</v>
      </c>
      <c r="Q144" s="45">
        <v>41.77</v>
      </c>
      <c r="R144" s="45">
        <v>48.95</v>
      </c>
      <c r="S144" s="47">
        <f t="shared" si="2"/>
        <v>129.85499999999999</v>
      </c>
      <c r="U144" s="8">
        <v>23</v>
      </c>
    </row>
    <row r="145" spans="2:21" ht="18" customHeight="1" x14ac:dyDescent="0.2">
      <c r="B145" s="10">
        <f>garage!B145</f>
        <v>145</v>
      </c>
      <c r="C145" s="10">
        <f>garage!C145</f>
        <v>4</v>
      </c>
      <c r="D145" s="10">
        <f>garage!D145</f>
        <v>24</v>
      </c>
      <c r="E145" s="10">
        <f>garage!E145</f>
        <v>22</v>
      </c>
      <c r="F145" s="10" t="str">
        <f>garage!F145</f>
        <v>--</v>
      </c>
      <c r="G145" s="10" t="str">
        <f>garage!G145</f>
        <v>N</v>
      </c>
      <c r="H145" s="10" t="str">
        <f>garage!H145</f>
        <v>N</v>
      </c>
      <c r="I145" s="10" t="str">
        <f>garage!I145</f>
        <v>N</v>
      </c>
      <c r="J145" s="10" t="str">
        <f>garage!J145</f>
        <v>N</v>
      </c>
      <c r="K145" s="10" t="str">
        <f>garage!K145</f>
        <v>A</v>
      </c>
      <c r="L145" s="11" t="str">
        <f>garage!L145</f>
        <v>Glickhaus</v>
      </c>
      <c r="M145" s="11" t="str">
        <f>garage!M145</f>
        <v>007S</v>
      </c>
      <c r="O145" s="46">
        <v>340</v>
      </c>
      <c r="P145" s="46">
        <v>82.9</v>
      </c>
      <c r="Q145" s="46">
        <v>59.38</v>
      </c>
      <c r="R145" s="46">
        <v>61.67</v>
      </c>
      <c r="S145" s="48">
        <f t="shared" si="2"/>
        <v>135.98749999999998</v>
      </c>
      <c r="U145" s="10">
        <v>24</v>
      </c>
    </row>
    <row r="146" spans="2:21" ht="18" customHeight="1" x14ac:dyDescent="0.2">
      <c r="B146" s="8">
        <f>garage!B146</f>
        <v>146</v>
      </c>
      <c r="C146" s="8">
        <f>garage!C146</f>
        <v>4</v>
      </c>
      <c r="D146" s="8">
        <f>garage!D146</f>
        <v>25</v>
      </c>
      <c r="E146" s="8">
        <f>garage!E146</f>
        <v>16</v>
      </c>
      <c r="F146" s="8" t="str">
        <f>garage!F146</f>
        <v>--</v>
      </c>
      <c r="G146" s="8" t="str">
        <f>garage!G146</f>
        <v>O</v>
      </c>
      <c r="H146" s="8" t="str">
        <f>garage!H146</f>
        <v>N</v>
      </c>
      <c r="I146" s="8" t="str">
        <f>garage!I146</f>
        <v>N</v>
      </c>
      <c r="J146" s="8" t="str">
        <f>garage!J146</f>
        <v>N</v>
      </c>
      <c r="K146" s="8" t="str">
        <f>garage!K146</f>
        <v>A</v>
      </c>
      <c r="L146" s="9" t="str">
        <f>garage!L146</f>
        <v>Citroen</v>
      </c>
      <c r="M146" s="9" t="str">
        <f>garage!M146</f>
        <v>GT by Citroen</v>
      </c>
      <c r="O146" s="45">
        <v>375</v>
      </c>
      <c r="P146" s="45">
        <v>68.5</v>
      </c>
      <c r="Q146" s="45">
        <v>55.71</v>
      </c>
      <c r="R146" s="45">
        <v>50.08</v>
      </c>
      <c r="S146" s="47">
        <f t="shared" si="2"/>
        <v>137.32249999999999</v>
      </c>
      <c r="U146" s="8">
        <v>25</v>
      </c>
    </row>
    <row r="147" spans="2:21" ht="18" customHeight="1" x14ac:dyDescent="0.2">
      <c r="B147" s="10">
        <f>garage!B147</f>
        <v>147</v>
      </c>
      <c r="C147" s="10">
        <f>garage!C147</f>
        <v>4</v>
      </c>
      <c r="D147" s="10">
        <f>garage!D147</f>
        <v>26</v>
      </c>
      <c r="E147" s="10">
        <f>garage!E147</f>
        <v>19</v>
      </c>
      <c r="F147" s="10" t="str">
        <f>garage!F147</f>
        <v>AM</v>
      </c>
      <c r="G147" s="10" t="str">
        <f>garage!G147</f>
        <v>O</v>
      </c>
      <c r="H147" s="10" t="str">
        <f>garage!H147</f>
        <v>N</v>
      </c>
      <c r="I147" s="10" t="str">
        <f>garage!I147</f>
        <v>N</v>
      </c>
      <c r="J147" s="10" t="str">
        <f>garage!J147</f>
        <v>N</v>
      </c>
      <c r="K147" s="10" t="str">
        <f>garage!K147</f>
        <v>A</v>
      </c>
      <c r="L147" s="11" t="str">
        <f>garage!L147</f>
        <v>Aston Martin</v>
      </c>
      <c r="M147" s="11" t="str">
        <f>garage!M147</f>
        <v>Victor</v>
      </c>
      <c r="O147" s="46">
        <v>360</v>
      </c>
      <c r="P147" s="46">
        <v>70.3</v>
      </c>
      <c r="Q147" s="46">
        <v>54.85</v>
      </c>
      <c r="R147" s="46">
        <v>47.57</v>
      </c>
      <c r="S147" s="48">
        <f t="shared" si="2"/>
        <v>133.18</v>
      </c>
      <c r="U147" s="10">
        <v>26</v>
      </c>
    </row>
    <row r="148" spans="2:21" ht="18" customHeight="1" x14ac:dyDescent="0.2">
      <c r="B148" s="8">
        <f>garage!B148</f>
        <v>148</v>
      </c>
      <c r="C148" s="8">
        <f>garage!C148</f>
        <v>4</v>
      </c>
      <c r="D148" s="8">
        <f>garage!D148</f>
        <v>27</v>
      </c>
      <c r="E148" s="8">
        <f>garage!E148</f>
        <v>11</v>
      </c>
      <c r="F148" s="8" t="str">
        <f>garage!F148</f>
        <v>P</v>
      </c>
      <c r="G148" s="8" t="str">
        <f>garage!G148</f>
        <v>O</v>
      </c>
      <c r="H148" s="8" t="str">
        <f>garage!H148</f>
        <v>O</v>
      </c>
      <c r="I148" s="8" t="str">
        <f>garage!I148</f>
        <v>N</v>
      </c>
      <c r="J148" s="8" t="str">
        <f>garage!J148</f>
        <v>N</v>
      </c>
      <c r="K148" s="8" t="str">
        <f>garage!K148</f>
        <v>A</v>
      </c>
      <c r="L148" s="9" t="str">
        <f>garage!L148</f>
        <v>Porsche</v>
      </c>
      <c r="M148" s="9" t="str">
        <f>garage!M148</f>
        <v>911 GT2 RS Clubsport</v>
      </c>
      <c r="O148" s="45">
        <v>340</v>
      </c>
      <c r="P148" s="45">
        <v>74.8</v>
      </c>
      <c r="Q148" s="45">
        <v>55.63</v>
      </c>
      <c r="R148" s="45">
        <v>49.64</v>
      </c>
      <c r="S148" s="47">
        <f t="shared" si="2"/>
        <v>130.01750000000001</v>
      </c>
      <c r="U148" s="8">
        <v>27</v>
      </c>
    </row>
    <row r="149" spans="2:21" ht="18" customHeight="1" x14ac:dyDescent="0.2">
      <c r="B149" s="10">
        <f>garage!B149</f>
        <v>149</v>
      </c>
      <c r="C149" s="10">
        <f>garage!C149</f>
        <v>4</v>
      </c>
      <c r="D149" s="10">
        <f>garage!D149</f>
        <v>28</v>
      </c>
      <c r="E149" s="10">
        <f>garage!E149</f>
        <v>0</v>
      </c>
      <c r="F149" s="10" t="str">
        <f>garage!F149</f>
        <v>--</v>
      </c>
      <c r="G149" s="10" t="str">
        <f>garage!G149</f>
        <v>O</v>
      </c>
      <c r="H149" s="10" t="str">
        <f>garage!H149</f>
        <v>O</v>
      </c>
      <c r="I149" s="10" t="str">
        <f>garage!I149</f>
        <v>O</v>
      </c>
      <c r="J149" s="10" t="str">
        <f>garage!J149</f>
        <v>N</v>
      </c>
      <c r="K149" s="10" t="str">
        <f>garage!K149</f>
        <v>A</v>
      </c>
      <c r="L149" s="11" t="str">
        <f>garage!L149</f>
        <v>Pagani</v>
      </c>
      <c r="M149" s="11" t="str">
        <f>garage!M149</f>
        <v>Huayra BC</v>
      </c>
      <c r="O149" s="46">
        <v>350</v>
      </c>
      <c r="P149" s="46">
        <v>71.2</v>
      </c>
      <c r="Q149" s="46">
        <v>46.1</v>
      </c>
      <c r="R149" s="46">
        <v>73.11</v>
      </c>
      <c r="S149" s="48">
        <f t="shared" si="2"/>
        <v>135.10249999999999</v>
      </c>
      <c r="U149" s="10">
        <v>28</v>
      </c>
    </row>
    <row r="150" spans="2:21" ht="18" customHeight="1" x14ac:dyDescent="0.2">
      <c r="B150" s="8">
        <f>garage!B150</f>
        <v>150</v>
      </c>
      <c r="C150" s="8">
        <f>garage!C150</f>
        <v>4</v>
      </c>
      <c r="D150" s="8">
        <f>garage!D150</f>
        <v>29</v>
      </c>
      <c r="E150" s="8">
        <f>garage!E150</f>
        <v>28</v>
      </c>
      <c r="F150" s="8" t="str">
        <f>garage!F150</f>
        <v>M</v>
      </c>
      <c r="G150" s="8" t="str">
        <f>garage!G150</f>
        <v>N</v>
      </c>
      <c r="H150" s="8" t="str">
        <f>garage!H150</f>
        <v>N</v>
      </c>
      <c r="I150" s="8" t="str">
        <f>garage!I150</f>
        <v>N</v>
      </c>
      <c r="J150" s="8" t="str">
        <f>garage!J150</f>
        <v>N</v>
      </c>
      <c r="K150" s="8" t="str">
        <f>garage!K150</f>
        <v>A</v>
      </c>
      <c r="L150" s="9" t="str">
        <f>garage!L150</f>
        <v>McLaren</v>
      </c>
      <c r="M150" s="9" t="str">
        <f>garage!M150</f>
        <v>650S GT3</v>
      </c>
      <c r="O150" s="45">
        <v>340</v>
      </c>
      <c r="P150" s="45">
        <v>73.900000000000006</v>
      </c>
      <c r="Q150" s="45">
        <v>59.38</v>
      </c>
      <c r="R150" s="45">
        <v>57.63</v>
      </c>
      <c r="S150" s="47">
        <f t="shared" si="2"/>
        <v>132.72749999999999</v>
      </c>
      <c r="U150" s="8">
        <v>29</v>
      </c>
    </row>
    <row r="151" spans="2:21" ht="18" customHeight="1" x14ac:dyDescent="0.2">
      <c r="B151" s="10">
        <f>garage!B151</f>
        <v>151</v>
      </c>
      <c r="C151" s="10">
        <f>garage!C151</f>
        <v>4</v>
      </c>
      <c r="D151" s="10">
        <f>garage!D151</f>
        <v>30</v>
      </c>
      <c r="E151" s="10">
        <f>garage!E151</f>
        <v>12</v>
      </c>
      <c r="F151" s="10" t="str">
        <f>garage!F151</f>
        <v>L</v>
      </c>
      <c r="G151" s="10" t="str">
        <f>garage!G151</f>
        <v>O</v>
      </c>
      <c r="H151" s="10" t="str">
        <f>garage!H151</f>
        <v>N</v>
      </c>
      <c r="I151" s="10" t="str">
        <f>garage!I151</f>
        <v>N</v>
      </c>
      <c r="J151" s="10" t="str">
        <f>garage!J151</f>
        <v>N</v>
      </c>
      <c r="K151" s="10" t="str">
        <f>garage!K151</f>
        <v>A</v>
      </c>
      <c r="L151" s="11" t="str">
        <f>garage!L151</f>
        <v>Lamborghini</v>
      </c>
      <c r="M151" s="11" t="str">
        <f>garage!M151</f>
        <v>SC18</v>
      </c>
      <c r="O151" s="46">
        <v>350</v>
      </c>
      <c r="P151" s="46">
        <v>74.8</v>
      </c>
      <c r="Q151" s="46">
        <v>45.33</v>
      </c>
      <c r="R151" s="46">
        <v>64.959999999999994</v>
      </c>
      <c r="S151" s="48">
        <f t="shared" si="2"/>
        <v>133.77250000000001</v>
      </c>
      <c r="U151" s="10">
        <v>30</v>
      </c>
    </row>
    <row r="152" spans="2:21" ht="18" customHeight="1" x14ac:dyDescent="0.2">
      <c r="B152" s="8">
        <f>garage!B152</f>
        <v>152</v>
      </c>
      <c r="C152" s="8">
        <f>garage!C152</f>
        <v>4</v>
      </c>
      <c r="D152" s="8">
        <f>garage!D152</f>
        <v>31</v>
      </c>
      <c r="E152" s="8">
        <f>garage!E152</f>
        <v>6</v>
      </c>
      <c r="F152" s="8" t="str">
        <f>garage!F152</f>
        <v>F</v>
      </c>
      <c r="G152" s="8" t="str">
        <f>garage!G152</f>
        <v>O</v>
      </c>
      <c r="H152" s="8" t="str">
        <f>garage!H152</f>
        <v>O</v>
      </c>
      <c r="I152" s="8" t="str">
        <f>garage!I152</f>
        <v>O</v>
      </c>
      <c r="J152" s="8" t="str">
        <f>garage!J152</f>
        <v>N</v>
      </c>
      <c r="K152" s="8" t="str">
        <f>garage!K152</f>
        <v>A</v>
      </c>
      <c r="L152" s="9" t="str">
        <f>garage!L152</f>
        <v>Ferrari</v>
      </c>
      <c r="M152" s="9" t="str">
        <f>garage!M152</f>
        <v>LaFerrari Aperta</v>
      </c>
      <c r="O152" s="45">
        <v>350</v>
      </c>
      <c r="P152" s="45">
        <v>73</v>
      </c>
      <c r="Q152" s="45">
        <v>60.62</v>
      </c>
      <c r="R152" s="45">
        <v>48.65</v>
      </c>
      <c r="S152" s="47">
        <f t="shared" si="2"/>
        <v>133.0675</v>
      </c>
      <c r="U152" s="8">
        <v>31</v>
      </c>
    </row>
    <row r="153" spans="2:21" ht="18" customHeight="1" x14ac:dyDescent="0.2">
      <c r="B153" s="10">
        <f>garage!B153</f>
        <v>153</v>
      </c>
      <c r="C153" s="10">
        <f>garage!C153</f>
        <v>4</v>
      </c>
      <c r="D153" s="10">
        <f>garage!D153</f>
        <v>32</v>
      </c>
      <c r="E153" s="10">
        <f>garage!E153</f>
        <v>15</v>
      </c>
      <c r="F153" s="10" t="str">
        <f>garage!F153</f>
        <v>F</v>
      </c>
      <c r="G153" s="10" t="str">
        <f>garage!G153</f>
        <v>N</v>
      </c>
      <c r="H153" s="10" t="str">
        <f>garage!H153</f>
        <v>N</v>
      </c>
      <c r="I153" s="10" t="str">
        <f>garage!I153</f>
        <v>N</v>
      </c>
      <c r="J153" s="10" t="str">
        <f>garage!J153</f>
        <v>N</v>
      </c>
      <c r="K153" s="10" t="str">
        <f>garage!K153</f>
        <v>A</v>
      </c>
      <c r="L153" s="11" t="str">
        <f>garage!L153</f>
        <v>Ferrari</v>
      </c>
      <c r="M153" s="11" t="str">
        <f>garage!M153</f>
        <v>F8 Tributo</v>
      </c>
      <c r="O153" s="46">
        <v>340</v>
      </c>
      <c r="P153" s="46">
        <v>73.900000000000006</v>
      </c>
      <c r="Q153" s="46">
        <v>66.86</v>
      </c>
      <c r="R153" s="46">
        <v>43.65</v>
      </c>
      <c r="S153" s="48">
        <f t="shared" si="2"/>
        <v>131.10249999999999</v>
      </c>
      <c r="U153" s="10">
        <v>32</v>
      </c>
    </row>
    <row r="154" spans="2:21" ht="18" customHeight="1" x14ac:dyDescent="0.2">
      <c r="B154" s="8">
        <f>garage!B154</f>
        <v>154</v>
      </c>
      <c r="C154" s="8">
        <f>garage!C154</f>
        <v>4</v>
      </c>
      <c r="D154" s="8">
        <f>garage!D154</f>
        <v>33</v>
      </c>
      <c r="E154" s="8">
        <f>garage!E154</f>
        <v>20</v>
      </c>
      <c r="F154" s="8" t="str">
        <f>garage!F154</f>
        <v>L</v>
      </c>
      <c r="G154" s="8" t="str">
        <f>garage!G154</f>
        <v>N</v>
      </c>
      <c r="H154" s="8" t="str">
        <f>garage!H154</f>
        <v>N</v>
      </c>
      <c r="I154" s="8" t="str">
        <f>garage!I154</f>
        <v>N</v>
      </c>
      <c r="J154" s="8" t="str">
        <f>garage!J154</f>
        <v>N</v>
      </c>
      <c r="K154" s="8" t="str">
        <f>garage!K154</f>
        <v>A</v>
      </c>
      <c r="L154" s="9" t="str">
        <f>garage!L154</f>
        <v>Lamborghini</v>
      </c>
      <c r="M154" s="9" t="str">
        <f>garage!M154</f>
        <v>SC20</v>
      </c>
      <c r="O154" s="45">
        <v>353.4</v>
      </c>
      <c r="P154" s="45">
        <v>73.63</v>
      </c>
      <c r="Q154" s="45">
        <v>51.04</v>
      </c>
      <c r="R154" s="45">
        <v>40.770000000000003</v>
      </c>
      <c r="S154" s="47">
        <f t="shared" si="2"/>
        <v>129.71</v>
      </c>
      <c r="U154" s="8">
        <v>33</v>
      </c>
    </row>
    <row r="155" spans="2:21" ht="18" customHeight="1" x14ac:dyDescent="0.2">
      <c r="B155" s="10">
        <f>garage!B155</f>
        <v>155</v>
      </c>
      <c r="C155" s="10">
        <f>garage!C155</f>
        <v>4</v>
      </c>
      <c r="D155" s="10">
        <f>garage!D155</f>
        <v>34</v>
      </c>
      <c r="E155" s="10">
        <f>garage!E155</f>
        <v>0</v>
      </c>
      <c r="F155" s="10" t="str">
        <f>garage!F155</f>
        <v>--</v>
      </c>
      <c r="G155" s="10" t="str">
        <f>garage!G155</f>
        <v>O</v>
      </c>
      <c r="H155" s="10" t="str">
        <f>garage!H155</f>
        <v>O</v>
      </c>
      <c r="I155" s="10" t="str">
        <f>garage!I155</f>
        <v>O</v>
      </c>
      <c r="J155" s="10" t="str">
        <f>garage!J155</f>
        <v>N</v>
      </c>
      <c r="K155" s="10" t="str">
        <f>garage!K155</f>
        <v>A</v>
      </c>
      <c r="L155" s="11" t="str">
        <f>garage!L155</f>
        <v>Genty</v>
      </c>
      <c r="M155" s="11" t="str">
        <f>garage!M155</f>
        <v>Akylone</v>
      </c>
      <c r="O155" s="46">
        <v>354</v>
      </c>
      <c r="P155" s="46">
        <v>75.7</v>
      </c>
      <c r="Q155" s="46">
        <v>49.56</v>
      </c>
      <c r="R155" s="46">
        <v>53.16</v>
      </c>
      <c r="S155" s="48">
        <f t="shared" si="2"/>
        <v>133.10499999999999</v>
      </c>
      <c r="U155" s="10">
        <v>34</v>
      </c>
    </row>
    <row r="156" spans="2:21" ht="18" customHeight="1" x14ac:dyDescent="0.2">
      <c r="B156" s="8">
        <f>garage!B156</f>
        <v>156</v>
      </c>
      <c r="C156" s="8">
        <f>garage!C156</f>
        <v>4</v>
      </c>
      <c r="D156" s="8">
        <f>garage!D156</f>
        <v>35</v>
      </c>
      <c r="E156" s="8">
        <f>garage!E156</f>
        <v>0</v>
      </c>
      <c r="F156" s="8" t="str">
        <f>garage!F156</f>
        <v>--</v>
      </c>
      <c r="G156" s="8" t="str">
        <f>garage!G156</f>
        <v>O</v>
      </c>
      <c r="H156" s="8" t="str">
        <f>garage!H156</f>
        <v>N</v>
      </c>
      <c r="I156" s="8" t="str">
        <f>garage!I156</f>
        <v>N</v>
      </c>
      <c r="J156" s="8" t="str">
        <f>garage!J156</f>
        <v>N</v>
      </c>
      <c r="K156" s="8" t="str">
        <f>garage!K156</f>
        <v>A</v>
      </c>
      <c r="L156" s="9" t="str">
        <f>garage!L156</f>
        <v>Techrules</v>
      </c>
      <c r="M156" s="9" t="str">
        <f>garage!M156</f>
        <v>AT96 track version</v>
      </c>
      <c r="O156" s="45">
        <v>350</v>
      </c>
      <c r="P156" s="45">
        <v>77.5</v>
      </c>
      <c r="Q156" s="45">
        <v>52.98</v>
      </c>
      <c r="R156" s="45">
        <v>46.61</v>
      </c>
      <c r="S156" s="47">
        <f t="shared" si="2"/>
        <v>131.77250000000001</v>
      </c>
      <c r="U156" s="8">
        <v>35</v>
      </c>
    </row>
    <row r="157" spans="2:21" ht="18" customHeight="1" x14ac:dyDescent="0.2">
      <c r="B157" s="10">
        <f>garage!B157</f>
        <v>157</v>
      </c>
      <c r="C157" s="10">
        <f>garage!C157</f>
        <v>4</v>
      </c>
      <c r="D157" s="10">
        <f>garage!D157</f>
        <v>36</v>
      </c>
      <c r="E157" s="10">
        <f>garage!E157</f>
        <v>21</v>
      </c>
      <c r="F157" s="10" t="str">
        <f>garage!F157</f>
        <v>--</v>
      </c>
      <c r="G157" s="10" t="str">
        <f>garage!G157</f>
        <v>O</v>
      </c>
      <c r="H157" s="10" t="str">
        <f>garage!H157</f>
        <v>N</v>
      </c>
      <c r="I157" s="10" t="str">
        <f>garage!I157</f>
        <v>N</v>
      </c>
      <c r="J157" s="10" t="str">
        <f>garage!J157</f>
        <v>N</v>
      </c>
      <c r="K157" s="10" t="str">
        <f>garage!K157</f>
        <v>A</v>
      </c>
      <c r="L157" s="11" t="str">
        <f>garage!L157</f>
        <v>Rimac</v>
      </c>
      <c r="M157" s="11" t="str">
        <f>garage!M157</f>
        <v>Concept_One</v>
      </c>
      <c r="O157" s="46">
        <v>355</v>
      </c>
      <c r="P157" s="46">
        <v>77.5</v>
      </c>
      <c r="Q157" s="46">
        <v>59.7</v>
      </c>
      <c r="R157" s="46">
        <v>33.700000000000003</v>
      </c>
      <c r="S157" s="48">
        <f t="shared" si="2"/>
        <v>131.47499999999999</v>
      </c>
      <c r="U157" s="10">
        <v>36</v>
      </c>
    </row>
    <row r="158" spans="2:21" ht="18" customHeight="1" x14ac:dyDescent="0.2">
      <c r="B158" s="8">
        <f>garage!B158</f>
        <v>158</v>
      </c>
      <c r="C158" s="8">
        <f>garage!C158</f>
        <v>4</v>
      </c>
      <c r="D158" s="8">
        <f>garage!D158</f>
        <v>37</v>
      </c>
      <c r="E158" s="8">
        <f>garage!E158</f>
        <v>14</v>
      </c>
      <c r="F158" s="8" t="str">
        <f>garage!F158</f>
        <v>AM</v>
      </c>
      <c r="G158" s="8" t="str">
        <f>garage!G158</f>
        <v>O</v>
      </c>
      <c r="H158" s="8" t="str">
        <f>garage!H158</f>
        <v>O</v>
      </c>
      <c r="I158" s="8" t="str">
        <f>garage!I158</f>
        <v>N</v>
      </c>
      <c r="J158" s="8" t="str">
        <f>garage!J158</f>
        <v>N</v>
      </c>
      <c r="K158" s="8" t="str">
        <f>garage!K158</f>
        <v>A</v>
      </c>
      <c r="L158" s="9" t="str">
        <f>garage!L158</f>
        <v>Aston Martin</v>
      </c>
      <c r="M158" s="9" t="str">
        <f>garage!M158</f>
        <v>Valhalla Concept Car</v>
      </c>
      <c r="O158" s="45">
        <v>354</v>
      </c>
      <c r="P158" s="45">
        <v>77.41</v>
      </c>
      <c r="Q158" s="45">
        <v>57.27</v>
      </c>
      <c r="R158" s="45">
        <v>43.91</v>
      </c>
      <c r="S158" s="47">
        <f t="shared" si="2"/>
        <v>133.14749999999998</v>
      </c>
      <c r="U158" s="8">
        <v>37</v>
      </c>
    </row>
    <row r="159" spans="2:21" ht="18" customHeight="1" x14ac:dyDescent="0.2">
      <c r="B159" s="10">
        <f>garage!B159</f>
        <v>159</v>
      </c>
      <c r="C159" s="10">
        <f>garage!C159</f>
        <v>4</v>
      </c>
      <c r="D159" s="10">
        <f>garage!D159</f>
        <v>38</v>
      </c>
      <c r="E159" s="10">
        <f>garage!E159</f>
        <v>18</v>
      </c>
      <c r="F159" s="10" t="str">
        <f>garage!F159</f>
        <v>--</v>
      </c>
      <c r="G159" s="10" t="str">
        <f>garage!G159</f>
        <v>O</v>
      </c>
      <c r="H159" s="10" t="str">
        <f>garage!H159</f>
        <v>N</v>
      </c>
      <c r="I159" s="10" t="str">
        <f>garage!I159</f>
        <v>N</v>
      </c>
      <c r="J159" s="10" t="str">
        <f>garage!J159</f>
        <v>N</v>
      </c>
      <c r="K159" s="10" t="str">
        <f>garage!K159</f>
        <v>A</v>
      </c>
      <c r="L159" s="11" t="str">
        <f>garage!L159</f>
        <v>Pagani</v>
      </c>
      <c r="M159" s="11" t="str">
        <f>garage!M159</f>
        <v>Imola</v>
      </c>
      <c r="O159" s="46">
        <v>360</v>
      </c>
      <c r="P159" s="46">
        <v>73</v>
      </c>
      <c r="Q159" s="46">
        <v>47.83</v>
      </c>
      <c r="R159" s="46">
        <v>51.73</v>
      </c>
      <c r="S159" s="48">
        <f t="shared" si="2"/>
        <v>133.13999999999999</v>
      </c>
      <c r="U159" s="10">
        <v>38</v>
      </c>
    </row>
    <row r="160" spans="2:21" ht="18" customHeight="1" x14ac:dyDescent="0.2">
      <c r="B160" s="8">
        <f>garage!B160</f>
        <v>160</v>
      </c>
      <c r="C160" s="8">
        <f>garage!C160</f>
        <v>4</v>
      </c>
      <c r="D160" s="8">
        <f>garage!D160</f>
        <v>39</v>
      </c>
      <c r="E160" s="8">
        <f>garage!E160</f>
        <v>30</v>
      </c>
      <c r="F160" s="8" t="str">
        <f>garage!F160</f>
        <v>--</v>
      </c>
      <c r="G160" s="8" t="str">
        <f>garage!G160</f>
        <v>N</v>
      </c>
      <c r="H160" s="8" t="str">
        <f>garage!H160</f>
        <v>N</v>
      </c>
      <c r="I160" s="8" t="str">
        <f>garage!I160</f>
        <v>N</v>
      </c>
      <c r="J160" s="8" t="str">
        <f>garage!J160</f>
        <v>N</v>
      </c>
      <c r="K160" s="8" t="str">
        <f>garage!K160</f>
        <v>A</v>
      </c>
      <c r="L160" s="9" t="str">
        <f>garage!L160</f>
        <v>Jaguar</v>
      </c>
      <c r="M160" s="9" t="str">
        <f>garage!M160</f>
        <v>XJR-9</v>
      </c>
      <c r="O160" s="45">
        <v>394</v>
      </c>
      <c r="P160" s="45">
        <v>60.4</v>
      </c>
      <c r="Q160" s="45">
        <v>53.61</v>
      </c>
      <c r="R160" s="45">
        <v>64.180000000000007</v>
      </c>
      <c r="S160" s="47">
        <f t="shared" si="2"/>
        <v>143.04750000000001</v>
      </c>
      <c r="U160" s="8">
        <v>39</v>
      </c>
    </row>
    <row r="161" spans="2:21" ht="18" customHeight="1" x14ac:dyDescent="0.2">
      <c r="B161" s="10">
        <f>garage!B161</f>
        <v>161</v>
      </c>
      <c r="C161" s="10">
        <f>garage!C161</f>
        <v>4</v>
      </c>
      <c r="D161" s="10">
        <f>garage!D161</f>
        <v>40</v>
      </c>
      <c r="E161" s="10">
        <f>garage!E161</f>
        <v>25</v>
      </c>
      <c r="F161" s="10" t="str">
        <f>garage!F161</f>
        <v>L</v>
      </c>
      <c r="G161" s="10" t="str">
        <f>garage!G161</f>
        <v>N</v>
      </c>
      <c r="H161" s="10" t="str">
        <f>garage!H161</f>
        <v>N</v>
      </c>
      <c r="I161" s="10" t="str">
        <f>garage!I161</f>
        <v>N</v>
      </c>
      <c r="J161" s="10" t="str">
        <f>garage!J161</f>
        <v>N</v>
      </c>
      <c r="K161" s="10" t="str">
        <f>garage!K161</f>
        <v>A</v>
      </c>
      <c r="L161" s="11" t="str">
        <f>garage!L161</f>
        <v>Lamborghini</v>
      </c>
      <c r="M161" s="11" t="str">
        <f>garage!M161</f>
        <v>Countach LPI 800-4</v>
      </c>
      <c r="O161" s="46">
        <v>355</v>
      </c>
      <c r="P161" s="46">
        <v>74.8</v>
      </c>
      <c r="Q161" s="46">
        <v>55.84</v>
      </c>
      <c r="R161" s="46">
        <v>52.24</v>
      </c>
      <c r="S161" s="48">
        <f t="shared" si="2"/>
        <v>134.47</v>
      </c>
      <c r="U161" s="10">
        <v>40</v>
      </c>
    </row>
    <row r="162" spans="2:21" ht="18" customHeight="1" x14ac:dyDescent="0.2">
      <c r="B162" s="8">
        <f>garage!B162</f>
        <v>162</v>
      </c>
      <c r="C162" s="8">
        <f>garage!C162</f>
        <v>4</v>
      </c>
      <c r="D162" s="8">
        <f>garage!D162</f>
        <v>99</v>
      </c>
      <c r="E162" s="8">
        <f>garage!E162</f>
        <v>20</v>
      </c>
      <c r="F162" s="8" t="str">
        <f>garage!F162</f>
        <v>--</v>
      </c>
      <c r="G162" s="8" t="str">
        <f>garage!G162</f>
        <v>N</v>
      </c>
      <c r="H162" s="8" t="str">
        <f>garage!H162</f>
        <v>N</v>
      </c>
      <c r="I162" s="8" t="str">
        <f>garage!I162</f>
        <v>N</v>
      </c>
      <c r="J162" s="8" t="str">
        <f>garage!J162</f>
        <v>N</v>
      </c>
      <c r="K162" s="8" t="str">
        <f>garage!K162</f>
        <v>A</v>
      </c>
      <c r="L162" s="9" t="str">
        <f>garage!L162</f>
        <v>Lego Technic McLaren</v>
      </c>
      <c r="M162" s="9" t="str">
        <f>garage!M162</f>
        <v>Senna GTR</v>
      </c>
      <c r="O162" s="45">
        <v>335</v>
      </c>
      <c r="P162" s="45">
        <v>74.8</v>
      </c>
      <c r="Q162" s="45">
        <v>57.64</v>
      </c>
      <c r="R162" s="45">
        <v>49.12</v>
      </c>
      <c r="S162" s="47">
        <f t="shared" si="2"/>
        <v>129.13999999999999</v>
      </c>
      <c r="U162" s="8">
        <v>99</v>
      </c>
    </row>
    <row r="163" spans="2:21" ht="18" customHeight="1" x14ac:dyDescent="0.2">
      <c r="B163" s="10">
        <f>garage!B163</f>
        <v>163</v>
      </c>
      <c r="C163" s="10">
        <f>garage!C163</f>
        <v>5</v>
      </c>
      <c r="D163" s="10">
        <f>garage!D163</f>
        <v>1</v>
      </c>
      <c r="E163" s="10">
        <f>garage!E163</f>
        <v>0</v>
      </c>
      <c r="F163" s="10" t="str">
        <f>garage!F163</f>
        <v>L</v>
      </c>
      <c r="G163" s="10" t="str">
        <f>garage!G163</f>
        <v>O</v>
      </c>
      <c r="H163" s="10" t="str">
        <f>garage!H163</f>
        <v>O</v>
      </c>
      <c r="I163" s="10" t="str">
        <f>garage!I163</f>
        <v>O</v>
      </c>
      <c r="J163" s="10" t="str">
        <f>garage!J163</f>
        <v>N</v>
      </c>
      <c r="K163" s="10" t="str">
        <f>garage!K163</f>
        <v>S</v>
      </c>
      <c r="L163" s="11" t="str">
        <f>garage!L163</f>
        <v>Lamborghini</v>
      </c>
      <c r="M163" s="11" t="str">
        <f>garage!M163</f>
        <v>Centenario</v>
      </c>
      <c r="O163" s="46">
        <v>350</v>
      </c>
      <c r="P163" s="46">
        <v>74.8</v>
      </c>
      <c r="Q163" s="46">
        <v>39.22</v>
      </c>
      <c r="R163" s="46">
        <v>61.9</v>
      </c>
      <c r="S163" s="48">
        <f t="shared" si="2"/>
        <v>131.47999999999999</v>
      </c>
      <c r="U163" s="10">
        <v>1</v>
      </c>
    </row>
    <row r="164" spans="2:21" ht="18" customHeight="1" x14ac:dyDescent="0.2">
      <c r="B164" s="8">
        <f>garage!B164</f>
        <v>164</v>
      </c>
      <c r="C164" s="8">
        <f>garage!C164</f>
        <v>5</v>
      </c>
      <c r="D164" s="8">
        <f>garage!D164</f>
        <v>2</v>
      </c>
      <c r="E164" s="8">
        <f>garage!E164</f>
        <v>0</v>
      </c>
      <c r="F164" s="8" t="str">
        <f>garage!F164</f>
        <v>F</v>
      </c>
      <c r="G164" s="8" t="str">
        <f>garage!G164</f>
        <v>O</v>
      </c>
      <c r="H164" s="8" t="str">
        <f>garage!H164</f>
        <v>O</v>
      </c>
      <c r="I164" s="8" t="str">
        <f>garage!I164</f>
        <v>O</v>
      </c>
      <c r="J164" s="8" t="str">
        <f>garage!J164</f>
        <v>N</v>
      </c>
      <c r="K164" s="8" t="str">
        <f>garage!K164</f>
        <v>S</v>
      </c>
      <c r="L164" s="9" t="str">
        <f>garage!L164</f>
        <v>Ferrari</v>
      </c>
      <c r="M164" s="9" t="str">
        <f>garage!M164</f>
        <v>FXX K</v>
      </c>
      <c r="O164" s="45">
        <v>350</v>
      </c>
      <c r="P164" s="45">
        <v>76.59</v>
      </c>
      <c r="Q164" s="45">
        <v>38.450000000000003</v>
      </c>
      <c r="R164" s="45">
        <v>64.95</v>
      </c>
      <c r="S164" s="47">
        <f t="shared" si="2"/>
        <v>132.4975</v>
      </c>
      <c r="U164" s="8">
        <v>2</v>
      </c>
    </row>
    <row r="165" spans="2:21" ht="18" customHeight="1" x14ac:dyDescent="0.2">
      <c r="B165" s="10">
        <f>garage!B165</f>
        <v>165</v>
      </c>
      <c r="C165" s="10">
        <f>garage!C165</f>
        <v>5</v>
      </c>
      <c r="D165" s="10">
        <f>garage!D165</f>
        <v>3</v>
      </c>
      <c r="E165" s="10">
        <f>garage!E165</f>
        <v>0</v>
      </c>
      <c r="F165" s="10" t="str">
        <f>garage!F165</f>
        <v>--</v>
      </c>
      <c r="G165" s="10" t="str">
        <f>garage!G165</f>
        <v>O</v>
      </c>
      <c r="H165" s="10" t="str">
        <f>garage!H165</f>
        <v>O</v>
      </c>
      <c r="I165" s="10" t="str">
        <f>garage!I165</f>
        <v>O</v>
      </c>
      <c r="J165" s="10" t="str">
        <f>garage!J165</f>
        <v>N</v>
      </c>
      <c r="K165" s="10" t="str">
        <f>garage!K165</f>
        <v>S</v>
      </c>
      <c r="L165" s="11" t="str">
        <f>garage!L165</f>
        <v>Icona</v>
      </c>
      <c r="M165" s="11" t="str">
        <f>garage!M165</f>
        <v>Vulcano Titanium</v>
      </c>
      <c r="O165" s="46">
        <v>370</v>
      </c>
      <c r="P165" s="46">
        <v>75.7</v>
      </c>
      <c r="Q165" s="46">
        <v>35.26</v>
      </c>
      <c r="R165" s="46">
        <v>53.84</v>
      </c>
      <c r="S165" s="48">
        <f t="shared" si="2"/>
        <v>133.69999999999999</v>
      </c>
      <c r="U165" s="10">
        <v>3</v>
      </c>
    </row>
    <row r="166" spans="2:21" ht="18" customHeight="1" x14ac:dyDescent="0.2">
      <c r="B166" s="8">
        <f>garage!B166</f>
        <v>166</v>
      </c>
      <c r="C166" s="8">
        <f>garage!C166</f>
        <v>5</v>
      </c>
      <c r="D166" s="8">
        <f>garage!D166</f>
        <v>4</v>
      </c>
      <c r="E166" s="8">
        <f>garage!E166</f>
        <v>0</v>
      </c>
      <c r="F166" s="8" t="str">
        <f>garage!F166</f>
        <v>--</v>
      </c>
      <c r="G166" s="8" t="str">
        <f>garage!G166</f>
        <v>O</v>
      </c>
      <c r="H166" s="8" t="str">
        <f>garage!H166</f>
        <v>O</v>
      </c>
      <c r="I166" s="8" t="str">
        <f>garage!I166</f>
        <v>O</v>
      </c>
      <c r="J166" s="8" t="str">
        <f>garage!J166</f>
        <v>N</v>
      </c>
      <c r="K166" s="8" t="str">
        <f>garage!K166</f>
        <v>S</v>
      </c>
      <c r="L166" s="9" t="str">
        <f>garage!L166</f>
        <v>W Motors</v>
      </c>
      <c r="M166" s="9" t="str">
        <f>garage!M166</f>
        <v>Lykan Hypersport</v>
      </c>
      <c r="O166" s="45">
        <v>395</v>
      </c>
      <c r="P166" s="45">
        <v>74.8</v>
      </c>
      <c r="Q166" s="45">
        <v>37</v>
      </c>
      <c r="R166" s="45">
        <v>39.79</v>
      </c>
      <c r="S166" s="47">
        <f t="shared" si="2"/>
        <v>136.64750000000001</v>
      </c>
      <c r="U166" s="8">
        <v>4</v>
      </c>
    </row>
    <row r="167" spans="2:21" ht="18" customHeight="1" x14ac:dyDescent="0.2">
      <c r="B167" s="10">
        <f>garage!B167</f>
        <v>167</v>
      </c>
      <c r="C167" s="10">
        <f>garage!C167</f>
        <v>5</v>
      </c>
      <c r="D167" s="10">
        <f>garage!D167</f>
        <v>5</v>
      </c>
      <c r="E167" s="10">
        <f>garage!E167</f>
        <v>21</v>
      </c>
      <c r="F167" s="10" t="str">
        <f>garage!F167</f>
        <v>--</v>
      </c>
      <c r="G167" s="10" t="str">
        <f>garage!G167</f>
        <v>N</v>
      </c>
      <c r="H167" s="10" t="str">
        <f>garage!H167</f>
        <v>N</v>
      </c>
      <c r="I167" s="10" t="str">
        <f>garage!I167</f>
        <v>N</v>
      </c>
      <c r="J167" s="10" t="str">
        <f>garage!J167</f>
        <v>N</v>
      </c>
      <c r="K167" s="10" t="str">
        <f>garage!K167</f>
        <v>S</v>
      </c>
      <c r="L167" s="11" t="str">
        <f>garage!L167</f>
        <v>Raesr</v>
      </c>
      <c r="M167" s="11" t="str">
        <f>garage!M167</f>
        <v>Tachyon Speed</v>
      </c>
      <c r="O167" s="46">
        <v>389</v>
      </c>
      <c r="P167" s="46">
        <v>73.45</v>
      </c>
      <c r="Q167" s="46">
        <v>44.85</v>
      </c>
      <c r="R167" s="46">
        <v>43.75</v>
      </c>
      <c r="S167" s="48">
        <f t="shared" si="2"/>
        <v>137.76249999999999</v>
      </c>
      <c r="U167" s="10">
        <v>5</v>
      </c>
    </row>
    <row r="168" spans="2:21" ht="18" customHeight="1" x14ac:dyDescent="0.2">
      <c r="B168" s="8">
        <f>garage!B168</f>
        <v>168</v>
      </c>
      <c r="C168" s="8">
        <f>garage!C168</f>
        <v>5</v>
      </c>
      <c r="D168" s="8">
        <f>garage!D168</f>
        <v>6</v>
      </c>
      <c r="E168" s="8">
        <f>garage!E168</f>
        <v>12</v>
      </c>
      <c r="F168" s="8" t="str">
        <f>garage!F168</f>
        <v>L</v>
      </c>
      <c r="G168" s="8" t="str">
        <f>garage!G168</f>
        <v>O</v>
      </c>
      <c r="H168" s="8" t="str">
        <f>garage!H168</f>
        <v>O</v>
      </c>
      <c r="I168" s="8" t="str">
        <f>garage!I168</f>
        <v>O</v>
      </c>
      <c r="J168" s="8" t="str">
        <f>garage!J168</f>
        <v>N</v>
      </c>
      <c r="K168" s="8" t="str">
        <f>garage!K168</f>
        <v>S</v>
      </c>
      <c r="L168" s="9" t="str">
        <f>garage!L168</f>
        <v>Lamborghini</v>
      </c>
      <c r="M168" s="9" t="str">
        <f>garage!M168</f>
        <v>Veneno</v>
      </c>
      <c r="O168" s="45">
        <v>355</v>
      </c>
      <c r="P168" s="45">
        <v>73.900000000000006</v>
      </c>
      <c r="Q168" s="45">
        <v>53.52</v>
      </c>
      <c r="R168" s="45">
        <v>61.51</v>
      </c>
      <c r="S168" s="47">
        <f t="shared" si="2"/>
        <v>135.98249999999999</v>
      </c>
      <c r="U168" s="8">
        <v>6</v>
      </c>
    </row>
    <row r="169" spans="2:21" ht="18" customHeight="1" x14ac:dyDescent="0.2">
      <c r="B169" s="10">
        <f>garage!B169</f>
        <v>169</v>
      </c>
      <c r="C169" s="10">
        <f>garage!C169</f>
        <v>5</v>
      </c>
      <c r="D169" s="10">
        <f>garage!D169</f>
        <v>7</v>
      </c>
      <c r="E169" s="10">
        <f>garage!E169</f>
        <v>23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garage!J169</f>
        <v>N</v>
      </c>
      <c r="K169" s="10" t="str">
        <f>garage!K169</f>
        <v>S</v>
      </c>
      <c r="L169" s="11" t="str">
        <f>garage!L169</f>
        <v>Jaguar</v>
      </c>
      <c r="M169" s="11" t="str">
        <f>garage!M169</f>
        <v>XJ220S TWR</v>
      </c>
      <c r="O169" s="46">
        <v>368</v>
      </c>
      <c r="P169" s="46">
        <v>70.3</v>
      </c>
      <c r="Q169" s="46">
        <v>50.19</v>
      </c>
      <c r="R169" s="46">
        <v>67.37</v>
      </c>
      <c r="S169" s="48">
        <f t="shared" si="2"/>
        <v>138.965</v>
      </c>
      <c r="U169" s="10">
        <v>7</v>
      </c>
    </row>
    <row r="170" spans="2:21" ht="18" customHeight="1" x14ac:dyDescent="0.2">
      <c r="B170" s="8">
        <f>garage!B170</f>
        <v>170</v>
      </c>
      <c r="C170" s="8">
        <f>garage!C170</f>
        <v>5</v>
      </c>
      <c r="D170" s="8">
        <f>garage!D170</f>
        <v>8</v>
      </c>
      <c r="E170" s="8">
        <f>garage!E170</f>
        <v>0</v>
      </c>
      <c r="F170" s="8" t="str">
        <f>garage!F170</f>
        <v>L</v>
      </c>
      <c r="G170" s="8" t="str">
        <f>garage!G170</f>
        <v>O</v>
      </c>
      <c r="H170" s="8" t="str">
        <f>garage!H170</f>
        <v>O</v>
      </c>
      <c r="I170" s="8" t="str">
        <f>garage!I170</f>
        <v>O</v>
      </c>
      <c r="J170" s="8" t="str">
        <f>garage!J170</f>
        <v>N</v>
      </c>
      <c r="K170" s="8" t="str">
        <f>garage!K170</f>
        <v>S</v>
      </c>
      <c r="L170" s="9" t="str">
        <f>garage!L170</f>
        <v>Lamborghini</v>
      </c>
      <c r="M170" s="9" t="str">
        <f>garage!M170</f>
        <v>Egoista</v>
      </c>
      <c r="O170" s="45">
        <v>350</v>
      </c>
      <c r="P170" s="45">
        <v>78.400000000000006</v>
      </c>
      <c r="Q170" s="45">
        <v>49.16</v>
      </c>
      <c r="R170" s="45">
        <v>65.97</v>
      </c>
      <c r="S170" s="47">
        <f t="shared" si="2"/>
        <v>135.88249999999999</v>
      </c>
      <c r="U170" s="8">
        <v>8</v>
      </c>
    </row>
    <row r="171" spans="2:21" ht="18" customHeight="1" x14ac:dyDescent="0.2">
      <c r="B171" s="10">
        <f>garage!B171</f>
        <v>171</v>
      </c>
      <c r="C171" s="10">
        <f>garage!C171</f>
        <v>5</v>
      </c>
      <c r="D171" s="10">
        <f>garage!D171</f>
        <v>9</v>
      </c>
      <c r="E171" s="10">
        <f>garage!E171</f>
        <v>28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garage!J171</f>
        <v>N</v>
      </c>
      <c r="K171" s="10" t="str">
        <f>garage!K171</f>
        <v>S</v>
      </c>
      <c r="L171" s="11" t="str">
        <f>garage!L171</f>
        <v>Chrysler</v>
      </c>
      <c r="M171" s="11" t="str">
        <f>garage!M171</f>
        <v>ME412</v>
      </c>
      <c r="O171" s="46">
        <v>385.8</v>
      </c>
      <c r="P171" s="46">
        <v>67.599999999999994</v>
      </c>
      <c r="Q171" s="46">
        <v>54.84</v>
      </c>
      <c r="R171" s="46">
        <v>48.95</v>
      </c>
      <c r="S171" s="48">
        <f t="shared" si="2"/>
        <v>139.29750000000001</v>
      </c>
      <c r="U171" s="10">
        <v>9</v>
      </c>
    </row>
    <row r="172" spans="2:21" ht="18" customHeight="1" x14ac:dyDescent="0.2">
      <c r="B172" s="8">
        <f>garage!B172</f>
        <v>172</v>
      </c>
      <c r="C172" s="8">
        <f>garage!C172</f>
        <v>5</v>
      </c>
      <c r="D172" s="8">
        <f>garage!D172</f>
        <v>10</v>
      </c>
      <c r="E172" s="8">
        <f>garage!E172</f>
        <v>0</v>
      </c>
      <c r="F172" s="8" t="str">
        <f>garage!F172</f>
        <v>--</v>
      </c>
      <c r="G172" s="8" t="str">
        <f>garage!G172</f>
        <v>O</v>
      </c>
      <c r="H172" s="8" t="str">
        <f>garage!H172</f>
        <v>O</v>
      </c>
      <c r="I172" s="8" t="str">
        <f>garage!I172</f>
        <v>O</v>
      </c>
      <c r="J172" s="8" t="str">
        <f>garage!J172</f>
        <v>N</v>
      </c>
      <c r="K172" s="8" t="str">
        <f>garage!K172</f>
        <v>S</v>
      </c>
      <c r="L172" s="9" t="str">
        <f>garage!L172</f>
        <v>Trion</v>
      </c>
      <c r="M172" s="9" t="str">
        <f>garage!M172</f>
        <v>Nemesis</v>
      </c>
      <c r="O172" s="45">
        <v>434</v>
      </c>
      <c r="P172" s="45">
        <v>73.900000000000006</v>
      </c>
      <c r="Q172" s="45">
        <v>39.450000000000003</v>
      </c>
      <c r="R172" s="45">
        <v>35.92</v>
      </c>
      <c r="S172" s="47">
        <f t="shared" si="2"/>
        <v>145.8175</v>
      </c>
      <c r="U172" s="8">
        <v>10</v>
      </c>
    </row>
    <row r="173" spans="2:21" ht="18" customHeight="1" x14ac:dyDescent="0.2">
      <c r="B173" s="10">
        <f>garage!B173</f>
        <v>173</v>
      </c>
      <c r="C173" s="10">
        <f>garage!C173</f>
        <v>5</v>
      </c>
      <c r="D173" s="10">
        <f>garage!D173</f>
        <v>11</v>
      </c>
      <c r="E173" s="10">
        <f>garage!E173</f>
        <v>29</v>
      </c>
      <c r="F173" s="10" t="str">
        <f>garage!F173</f>
        <v>--</v>
      </c>
      <c r="G173" s="10" t="str">
        <f>garage!G173</f>
        <v>N</v>
      </c>
      <c r="H173" s="10" t="str">
        <f>garage!H173</f>
        <v>N</v>
      </c>
      <c r="I173" s="10" t="str">
        <f>garage!I173</f>
        <v>N</v>
      </c>
      <c r="J173" s="10" t="str">
        <f>garage!J173</f>
        <v>N</v>
      </c>
      <c r="K173" s="10" t="str">
        <f>garage!K173</f>
        <v>S</v>
      </c>
      <c r="L173" s="11" t="str">
        <f>garage!L173</f>
        <v>Spania GTA</v>
      </c>
      <c r="M173" s="11" t="str">
        <f>garage!M173</f>
        <v>2015 GTA Spano</v>
      </c>
      <c r="O173" s="46">
        <v>373</v>
      </c>
      <c r="P173" s="46">
        <v>73.900000000000006</v>
      </c>
      <c r="Q173" s="46">
        <v>49.08</v>
      </c>
      <c r="R173" s="46">
        <v>53.09</v>
      </c>
      <c r="S173" s="48">
        <f t="shared" si="2"/>
        <v>137.26749999999998</v>
      </c>
      <c r="U173" s="10">
        <v>11</v>
      </c>
    </row>
    <row r="174" spans="2:21" ht="18" customHeight="1" x14ac:dyDescent="0.2">
      <c r="B174" s="8">
        <f>garage!B174</f>
        <v>174</v>
      </c>
      <c r="C174" s="8">
        <f>garage!C174</f>
        <v>5</v>
      </c>
      <c r="D174" s="8">
        <f>garage!D174</f>
        <v>12</v>
      </c>
      <c r="E174" s="8">
        <f>garage!E174</f>
        <v>15</v>
      </c>
      <c r="F174" s="8" t="str">
        <f>garage!F174</f>
        <v>F</v>
      </c>
      <c r="G174" s="8" t="str">
        <f>garage!G174</f>
        <v>O</v>
      </c>
      <c r="H174" s="8" t="str">
        <f>garage!H174</f>
        <v>N</v>
      </c>
      <c r="I174" s="8" t="str">
        <f>garage!I174</f>
        <v>N</v>
      </c>
      <c r="J174" s="8" t="str">
        <f>garage!J174</f>
        <v>N</v>
      </c>
      <c r="K174" s="8" t="str">
        <f>garage!K174</f>
        <v>S</v>
      </c>
      <c r="L174" s="9" t="str">
        <f>garage!L174</f>
        <v>Ferrari</v>
      </c>
      <c r="M174" s="9" t="str">
        <f>garage!M174</f>
        <v>SF90 Stradale</v>
      </c>
      <c r="O174" s="45">
        <v>340</v>
      </c>
      <c r="P174" s="45">
        <v>77.5</v>
      </c>
      <c r="Q174" s="45">
        <v>66.86</v>
      </c>
      <c r="R174" s="45">
        <v>51.64</v>
      </c>
      <c r="S174" s="47">
        <f t="shared" ref="S174" si="3">AVERAGE(O174:R174)</f>
        <v>134</v>
      </c>
      <c r="U174" s="8">
        <v>12</v>
      </c>
    </row>
    <row r="175" spans="2:21" ht="18" customHeight="1" x14ac:dyDescent="0.2">
      <c r="B175" s="10">
        <f>garage!B175</f>
        <v>175</v>
      </c>
      <c r="C175" s="10">
        <f>garage!C175</f>
        <v>5</v>
      </c>
      <c r="D175" s="10">
        <f>garage!D175</f>
        <v>13</v>
      </c>
      <c r="E175" s="10">
        <f>garage!E175</f>
        <v>30</v>
      </c>
      <c r="F175" s="10" t="str">
        <f>garage!F175</f>
        <v>--</v>
      </c>
      <c r="G175" s="10" t="str">
        <f>garage!G175</f>
        <v>N</v>
      </c>
      <c r="H175" s="10" t="str">
        <f>garage!H175</f>
        <v>N</v>
      </c>
      <c r="I175" s="10" t="str">
        <f>garage!I175</f>
        <v>N</v>
      </c>
      <c r="J175" s="10" t="str">
        <f>garage!J175</f>
        <v>N</v>
      </c>
      <c r="K175" s="10" t="str">
        <f>garage!K175</f>
        <v>S</v>
      </c>
      <c r="L175" s="11" t="str">
        <f>garage!L175</f>
        <v>FV Frangivento</v>
      </c>
      <c r="M175" s="11" t="str">
        <f>garage!M175</f>
        <v>Sorpasso GT3</v>
      </c>
      <c r="O175" s="46">
        <v>382.2</v>
      </c>
      <c r="P175" s="46">
        <v>78.400000000000006</v>
      </c>
      <c r="Q175" s="46">
        <v>48.34</v>
      </c>
      <c r="R175" s="46">
        <v>17.079999999999998</v>
      </c>
      <c r="S175" s="48">
        <f t="shared" si="2"/>
        <v>131.50500000000002</v>
      </c>
      <c r="U175" s="10">
        <v>13</v>
      </c>
    </row>
    <row r="176" spans="2:21" ht="18" customHeight="1" x14ac:dyDescent="0.2">
      <c r="B176" s="8">
        <f>garage!B176</f>
        <v>176</v>
      </c>
      <c r="C176" s="8">
        <f>garage!C176</f>
        <v>5</v>
      </c>
      <c r="D176" s="8">
        <f>garage!D176</f>
        <v>14</v>
      </c>
      <c r="E176" s="8">
        <f>garage!E176</f>
        <v>7</v>
      </c>
      <c r="F176" s="8" t="str">
        <f>garage!F176</f>
        <v>M</v>
      </c>
      <c r="G176" s="8" t="str">
        <f>garage!G176</f>
        <v>O</v>
      </c>
      <c r="H176" s="8" t="str">
        <f>garage!H176</f>
        <v>N</v>
      </c>
      <c r="I176" s="8" t="str">
        <f>garage!I176</f>
        <v>N</v>
      </c>
      <c r="J176" s="8" t="str">
        <f>garage!J176</f>
        <v>N</v>
      </c>
      <c r="K176" s="8" t="str">
        <f>garage!K176</f>
        <v>S</v>
      </c>
      <c r="L176" s="9" t="str">
        <f>garage!L176</f>
        <v>McLaren</v>
      </c>
      <c r="M176" s="9" t="str">
        <f>garage!M176</f>
        <v>Senna</v>
      </c>
      <c r="O176" s="45">
        <v>335</v>
      </c>
      <c r="P176" s="45">
        <v>74.8</v>
      </c>
      <c r="Q176" s="45">
        <v>73.569999999999993</v>
      </c>
      <c r="R176" s="45">
        <v>53.07</v>
      </c>
      <c r="S176" s="47">
        <f t="shared" si="2"/>
        <v>134.11000000000001</v>
      </c>
      <c r="U176" s="8">
        <v>14</v>
      </c>
    </row>
    <row r="177" spans="2:21" ht="18" customHeight="1" x14ac:dyDescent="0.2">
      <c r="B177" s="10">
        <f>garage!B177</f>
        <v>177</v>
      </c>
      <c r="C177" s="10">
        <f>garage!C177</f>
        <v>5</v>
      </c>
      <c r="D177" s="10">
        <f>garage!D177</f>
        <v>15</v>
      </c>
      <c r="E177" s="10">
        <f>garage!E177</f>
        <v>20</v>
      </c>
      <c r="F177" s="10" t="str">
        <f>garage!F177</f>
        <v>B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 t="str">
        <f>garage!J177</f>
        <v>N</v>
      </c>
      <c r="K177" s="10" t="str">
        <f>garage!K177</f>
        <v>S</v>
      </c>
      <c r="L177" s="11" t="str">
        <f>garage!L177</f>
        <v>Bugatti</v>
      </c>
      <c r="M177" s="11" t="str">
        <f>garage!M177</f>
        <v>Veyron 16.4 Grand Sport Vitesse</v>
      </c>
      <c r="O177" s="46">
        <v>410</v>
      </c>
      <c r="P177" s="46">
        <v>76.599999999999994</v>
      </c>
      <c r="Q177" s="46">
        <v>40.200000000000003</v>
      </c>
      <c r="R177" s="46">
        <v>37</v>
      </c>
      <c r="S177" s="48">
        <f t="shared" si="2"/>
        <v>140.95000000000002</v>
      </c>
      <c r="U177" s="10">
        <v>15</v>
      </c>
    </row>
    <row r="178" spans="2:21" ht="18" customHeight="1" x14ac:dyDescent="0.2">
      <c r="B178" s="8">
        <f>garage!B178</f>
        <v>178</v>
      </c>
      <c r="C178" s="8">
        <f>garage!C178</f>
        <v>5</v>
      </c>
      <c r="D178" s="8">
        <f>garage!D178</f>
        <v>16</v>
      </c>
      <c r="E178" s="8">
        <f>garage!E178</f>
        <v>0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 t="str">
        <f>garage!J178</f>
        <v>N</v>
      </c>
      <c r="K178" s="8" t="str">
        <f>garage!K178</f>
        <v>S</v>
      </c>
      <c r="L178" s="9" t="str">
        <f>garage!L178</f>
        <v>Lamborghini</v>
      </c>
      <c r="M178" s="9" t="str">
        <f>garage!M178</f>
        <v>Terzo Millennio</v>
      </c>
      <c r="O178" s="45">
        <v>380.8</v>
      </c>
      <c r="P178" s="45">
        <v>78.19</v>
      </c>
      <c r="Q178" s="45">
        <v>45.16</v>
      </c>
      <c r="R178" s="45">
        <v>54.79</v>
      </c>
      <c r="S178" s="47">
        <f t="shared" si="2"/>
        <v>139.73499999999999</v>
      </c>
      <c r="U178" s="8">
        <v>16</v>
      </c>
    </row>
    <row r="179" spans="2:21" ht="18" customHeight="1" x14ac:dyDescent="0.2">
      <c r="B179" s="10">
        <f>garage!B179</f>
        <v>179</v>
      </c>
      <c r="C179" s="10">
        <f>garage!C179</f>
        <v>5</v>
      </c>
      <c r="D179" s="10">
        <f>garage!D179</f>
        <v>17</v>
      </c>
      <c r="E179" s="10">
        <f>garage!E179</f>
        <v>24</v>
      </c>
      <c r="F179" s="10" t="str">
        <f>garage!F179</f>
        <v>--</v>
      </c>
      <c r="G179" s="10" t="str">
        <f>garage!G179</f>
        <v>O</v>
      </c>
      <c r="H179" s="10" t="str">
        <f>garage!H179</f>
        <v>N</v>
      </c>
      <c r="I179" s="10" t="str">
        <f>garage!I179</f>
        <v>N</v>
      </c>
      <c r="J179" s="10" t="str">
        <f>garage!J179</f>
        <v>N</v>
      </c>
      <c r="K179" s="10" t="str">
        <f>garage!K179</f>
        <v>S</v>
      </c>
      <c r="L179" s="11" t="str">
        <f>garage!L179</f>
        <v>Vision</v>
      </c>
      <c r="M179" s="11">
        <f>garage!M179</f>
        <v>1789</v>
      </c>
      <c r="O179" s="46">
        <v>380</v>
      </c>
      <c r="P179" s="46">
        <v>74.8</v>
      </c>
      <c r="Q179" s="46">
        <v>44.08</v>
      </c>
      <c r="R179" s="46">
        <v>47.32</v>
      </c>
      <c r="S179" s="48">
        <f t="shared" si="2"/>
        <v>136.55000000000001</v>
      </c>
      <c r="U179" s="10">
        <v>17</v>
      </c>
    </row>
    <row r="180" spans="2:21" ht="18" customHeight="1" x14ac:dyDescent="0.2">
      <c r="B180" s="8">
        <f>garage!B180</f>
        <v>180</v>
      </c>
      <c r="C180" s="8">
        <f>garage!C180</f>
        <v>5</v>
      </c>
      <c r="D180" s="8">
        <f>garage!D180</f>
        <v>18</v>
      </c>
      <c r="E180" s="8">
        <f>garage!E180</f>
        <v>0</v>
      </c>
      <c r="F180" s="8" t="str">
        <f>garage!F180</f>
        <v>--</v>
      </c>
      <c r="G180" s="8" t="str">
        <f>garage!G180</f>
        <v>O</v>
      </c>
      <c r="H180" s="8" t="str">
        <f>garage!H180</f>
        <v>O</v>
      </c>
      <c r="I180" s="8" t="str">
        <f>garage!I180</f>
        <v>N</v>
      </c>
      <c r="J180" s="8" t="str">
        <f>garage!J180</f>
        <v>N</v>
      </c>
      <c r="K180" s="8" t="str">
        <f>garage!K180</f>
        <v>S</v>
      </c>
      <c r="L180" s="9" t="str">
        <f>garage!L180</f>
        <v>W Motors</v>
      </c>
      <c r="M180" s="9" t="str">
        <f>garage!M180</f>
        <v>Fenyr Supersport</v>
      </c>
      <c r="O180" s="45">
        <v>405</v>
      </c>
      <c r="P180" s="45">
        <v>75.7</v>
      </c>
      <c r="Q180" s="45">
        <v>37.700000000000003</v>
      </c>
      <c r="R180" s="45">
        <v>60.97</v>
      </c>
      <c r="S180" s="47">
        <f t="shared" si="2"/>
        <v>144.8425</v>
      </c>
      <c r="U180" s="8">
        <v>18</v>
      </c>
    </row>
    <row r="181" spans="2:21" ht="18" customHeight="1" x14ac:dyDescent="0.2">
      <c r="B181" s="10">
        <f>garage!B181</f>
        <v>181</v>
      </c>
      <c r="C181" s="10">
        <f>garage!C181</f>
        <v>5</v>
      </c>
      <c r="D181" s="10">
        <f>garage!D181</f>
        <v>19</v>
      </c>
      <c r="E181" s="10">
        <f>garage!E181</f>
        <v>19</v>
      </c>
      <c r="F181" s="10" t="str">
        <f>garage!F181</f>
        <v>AM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 t="str">
        <f>garage!J181</f>
        <v>N</v>
      </c>
      <c r="K181" s="10" t="str">
        <f>garage!K181</f>
        <v>S</v>
      </c>
      <c r="L181" s="11" t="str">
        <f>garage!L181</f>
        <v>Aston Martin</v>
      </c>
      <c r="M181" s="11" t="str">
        <f>garage!M181</f>
        <v>Valkyrie</v>
      </c>
      <c r="O181" s="46">
        <v>360</v>
      </c>
      <c r="P181" s="46">
        <v>73</v>
      </c>
      <c r="Q181" s="46">
        <v>52.9</v>
      </c>
      <c r="R181" s="46">
        <v>57.97</v>
      </c>
      <c r="S181" s="48">
        <f t="shared" si="2"/>
        <v>135.9675</v>
      </c>
      <c r="U181" s="10">
        <v>19</v>
      </c>
    </row>
    <row r="182" spans="2:21" ht="18" customHeight="1" x14ac:dyDescent="0.2">
      <c r="B182" s="8">
        <f>garage!B182</f>
        <v>182</v>
      </c>
      <c r="C182" s="8">
        <f>garage!C182</f>
        <v>5</v>
      </c>
      <c r="D182" s="8">
        <f>garage!D182</f>
        <v>20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N</v>
      </c>
      <c r="J182" s="8" t="str">
        <f>garage!J182</f>
        <v>N</v>
      </c>
      <c r="K182" s="8" t="str">
        <f>garage!K182</f>
        <v>S</v>
      </c>
      <c r="L182" s="9" t="str">
        <f>garage!L182</f>
        <v>Zenvo</v>
      </c>
      <c r="M182" s="9" t="str">
        <f>garage!M182</f>
        <v>TS1 GT Anniversary</v>
      </c>
      <c r="O182" s="45">
        <v>402</v>
      </c>
      <c r="P182" s="45">
        <v>74.8</v>
      </c>
      <c r="Q182" s="45">
        <v>37.49</v>
      </c>
      <c r="R182" s="45">
        <v>47.09</v>
      </c>
      <c r="S182" s="47">
        <f t="shared" si="2"/>
        <v>140.345</v>
      </c>
      <c r="U182" s="8">
        <v>20</v>
      </c>
    </row>
    <row r="183" spans="2:21" ht="18" customHeight="1" x14ac:dyDescent="0.2">
      <c r="B183" s="10">
        <f>garage!B183</f>
        <v>183</v>
      </c>
      <c r="C183" s="10">
        <f>garage!C183</f>
        <v>5</v>
      </c>
      <c r="D183" s="10">
        <f>garage!D183</f>
        <v>21</v>
      </c>
      <c r="E183" s="10">
        <f>garage!E183</f>
        <v>8</v>
      </c>
      <c r="F183" s="10" t="str">
        <f>garage!F183</f>
        <v>--</v>
      </c>
      <c r="G183" s="10" t="str">
        <f>garage!G183</f>
        <v>O</v>
      </c>
      <c r="H183" s="10" t="str">
        <f>garage!H183</f>
        <v>N</v>
      </c>
      <c r="I183" s="10" t="str">
        <f>garage!I183</f>
        <v>N</v>
      </c>
      <c r="J183" s="10" t="str">
        <f>garage!J183</f>
        <v>N</v>
      </c>
      <c r="K183" s="10" t="str">
        <f>garage!K183</f>
        <v>S</v>
      </c>
      <c r="L183" s="11" t="str">
        <f>garage!L183</f>
        <v>Automobili Pininfarina</v>
      </c>
      <c r="M183" s="11" t="str">
        <f>garage!M183</f>
        <v>Battista</v>
      </c>
      <c r="O183" s="46">
        <v>350</v>
      </c>
      <c r="P183" s="46">
        <v>82</v>
      </c>
      <c r="Q183" s="46">
        <v>56.8</v>
      </c>
      <c r="R183" s="46">
        <v>54.76</v>
      </c>
      <c r="S183" s="48">
        <f t="shared" si="2"/>
        <v>135.89000000000001</v>
      </c>
      <c r="U183" s="10">
        <v>21</v>
      </c>
    </row>
    <row r="184" spans="2:21" ht="18" customHeight="1" x14ac:dyDescent="0.2">
      <c r="B184" s="8">
        <f>garage!B184</f>
        <v>184</v>
      </c>
      <c r="C184" s="8">
        <f>garage!C184</f>
        <v>5</v>
      </c>
      <c r="D184" s="8">
        <f>garage!D184</f>
        <v>22</v>
      </c>
      <c r="E184" s="8">
        <f>garage!E184</f>
        <v>22</v>
      </c>
      <c r="F184" s="8" t="str">
        <f>garage!F184</f>
        <v>--</v>
      </c>
      <c r="G184" s="8" t="str">
        <f>garage!G184</f>
        <v>N</v>
      </c>
      <c r="H184" s="8" t="str">
        <f>garage!H184</f>
        <v>N</v>
      </c>
      <c r="I184" s="8" t="str">
        <f>garage!I184</f>
        <v>N</v>
      </c>
      <c r="J184" s="8" t="str">
        <f>garage!J184</f>
        <v>N</v>
      </c>
      <c r="K184" s="8" t="str">
        <f>garage!K184</f>
        <v>S</v>
      </c>
      <c r="L184" s="9" t="str">
        <f>garage!L184</f>
        <v>Naran</v>
      </c>
      <c r="M184" s="9" t="str">
        <f>garage!M184</f>
        <v>Hyper Coupé</v>
      </c>
      <c r="O184" s="45">
        <v>370</v>
      </c>
      <c r="P184" s="45">
        <v>79.3</v>
      </c>
      <c r="Q184" s="45">
        <v>51.18</v>
      </c>
      <c r="R184" s="45">
        <v>48.53</v>
      </c>
      <c r="S184" s="47">
        <f t="shared" si="2"/>
        <v>137.2525</v>
      </c>
      <c r="U184" s="8">
        <v>22</v>
      </c>
    </row>
    <row r="185" spans="2:21" ht="18" customHeight="1" x14ac:dyDescent="0.2">
      <c r="B185" s="10">
        <f>garage!B185</f>
        <v>185</v>
      </c>
      <c r="C185" s="10">
        <f>garage!C185</f>
        <v>5</v>
      </c>
      <c r="D185" s="10">
        <f>garage!D185</f>
        <v>23</v>
      </c>
      <c r="E185" s="10">
        <f>garage!E185</f>
        <v>14</v>
      </c>
      <c r="F185" s="10" t="str">
        <f>garage!F185</f>
        <v>M</v>
      </c>
      <c r="G185" s="10" t="str">
        <f>garage!G185</f>
        <v>O</v>
      </c>
      <c r="H185" s="10" t="str">
        <f>garage!H185</f>
        <v>N</v>
      </c>
      <c r="I185" s="10" t="str">
        <f>garage!I185</f>
        <v>N</v>
      </c>
      <c r="J185" s="10" t="str">
        <f>garage!J185</f>
        <v>N</v>
      </c>
      <c r="K185" s="10" t="str">
        <f>garage!K185</f>
        <v>S</v>
      </c>
      <c r="L185" s="11" t="str">
        <f>garage!L185</f>
        <v>McLaren</v>
      </c>
      <c r="M185" s="11" t="str">
        <f>garage!M185</f>
        <v>Speedtail</v>
      </c>
      <c r="O185" s="46">
        <v>403</v>
      </c>
      <c r="P185" s="46">
        <v>73</v>
      </c>
      <c r="Q185" s="46">
        <v>46.04</v>
      </c>
      <c r="R185" s="46">
        <v>53.96</v>
      </c>
      <c r="S185" s="48">
        <f t="shared" si="2"/>
        <v>144</v>
      </c>
      <c r="U185" s="10">
        <v>23</v>
      </c>
    </row>
    <row r="186" spans="2:21" ht="18" customHeight="1" x14ac:dyDescent="0.2">
      <c r="B186" s="8">
        <f>garage!B186</f>
        <v>186</v>
      </c>
      <c r="C186" s="8">
        <f>garage!C186</f>
        <v>5</v>
      </c>
      <c r="D186" s="8">
        <f>garage!D186</f>
        <v>24</v>
      </c>
      <c r="E186" s="8">
        <f>garage!E186</f>
        <v>28</v>
      </c>
      <c r="F186" s="8" t="str">
        <f>garage!F186</f>
        <v>--</v>
      </c>
      <c r="G186" s="8" t="str">
        <f>garage!G186</f>
        <v>N</v>
      </c>
      <c r="H186" s="8" t="str">
        <f>garage!H186</f>
        <v>N</v>
      </c>
      <c r="I186" s="8" t="str">
        <f>garage!I186</f>
        <v>N</v>
      </c>
      <c r="J186" s="8" t="str">
        <f>garage!J186</f>
        <v>N</v>
      </c>
      <c r="K186" s="8" t="str">
        <f>garage!K186</f>
        <v>S</v>
      </c>
      <c r="L186" s="9" t="str">
        <f>garage!L186</f>
        <v>Faraday</v>
      </c>
      <c r="M186" s="9" t="str">
        <f>garage!M186</f>
        <v>FFZero1</v>
      </c>
      <c r="O186" s="45">
        <v>403</v>
      </c>
      <c r="P186" s="45">
        <v>82</v>
      </c>
      <c r="Q186" s="45">
        <v>37.56</v>
      </c>
      <c r="R186" s="45">
        <v>33.6</v>
      </c>
      <c r="S186" s="47">
        <f t="shared" si="2"/>
        <v>139.04</v>
      </c>
      <c r="U186" s="8">
        <v>24</v>
      </c>
    </row>
    <row r="187" spans="2:21" ht="18" customHeight="1" x14ac:dyDescent="0.2">
      <c r="B187" s="10">
        <f>garage!B187</f>
        <v>187</v>
      </c>
      <c r="C187" s="10">
        <f>garage!C187</f>
        <v>5</v>
      </c>
      <c r="D187" s="10">
        <f>garage!D187</f>
        <v>25</v>
      </c>
      <c r="E187" s="10">
        <f>garage!E187</f>
        <v>0</v>
      </c>
      <c r="F187" s="10" t="str">
        <f>garage!F187</f>
        <v>--</v>
      </c>
      <c r="G187" s="10" t="str">
        <f>garage!G187</f>
        <v>O</v>
      </c>
      <c r="H187" s="10" t="str">
        <f>garage!H187</f>
        <v>O</v>
      </c>
      <c r="I187" s="10" t="str">
        <f>garage!I187</f>
        <v>O</v>
      </c>
      <c r="J187" s="10" t="str">
        <f>garage!J187</f>
        <v>N</v>
      </c>
      <c r="K187" s="10" t="str">
        <f>garage!K187</f>
        <v>S</v>
      </c>
      <c r="L187" s="11" t="str">
        <f>garage!L187</f>
        <v>Koenigsegg</v>
      </c>
      <c r="M187" s="11" t="str">
        <f>garage!M187</f>
        <v>Regera</v>
      </c>
      <c r="O187" s="46">
        <v>440</v>
      </c>
      <c r="P187" s="46">
        <v>74.8</v>
      </c>
      <c r="Q187" s="46">
        <v>39.74</v>
      </c>
      <c r="R187" s="46">
        <v>42.73</v>
      </c>
      <c r="S187" s="48">
        <f t="shared" si="2"/>
        <v>149.3175</v>
      </c>
      <c r="U187" s="10">
        <v>25</v>
      </c>
    </row>
    <row r="188" spans="2:21" ht="18" customHeight="1" x14ac:dyDescent="0.2">
      <c r="B188" s="8">
        <f>garage!B188</f>
        <v>188</v>
      </c>
      <c r="C188" s="8">
        <f>garage!C188</f>
        <v>5</v>
      </c>
      <c r="D188" s="8">
        <f>garage!D188</f>
        <v>26</v>
      </c>
      <c r="E188" s="8">
        <f>garage!E188</f>
        <v>23</v>
      </c>
      <c r="F188" s="8" t="str">
        <f>garage!F188</f>
        <v>--</v>
      </c>
      <c r="G188" s="8" t="str">
        <f>garage!G188</f>
        <v>N</v>
      </c>
      <c r="H188" s="8" t="str">
        <f>garage!H188</f>
        <v>N</v>
      </c>
      <c r="I188" s="8" t="str">
        <f>garage!I188</f>
        <v>N</v>
      </c>
      <c r="J188" s="8" t="str">
        <f>garage!J188</f>
        <v>N</v>
      </c>
      <c r="K188" s="8" t="str">
        <f>garage!K188</f>
        <v>S</v>
      </c>
      <c r="L188" s="9" t="str">
        <f>garage!L188</f>
        <v>Ultima</v>
      </c>
      <c r="M188" s="9" t="str">
        <f>garage!M188</f>
        <v>RS</v>
      </c>
      <c r="O188" s="45">
        <v>402</v>
      </c>
      <c r="P188" s="45">
        <v>75.7</v>
      </c>
      <c r="Q188" s="45">
        <v>50.19</v>
      </c>
      <c r="R188" s="45">
        <v>47.09</v>
      </c>
      <c r="S188" s="47">
        <f t="shared" si="2"/>
        <v>143.745</v>
      </c>
      <c r="U188" s="8">
        <v>26</v>
      </c>
    </row>
    <row r="189" spans="2:21" ht="18" customHeight="1" x14ac:dyDescent="0.2">
      <c r="B189" s="10">
        <f>garage!B189</f>
        <v>189</v>
      </c>
      <c r="C189" s="10">
        <f>garage!C189</f>
        <v>5</v>
      </c>
      <c r="D189" s="10">
        <f>garage!D189</f>
        <v>27</v>
      </c>
      <c r="E189" s="10">
        <f>garage!E189</f>
        <v>12</v>
      </c>
      <c r="F189" s="10" t="str">
        <f>garage!F189</f>
        <v>L</v>
      </c>
      <c r="G189" s="10" t="str">
        <f>garage!G189</f>
        <v>N</v>
      </c>
      <c r="H189" s="10" t="str">
        <f>garage!H189</f>
        <v>N</v>
      </c>
      <c r="I189" s="10" t="str">
        <f>garage!I189</f>
        <v>N</v>
      </c>
      <c r="J189" s="10" t="str">
        <f>garage!J189</f>
        <v>N</v>
      </c>
      <c r="K189" s="10" t="str">
        <f>garage!K189</f>
        <v>S</v>
      </c>
      <c r="L189" s="11" t="str">
        <f>garage!L189</f>
        <v>Lamborghini</v>
      </c>
      <c r="M189" s="11" t="str">
        <f>garage!M189</f>
        <v>Sián FKP 37</v>
      </c>
      <c r="O189" s="46">
        <v>350</v>
      </c>
      <c r="P189" s="46">
        <v>74.8</v>
      </c>
      <c r="Q189" s="46">
        <v>68.27</v>
      </c>
      <c r="R189" s="46">
        <v>69.040000000000006</v>
      </c>
      <c r="S189" s="48">
        <f t="shared" si="2"/>
        <v>140.5275</v>
      </c>
      <c r="U189" s="10">
        <v>27</v>
      </c>
    </row>
    <row r="190" spans="2:21" ht="18" customHeight="1" x14ac:dyDescent="0.2">
      <c r="B190" s="8">
        <f>garage!B190</f>
        <v>190</v>
      </c>
      <c r="C190" s="8">
        <f>garage!C190</f>
        <v>5</v>
      </c>
      <c r="D190" s="8">
        <f>garage!D190</f>
        <v>28</v>
      </c>
      <c r="E190" s="8">
        <f>garage!E190</f>
        <v>27</v>
      </c>
      <c r="F190" s="8" t="str">
        <f>garage!F190</f>
        <v>--</v>
      </c>
      <c r="G190" s="8" t="str">
        <f>garage!G190</f>
        <v>N</v>
      </c>
      <c r="H190" s="8" t="str">
        <f>garage!H190</f>
        <v>N</v>
      </c>
      <c r="I190" s="8" t="str">
        <f>garage!I190</f>
        <v>N</v>
      </c>
      <c r="J190" s="8" t="str">
        <f>garage!J190</f>
        <v>N</v>
      </c>
      <c r="K190" s="8" t="str">
        <f>garage!K190</f>
        <v>S</v>
      </c>
      <c r="L190" s="9" t="str">
        <f>garage!L190</f>
        <v>Ajlani</v>
      </c>
      <c r="M190" s="9" t="str">
        <f>garage!M190</f>
        <v>Drakuma</v>
      </c>
      <c r="O190" s="45">
        <v>419</v>
      </c>
      <c r="P190" s="45">
        <v>77.5</v>
      </c>
      <c r="Q190" s="45">
        <v>38.68</v>
      </c>
      <c r="R190" s="45">
        <v>46.25</v>
      </c>
      <c r="S190" s="47">
        <f t="shared" si="2"/>
        <v>145.35749999999999</v>
      </c>
      <c r="U190" s="8">
        <v>28</v>
      </c>
    </row>
    <row r="191" spans="2:21" ht="18" customHeight="1" x14ac:dyDescent="0.2">
      <c r="B191" s="10">
        <f>garage!B191</f>
        <v>191</v>
      </c>
      <c r="C191" s="10">
        <f>garage!C191</f>
        <v>5</v>
      </c>
      <c r="D191" s="10">
        <f>garage!D191</f>
        <v>29</v>
      </c>
      <c r="E191" s="10">
        <f>garage!E191</f>
        <v>29</v>
      </c>
      <c r="F191" s="10" t="str">
        <f>garage!F191</f>
        <v>--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 t="str">
        <f>garage!J191</f>
        <v>N</v>
      </c>
      <c r="K191" s="10" t="str">
        <f>garage!K191</f>
        <v>S</v>
      </c>
      <c r="L191" s="11" t="str">
        <f>garage!L191</f>
        <v>Torino Design</v>
      </c>
      <c r="M191" s="11" t="str">
        <f>garage!M191</f>
        <v>Super Sport</v>
      </c>
      <c r="O191" s="46">
        <v>389</v>
      </c>
      <c r="P191" s="46">
        <v>76.599999999999994</v>
      </c>
      <c r="Q191" s="46">
        <v>51.46</v>
      </c>
      <c r="R191" s="46">
        <v>63.57</v>
      </c>
      <c r="S191" s="48">
        <f t="shared" si="2"/>
        <v>145.15750000000003</v>
      </c>
      <c r="U191" s="10">
        <v>29</v>
      </c>
    </row>
    <row r="192" spans="2:21" ht="18" customHeight="1" x14ac:dyDescent="0.2">
      <c r="B192" s="8">
        <f>garage!B192</f>
        <v>192</v>
      </c>
      <c r="C192" s="8">
        <f>garage!C192</f>
        <v>5</v>
      </c>
      <c r="D192" s="8">
        <f>garage!D192</f>
        <v>30</v>
      </c>
      <c r="E192" s="8">
        <f>garage!E192</f>
        <v>17</v>
      </c>
      <c r="F192" s="8" t="str">
        <f>garage!F192</f>
        <v>--</v>
      </c>
      <c r="G192" s="8" t="str">
        <f>garage!G192</f>
        <v>O</v>
      </c>
      <c r="H192" s="8" t="str">
        <f>garage!H192</f>
        <v>N</v>
      </c>
      <c r="I192" s="8" t="str">
        <f>garage!I192</f>
        <v>N</v>
      </c>
      <c r="J192" s="8" t="str">
        <f>garage!J192</f>
        <v>N</v>
      </c>
      <c r="K192" s="8" t="str">
        <f>garage!K192</f>
        <v>S</v>
      </c>
      <c r="L192" s="9" t="str">
        <f>garage!L192</f>
        <v>Inferno Automobili</v>
      </c>
      <c r="M192" s="9" t="str">
        <f>garage!M192</f>
        <v>Inferno</v>
      </c>
      <c r="O192" s="45">
        <v>395</v>
      </c>
      <c r="P192" s="45">
        <v>75.7</v>
      </c>
      <c r="Q192" s="45">
        <v>47.45</v>
      </c>
      <c r="R192" s="45">
        <v>62.07</v>
      </c>
      <c r="S192" s="47">
        <f t="shared" si="2"/>
        <v>145.05500000000001</v>
      </c>
      <c r="U192" s="8">
        <v>30</v>
      </c>
    </row>
    <row r="193" spans="2:21" ht="18" customHeight="1" x14ac:dyDescent="0.2">
      <c r="B193" s="10">
        <f>garage!B193</f>
        <v>193</v>
      </c>
      <c r="C193" s="10">
        <f>garage!C193</f>
        <v>5</v>
      </c>
      <c r="D193" s="10">
        <f>garage!D193</f>
        <v>31</v>
      </c>
      <c r="E193" s="10">
        <f>garage!E193</f>
        <v>0</v>
      </c>
      <c r="F193" s="10" t="str">
        <f>garage!F193</f>
        <v>B</v>
      </c>
      <c r="G193" s="10" t="str">
        <f>garage!G193</f>
        <v>O</v>
      </c>
      <c r="H193" s="10" t="str">
        <f>garage!H193</f>
        <v>O</v>
      </c>
      <c r="I193" s="10" t="str">
        <f>garage!I193</f>
        <v>O</v>
      </c>
      <c r="J193" s="10" t="str">
        <f>garage!J193</f>
        <v>N</v>
      </c>
      <c r="K193" s="10" t="str">
        <f>garage!K193</f>
        <v>S</v>
      </c>
      <c r="L193" s="11" t="str">
        <f>garage!L193</f>
        <v>Bugatti</v>
      </c>
      <c r="M193" s="11" t="str">
        <f>garage!M193</f>
        <v>Chiron</v>
      </c>
      <c r="O193" s="46">
        <v>420</v>
      </c>
      <c r="P193" s="46">
        <v>77.5</v>
      </c>
      <c r="Q193" s="46">
        <v>38.75</v>
      </c>
      <c r="R193" s="46">
        <v>53.33</v>
      </c>
      <c r="S193" s="48">
        <f t="shared" si="2"/>
        <v>147.39500000000001</v>
      </c>
      <c r="U193" s="10">
        <v>31</v>
      </c>
    </row>
    <row r="194" spans="2:21" ht="18" customHeight="1" x14ac:dyDescent="0.2">
      <c r="B194" s="8">
        <f>garage!B194</f>
        <v>194</v>
      </c>
      <c r="C194" s="8">
        <f>garage!C194</f>
        <v>5</v>
      </c>
      <c r="D194" s="8">
        <f>garage!D194</f>
        <v>32</v>
      </c>
      <c r="E194" s="8">
        <f>garage!E194</f>
        <v>13</v>
      </c>
      <c r="F194" s="8" t="str">
        <f>garage!F194</f>
        <v>--</v>
      </c>
      <c r="G194" s="8" t="str">
        <f>garage!G194</f>
        <v>O</v>
      </c>
      <c r="H194" s="8" t="str">
        <f>garage!H194</f>
        <v>O</v>
      </c>
      <c r="I194" s="8" t="str">
        <f>garage!I194</f>
        <v>N</v>
      </c>
      <c r="J194" s="8" t="str">
        <f>garage!J194</f>
        <v>N</v>
      </c>
      <c r="K194" s="8" t="str">
        <f>garage!K194</f>
        <v>S</v>
      </c>
      <c r="L194" s="9" t="str">
        <f>garage!L194</f>
        <v>BXR</v>
      </c>
      <c r="M194" s="9" t="str">
        <f>garage!M194</f>
        <v>Bailey Blade GT1</v>
      </c>
      <c r="O194" s="45">
        <v>434</v>
      </c>
      <c r="P194" s="45">
        <v>74.8</v>
      </c>
      <c r="Q194" s="45">
        <v>40.340000000000003</v>
      </c>
      <c r="R194" s="45">
        <v>54.29</v>
      </c>
      <c r="S194" s="47">
        <f t="shared" ref="S194:S210" si="4">AVERAGE(O194:R194)</f>
        <v>150.85749999999999</v>
      </c>
      <c r="U194" s="8">
        <v>32</v>
      </c>
    </row>
    <row r="195" spans="2:21" ht="18" customHeight="1" x14ac:dyDescent="0.2">
      <c r="B195" s="10">
        <f>garage!B195</f>
        <v>195</v>
      </c>
      <c r="C195" s="10">
        <f>garage!C195</f>
        <v>5</v>
      </c>
      <c r="D195" s="10">
        <f>garage!D195</f>
        <v>33</v>
      </c>
      <c r="E195" s="10">
        <f>garage!E195</f>
        <v>18</v>
      </c>
      <c r="F195" s="10" t="str">
        <f>garage!F195</f>
        <v>--</v>
      </c>
      <c r="G195" s="10" t="str">
        <f>garage!G195</f>
        <v>N</v>
      </c>
      <c r="H195" s="10" t="str">
        <f>garage!H195</f>
        <v>N</v>
      </c>
      <c r="I195" s="10" t="str">
        <f>garage!I195</f>
        <v>N</v>
      </c>
      <c r="J195" s="10" t="str">
        <f>garage!J195</f>
        <v>N</v>
      </c>
      <c r="K195" s="10" t="str">
        <f>garage!K195</f>
        <v>S</v>
      </c>
      <c r="L195" s="11" t="str">
        <f>garage!L195</f>
        <v>Mazzanti</v>
      </c>
      <c r="M195" s="11" t="str">
        <f>garage!M195</f>
        <v>Evantra Millecavalli</v>
      </c>
      <c r="O195" s="46">
        <v>403</v>
      </c>
      <c r="P195" s="46">
        <v>75.7</v>
      </c>
      <c r="Q195" s="46">
        <v>52.41</v>
      </c>
      <c r="R195" s="46">
        <v>49.44</v>
      </c>
      <c r="S195" s="48">
        <f t="shared" si="4"/>
        <v>145.13749999999999</v>
      </c>
      <c r="U195" s="10">
        <v>33</v>
      </c>
    </row>
    <row r="196" spans="2:21" ht="18" customHeight="1" x14ac:dyDescent="0.2">
      <c r="B196" s="8">
        <f>garage!B196</f>
        <v>196</v>
      </c>
      <c r="C196" s="8">
        <f>garage!C196</f>
        <v>5</v>
      </c>
      <c r="D196" s="8">
        <f>garage!D196</f>
        <v>34</v>
      </c>
      <c r="E196" s="8">
        <f>garage!E196</f>
        <v>21</v>
      </c>
      <c r="F196" s="8" t="str">
        <f>garage!F196</f>
        <v>TD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 t="str">
        <f>garage!J196</f>
        <v>N</v>
      </c>
      <c r="K196" s="8" t="str">
        <f>garage!K196</f>
        <v>S</v>
      </c>
      <c r="L196" s="9" t="str">
        <f>garage!L196</f>
        <v>Toroidion</v>
      </c>
      <c r="M196" s="9" t="str">
        <f>garage!M196</f>
        <v>1MW</v>
      </c>
      <c r="O196" s="45">
        <v>451</v>
      </c>
      <c r="P196" s="45">
        <v>74.8</v>
      </c>
      <c r="Q196" s="45">
        <v>44.84</v>
      </c>
      <c r="R196" s="45">
        <v>36.04</v>
      </c>
      <c r="S196" s="47">
        <f t="shared" si="4"/>
        <v>151.66999999999999</v>
      </c>
      <c r="U196" s="8">
        <v>34</v>
      </c>
    </row>
    <row r="197" spans="2:21" ht="18" customHeight="1" x14ac:dyDescent="0.2">
      <c r="B197" s="10">
        <f>garage!B197</f>
        <v>197</v>
      </c>
      <c r="C197" s="10">
        <f>garage!C197</f>
        <v>5</v>
      </c>
      <c r="D197" s="10">
        <f>garage!D197</f>
        <v>35</v>
      </c>
      <c r="E197" s="10">
        <f>garage!E197</f>
        <v>27</v>
      </c>
      <c r="F197" s="10" t="str">
        <f>garage!F197</f>
        <v>--</v>
      </c>
      <c r="G197" s="10" t="str">
        <f>garage!G197</f>
        <v>N</v>
      </c>
      <c r="H197" s="10" t="str">
        <f>garage!H197</f>
        <v>N</v>
      </c>
      <c r="I197" s="10" t="str">
        <f>garage!I197</f>
        <v>N</v>
      </c>
      <c r="J197" s="10" t="str">
        <f>garage!J197</f>
        <v>N</v>
      </c>
      <c r="K197" s="10" t="str">
        <f>garage!K197</f>
        <v>S</v>
      </c>
      <c r="L197" s="11" t="str">
        <f>garage!L197</f>
        <v>Inferno Automobili</v>
      </c>
      <c r="M197" s="11" t="str">
        <f>garage!M197</f>
        <v>Settimo Cerchio</v>
      </c>
      <c r="O197" s="46">
        <v>410</v>
      </c>
      <c r="P197" s="46">
        <v>81.099999999999994</v>
      </c>
      <c r="Q197" s="46">
        <v>46.64</v>
      </c>
      <c r="R197" s="46">
        <v>23.73</v>
      </c>
      <c r="S197" s="48">
        <f t="shared" si="4"/>
        <v>140.36750000000001</v>
      </c>
      <c r="U197" s="10">
        <v>35</v>
      </c>
    </row>
    <row r="198" spans="2:21" ht="18" customHeight="1" x14ac:dyDescent="0.2">
      <c r="B198" s="8">
        <f>garage!B198</f>
        <v>198</v>
      </c>
      <c r="C198" s="8">
        <f>garage!C198</f>
        <v>5</v>
      </c>
      <c r="D198" s="8">
        <f>garage!D198</f>
        <v>36</v>
      </c>
      <c r="E198" s="8">
        <f>garage!E198</f>
        <v>6</v>
      </c>
      <c r="F198" s="8" t="str">
        <f>garage!F198</f>
        <v>--</v>
      </c>
      <c r="G198" s="8" t="str">
        <f>garage!G198</f>
        <v>N</v>
      </c>
      <c r="H198" s="8" t="str">
        <f>garage!H198</f>
        <v>O</v>
      </c>
      <c r="I198" s="8" t="str">
        <f>garage!I198</f>
        <v>N</v>
      </c>
      <c r="J198" s="8" t="str">
        <f>garage!J198</f>
        <v>N</v>
      </c>
      <c r="K198" s="8" t="str">
        <f>garage!K198</f>
        <v>S</v>
      </c>
      <c r="L198" s="9" t="str">
        <f>garage!L198</f>
        <v>Koenigsegg</v>
      </c>
      <c r="M198" s="9" t="str">
        <f>garage!M198</f>
        <v>Jesko</v>
      </c>
      <c r="O198" s="45">
        <v>484</v>
      </c>
      <c r="P198" s="45">
        <v>74.8</v>
      </c>
      <c r="Q198" s="45">
        <v>41.93</v>
      </c>
      <c r="R198" s="45">
        <v>42.56</v>
      </c>
      <c r="S198" s="47">
        <f t="shared" si="4"/>
        <v>160.82249999999999</v>
      </c>
      <c r="U198" s="8">
        <v>36</v>
      </c>
    </row>
    <row r="199" spans="2:21" ht="18" customHeight="1" x14ac:dyDescent="0.2">
      <c r="B199" s="10">
        <f>garage!B199</f>
        <v>199</v>
      </c>
      <c r="C199" s="10">
        <f>garage!C199</f>
        <v>5</v>
      </c>
      <c r="D199" s="10">
        <f>garage!D199</f>
        <v>37</v>
      </c>
      <c r="E199" s="10">
        <f>garage!E199</f>
        <v>26</v>
      </c>
      <c r="F199" s="10" t="str">
        <f>garage!F199</f>
        <v>B</v>
      </c>
      <c r="G199" s="10" t="str">
        <f>garage!G199</f>
        <v>N</v>
      </c>
      <c r="H199" s="10" t="str">
        <f>garage!H199</f>
        <v>N</v>
      </c>
      <c r="I199" s="10" t="str">
        <f>garage!I199</f>
        <v>N</v>
      </c>
      <c r="J199" s="10" t="str">
        <f>garage!J199</f>
        <v>N</v>
      </c>
      <c r="K199" s="10" t="str">
        <f>garage!K199</f>
        <v>S</v>
      </c>
      <c r="L199" s="11" t="str">
        <f>garage!L199</f>
        <v>Bugatti</v>
      </c>
      <c r="M199" s="11" t="str">
        <f>garage!M199</f>
        <v>Centodieci</v>
      </c>
      <c r="O199" s="46">
        <v>380</v>
      </c>
      <c r="P199" s="46">
        <v>78.569999999999993</v>
      </c>
      <c r="Q199" s="46">
        <v>56.39</v>
      </c>
      <c r="R199" s="46">
        <v>58.54</v>
      </c>
      <c r="S199" s="48">
        <f t="shared" si="4"/>
        <v>143.375</v>
      </c>
      <c r="U199" s="10">
        <v>37</v>
      </c>
    </row>
    <row r="200" spans="2:21" ht="18" customHeight="1" x14ac:dyDescent="0.2">
      <c r="B200" s="8">
        <f>garage!B200</f>
        <v>200</v>
      </c>
      <c r="C200" s="8">
        <f>garage!C200</f>
        <v>5</v>
      </c>
      <c r="D200" s="8">
        <f>garage!D200</f>
        <v>38</v>
      </c>
      <c r="E200" s="8">
        <f>garage!E200</f>
        <v>17</v>
      </c>
      <c r="F200" s="8" t="str">
        <f>garage!F200</f>
        <v>--</v>
      </c>
      <c r="G200" s="8" t="str">
        <f>garage!G200</f>
        <v>N</v>
      </c>
      <c r="H200" s="8" t="str">
        <f>garage!H200</f>
        <v>N</v>
      </c>
      <c r="I200" s="8" t="str">
        <f>garage!I200</f>
        <v>N</v>
      </c>
      <c r="J200" s="8" t="str">
        <f>garage!J200</f>
        <v>N</v>
      </c>
      <c r="K200" s="8" t="str">
        <f>garage!K200</f>
        <v>S</v>
      </c>
      <c r="L200" s="9" t="str">
        <f>garage!L200</f>
        <v>Aspark</v>
      </c>
      <c r="M200" s="9" t="str">
        <f>garage!M200</f>
        <v>Owl</v>
      </c>
      <c r="O200" s="45">
        <v>400</v>
      </c>
      <c r="P200" s="45">
        <v>82.99</v>
      </c>
      <c r="Q200" s="45">
        <v>45.79</v>
      </c>
      <c r="R200" s="45">
        <v>35.67</v>
      </c>
      <c r="S200" s="47">
        <f t="shared" si="4"/>
        <v>141.11249999999998</v>
      </c>
      <c r="U200" s="8">
        <v>38</v>
      </c>
    </row>
    <row r="201" spans="2:21" ht="18" customHeight="1" x14ac:dyDescent="0.2">
      <c r="B201" s="10">
        <f>garage!B201</f>
        <v>201</v>
      </c>
      <c r="C201" s="10">
        <f>garage!C201</f>
        <v>5</v>
      </c>
      <c r="D201" s="10">
        <f>garage!D201</f>
        <v>39</v>
      </c>
      <c r="E201" s="10">
        <f>garage!E201</f>
        <v>0</v>
      </c>
      <c r="F201" s="10" t="str">
        <f>garage!F201</f>
        <v>--</v>
      </c>
      <c r="G201" s="10" t="str">
        <f>garage!G201</f>
        <v>N</v>
      </c>
      <c r="H201" s="10" t="str">
        <f>garage!H201</f>
        <v>N</v>
      </c>
      <c r="I201" s="10" t="str">
        <f>garage!I201</f>
        <v>N</v>
      </c>
      <c r="J201" s="10" t="str">
        <f>garage!J201</f>
        <v>N</v>
      </c>
      <c r="K201" s="10" t="str">
        <f>garage!K201</f>
        <v>S</v>
      </c>
      <c r="L201" s="11" t="str">
        <f>garage!L201</f>
        <v>Rimac</v>
      </c>
      <c r="M201" s="11" t="str">
        <f>garage!M201</f>
        <v>Nevera</v>
      </c>
      <c r="O201" s="46">
        <v>412</v>
      </c>
      <c r="P201" s="46">
        <v>82.27</v>
      </c>
      <c r="Q201" s="46">
        <v>41.64</v>
      </c>
      <c r="R201" s="46">
        <v>37.619999999999997</v>
      </c>
      <c r="S201" s="48">
        <f t="shared" si="4"/>
        <v>143.38249999999999</v>
      </c>
      <c r="U201" s="10">
        <v>39</v>
      </c>
    </row>
    <row r="202" spans="2:21" ht="18" customHeight="1" x14ac:dyDescent="0.2">
      <c r="B202" s="8">
        <f>garage!B202</f>
        <v>202</v>
      </c>
      <c r="C202" s="8">
        <f>garage!C202</f>
        <v>5</v>
      </c>
      <c r="D202" s="8">
        <f>garage!D202</f>
        <v>40</v>
      </c>
      <c r="E202" s="8">
        <f>garage!E202</f>
        <v>27</v>
      </c>
      <c r="F202" s="8" t="str">
        <f>garage!F202</f>
        <v>--</v>
      </c>
      <c r="G202" s="8" t="str">
        <f>garage!G202</f>
        <v>N</v>
      </c>
      <c r="H202" s="8" t="str">
        <f>garage!H202</f>
        <v>N</v>
      </c>
      <c r="I202" s="8" t="str">
        <f>garage!I202</f>
        <v>N</v>
      </c>
      <c r="J202" s="8" t="str">
        <f>garage!J202</f>
        <v>N</v>
      </c>
      <c r="K202" s="8" t="str">
        <f>garage!K202</f>
        <v>S</v>
      </c>
      <c r="L202" s="9" t="str">
        <f>garage!L202</f>
        <v>Koenigsegg</v>
      </c>
      <c r="M202" s="9" t="str">
        <f>garage!M202</f>
        <v>Agera RS</v>
      </c>
      <c r="O202" s="45">
        <v>447.2</v>
      </c>
      <c r="P202" s="45">
        <v>74.8</v>
      </c>
      <c r="Q202" s="45">
        <v>49.16</v>
      </c>
      <c r="R202" s="45">
        <v>43.12</v>
      </c>
      <c r="S202" s="47">
        <f t="shared" si="4"/>
        <v>153.57</v>
      </c>
      <c r="U202" s="8">
        <v>40</v>
      </c>
    </row>
    <row r="203" spans="2:21" ht="18" customHeight="1" x14ac:dyDescent="0.2">
      <c r="B203" s="10">
        <f>garage!B203</f>
        <v>203</v>
      </c>
      <c r="C203" s="10">
        <f>garage!C203</f>
        <v>5</v>
      </c>
      <c r="D203" s="10">
        <f>garage!D203</f>
        <v>41</v>
      </c>
      <c r="E203" s="10">
        <f>garage!E203</f>
        <v>13</v>
      </c>
      <c r="F203" s="10" t="str">
        <f>garage!F203</f>
        <v>--</v>
      </c>
      <c r="G203" s="10" t="str">
        <f>garage!G203</f>
        <v>N</v>
      </c>
      <c r="H203" s="10" t="str">
        <f>garage!H203</f>
        <v>O</v>
      </c>
      <c r="I203" s="10" t="str">
        <f>garage!I203</f>
        <v>N</v>
      </c>
      <c r="J203" s="10" t="str">
        <f>garage!J203</f>
        <v>N</v>
      </c>
      <c r="K203" s="10" t="str">
        <f>garage!K203</f>
        <v>S</v>
      </c>
      <c r="L203" s="11" t="str">
        <f>garage!L203</f>
        <v>SSC</v>
      </c>
      <c r="M203" s="11" t="str">
        <f>garage!M203</f>
        <v>Tuatara</v>
      </c>
      <c r="O203" s="46">
        <v>482.8</v>
      </c>
      <c r="P203" s="46">
        <v>74.8</v>
      </c>
      <c r="Q203" s="46">
        <v>42.34</v>
      </c>
      <c r="R203" s="46">
        <v>38.72</v>
      </c>
      <c r="S203" s="48">
        <f t="shared" si="4"/>
        <v>159.66500000000002</v>
      </c>
      <c r="U203" s="10">
        <v>41</v>
      </c>
    </row>
    <row r="204" spans="2:21" ht="18" customHeight="1" x14ac:dyDescent="0.2">
      <c r="B204" s="8">
        <f>garage!B204</f>
        <v>204</v>
      </c>
      <c r="C204" s="8">
        <f>garage!C204</f>
        <v>5</v>
      </c>
      <c r="D204" s="8">
        <f>garage!D204</f>
        <v>42</v>
      </c>
      <c r="E204" s="8">
        <f>garage!E204</f>
        <v>16</v>
      </c>
      <c r="F204" s="8" t="str">
        <f>garage!F204</f>
        <v>B</v>
      </c>
      <c r="G204" s="8" t="str">
        <f>garage!G204</f>
        <v>N</v>
      </c>
      <c r="H204" s="8" t="str">
        <f>garage!H204</f>
        <v>N</v>
      </c>
      <c r="I204" s="8" t="str">
        <f>garage!I204</f>
        <v>N</v>
      </c>
      <c r="J204" s="8" t="str">
        <f>garage!J204</f>
        <v>N</v>
      </c>
      <c r="K204" s="8" t="str">
        <f>garage!K204</f>
        <v>S</v>
      </c>
      <c r="L204" s="9" t="str">
        <f>garage!L204</f>
        <v>Bugatti</v>
      </c>
      <c r="M204" s="9" t="str">
        <f>garage!M204</f>
        <v>La Voiture Noire</v>
      </c>
      <c r="O204" s="45">
        <v>420</v>
      </c>
      <c r="P204" s="45">
        <v>78.400000000000006</v>
      </c>
      <c r="Q204" s="45">
        <v>47.5</v>
      </c>
      <c r="R204" s="45">
        <v>44</v>
      </c>
      <c r="S204" s="47">
        <f t="shared" si="4"/>
        <v>147.47499999999999</v>
      </c>
      <c r="U204" s="8">
        <v>42</v>
      </c>
    </row>
    <row r="205" spans="2:21" ht="18" customHeight="1" x14ac:dyDescent="0.2">
      <c r="B205" s="10">
        <f>garage!B205</f>
        <v>205</v>
      </c>
      <c r="C205" s="10">
        <f>garage!C205</f>
        <v>5</v>
      </c>
      <c r="D205" s="10">
        <f>garage!D205</f>
        <v>43</v>
      </c>
      <c r="E205" s="10">
        <f>garage!E205</f>
        <v>20</v>
      </c>
      <c r="F205" s="10" t="str">
        <f>garage!F205</f>
        <v>TD</v>
      </c>
      <c r="G205" s="10" t="str">
        <f>garage!G205</f>
        <v>N</v>
      </c>
      <c r="H205" s="10" t="str">
        <f>garage!H205</f>
        <v>N</v>
      </c>
      <c r="I205" s="10" t="str">
        <f>garage!I205</f>
        <v>N</v>
      </c>
      <c r="J205" s="10" t="str">
        <f>garage!J205</f>
        <v>N</v>
      </c>
      <c r="K205" s="10" t="str">
        <f>garage!K205</f>
        <v>S</v>
      </c>
      <c r="L205" s="11" t="str">
        <f>garage!L205</f>
        <v>Hennessey</v>
      </c>
      <c r="M205" s="11" t="str">
        <f>garage!M205</f>
        <v>Venom F5</v>
      </c>
      <c r="O205" s="46">
        <v>500</v>
      </c>
      <c r="P205" s="46">
        <v>76.599999999999994</v>
      </c>
      <c r="Q205" s="46">
        <v>41.76</v>
      </c>
      <c r="R205" s="46">
        <v>27.93</v>
      </c>
      <c r="S205" s="48">
        <f t="shared" si="4"/>
        <v>161.57249999999999</v>
      </c>
      <c r="U205" s="10">
        <v>43</v>
      </c>
    </row>
    <row r="206" spans="2:21" ht="18" customHeight="1" x14ac:dyDescent="0.2">
      <c r="B206" s="8">
        <f>garage!B206</f>
        <v>206</v>
      </c>
      <c r="C206" s="8">
        <f>garage!C206</f>
        <v>5</v>
      </c>
      <c r="D206" s="8">
        <f>garage!D206</f>
        <v>44</v>
      </c>
      <c r="E206" s="8">
        <f>garage!E206</f>
        <v>22</v>
      </c>
      <c r="F206" s="8" t="str">
        <f>garage!F206</f>
        <v>--</v>
      </c>
      <c r="G206" s="8" t="str">
        <f>garage!G206</f>
        <v>N</v>
      </c>
      <c r="H206" s="8" t="str">
        <f>garage!H206</f>
        <v>N</v>
      </c>
      <c r="I206" s="8" t="str">
        <f>garage!I206</f>
        <v>N</v>
      </c>
      <c r="J206" s="8" t="str">
        <f>garage!J206</f>
        <v>N</v>
      </c>
      <c r="K206" s="8" t="str">
        <f>garage!K206</f>
        <v>S</v>
      </c>
      <c r="L206" s="9" t="str">
        <f>garage!L206</f>
        <v>Koenigsegg</v>
      </c>
      <c r="M206" s="9" t="str">
        <f>garage!M206</f>
        <v>Gemera</v>
      </c>
      <c r="O206" s="45">
        <v>400</v>
      </c>
      <c r="P206" s="45">
        <v>82.9</v>
      </c>
      <c r="Q206" s="45">
        <v>50.01</v>
      </c>
      <c r="R206" s="45">
        <v>28.93</v>
      </c>
      <c r="S206" s="47">
        <f t="shared" si="4"/>
        <v>140.45999999999998</v>
      </c>
      <c r="U206" s="8">
        <v>44</v>
      </c>
    </row>
    <row r="207" spans="2:21" ht="18" customHeight="1" x14ac:dyDescent="0.2">
      <c r="B207" s="10">
        <f>garage!B207</f>
        <v>207</v>
      </c>
      <c r="C207" s="10">
        <f>garage!C207</f>
        <v>5</v>
      </c>
      <c r="D207" s="10">
        <f>garage!D207</f>
        <v>45</v>
      </c>
      <c r="E207" s="10">
        <f>garage!E207</f>
        <v>24</v>
      </c>
      <c r="F207" s="10" t="str">
        <f>garage!F207</f>
        <v>--</v>
      </c>
      <c r="G207" s="10" t="str">
        <f>garage!G207</f>
        <v>N</v>
      </c>
      <c r="H207" s="10" t="str">
        <f>garage!H207</f>
        <v>N</v>
      </c>
      <c r="I207" s="10" t="str">
        <f>garage!I207</f>
        <v>N</v>
      </c>
      <c r="J207" s="10" t="str">
        <f>garage!J207</f>
        <v>N</v>
      </c>
      <c r="K207" s="10" t="str">
        <f>garage!K207</f>
        <v>S</v>
      </c>
      <c r="L207" s="11" t="str">
        <f>garage!L207</f>
        <v>Tushek</v>
      </c>
      <c r="M207" s="11" t="str">
        <f>garage!M207</f>
        <v>TS 900 Racer Pro</v>
      </c>
      <c r="O207" s="46">
        <v>380</v>
      </c>
      <c r="P207" s="46">
        <v>79.3</v>
      </c>
      <c r="Q207" s="46">
        <v>55.44</v>
      </c>
      <c r="R207" s="46">
        <v>44.08</v>
      </c>
      <c r="S207" s="48">
        <f t="shared" si="4"/>
        <v>139.70500000000001</v>
      </c>
      <c r="U207" s="10">
        <v>45</v>
      </c>
    </row>
    <row r="208" spans="2:21" ht="18" customHeight="1" x14ac:dyDescent="0.2">
      <c r="B208" s="8">
        <f>garage!B208</f>
        <v>208</v>
      </c>
      <c r="C208" s="8">
        <f>garage!C208</f>
        <v>5</v>
      </c>
      <c r="D208" s="8">
        <f>garage!D208</f>
        <v>46</v>
      </c>
      <c r="E208" s="8">
        <f>garage!E208</f>
        <v>28</v>
      </c>
      <c r="F208" s="8" t="str">
        <f>garage!F208</f>
        <v>B</v>
      </c>
      <c r="G208" s="8" t="str">
        <f>garage!G208</f>
        <v>N</v>
      </c>
      <c r="H208" s="8" t="str">
        <f>garage!H208</f>
        <v>N</v>
      </c>
      <c r="I208" s="8" t="str">
        <f>garage!I208</f>
        <v>N</v>
      </c>
      <c r="J208" s="8" t="str">
        <f>garage!J208</f>
        <v>N</v>
      </c>
      <c r="K208" s="8" t="str">
        <f>garage!K208</f>
        <v>S</v>
      </c>
      <c r="L208" s="9" t="str">
        <f>garage!L208</f>
        <v>Bugatti</v>
      </c>
      <c r="M208" s="9" t="str">
        <f>garage!M208</f>
        <v>Bolide</v>
      </c>
      <c r="O208" s="45">
        <v>489</v>
      </c>
      <c r="P208" s="45">
        <v>80.47</v>
      </c>
      <c r="Q208" s="45">
        <v>40.270000000000003</v>
      </c>
      <c r="R208" s="45">
        <v>12.34</v>
      </c>
      <c r="S208" s="47">
        <f t="shared" si="4"/>
        <v>155.52000000000001</v>
      </c>
      <c r="U208" s="8">
        <v>46</v>
      </c>
    </row>
    <row r="209" spans="2:21" ht="18" customHeight="1" x14ac:dyDescent="0.2">
      <c r="B209" s="10">
        <f>garage!B209</f>
        <v>209</v>
      </c>
      <c r="C209" s="10">
        <f>garage!C209</f>
        <v>5</v>
      </c>
      <c r="D209" s="10">
        <f>garage!D209</f>
        <v>47</v>
      </c>
      <c r="E209" s="10">
        <f>garage!E209</f>
        <v>0</v>
      </c>
      <c r="F209" s="10" t="str">
        <f>garage!F209</f>
        <v>--</v>
      </c>
      <c r="G209" s="10" t="str">
        <f>garage!G209</f>
        <v>N</v>
      </c>
      <c r="H209" s="10" t="str">
        <f>garage!H209</f>
        <v>N</v>
      </c>
      <c r="I209" s="10" t="str">
        <f>garage!I209</f>
        <v>N</v>
      </c>
      <c r="J209" s="10" t="str">
        <f>garage!J209</f>
        <v>N</v>
      </c>
      <c r="K209" s="10" t="str">
        <f>garage!K209</f>
        <v>S</v>
      </c>
      <c r="L209" s="11" t="str">
        <f>garage!L209</f>
        <v>Rimac</v>
      </c>
      <c r="M209" s="11" t="str">
        <f>garage!M209</f>
        <v>C TWO</v>
      </c>
      <c r="O209" s="46">
        <v>412</v>
      </c>
      <c r="P209" s="46">
        <v>82.27</v>
      </c>
      <c r="Q209" s="46">
        <v>41.64</v>
      </c>
      <c r="R209" s="46">
        <v>37.619999999999997</v>
      </c>
      <c r="S209" s="48">
        <f t="shared" si="4"/>
        <v>143.38249999999999</v>
      </c>
      <c r="U209" s="10">
        <v>47</v>
      </c>
    </row>
    <row r="210" spans="2:21" ht="18" customHeight="1" x14ac:dyDescent="0.2">
      <c r="B210" s="8">
        <f>garage!B210</f>
        <v>210</v>
      </c>
      <c r="C210" s="8">
        <f>garage!C210</f>
        <v>5</v>
      </c>
      <c r="D210" s="8">
        <f>garage!D210</f>
        <v>48</v>
      </c>
      <c r="E210" s="8">
        <f>garage!E210</f>
        <v>16</v>
      </c>
      <c r="F210" s="8" t="str">
        <f>garage!F210</f>
        <v>B</v>
      </c>
      <c r="G210" s="8" t="str">
        <f>garage!G210</f>
        <v>N</v>
      </c>
      <c r="H210" s="8" t="str">
        <f>garage!H210</f>
        <v>N</v>
      </c>
      <c r="I210" s="8" t="str">
        <f>garage!I210</f>
        <v>N</v>
      </c>
      <c r="J210" s="8" t="str">
        <f>garage!J210</f>
        <v>N</v>
      </c>
      <c r="K210" s="8" t="str">
        <f>garage!K210</f>
        <v>S</v>
      </c>
      <c r="L210" s="9" t="str">
        <f>garage!L210</f>
        <v>Bugatti</v>
      </c>
      <c r="M210" s="9" t="str">
        <f>garage!M210</f>
        <v>Divo</v>
      </c>
      <c r="O210" s="45">
        <v>380</v>
      </c>
      <c r="P210" s="45">
        <v>78.400000000000006</v>
      </c>
      <c r="Q210" s="45">
        <v>52.2</v>
      </c>
      <c r="R210" s="45">
        <v>57.07</v>
      </c>
      <c r="S210" s="47">
        <f t="shared" si="4"/>
        <v>141.91749999999999</v>
      </c>
      <c r="U210" s="8">
        <v>48</v>
      </c>
    </row>
  </sheetData>
  <autoFilter ref="E1:L210"/>
  <sortState ref="B2:S205">
    <sortCondition ref="C2:C205"/>
    <sortCondition ref="K2:K205"/>
    <sortCondition ref="D2:D205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2:S139"/>
  <sheetViews>
    <sheetView tabSelected="1" workbookViewId="0"/>
  </sheetViews>
  <sheetFormatPr baseColWidth="10" defaultColWidth="11.42578125" defaultRowHeight="12" x14ac:dyDescent="0.2"/>
  <cols>
    <col min="1" max="1" width="6.7109375" customWidth="1"/>
    <col min="2" max="14" width="15.7109375" customWidth="1"/>
    <col min="15" max="16" width="3.7109375" customWidth="1"/>
    <col min="17" max="18" width="15.7109375" customWidth="1"/>
  </cols>
  <sheetData>
    <row r="2" spans="1:19" x14ac:dyDescent="0.2">
      <c r="B2" s="59" t="s">
        <v>441</v>
      </c>
      <c r="C2" s="59" t="s">
        <v>442</v>
      </c>
      <c r="D2" t="s">
        <v>443</v>
      </c>
      <c r="E2" t="s">
        <v>444</v>
      </c>
      <c r="F2" t="s">
        <v>445</v>
      </c>
      <c r="G2" t="s">
        <v>84</v>
      </c>
      <c r="H2" s="59"/>
      <c r="J2" s="59"/>
      <c r="Q2" s="61" t="s">
        <v>446</v>
      </c>
      <c r="R2" t="s">
        <v>447</v>
      </c>
    </row>
    <row r="3" spans="1:19" x14ac:dyDescent="0.2">
      <c r="B3" s="59" t="s">
        <v>448</v>
      </c>
      <c r="C3" s="59" t="s">
        <v>449</v>
      </c>
      <c r="D3" t="s">
        <v>450</v>
      </c>
      <c r="E3" t="s">
        <v>451</v>
      </c>
      <c r="F3" t="s">
        <v>452</v>
      </c>
      <c r="G3" t="s">
        <v>84</v>
      </c>
      <c r="H3" s="59"/>
      <c r="J3" s="59"/>
      <c r="Q3" s="61" t="s">
        <v>453</v>
      </c>
      <c r="R3" t="s">
        <v>454</v>
      </c>
    </row>
    <row r="4" spans="1:19" x14ac:dyDescent="0.2">
      <c r="B4" s="59" t="s">
        <v>455</v>
      </c>
      <c r="C4" s="59" t="s">
        <v>456</v>
      </c>
      <c r="D4" t="s">
        <v>457</v>
      </c>
      <c r="E4" t="s">
        <v>458</v>
      </c>
      <c r="F4" t="s">
        <v>459</v>
      </c>
      <c r="G4" t="s">
        <v>84</v>
      </c>
      <c r="H4" s="59"/>
      <c r="J4" s="59"/>
      <c r="Q4" s="61" t="s">
        <v>460</v>
      </c>
      <c r="R4" t="s">
        <v>461</v>
      </c>
    </row>
    <row r="5" spans="1:19" x14ac:dyDescent="0.2">
      <c r="B5" s="59" t="s">
        <v>462</v>
      </c>
      <c r="C5" s="59" t="s">
        <v>463</v>
      </c>
      <c r="D5" t="s">
        <v>464</v>
      </c>
      <c r="E5" t="s">
        <v>465</v>
      </c>
      <c r="F5" t="s">
        <v>466</v>
      </c>
      <c r="G5" t="s">
        <v>84</v>
      </c>
      <c r="H5" s="59"/>
      <c r="J5" s="59"/>
    </row>
    <row r="6" spans="1:19" x14ac:dyDescent="0.2">
      <c r="B6" s="59" t="s">
        <v>467</v>
      </c>
      <c r="C6" s="59" t="s">
        <v>468</v>
      </c>
      <c r="D6" t="s">
        <v>469</v>
      </c>
      <c r="E6" t="s">
        <v>470</v>
      </c>
      <c r="F6" t="s">
        <v>471</v>
      </c>
      <c r="G6" t="s">
        <v>84</v>
      </c>
      <c r="H6" s="59"/>
      <c r="J6" s="59"/>
    </row>
    <row r="7" spans="1:19" x14ac:dyDescent="0.2">
      <c r="B7" s="59" t="s">
        <v>472</v>
      </c>
      <c r="C7" s="59" t="s">
        <v>473</v>
      </c>
      <c r="D7" t="s">
        <v>474</v>
      </c>
      <c r="E7" t="s">
        <v>475</v>
      </c>
      <c r="F7" t="s">
        <v>476</v>
      </c>
      <c r="G7" t="s">
        <v>84</v>
      </c>
      <c r="H7" s="59"/>
      <c r="J7" s="59"/>
    </row>
    <row r="8" spans="1:19" x14ac:dyDescent="0.2">
      <c r="B8" s="59" t="s">
        <v>477</v>
      </c>
      <c r="C8" s="59" t="s">
        <v>478</v>
      </c>
      <c r="D8" t="s">
        <v>479</v>
      </c>
      <c r="E8" t="s">
        <v>480</v>
      </c>
      <c r="F8" t="s">
        <v>481</v>
      </c>
      <c r="G8" t="s">
        <v>84</v>
      </c>
      <c r="H8" s="59"/>
      <c r="J8" s="59"/>
    </row>
    <row r="9" spans="1:19" x14ac:dyDescent="0.2">
      <c r="B9" s="59" t="s">
        <v>482</v>
      </c>
      <c r="C9" s="59" t="s">
        <v>483</v>
      </c>
      <c r="D9" t="s">
        <v>484</v>
      </c>
      <c r="E9" t="s">
        <v>485</v>
      </c>
      <c r="F9" t="s">
        <v>486</v>
      </c>
      <c r="G9" t="s">
        <v>84</v>
      </c>
      <c r="H9" s="59"/>
      <c r="J9" s="59"/>
    </row>
    <row r="10" spans="1:19" x14ac:dyDescent="0.2">
      <c r="B10" s="59" t="s">
        <v>487</v>
      </c>
      <c r="C10" s="59" t="s">
        <v>488</v>
      </c>
      <c r="D10" t="s">
        <v>489</v>
      </c>
      <c r="E10" t="s">
        <v>490</v>
      </c>
      <c r="F10" t="s">
        <v>491</v>
      </c>
      <c r="G10" t="s">
        <v>84</v>
      </c>
      <c r="H10" s="59"/>
      <c r="J10" s="59"/>
    </row>
    <row r="11" spans="1:19" x14ac:dyDescent="0.2">
      <c r="B11" s="59" t="s">
        <v>492</v>
      </c>
      <c r="C11" s="59" t="s">
        <v>493</v>
      </c>
      <c r="D11" t="s">
        <v>494</v>
      </c>
      <c r="E11" t="s">
        <v>495</v>
      </c>
      <c r="F11" t="s">
        <v>496</v>
      </c>
      <c r="G11" t="s">
        <v>84</v>
      </c>
      <c r="H11" s="59"/>
      <c r="J11" s="59"/>
    </row>
    <row r="12" spans="1:19" x14ac:dyDescent="0.2">
      <c r="B12" s="59" t="s">
        <v>497</v>
      </c>
      <c r="C12" s="59" t="s">
        <v>498</v>
      </c>
      <c r="D12" t="s">
        <v>499</v>
      </c>
      <c r="E12" t="s">
        <v>500</v>
      </c>
      <c r="F12" t="s">
        <v>501</v>
      </c>
      <c r="G12" t="s">
        <v>84</v>
      </c>
      <c r="H12" s="59"/>
      <c r="J12" s="59"/>
    </row>
    <row r="13" spans="1:19" x14ac:dyDescent="0.2">
      <c r="B13" s="59" t="s">
        <v>502</v>
      </c>
      <c r="C13" s="59" t="s">
        <v>503</v>
      </c>
      <c r="D13" t="s">
        <v>504</v>
      </c>
      <c r="E13" t="s">
        <v>505</v>
      </c>
      <c r="F13" t="s">
        <v>506</v>
      </c>
      <c r="G13" t="s">
        <v>84</v>
      </c>
      <c r="H13" s="59"/>
      <c r="J13" s="59"/>
    </row>
    <row r="14" spans="1:19" x14ac:dyDescent="0.2">
      <c r="B14" s="59" t="s">
        <v>507</v>
      </c>
      <c r="C14" s="59" t="s">
        <v>508</v>
      </c>
      <c r="D14" t="s">
        <v>509</v>
      </c>
      <c r="E14" t="s">
        <v>510</v>
      </c>
      <c r="F14" t="s">
        <v>511</v>
      </c>
      <c r="G14" t="s">
        <v>84</v>
      </c>
      <c r="H14" s="59"/>
      <c r="J14" s="59"/>
    </row>
    <row r="15" spans="1:19" x14ac:dyDescent="0.2">
      <c r="B15" s="59"/>
      <c r="C15" s="59"/>
      <c r="E15" s="59"/>
      <c r="G15" s="59"/>
      <c r="I15" s="59"/>
    </row>
    <row r="16" spans="1:19" x14ac:dyDescent="0.2">
      <c r="A16" s="2" t="s">
        <v>512</v>
      </c>
      <c r="B16" s="2" t="s">
        <v>513</v>
      </c>
      <c r="C16" s="2" t="s">
        <v>514</v>
      </c>
      <c r="D16" s="2" t="s">
        <v>515</v>
      </c>
      <c r="E16" s="2" t="s">
        <v>516</v>
      </c>
      <c r="F16" s="2" t="s">
        <v>517</v>
      </c>
      <c r="G16" s="2" t="s">
        <v>518</v>
      </c>
      <c r="H16" s="2" t="s">
        <v>519</v>
      </c>
      <c r="I16" s="2" t="s">
        <v>520</v>
      </c>
      <c r="J16" s="2" t="s">
        <v>521</v>
      </c>
      <c r="K16" s="2" t="s">
        <v>522</v>
      </c>
      <c r="L16" s="2" t="s">
        <v>523</v>
      </c>
      <c r="M16" s="2" t="s">
        <v>524</v>
      </c>
      <c r="N16" s="2" t="s">
        <v>525</v>
      </c>
      <c r="Q16" s="2" t="s">
        <v>526</v>
      </c>
      <c r="R16" s="2" t="s">
        <v>527</v>
      </c>
      <c r="S16" s="2" t="s">
        <v>528</v>
      </c>
    </row>
    <row r="17" spans="1:19" x14ac:dyDescent="0.2">
      <c r="B17" s="59"/>
      <c r="C17" s="59"/>
      <c r="E17" s="59"/>
      <c r="G17" s="59"/>
      <c r="I17" s="59"/>
    </row>
    <row r="18" spans="1:19" x14ac:dyDescent="0.2">
      <c r="A18" s="2">
        <v>10</v>
      </c>
      <c r="B18" s="60" t="str">
        <f>CONCATENATE($C$2,$A18,$B$2,$A18,$D$2,$A18,$B$2,$A18,$E$2,$A18,$B$2,$A18,$F$2,$A18,$B$2,$A18,$G$2)</f>
        <v>=SI(Upg!$P10=1;0;'$ Unit'!$P10)+SI(Upg!$Q10=1;0;'$ Unit'!$P10)+SI(Upg!$R10=1;0;'$ Unit'!$P10)+SI(Upg!$S10=1;0;'$ Unit'!$P10)</v>
      </c>
      <c r="C18" s="60" t="str">
        <f>CONCATENATE($C$3,$A18,$B$3,$A18,$D$3,$A18,$B$3,$A18,$E$3,$A18,$B$3,$A18,$F$3,$A18,$B$3,$A18,$G$3)</f>
        <v>=SI(Upg!$T10=1;0;'$ Unit'!$Q10)+SI(Upg!$U10=1;0;'$ Unit'!$Q10)+SI(Upg!$V10=1;0;'$ Unit'!$Q10)+SI(Upg!$W10=1;0;'$ Unit'!$Q10)</v>
      </c>
      <c r="D18" s="60" t="str">
        <f>CONCATENATE($C$4,$A18,$B$4,$A18,$D$4,$A18,$B$4,$A18,$E$4,$A18,$B$4,$A18,$F$4,$A18,$B$4,$A18,$G$4)</f>
        <v>=SI(Upg!$X10=1;0;'$ Unit'!$R10)+SI(Upg!$Y10=1;0;'$ Unit'!$R10)+SI(Upg!$Z10=1;0;'$ Unit'!$R10)+SI(Upg!$AA10=1;0;'$ Unit'!$R10)</v>
      </c>
      <c r="E18" s="60" t="str">
        <f>CONCATENATE($C$5,$A18,$B$5,$A18,$D$5,$A18,$B$5,$A18,$E$5,$A18,$B$5,$A18,$F$5,$A18,$B$5,$A18,$G$5)</f>
        <v>=SI(Upg!$AB10=1;0;'$ Unit'!$S10)+SI(Upg!$AC10=1;0;'$ Unit'!$S10)+SI(Upg!$AD10=1;0;'$ Unit'!$S10)+SI(Upg!$AE10=1;0;'$ Unit'!$S10)</v>
      </c>
      <c r="F18" s="60" t="str">
        <f>CONCATENATE($C$6,$A18,$B$6,$A18,$D$6,$A18,$B$6,$A18,$E$6,$A18,$B$6,$A18,$F$6,$A18,$B$6,$A18,$G$6)</f>
        <v>=SI(Upg!$AF10=1;0;'$ Unit'!$T10)+SI(Upg!$AG10=1;0;'$ Unit'!$T10)+SI(Upg!$AH10=1;0;'$ Unit'!$T10)+SI(Upg!$AI10=1;0;'$ Unit'!$T10)</v>
      </c>
      <c r="G18" s="60" t="str">
        <f>CONCATENATE($C$7,$A18,$B$7,$A18,$D$7,$A18,$B$7,$A18,$E$7,$A18,$B$7,$A18,$F$7,$A18,$B$7,$A18,$G$7)</f>
        <v>=SI(Upg!$AJ10=1;0;'$ Unit'!$U10)+SI(Upg!$AK10=1;0;'$ Unit'!$U10)+SI(Upg!$AL10=1;0;'$ Unit'!$U10)+SI(Upg!$AM10=1;0;'$ Unit'!$U10)</v>
      </c>
      <c r="H18" s="60" t="str">
        <f>CONCATENATE($C$8,$A18,$B$8,$A18,$D$8,$A18,$B$8,$A18,$E$8,$A18,$B$8,$A18,$F$8,$A18,$B$8,$A18,$G$8)</f>
        <v>=SI(Upg!$AN10=1;0;'$ Unit'!$V10)+SI(Upg!$AO10=1;0;'$ Unit'!$V10)+SI(Upg!$AP10=1;0;'$ Unit'!$V10)+SI(Upg!$AQ10=1;0;'$ Unit'!$V10)</v>
      </c>
      <c r="I18" s="60" t="str">
        <f>CONCATENATE($C$9,$A18,$B$9,$A18,$D$9,$A18,$B$9,$A18,$E$9,$A18,$B$9,$A18,$F$9,$A18,$B$9,$A18,$G$9)</f>
        <v>=SI(Upg!$AR10=1;0;'$ Unit'!$W10)+SI(Upg!$AS10=1;0;'$ Unit'!$W10)+SI(Upg!$AT10=1;0;'$ Unit'!$W10)+SI(Upg!$AU10=1;0;'$ Unit'!$W10)</v>
      </c>
      <c r="J18" s="60" t="str">
        <f>CONCATENATE($C$10,$A18,$B$10,$A18,$D$10,$A18,$B$10,$A18,$E$10,$A18,$B$10,$A18,$F$10,$A18,$B$10,$A18,$G$10)</f>
        <v>=SI(Upg!$AV10=1;0;'$ Unit'!$X10)+SI(Upg!$AW10=1;0;'$ Unit'!$X10)+SI(Upg!$AX10=1;0;'$ Unit'!$X10)+SI(Upg!$AY10=1;0;'$ Unit'!$X10)</v>
      </c>
      <c r="K18" s="60" t="str">
        <f>CONCATENATE($C$11,$A18,$B$11,$A18,$D$11,$A18,$B$11,$A18,$E$11,$A18,$B$11,$A18,$F$11,$A18,$B$11,$A18,$G$11)</f>
        <v>=SI(Upg!$AZ10=1;0;'$ Unit'!$Y10)+SI(Upg!$BA10=1;0;'$ Unit'!$Y10)+SI(Upg!$BB10=1;0;'$ Unit'!$Y10)+SI(Upg!$BC10=1;0;'$ Unit'!$Y10)</v>
      </c>
      <c r="L18" s="60" t="str">
        <f>CONCATENATE($C$12,$A18,$B$12,$A18,$D$12,$A18,$B$12,$A18,$E$12,$A18,$B$12,$A18,$F$12,$A18,$B$12,$A18,$G$12)</f>
        <v>=SI(Upg!$BD10=1;0;'$ Unit'!$Z10)+SI(Upg!$BE10=1;0;'$ Unit'!$Z10)+SI(Upg!$BF10=1;0;'$ Unit'!$Z10)+SI(Upg!$BG10=1;0;'$ Unit'!$Z10)</v>
      </c>
      <c r="M18" s="60" t="str">
        <f>CONCATENATE($C$13,$A18,$B$13,$A18,$D$13,$A18,$B$13,$A18,$E$13,$A18,$B$13,$A18,$F$13,$A18,$B$13,$A18,$G$13)</f>
        <v>=SI(Upg!$BH10=1;0;'$ Unit'!$AA10)+SI(Upg!$BI10=1;0;'$ Unit'!$AA10)+SI(Upg!$BJ10=1;0;'$ Unit'!$AA10)+SI(Upg!$BK10=1;0;'$ Unit'!$AA10)</v>
      </c>
      <c r="N18" s="60" t="str">
        <f>CONCATENATE($C$14,$A18,$B$14,$A18,$D$14,$A18,$B$14,$A18,$E$14,$A18,$B$14,$A18,$F$14,$A18,$B$14,$A18,$G$14)</f>
        <v>=SI(Upg!$BL10=1;0;'$ Unit'!$AB10)+SI(Upg!$BM10=1;0;'$ Unit'!$AB10)+SI(Upg!$BN10=1;0;'$ Unit'!$AB10)+SI(Upg!$BO10=1;0;'$ Unit'!$AB10)</v>
      </c>
      <c r="Q18" t="str">
        <f t="shared" ref="Q18:Q49" si="0">CONCATENATE($Q$2,$A18,$R$2,$A18)</f>
        <v>='$ Unit'!AD10*Garage!AD10</v>
      </c>
      <c r="R18" t="str">
        <f t="shared" ref="R18:R49" si="1">CONCATENATE($Q$3,$A18,$R$3,$A18)</f>
        <v>='$ Unit'!AE10*Garage!AI10</v>
      </c>
      <c r="S18" t="str">
        <f t="shared" ref="S18:S49" si="2">CONCATENATE($Q$4,$A18,$R$4,$A18,)</f>
        <v>='$ Unit'!AF10*Garage!AN10</v>
      </c>
    </row>
    <row r="19" spans="1:19" x14ac:dyDescent="0.2">
      <c r="A19" s="2">
        <v>11</v>
      </c>
      <c r="B19" s="60" t="str">
        <f t="shared" ref="B19:B82" si="3">CONCATENATE($C$2,$A19,$B$2,$A19,$D$2,$A19,$B$2,$A19,$E$2,$A19,$B$2,$A19,$F$2,$A19,$B$2,$A19,$G$2)</f>
        <v>=SI(Upg!$P11=1;0;'$ Unit'!$P11)+SI(Upg!$Q11=1;0;'$ Unit'!$P11)+SI(Upg!$R11=1;0;'$ Unit'!$P11)+SI(Upg!$S11=1;0;'$ Unit'!$P11)</v>
      </c>
      <c r="C19" s="60" t="str">
        <f t="shared" ref="C19:C82" si="4">CONCATENATE($C$3,$A19,$B$3,$A19,$D$3,$A19,$B$3,$A19,$E$3,$A19,$B$3,$A19,$F$3,$A19,$B$3,$A19,$G$3)</f>
        <v>=SI(Upg!$T11=1;0;'$ Unit'!$Q11)+SI(Upg!$U11=1;0;'$ Unit'!$Q11)+SI(Upg!$V11=1;0;'$ Unit'!$Q11)+SI(Upg!$W11=1;0;'$ Unit'!$Q11)</v>
      </c>
      <c r="D19" s="60" t="str">
        <f t="shared" ref="D19:D82" si="5">CONCATENATE($C$4,$A19,$B$4,$A19,$D$4,$A19,$B$4,$A19,$E$4,$A19,$B$4,$A19,$F$4,$A19,$B$4,$A19,$G$4)</f>
        <v>=SI(Upg!$X11=1;0;'$ Unit'!$R11)+SI(Upg!$Y11=1;0;'$ Unit'!$R11)+SI(Upg!$Z11=1;0;'$ Unit'!$R11)+SI(Upg!$AA11=1;0;'$ Unit'!$R11)</v>
      </c>
      <c r="E19" s="60" t="str">
        <f t="shared" ref="E19:E82" si="6">CONCATENATE($C$5,$A19,$B$5,$A19,$D$5,$A19,$B$5,$A19,$E$5,$A19,$B$5,$A19,$F$5,$A19,$B$5,$A19,$G$5)</f>
        <v>=SI(Upg!$AB11=1;0;'$ Unit'!$S11)+SI(Upg!$AC11=1;0;'$ Unit'!$S11)+SI(Upg!$AD11=1;0;'$ Unit'!$S11)+SI(Upg!$AE11=1;0;'$ Unit'!$S11)</v>
      </c>
      <c r="F19" s="60" t="str">
        <f t="shared" ref="F19:F82" si="7">CONCATENATE($C$6,$A19,$B$6,$A19,$D$6,$A19,$B$6,$A19,$E$6,$A19,$B$6,$A19,$F$6,$A19,$B$6,$A19,$G$6)</f>
        <v>=SI(Upg!$AF11=1;0;'$ Unit'!$T11)+SI(Upg!$AG11=1;0;'$ Unit'!$T11)+SI(Upg!$AH11=1;0;'$ Unit'!$T11)+SI(Upg!$AI11=1;0;'$ Unit'!$T11)</v>
      </c>
      <c r="G19" s="60" t="str">
        <f t="shared" ref="G19:G82" si="8">CONCATENATE($C$7,$A19,$B$7,$A19,$D$7,$A19,$B$7,$A19,$E$7,$A19,$B$7,$A19,$F$7,$A19,$B$7,$A19,$G$7)</f>
        <v>=SI(Upg!$AJ11=1;0;'$ Unit'!$U11)+SI(Upg!$AK11=1;0;'$ Unit'!$U11)+SI(Upg!$AL11=1;0;'$ Unit'!$U11)+SI(Upg!$AM11=1;0;'$ Unit'!$U11)</v>
      </c>
      <c r="H19" s="60" t="str">
        <f t="shared" ref="H19:H82" si="9">CONCATENATE($C$8,$A19,$B$8,$A19,$D$8,$A19,$B$8,$A19,$E$8,$A19,$B$8,$A19,$F$8,$A19,$B$8,$A19,$G$8)</f>
        <v>=SI(Upg!$AN11=1;0;'$ Unit'!$V11)+SI(Upg!$AO11=1;0;'$ Unit'!$V11)+SI(Upg!$AP11=1;0;'$ Unit'!$V11)+SI(Upg!$AQ11=1;0;'$ Unit'!$V11)</v>
      </c>
      <c r="I19" s="60" t="str">
        <f t="shared" ref="I19:I82" si="10">CONCATENATE($C$9,$A19,$B$9,$A19,$D$9,$A19,$B$9,$A19,$E$9,$A19,$B$9,$A19,$F$9,$A19,$B$9,$A19,$G$9)</f>
        <v>=SI(Upg!$AR11=1;0;'$ Unit'!$W11)+SI(Upg!$AS11=1;0;'$ Unit'!$W11)+SI(Upg!$AT11=1;0;'$ Unit'!$W11)+SI(Upg!$AU11=1;0;'$ Unit'!$W11)</v>
      </c>
      <c r="J19" s="60" t="str">
        <f t="shared" ref="J19:J82" si="11">CONCATENATE($C$10,$A19,$B$10,$A19,$D$10,$A19,$B$10,$A19,$E$10,$A19,$B$10,$A19,$F$10,$A19,$B$10,$A19,$G$10)</f>
        <v>=SI(Upg!$AV11=1;0;'$ Unit'!$X11)+SI(Upg!$AW11=1;0;'$ Unit'!$X11)+SI(Upg!$AX11=1;0;'$ Unit'!$X11)+SI(Upg!$AY11=1;0;'$ Unit'!$X11)</v>
      </c>
      <c r="K19" s="60" t="str">
        <f t="shared" ref="K19:K82" si="12">CONCATENATE($C$11,$A19,$B$11,$A19,$D$11,$A19,$B$11,$A19,$E$11,$A19,$B$11,$A19,$F$11,$A19,$B$11,$A19,$G$11)</f>
        <v>=SI(Upg!$AZ11=1;0;'$ Unit'!$Y11)+SI(Upg!$BA11=1;0;'$ Unit'!$Y11)+SI(Upg!$BB11=1;0;'$ Unit'!$Y11)+SI(Upg!$BC11=1;0;'$ Unit'!$Y11)</v>
      </c>
      <c r="L19" s="60" t="str">
        <f t="shared" ref="L19:L82" si="13">CONCATENATE($C$12,$A19,$B$12,$A19,$D$12,$A19,$B$12,$A19,$E$12,$A19,$B$12,$A19,$F$12,$A19,$B$12,$A19,$G$12)</f>
        <v>=SI(Upg!$BD11=1;0;'$ Unit'!$Z11)+SI(Upg!$BE11=1;0;'$ Unit'!$Z11)+SI(Upg!$BF11=1;0;'$ Unit'!$Z11)+SI(Upg!$BG11=1;0;'$ Unit'!$Z11)</v>
      </c>
      <c r="M19" s="60" t="str">
        <f t="shared" ref="M19:M82" si="14">CONCATENATE($C$13,$A19,$B$13,$A19,$D$13,$A19,$B$13,$A19,$E$13,$A19,$B$13,$A19,$F$13,$A19,$B$13,$A19,$G$13)</f>
        <v>=SI(Upg!$BH11=1;0;'$ Unit'!$AA11)+SI(Upg!$BI11=1;0;'$ Unit'!$AA11)+SI(Upg!$BJ11=1;0;'$ Unit'!$AA11)+SI(Upg!$BK11=1;0;'$ Unit'!$AA11)</v>
      </c>
      <c r="N19" s="60" t="str">
        <f t="shared" ref="N19:N82" si="15">CONCATENATE($C$14,$A19,$B$14,$A19,$D$14,$A19,$B$14,$A19,$E$14,$A19,$B$14,$A19,$F$14,$A19,$B$14,$A19,$G$14)</f>
        <v>=SI(Upg!$BL11=1;0;'$ Unit'!$AB11)+SI(Upg!$BM11=1;0;'$ Unit'!$AB11)+SI(Upg!$BN11=1;0;'$ Unit'!$AB11)+SI(Upg!$BO11=1;0;'$ Unit'!$AB11)</v>
      </c>
      <c r="Q19" t="str">
        <f t="shared" si="0"/>
        <v>='$ Unit'!AD11*Garage!AD11</v>
      </c>
      <c r="R19" t="str">
        <f t="shared" si="1"/>
        <v>='$ Unit'!AE11*Garage!AI11</v>
      </c>
      <c r="S19" t="str">
        <f t="shared" si="2"/>
        <v>='$ Unit'!AF11*Garage!AN11</v>
      </c>
    </row>
    <row r="20" spans="1:19" x14ac:dyDescent="0.2">
      <c r="A20" s="2">
        <v>12</v>
      </c>
      <c r="B20" s="60" t="str">
        <f t="shared" si="3"/>
        <v>=SI(Upg!$P12=1;0;'$ Unit'!$P12)+SI(Upg!$Q12=1;0;'$ Unit'!$P12)+SI(Upg!$R12=1;0;'$ Unit'!$P12)+SI(Upg!$S12=1;0;'$ Unit'!$P12)</v>
      </c>
      <c r="C20" s="60" t="str">
        <f t="shared" si="4"/>
        <v>=SI(Upg!$T12=1;0;'$ Unit'!$Q12)+SI(Upg!$U12=1;0;'$ Unit'!$Q12)+SI(Upg!$V12=1;0;'$ Unit'!$Q12)+SI(Upg!$W12=1;0;'$ Unit'!$Q12)</v>
      </c>
      <c r="D20" s="60" t="str">
        <f t="shared" si="5"/>
        <v>=SI(Upg!$X12=1;0;'$ Unit'!$R12)+SI(Upg!$Y12=1;0;'$ Unit'!$R12)+SI(Upg!$Z12=1;0;'$ Unit'!$R12)+SI(Upg!$AA12=1;0;'$ Unit'!$R12)</v>
      </c>
      <c r="E20" s="60" t="str">
        <f t="shared" si="6"/>
        <v>=SI(Upg!$AB12=1;0;'$ Unit'!$S12)+SI(Upg!$AC12=1;0;'$ Unit'!$S12)+SI(Upg!$AD12=1;0;'$ Unit'!$S12)+SI(Upg!$AE12=1;0;'$ Unit'!$S12)</v>
      </c>
      <c r="F20" s="60" t="str">
        <f t="shared" si="7"/>
        <v>=SI(Upg!$AF12=1;0;'$ Unit'!$T12)+SI(Upg!$AG12=1;0;'$ Unit'!$T12)+SI(Upg!$AH12=1;0;'$ Unit'!$T12)+SI(Upg!$AI12=1;0;'$ Unit'!$T12)</v>
      </c>
      <c r="G20" s="60" t="str">
        <f t="shared" si="8"/>
        <v>=SI(Upg!$AJ12=1;0;'$ Unit'!$U12)+SI(Upg!$AK12=1;0;'$ Unit'!$U12)+SI(Upg!$AL12=1;0;'$ Unit'!$U12)+SI(Upg!$AM12=1;0;'$ Unit'!$U12)</v>
      </c>
      <c r="H20" s="60" t="str">
        <f t="shared" si="9"/>
        <v>=SI(Upg!$AN12=1;0;'$ Unit'!$V12)+SI(Upg!$AO12=1;0;'$ Unit'!$V12)+SI(Upg!$AP12=1;0;'$ Unit'!$V12)+SI(Upg!$AQ12=1;0;'$ Unit'!$V12)</v>
      </c>
      <c r="I20" s="60" t="str">
        <f t="shared" si="10"/>
        <v>=SI(Upg!$AR12=1;0;'$ Unit'!$W12)+SI(Upg!$AS12=1;0;'$ Unit'!$W12)+SI(Upg!$AT12=1;0;'$ Unit'!$W12)+SI(Upg!$AU12=1;0;'$ Unit'!$W12)</v>
      </c>
      <c r="J20" s="60" t="str">
        <f t="shared" si="11"/>
        <v>=SI(Upg!$AV12=1;0;'$ Unit'!$X12)+SI(Upg!$AW12=1;0;'$ Unit'!$X12)+SI(Upg!$AX12=1;0;'$ Unit'!$X12)+SI(Upg!$AY12=1;0;'$ Unit'!$X12)</v>
      </c>
      <c r="K20" s="60" t="str">
        <f t="shared" si="12"/>
        <v>=SI(Upg!$AZ12=1;0;'$ Unit'!$Y12)+SI(Upg!$BA12=1;0;'$ Unit'!$Y12)+SI(Upg!$BB12=1;0;'$ Unit'!$Y12)+SI(Upg!$BC12=1;0;'$ Unit'!$Y12)</v>
      </c>
      <c r="L20" s="60" t="str">
        <f t="shared" si="13"/>
        <v>=SI(Upg!$BD12=1;0;'$ Unit'!$Z12)+SI(Upg!$BE12=1;0;'$ Unit'!$Z12)+SI(Upg!$BF12=1;0;'$ Unit'!$Z12)+SI(Upg!$BG12=1;0;'$ Unit'!$Z12)</v>
      </c>
      <c r="M20" s="60" t="str">
        <f t="shared" si="14"/>
        <v>=SI(Upg!$BH12=1;0;'$ Unit'!$AA12)+SI(Upg!$BI12=1;0;'$ Unit'!$AA12)+SI(Upg!$BJ12=1;0;'$ Unit'!$AA12)+SI(Upg!$BK12=1;0;'$ Unit'!$AA12)</v>
      </c>
      <c r="N20" s="60" t="str">
        <f t="shared" si="15"/>
        <v>=SI(Upg!$BL12=1;0;'$ Unit'!$AB12)+SI(Upg!$BM12=1;0;'$ Unit'!$AB12)+SI(Upg!$BN12=1;0;'$ Unit'!$AB12)+SI(Upg!$BO12=1;0;'$ Unit'!$AB12)</v>
      </c>
      <c r="Q20" t="str">
        <f t="shared" si="0"/>
        <v>='$ Unit'!AD12*Garage!AD12</v>
      </c>
      <c r="R20" t="str">
        <f t="shared" si="1"/>
        <v>='$ Unit'!AE12*Garage!AI12</v>
      </c>
      <c r="S20" t="str">
        <f t="shared" si="2"/>
        <v>='$ Unit'!AF12*Garage!AN12</v>
      </c>
    </row>
    <row r="21" spans="1:19" x14ac:dyDescent="0.2">
      <c r="A21" s="2">
        <v>13</v>
      </c>
      <c r="B21" s="60" t="str">
        <f t="shared" si="3"/>
        <v>=SI(Upg!$P13=1;0;'$ Unit'!$P13)+SI(Upg!$Q13=1;0;'$ Unit'!$P13)+SI(Upg!$R13=1;0;'$ Unit'!$P13)+SI(Upg!$S13=1;0;'$ Unit'!$P13)</v>
      </c>
      <c r="C21" s="60" t="str">
        <f t="shared" si="4"/>
        <v>=SI(Upg!$T13=1;0;'$ Unit'!$Q13)+SI(Upg!$U13=1;0;'$ Unit'!$Q13)+SI(Upg!$V13=1;0;'$ Unit'!$Q13)+SI(Upg!$W13=1;0;'$ Unit'!$Q13)</v>
      </c>
      <c r="D21" s="60" t="str">
        <f t="shared" si="5"/>
        <v>=SI(Upg!$X13=1;0;'$ Unit'!$R13)+SI(Upg!$Y13=1;0;'$ Unit'!$R13)+SI(Upg!$Z13=1;0;'$ Unit'!$R13)+SI(Upg!$AA13=1;0;'$ Unit'!$R13)</v>
      </c>
      <c r="E21" s="60" t="str">
        <f t="shared" si="6"/>
        <v>=SI(Upg!$AB13=1;0;'$ Unit'!$S13)+SI(Upg!$AC13=1;0;'$ Unit'!$S13)+SI(Upg!$AD13=1;0;'$ Unit'!$S13)+SI(Upg!$AE13=1;0;'$ Unit'!$S13)</v>
      </c>
      <c r="F21" s="60" t="str">
        <f t="shared" si="7"/>
        <v>=SI(Upg!$AF13=1;0;'$ Unit'!$T13)+SI(Upg!$AG13=1;0;'$ Unit'!$T13)+SI(Upg!$AH13=1;0;'$ Unit'!$T13)+SI(Upg!$AI13=1;0;'$ Unit'!$T13)</v>
      </c>
      <c r="G21" s="60" t="str">
        <f t="shared" si="8"/>
        <v>=SI(Upg!$AJ13=1;0;'$ Unit'!$U13)+SI(Upg!$AK13=1;0;'$ Unit'!$U13)+SI(Upg!$AL13=1;0;'$ Unit'!$U13)+SI(Upg!$AM13=1;0;'$ Unit'!$U13)</v>
      </c>
      <c r="H21" s="60" t="str">
        <f t="shared" si="9"/>
        <v>=SI(Upg!$AN13=1;0;'$ Unit'!$V13)+SI(Upg!$AO13=1;0;'$ Unit'!$V13)+SI(Upg!$AP13=1;0;'$ Unit'!$V13)+SI(Upg!$AQ13=1;0;'$ Unit'!$V13)</v>
      </c>
      <c r="I21" s="60" t="str">
        <f t="shared" si="10"/>
        <v>=SI(Upg!$AR13=1;0;'$ Unit'!$W13)+SI(Upg!$AS13=1;0;'$ Unit'!$W13)+SI(Upg!$AT13=1;0;'$ Unit'!$W13)+SI(Upg!$AU13=1;0;'$ Unit'!$W13)</v>
      </c>
      <c r="J21" s="60" t="str">
        <f t="shared" si="11"/>
        <v>=SI(Upg!$AV13=1;0;'$ Unit'!$X13)+SI(Upg!$AW13=1;0;'$ Unit'!$X13)+SI(Upg!$AX13=1;0;'$ Unit'!$X13)+SI(Upg!$AY13=1;0;'$ Unit'!$X13)</v>
      </c>
      <c r="K21" s="60" t="str">
        <f t="shared" si="12"/>
        <v>=SI(Upg!$AZ13=1;0;'$ Unit'!$Y13)+SI(Upg!$BA13=1;0;'$ Unit'!$Y13)+SI(Upg!$BB13=1;0;'$ Unit'!$Y13)+SI(Upg!$BC13=1;0;'$ Unit'!$Y13)</v>
      </c>
      <c r="L21" s="60" t="str">
        <f t="shared" si="13"/>
        <v>=SI(Upg!$BD13=1;0;'$ Unit'!$Z13)+SI(Upg!$BE13=1;0;'$ Unit'!$Z13)+SI(Upg!$BF13=1;0;'$ Unit'!$Z13)+SI(Upg!$BG13=1;0;'$ Unit'!$Z13)</v>
      </c>
      <c r="M21" s="60" t="str">
        <f t="shared" si="14"/>
        <v>=SI(Upg!$BH13=1;0;'$ Unit'!$AA13)+SI(Upg!$BI13=1;0;'$ Unit'!$AA13)+SI(Upg!$BJ13=1;0;'$ Unit'!$AA13)+SI(Upg!$BK13=1;0;'$ Unit'!$AA13)</v>
      </c>
      <c r="N21" s="60" t="str">
        <f t="shared" si="15"/>
        <v>=SI(Upg!$BL13=1;0;'$ Unit'!$AB13)+SI(Upg!$BM13=1;0;'$ Unit'!$AB13)+SI(Upg!$BN13=1;0;'$ Unit'!$AB13)+SI(Upg!$BO13=1;0;'$ Unit'!$AB13)</v>
      </c>
      <c r="Q21" t="str">
        <f t="shared" si="0"/>
        <v>='$ Unit'!AD13*Garage!AD13</v>
      </c>
      <c r="R21" t="str">
        <f t="shared" si="1"/>
        <v>='$ Unit'!AE13*Garage!AI13</v>
      </c>
      <c r="S21" t="str">
        <f t="shared" si="2"/>
        <v>='$ Unit'!AF13*Garage!AN13</v>
      </c>
    </row>
    <row r="22" spans="1:19" x14ac:dyDescent="0.2">
      <c r="A22" s="2">
        <v>15</v>
      </c>
      <c r="B22" s="60" t="str">
        <f t="shared" si="3"/>
        <v>=SI(Upg!$P15=1;0;'$ Unit'!$P15)+SI(Upg!$Q15=1;0;'$ Unit'!$P15)+SI(Upg!$R15=1;0;'$ Unit'!$P15)+SI(Upg!$S15=1;0;'$ Unit'!$P15)</v>
      </c>
      <c r="C22" s="60" t="str">
        <f t="shared" si="4"/>
        <v>=SI(Upg!$T15=1;0;'$ Unit'!$Q15)+SI(Upg!$U15=1;0;'$ Unit'!$Q15)+SI(Upg!$V15=1;0;'$ Unit'!$Q15)+SI(Upg!$W15=1;0;'$ Unit'!$Q15)</v>
      </c>
      <c r="D22" s="60" t="str">
        <f t="shared" si="5"/>
        <v>=SI(Upg!$X15=1;0;'$ Unit'!$R15)+SI(Upg!$Y15=1;0;'$ Unit'!$R15)+SI(Upg!$Z15=1;0;'$ Unit'!$R15)+SI(Upg!$AA15=1;0;'$ Unit'!$R15)</v>
      </c>
      <c r="E22" s="60" t="str">
        <f t="shared" si="6"/>
        <v>=SI(Upg!$AB15=1;0;'$ Unit'!$S15)+SI(Upg!$AC15=1;0;'$ Unit'!$S15)+SI(Upg!$AD15=1;0;'$ Unit'!$S15)+SI(Upg!$AE15=1;0;'$ Unit'!$S15)</v>
      </c>
      <c r="F22" s="60" t="str">
        <f t="shared" si="7"/>
        <v>=SI(Upg!$AF15=1;0;'$ Unit'!$T15)+SI(Upg!$AG15=1;0;'$ Unit'!$T15)+SI(Upg!$AH15=1;0;'$ Unit'!$T15)+SI(Upg!$AI15=1;0;'$ Unit'!$T15)</v>
      </c>
      <c r="G22" s="60" t="str">
        <f t="shared" si="8"/>
        <v>=SI(Upg!$AJ15=1;0;'$ Unit'!$U15)+SI(Upg!$AK15=1;0;'$ Unit'!$U15)+SI(Upg!$AL15=1;0;'$ Unit'!$U15)+SI(Upg!$AM15=1;0;'$ Unit'!$U15)</v>
      </c>
      <c r="H22" s="60" t="str">
        <f t="shared" si="9"/>
        <v>=SI(Upg!$AN15=1;0;'$ Unit'!$V15)+SI(Upg!$AO15=1;0;'$ Unit'!$V15)+SI(Upg!$AP15=1;0;'$ Unit'!$V15)+SI(Upg!$AQ15=1;0;'$ Unit'!$V15)</v>
      </c>
      <c r="I22" s="60" t="str">
        <f t="shared" si="10"/>
        <v>=SI(Upg!$AR15=1;0;'$ Unit'!$W15)+SI(Upg!$AS15=1;0;'$ Unit'!$W15)+SI(Upg!$AT15=1;0;'$ Unit'!$W15)+SI(Upg!$AU15=1;0;'$ Unit'!$W15)</v>
      </c>
      <c r="J22" s="60" t="str">
        <f t="shared" si="11"/>
        <v>=SI(Upg!$AV15=1;0;'$ Unit'!$X15)+SI(Upg!$AW15=1;0;'$ Unit'!$X15)+SI(Upg!$AX15=1;0;'$ Unit'!$X15)+SI(Upg!$AY15=1;0;'$ Unit'!$X15)</v>
      </c>
      <c r="K22" s="60" t="str">
        <f t="shared" si="12"/>
        <v>=SI(Upg!$AZ15=1;0;'$ Unit'!$Y15)+SI(Upg!$BA15=1;0;'$ Unit'!$Y15)+SI(Upg!$BB15=1;0;'$ Unit'!$Y15)+SI(Upg!$BC15=1;0;'$ Unit'!$Y15)</v>
      </c>
      <c r="L22" s="60" t="str">
        <f t="shared" si="13"/>
        <v>=SI(Upg!$BD15=1;0;'$ Unit'!$Z15)+SI(Upg!$BE15=1;0;'$ Unit'!$Z15)+SI(Upg!$BF15=1;0;'$ Unit'!$Z15)+SI(Upg!$BG15=1;0;'$ Unit'!$Z15)</v>
      </c>
      <c r="M22" s="60" t="str">
        <f t="shared" si="14"/>
        <v>=SI(Upg!$BH15=1;0;'$ Unit'!$AA15)+SI(Upg!$BI15=1;0;'$ Unit'!$AA15)+SI(Upg!$BJ15=1;0;'$ Unit'!$AA15)+SI(Upg!$BK15=1;0;'$ Unit'!$AA15)</v>
      </c>
      <c r="N22" s="60" t="str">
        <f t="shared" si="15"/>
        <v>=SI(Upg!$BL15=1;0;'$ Unit'!$AB15)+SI(Upg!$BM15=1;0;'$ Unit'!$AB15)+SI(Upg!$BN15=1;0;'$ Unit'!$AB15)+SI(Upg!$BO15=1;0;'$ Unit'!$AB15)</v>
      </c>
      <c r="Q22" t="str">
        <f t="shared" si="0"/>
        <v>='$ Unit'!AD15*Garage!AD15</v>
      </c>
      <c r="R22" t="str">
        <f t="shared" si="1"/>
        <v>='$ Unit'!AE15*Garage!AI15</v>
      </c>
      <c r="S22" t="str">
        <f t="shared" si="2"/>
        <v>='$ Unit'!AF15*Garage!AN15</v>
      </c>
    </row>
    <row r="23" spans="1:19" x14ac:dyDescent="0.2">
      <c r="A23" s="2">
        <v>17</v>
      </c>
      <c r="B23" s="60" t="str">
        <f t="shared" si="3"/>
        <v>=SI(Upg!$P17=1;0;'$ Unit'!$P17)+SI(Upg!$Q17=1;0;'$ Unit'!$P17)+SI(Upg!$R17=1;0;'$ Unit'!$P17)+SI(Upg!$S17=1;0;'$ Unit'!$P17)</v>
      </c>
      <c r="C23" s="60" t="str">
        <f t="shared" si="4"/>
        <v>=SI(Upg!$T17=1;0;'$ Unit'!$Q17)+SI(Upg!$U17=1;0;'$ Unit'!$Q17)+SI(Upg!$V17=1;0;'$ Unit'!$Q17)+SI(Upg!$W17=1;0;'$ Unit'!$Q17)</v>
      </c>
      <c r="D23" s="60" t="str">
        <f t="shared" si="5"/>
        <v>=SI(Upg!$X17=1;0;'$ Unit'!$R17)+SI(Upg!$Y17=1;0;'$ Unit'!$R17)+SI(Upg!$Z17=1;0;'$ Unit'!$R17)+SI(Upg!$AA17=1;0;'$ Unit'!$R17)</v>
      </c>
      <c r="E23" s="60" t="str">
        <f t="shared" si="6"/>
        <v>=SI(Upg!$AB17=1;0;'$ Unit'!$S17)+SI(Upg!$AC17=1;0;'$ Unit'!$S17)+SI(Upg!$AD17=1;0;'$ Unit'!$S17)+SI(Upg!$AE17=1;0;'$ Unit'!$S17)</v>
      </c>
      <c r="F23" s="60" t="str">
        <f t="shared" si="7"/>
        <v>=SI(Upg!$AF17=1;0;'$ Unit'!$T17)+SI(Upg!$AG17=1;0;'$ Unit'!$T17)+SI(Upg!$AH17=1;0;'$ Unit'!$T17)+SI(Upg!$AI17=1;0;'$ Unit'!$T17)</v>
      </c>
      <c r="G23" s="60" t="str">
        <f t="shared" si="8"/>
        <v>=SI(Upg!$AJ17=1;0;'$ Unit'!$U17)+SI(Upg!$AK17=1;0;'$ Unit'!$U17)+SI(Upg!$AL17=1;0;'$ Unit'!$U17)+SI(Upg!$AM17=1;0;'$ Unit'!$U17)</v>
      </c>
      <c r="H23" s="60" t="str">
        <f t="shared" si="9"/>
        <v>=SI(Upg!$AN17=1;0;'$ Unit'!$V17)+SI(Upg!$AO17=1;0;'$ Unit'!$V17)+SI(Upg!$AP17=1;0;'$ Unit'!$V17)+SI(Upg!$AQ17=1;0;'$ Unit'!$V17)</v>
      </c>
      <c r="I23" s="60" t="str">
        <f t="shared" si="10"/>
        <v>=SI(Upg!$AR17=1;0;'$ Unit'!$W17)+SI(Upg!$AS17=1;0;'$ Unit'!$W17)+SI(Upg!$AT17=1;0;'$ Unit'!$W17)+SI(Upg!$AU17=1;0;'$ Unit'!$W17)</v>
      </c>
      <c r="J23" s="60" t="str">
        <f t="shared" si="11"/>
        <v>=SI(Upg!$AV17=1;0;'$ Unit'!$X17)+SI(Upg!$AW17=1;0;'$ Unit'!$X17)+SI(Upg!$AX17=1;0;'$ Unit'!$X17)+SI(Upg!$AY17=1;0;'$ Unit'!$X17)</v>
      </c>
      <c r="K23" s="60" t="str">
        <f t="shared" si="12"/>
        <v>=SI(Upg!$AZ17=1;0;'$ Unit'!$Y17)+SI(Upg!$BA17=1;0;'$ Unit'!$Y17)+SI(Upg!$BB17=1;0;'$ Unit'!$Y17)+SI(Upg!$BC17=1;0;'$ Unit'!$Y17)</v>
      </c>
      <c r="L23" s="60" t="str">
        <f t="shared" si="13"/>
        <v>=SI(Upg!$BD17=1;0;'$ Unit'!$Z17)+SI(Upg!$BE17=1;0;'$ Unit'!$Z17)+SI(Upg!$BF17=1;0;'$ Unit'!$Z17)+SI(Upg!$BG17=1;0;'$ Unit'!$Z17)</v>
      </c>
      <c r="M23" s="60" t="str">
        <f t="shared" si="14"/>
        <v>=SI(Upg!$BH17=1;0;'$ Unit'!$AA17)+SI(Upg!$BI17=1;0;'$ Unit'!$AA17)+SI(Upg!$BJ17=1;0;'$ Unit'!$AA17)+SI(Upg!$BK17=1;0;'$ Unit'!$AA17)</v>
      </c>
      <c r="N23" s="60" t="str">
        <f t="shared" si="15"/>
        <v>=SI(Upg!$BL17=1;0;'$ Unit'!$AB17)+SI(Upg!$BM17=1;0;'$ Unit'!$AB17)+SI(Upg!$BN17=1;0;'$ Unit'!$AB17)+SI(Upg!$BO17=1;0;'$ Unit'!$AB17)</v>
      </c>
      <c r="Q23" t="str">
        <f t="shared" si="0"/>
        <v>='$ Unit'!AD17*Garage!AD17</v>
      </c>
      <c r="R23" t="str">
        <f t="shared" si="1"/>
        <v>='$ Unit'!AE17*Garage!AI17</v>
      </c>
      <c r="S23" t="str">
        <f t="shared" si="2"/>
        <v>='$ Unit'!AF17*Garage!AN17</v>
      </c>
    </row>
    <row r="24" spans="1:19" x14ac:dyDescent="0.2">
      <c r="A24" s="2">
        <v>20</v>
      </c>
      <c r="B24" s="60" t="str">
        <f t="shared" si="3"/>
        <v>=SI(Upg!$P20=1;0;'$ Unit'!$P20)+SI(Upg!$Q20=1;0;'$ Unit'!$P20)+SI(Upg!$R20=1;0;'$ Unit'!$P20)+SI(Upg!$S20=1;0;'$ Unit'!$P20)</v>
      </c>
      <c r="C24" s="60" t="str">
        <f t="shared" si="4"/>
        <v>=SI(Upg!$T20=1;0;'$ Unit'!$Q20)+SI(Upg!$U20=1;0;'$ Unit'!$Q20)+SI(Upg!$V20=1;0;'$ Unit'!$Q20)+SI(Upg!$W20=1;0;'$ Unit'!$Q20)</v>
      </c>
      <c r="D24" s="60" t="str">
        <f t="shared" si="5"/>
        <v>=SI(Upg!$X20=1;0;'$ Unit'!$R20)+SI(Upg!$Y20=1;0;'$ Unit'!$R20)+SI(Upg!$Z20=1;0;'$ Unit'!$R20)+SI(Upg!$AA20=1;0;'$ Unit'!$R20)</v>
      </c>
      <c r="E24" s="60" t="str">
        <f t="shared" si="6"/>
        <v>=SI(Upg!$AB20=1;0;'$ Unit'!$S20)+SI(Upg!$AC20=1;0;'$ Unit'!$S20)+SI(Upg!$AD20=1;0;'$ Unit'!$S20)+SI(Upg!$AE20=1;0;'$ Unit'!$S20)</v>
      </c>
      <c r="F24" s="60" t="str">
        <f t="shared" si="7"/>
        <v>=SI(Upg!$AF20=1;0;'$ Unit'!$T20)+SI(Upg!$AG20=1;0;'$ Unit'!$T20)+SI(Upg!$AH20=1;0;'$ Unit'!$T20)+SI(Upg!$AI20=1;0;'$ Unit'!$T20)</v>
      </c>
      <c r="G24" s="60" t="str">
        <f t="shared" si="8"/>
        <v>=SI(Upg!$AJ20=1;0;'$ Unit'!$U20)+SI(Upg!$AK20=1;0;'$ Unit'!$U20)+SI(Upg!$AL20=1;0;'$ Unit'!$U20)+SI(Upg!$AM20=1;0;'$ Unit'!$U20)</v>
      </c>
      <c r="H24" s="60" t="str">
        <f t="shared" si="9"/>
        <v>=SI(Upg!$AN20=1;0;'$ Unit'!$V20)+SI(Upg!$AO20=1;0;'$ Unit'!$V20)+SI(Upg!$AP20=1;0;'$ Unit'!$V20)+SI(Upg!$AQ20=1;0;'$ Unit'!$V20)</v>
      </c>
      <c r="I24" s="60" t="str">
        <f t="shared" si="10"/>
        <v>=SI(Upg!$AR20=1;0;'$ Unit'!$W20)+SI(Upg!$AS20=1;0;'$ Unit'!$W20)+SI(Upg!$AT20=1;0;'$ Unit'!$W20)+SI(Upg!$AU20=1;0;'$ Unit'!$W20)</v>
      </c>
      <c r="J24" s="60" t="str">
        <f t="shared" si="11"/>
        <v>=SI(Upg!$AV20=1;0;'$ Unit'!$X20)+SI(Upg!$AW20=1;0;'$ Unit'!$X20)+SI(Upg!$AX20=1;0;'$ Unit'!$X20)+SI(Upg!$AY20=1;0;'$ Unit'!$X20)</v>
      </c>
      <c r="K24" s="60" t="str">
        <f t="shared" si="12"/>
        <v>=SI(Upg!$AZ20=1;0;'$ Unit'!$Y20)+SI(Upg!$BA20=1;0;'$ Unit'!$Y20)+SI(Upg!$BB20=1;0;'$ Unit'!$Y20)+SI(Upg!$BC20=1;0;'$ Unit'!$Y20)</v>
      </c>
      <c r="L24" s="60" t="str">
        <f t="shared" si="13"/>
        <v>=SI(Upg!$BD20=1;0;'$ Unit'!$Z20)+SI(Upg!$BE20=1;0;'$ Unit'!$Z20)+SI(Upg!$BF20=1;0;'$ Unit'!$Z20)+SI(Upg!$BG20=1;0;'$ Unit'!$Z20)</v>
      </c>
      <c r="M24" s="60" t="str">
        <f t="shared" si="14"/>
        <v>=SI(Upg!$BH20=1;0;'$ Unit'!$AA20)+SI(Upg!$BI20=1;0;'$ Unit'!$AA20)+SI(Upg!$BJ20=1;0;'$ Unit'!$AA20)+SI(Upg!$BK20=1;0;'$ Unit'!$AA20)</v>
      </c>
      <c r="N24" s="60" t="str">
        <f t="shared" si="15"/>
        <v>=SI(Upg!$BL20=1;0;'$ Unit'!$AB20)+SI(Upg!$BM20=1;0;'$ Unit'!$AB20)+SI(Upg!$BN20=1;0;'$ Unit'!$AB20)+SI(Upg!$BO20=1;0;'$ Unit'!$AB20)</v>
      </c>
      <c r="Q24" t="str">
        <f t="shared" si="0"/>
        <v>='$ Unit'!AD20*Garage!AD20</v>
      </c>
      <c r="R24" t="str">
        <f t="shared" si="1"/>
        <v>='$ Unit'!AE20*Garage!AI20</v>
      </c>
      <c r="S24" t="str">
        <f t="shared" si="2"/>
        <v>='$ Unit'!AF20*Garage!AN20</v>
      </c>
    </row>
    <row r="25" spans="1:19" x14ac:dyDescent="0.2">
      <c r="A25" s="2">
        <v>22</v>
      </c>
      <c r="B25" s="60" t="str">
        <f t="shared" si="3"/>
        <v>=SI(Upg!$P22=1;0;'$ Unit'!$P22)+SI(Upg!$Q22=1;0;'$ Unit'!$P22)+SI(Upg!$R22=1;0;'$ Unit'!$P22)+SI(Upg!$S22=1;0;'$ Unit'!$P22)</v>
      </c>
      <c r="C25" s="60" t="str">
        <f t="shared" si="4"/>
        <v>=SI(Upg!$T22=1;0;'$ Unit'!$Q22)+SI(Upg!$U22=1;0;'$ Unit'!$Q22)+SI(Upg!$V22=1;0;'$ Unit'!$Q22)+SI(Upg!$W22=1;0;'$ Unit'!$Q22)</v>
      </c>
      <c r="D25" s="60" t="str">
        <f t="shared" si="5"/>
        <v>=SI(Upg!$X22=1;0;'$ Unit'!$R22)+SI(Upg!$Y22=1;0;'$ Unit'!$R22)+SI(Upg!$Z22=1;0;'$ Unit'!$R22)+SI(Upg!$AA22=1;0;'$ Unit'!$R22)</v>
      </c>
      <c r="E25" s="60" t="str">
        <f t="shared" si="6"/>
        <v>=SI(Upg!$AB22=1;0;'$ Unit'!$S22)+SI(Upg!$AC22=1;0;'$ Unit'!$S22)+SI(Upg!$AD22=1;0;'$ Unit'!$S22)+SI(Upg!$AE22=1;0;'$ Unit'!$S22)</v>
      </c>
      <c r="F25" s="60" t="str">
        <f t="shared" si="7"/>
        <v>=SI(Upg!$AF22=1;0;'$ Unit'!$T22)+SI(Upg!$AG22=1;0;'$ Unit'!$T22)+SI(Upg!$AH22=1;0;'$ Unit'!$T22)+SI(Upg!$AI22=1;0;'$ Unit'!$T22)</v>
      </c>
      <c r="G25" s="60" t="str">
        <f t="shared" si="8"/>
        <v>=SI(Upg!$AJ22=1;0;'$ Unit'!$U22)+SI(Upg!$AK22=1;0;'$ Unit'!$U22)+SI(Upg!$AL22=1;0;'$ Unit'!$U22)+SI(Upg!$AM22=1;0;'$ Unit'!$U22)</v>
      </c>
      <c r="H25" s="60" t="str">
        <f t="shared" si="9"/>
        <v>=SI(Upg!$AN22=1;0;'$ Unit'!$V22)+SI(Upg!$AO22=1;0;'$ Unit'!$V22)+SI(Upg!$AP22=1;0;'$ Unit'!$V22)+SI(Upg!$AQ22=1;0;'$ Unit'!$V22)</v>
      </c>
      <c r="I25" s="60" t="str">
        <f t="shared" si="10"/>
        <v>=SI(Upg!$AR22=1;0;'$ Unit'!$W22)+SI(Upg!$AS22=1;0;'$ Unit'!$W22)+SI(Upg!$AT22=1;0;'$ Unit'!$W22)+SI(Upg!$AU22=1;0;'$ Unit'!$W22)</v>
      </c>
      <c r="J25" s="60" t="str">
        <f t="shared" si="11"/>
        <v>=SI(Upg!$AV22=1;0;'$ Unit'!$X22)+SI(Upg!$AW22=1;0;'$ Unit'!$X22)+SI(Upg!$AX22=1;0;'$ Unit'!$X22)+SI(Upg!$AY22=1;0;'$ Unit'!$X22)</v>
      </c>
      <c r="K25" s="60" t="str">
        <f t="shared" si="12"/>
        <v>=SI(Upg!$AZ22=1;0;'$ Unit'!$Y22)+SI(Upg!$BA22=1;0;'$ Unit'!$Y22)+SI(Upg!$BB22=1;0;'$ Unit'!$Y22)+SI(Upg!$BC22=1;0;'$ Unit'!$Y22)</v>
      </c>
      <c r="L25" s="60" t="str">
        <f t="shared" si="13"/>
        <v>=SI(Upg!$BD22=1;0;'$ Unit'!$Z22)+SI(Upg!$BE22=1;0;'$ Unit'!$Z22)+SI(Upg!$BF22=1;0;'$ Unit'!$Z22)+SI(Upg!$BG22=1;0;'$ Unit'!$Z22)</v>
      </c>
      <c r="M25" s="60" t="str">
        <f t="shared" si="14"/>
        <v>=SI(Upg!$BH22=1;0;'$ Unit'!$AA22)+SI(Upg!$BI22=1;0;'$ Unit'!$AA22)+SI(Upg!$BJ22=1;0;'$ Unit'!$AA22)+SI(Upg!$BK22=1;0;'$ Unit'!$AA22)</v>
      </c>
      <c r="N25" s="60" t="str">
        <f t="shared" si="15"/>
        <v>=SI(Upg!$BL22=1;0;'$ Unit'!$AB22)+SI(Upg!$BM22=1;0;'$ Unit'!$AB22)+SI(Upg!$BN22=1;0;'$ Unit'!$AB22)+SI(Upg!$BO22=1;0;'$ Unit'!$AB22)</v>
      </c>
      <c r="Q25" t="str">
        <f t="shared" si="0"/>
        <v>='$ Unit'!AD22*Garage!AD22</v>
      </c>
      <c r="R25" t="str">
        <f t="shared" si="1"/>
        <v>='$ Unit'!AE22*Garage!AI22</v>
      </c>
      <c r="S25" t="str">
        <f t="shared" si="2"/>
        <v>='$ Unit'!AF22*Garage!AN22</v>
      </c>
    </row>
    <row r="26" spans="1:19" x14ac:dyDescent="0.2">
      <c r="A26" s="2">
        <v>23</v>
      </c>
      <c r="B26" s="60" t="str">
        <f t="shared" si="3"/>
        <v>=SI(Upg!$P23=1;0;'$ Unit'!$P23)+SI(Upg!$Q23=1;0;'$ Unit'!$P23)+SI(Upg!$R23=1;0;'$ Unit'!$P23)+SI(Upg!$S23=1;0;'$ Unit'!$P23)</v>
      </c>
      <c r="C26" s="60" t="str">
        <f t="shared" si="4"/>
        <v>=SI(Upg!$T23=1;0;'$ Unit'!$Q23)+SI(Upg!$U23=1;0;'$ Unit'!$Q23)+SI(Upg!$V23=1;0;'$ Unit'!$Q23)+SI(Upg!$W23=1;0;'$ Unit'!$Q23)</v>
      </c>
      <c r="D26" s="60" t="str">
        <f t="shared" si="5"/>
        <v>=SI(Upg!$X23=1;0;'$ Unit'!$R23)+SI(Upg!$Y23=1;0;'$ Unit'!$R23)+SI(Upg!$Z23=1;0;'$ Unit'!$R23)+SI(Upg!$AA23=1;0;'$ Unit'!$R23)</v>
      </c>
      <c r="E26" s="60" t="str">
        <f t="shared" si="6"/>
        <v>=SI(Upg!$AB23=1;0;'$ Unit'!$S23)+SI(Upg!$AC23=1;0;'$ Unit'!$S23)+SI(Upg!$AD23=1;0;'$ Unit'!$S23)+SI(Upg!$AE23=1;0;'$ Unit'!$S23)</v>
      </c>
      <c r="F26" s="60" t="str">
        <f t="shared" si="7"/>
        <v>=SI(Upg!$AF23=1;0;'$ Unit'!$T23)+SI(Upg!$AG23=1;0;'$ Unit'!$T23)+SI(Upg!$AH23=1;0;'$ Unit'!$T23)+SI(Upg!$AI23=1;0;'$ Unit'!$T23)</v>
      </c>
      <c r="G26" s="60" t="str">
        <f t="shared" si="8"/>
        <v>=SI(Upg!$AJ23=1;0;'$ Unit'!$U23)+SI(Upg!$AK23=1;0;'$ Unit'!$U23)+SI(Upg!$AL23=1;0;'$ Unit'!$U23)+SI(Upg!$AM23=1;0;'$ Unit'!$U23)</v>
      </c>
      <c r="H26" s="60" t="str">
        <f t="shared" si="9"/>
        <v>=SI(Upg!$AN23=1;0;'$ Unit'!$V23)+SI(Upg!$AO23=1;0;'$ Unit'!$V23)+SI(Upg!$AP23=1;0;'$ Unit'!$V23)+SI(Upg!$AQ23=1;0;'$ Unit'!$V23)</v>
      </c>
      <c r="I26" s="60" t="str">
        <f t="shared" si="10"/>
        <v>=SI(Upg!$AR23=1;0;'$ Unit'!$W23)+SI(Upg!$AS23=1;0;'$ Unit'!$W23)+SI(Upg!$AT23=1;0;'$ Unit'!$W23)+SI(Upg!$AU23=1;0;'$ Unit'!$W23)</v>
      </c>
      <c r="J26" s="60" t="str">
        <f t="shared" si="11"/>
        <v>=SI(Upg!$AV23=1;0;'$ Unit'!$X23)+SI(Upg!$AW23=1;0;'$ Unit'!$X23)+SI(Upg!$AX23=1;0;'$ Unit'!$X23)+SI(Upg!$AY23=1;0;'$ Unit'!$X23)</v>
      </c>
      <c r="K26" s="60" t="str">
        <f t="shared" si="12"/>
        <v>=SI(Upg!$AZ23=1;0;'$ Unit'!$Y23)+SI(Upg!$BA23=1;0;'$ Unit'!$Y23)+SI(Upg!$BB23=1;0;'$ Unit'!$Y23)+SI(Upg!$BC23=1;0;'$ Unit'!$Y23)</v>
      </c>
      <c r="L26" s="60" t="str">
        <f t="shared" si="13"/>
        <v>=SI(Upg!$BD23=1;0;'$ Unit'!$Z23)+SI(Upg!$BE23=1;0;'$ Unit'!$Z23)+SI(Upg!$BF23=1;0;'$ Unit'!$Z23)+SI(Upg!$BG23=1;0;'$ Unit'!$Z23)</v>
      </c>
      <c r="M26" s="60" t="str">
        <f t="shared" si="14"/>
        <v>=SI(Upg!$BH23=1;0;'$ Unit'!$AA23)+SI(Upg!$BI23=1;0;'$ Unit'!$AA23)+SI(Upg!$BJ23=1;0;'$ Unit'!$AA23)+SI(Upg!$BK23=1;0;'$ Unit'!$AA23)</v>
      </c>
      <c r="N26" s="60" t="str">
        <f t="shared" si="15"/>
        <v>=SI(Upg!$BL23=1;0;'$ Unit'!$AB23)+SI(Upg!$BM23=1;0;'$ Unit'!$AB23)+SI(Upg!$BN23=1;0;'$ Unit'!$AB23)+SI(Upg!$BO23=1;0;'$ Unit'!$AB23)</v>
      </c>
      <c r="Q26" t="str">
        <f t="shared" si="0"/>
        <v>='$ Unit'!AD23*Garage!AD23</v>
      </c>
      <c r="R26" t="str">
        <f t="shared" si="1"/>
        <v>='$ Unit'!AE23*Garage!AI23</v>
      </c>
      <c r="S26" t="str">
        <f t="shared" si="2"/>
        <v>='$ Unit'!AF23*Garage!AN23</v>
      </c>
    </row>
    <row r="27" spans="1:19" x14ac:dyDescent="0.2">
      <c r="A27" s="2">
        <v>26</v>
      </c>
      <c r="B27" s="60" t="str">
        <f t="shared" si="3"/>
        <v>=SI(Upg!$P26=1;0;'$ Unit'!$P26)+SI(Upg!$Q26=1;0;'$ Unit'!$P26)+SI(Upg!$R26=1;0;'$ Unit'!$P26)+SI(Upg!$S26=1;0;'$ Unit'!$P26)</v>
      </c>
      <c r="C27" s="60" t="str">
        <f t="shared" si="4"/>
        <v>=SI(Upg!$T26=1;0;'$ Unit'!$Q26)+SI(Upg!$U26=1;0;'$ Unit'!$Q26)+SI(Upg!$V26=1;0;'$ Unit'!$Q26)+SI(Upg!$W26=1;0;'$ Unit'!$Q26)</v>
      </c>
      <c r="D27" s="60" t="str">
        <f t="shared" si="5"/>
        <v>=SI(Upg!$X26=1;0;'$ Unit'!$R26)+SI(Upg!$Y26=1;0;'$ Unit'!$R26)+SI(Upg!$Z26=1;0;'$ Unit'!$R26)+SI(Upg!$AA26=1;0;'$ Unit'!$R26)</v>
      </c>
      <c r="E27" s="60" t="str">
        <f t="shared" si="6"/>
        <v>=SI(Upg!$AB26=1;0;'$ Unit'!$S26)+SI(Upg!$AC26=1;0;'$ Unit'!$S26)+SI(Upg!$AD26=1;0;'$ Unit'!$S26)+SI(Upg!$AE26=1;0;'$ Unit'!$S26)</v>
      </c>
      <c r="F27" s="60" t="str">
        <f t="shared" si="7"/>
        <v>=SI(Upg!$AF26=1;0;'$ Unit'!$T26)+SI(Upg!$AG26=1;0;'$ Unit'!$T26)+SI(Upg!$AH26=1;0;'$ Unit'!$T26)+SI(Upg!$AI26=1;0;'$ Unit'!$T26)</v>
      </c>
      <c r="G27" s="60" t="str">
        <f t="shared" si="8"/>
        <v>=SI(Upg!$AJ26=1;0;'$ Unit'!$U26)+SI(Upg!$AK26=1;0;'$ Unit'!$U26)+SI(Upg!$AL26=1;0;'$ Unit'!$U26)+SI(Upg!$AM26=1;0;'$ Unit'!$U26)</v>
      </c>
      <c r="H27" s="60" t="str">
        <f t="shared" si="9"/>
        <v>=SI(Upg!$AN26=1;0;'$ Unit'!$V26)+SI(Upg!$AO26=1;0;'$ Unit'!$V26)+SI(Upg!$AP26=1;0;'$ Unit'!$V26)+SI(Upg!$AQ26=1;0;'$ Unit'!$V26)</v>
      </c>
      <c r="I27" s="60" t="str">
        <f t="shared" si="10"/>
        <v>=SI(Upg!$AR26=1;0;'$ Unit'!$W26)+SI(Upg!$AS26=1;0;'$ Unit'!$W26)+SI(Upg!$AT26=1;0;'$ Unit'!$W26)+SI(Upg!$AU26=1;0;'$ Unit'!$W26)</v>
      </c>
      <c r="J27" s="60" t="str">
        <f t="shared" si="11"/>
        <v>=SI(Upg!$AV26=1;0;'$ Unit'!$X26)+SI(Upg!$AW26=1;0;'$ Unit'!$X26)+SI(Upg!$AX26=1;0;'$ Unit'!$X26)+SI(Upg!$AY26=1;0;'$ Unit'!$X26)</v>
      </c>
      <c r="K27" s="60" t="str">
        <f t="shared" si="12"/>
        <v>=SI(Upg!$AZ26=1;0;'$ Unit'!$Y26)+SI(Upg!$BA26=1;0;'$ Unit'!$Y26)+SI(Upg!$BB26=1;0;'$ Unit'!$Y26)+SI(Upg!$BC26=1;0;'$ Unit'!$Y26)</v>
      </c>
      <c r="L27" s="60" t="str">
        <f t="shared" si="13"/>
        <v>=SI(Upg!$BD26=1;0;'$ Unit'!$Z26)+SI(Upg!$BE26=1;0;'$ Unit'!$Z26)+SI(Upg!$BF26=1;0;'$ Unit'!$Z26)+SI(Upg!$BG26=1;0;'$ Unit'!$Z26)</v>
      </c>
      <c r="M27" s="60" t="str">
        <f t="shared" si="14"/>
        <v>=SI(Upg!$BH26=1;0;'$ Unit'!$AA26)+SI(Upg!$BI26=1;0;'$ Unit'!$AA26)+SI(Upg!$BJ26=1;0;'$ Unit'!$AA26)+SI(Upg!$BK26=1;0;'$ Unit'!$AA26)</v>
      </c>
      <c r="N27" s="60" t="str">
        <f t="shared" si="15"/>
        <v>=SI(Upg!$BL26=1;0;'$ Unit'!$AB26)+SI(Upg!$BM26=1;0;'$ Unit'!$AB26)+SI(Upg!$BN26=1;0;'$ Unit'!$AB26)+SI(Upg!$BO26=1;0;'$ Unit'!$AB26)</v>
      </c>
      <c r="Q27" t="str">
        <f t="shared" si="0"/>
        <v>='$ Unit'!AD26*Garage!AD26</v>
      </c>
      <c r="R27" t="str">
        <f t="shared" si="1"/>
        <v>='$ Unit'!AE26*Garage!AI26</v>
      </c>
      <c r="S27" t="str">
        <f t="shared" si="2"/>
        <v>='$ Unit'!AF26*Garage!AN26</v>
      </c>
    </row>
    <row r="28" spans="1:19" x14ac:dyDescent="0.2">
      <c r="A28" s="2">
        <v>28</v>
      </c>
      <c r="B28" s="60" t="str">
        <f t="shared" si="3"/>
        <v>=SI(Upg!$P28=1;0;'$ Unit'!$P28)+SI(Upg!$Q28=1;0;'$ Unit'!$P28)+SI(Upg!$R28=1;0;'$ Unit'!$P28)+SI(Upg!$S28=1;0;'$ Unit'!$P28)</v>
      </c>
      <c r="C28" s="60" t="str">
        <f t="shared" si="4"/>
        <v>=SI(Upg!$T28=1;0;'$ Unit'!$Q28)+SI(Upg!$U28=1;0;'$ Unit'!$Q28)+SI(Upg!$V28=1;0;'$ Unit'!$Q28)+SI(Upg!$W28=1;0;'$ Unit'!$Q28)</v>
      </c>
      <c r="D28" s="60" t="str">
        <f t="shared" si="5"/>
        <v>=SI(Upg!$X28=1;0;'$ Unit'!$R28)+SI(Upg!$Y28=1;0;'$ Unit'!$R28)+SI(Upg!$Z28=1;0;'$ Unit'!$R28)+SI(Upg!$AA28=1;0;'$ Unit'!$R28)</v>
      </c>
      <c r="E28" s="60" t="str">
        <f t="shared" si="6"/>
        <v>=SI(Upg!$AB28=1;0;'$ Unit'!$S28)+SI(Upg!$AC28=1;0;'$ Unit'!$S28)+SI(Upg!$AD28=1;0;'$ Unit'!$S28)+SI(Upg!$AE28=1;0;'$ Unit'!$S28)</v>
      </c>
      <c r="F28" s="60" t="str">
        <f t="shared" si="7"/>
        <v>=SI(Upg!$AF28=1;0;'$ Unit'!$T28)+SI(Upg!$AG28=1;0;'$ Unit'!$T28)+SI(Upg!$AH28=1;0;'$ Unit'!$T28)+SI(Upg!$AI28=1;0;'$ Unit'!$T28)</v>
      </c>
      <c r="G28" s="60" t="str">
        <f t="shared" si="8"/>
        <v>=SI(Upg!$AJ28=1;0;'$ Unit'!$U28)+SI(Upg!$AK28=1;0;'$ Unit'!$U28)+SI(Upg!$AL28=1;0;'$ Unit'!$U28)+SI(Upg!$AM28=1;0;'$ Unit'!$U28)</v>
      </c>
      <c r="H28" s="60" t="str">
        <f t="shared" si="9"/>
        <v>=SI(Upg!$AN28=1;0;'$ Unit'!$V28)+SI(Upg!$AO28=1;0;'$ Unit'!$V28)+SI(Upg!$AP28=1;0;'$ Unit'!$V28)+SI(Upg!$AQ28=1;0;'$ Unit'!$V28)</v>
      </c>
      <c r="I28" s="60" t="str">
        <f t="shared" si="10"/>
        <v>=SI(Upg!$AR28=1;0;'$ Unit'!$W28)+SI(Upg!$AS28=1;0;'$ Unit'!$W28)+SI(Upg!$AT28=1;0;'$ Unit'!$W28)+SI(Upg!$AU28=1;0;'$ Unit'!$W28)</v>
      </c>
      <c r="J28" s="60" t="str">
        <f t="shared" si="11"/>
        <v>=SI(Upg!$AV28=1;0;'$ Unit'!$X28)+SI(Upg!$AW28=1;0;'$ Unit'!$X28)+SI(Upg!$AX28=1;0;'$ Unit'!$X28)+SI(Upg!$AY28=1;0;'$ Unit'!$X28)</v>
      </c>
      <c r="K28" s="60" t="str">
        <f t="shared" si="12"/>
        <v>=SI(Upg!$AZ28=1;0;'$ Unit'!$Y28)+SI(Upg!$BA28=1;0;'$ Unit'!$Y28)+SI(Upg!$BB28=1;0;'$ Unit'!$Y28)+SI(Upg!$BC28=1;0;'$ Unit'!$Y28)</v>
      </c>
      <c r="L28" s="60" t="str">
        <f t="shared" si="13"/>
        <v>=SI(Upg!$BD28=1;0;'$ Unit'!$Z28)+SI(Upg!$BE28=1;0;'$ Unit'!$Z28)+SI(Upg!$BF28=1;0;'$ Unit'!$Z28)+SI(Upg!$BG28=1;0;'$ Unit'!$Z28)</v>
      </c>
      <c r="M28" s="60" t="str">
        <f t="shared" si="14"/>
        <v>=SI(Upg!$BH28=1;0;'$ Unit'!$AA28)+SI(Upg!$BI28=1;0;'$ Unit'!$AA28)+SI(Upg!$BJ28=1;0;'$ Unit'!$AA28)+SI(Upg!$BK28=1;0;'$ Unit'!$AA28)</v>
      </c>
      <c r="N28" s="60" t="str">
        <f t="shared" si="15"/>
        <v>=SI(Upg!$BL28=1;0;'$ Unit'!$AB28)+SI(Upg!$BM28=1;0;'$ Unit'!$AB28)+SI(Upg!$BN28=1;0;'$ Unit'!$AB28)+SI(Upg!$BO28=1;0;'$ Unit'!$AB28)</v>
      </c>
      <c r="Q28" t="str">
        <f t="shared" si="0"/>
        <v>='$ Unit'!AD28*Garage!AD28</v>
      </c>
      <c r="R28" t="str">
        <f t="shared" si="1"/>
        <v>='$ Unit'!AE28*Garage!AI28</v>
      </c>
      <c r="S28" t="str">
        <f t="shared" si="2"/>
        <v>='$ Unit'!AF28*Garage!AN28</v>
      </c>
    </row>
    <row r="29" spans="1:19" x14ac:dyDescent="0.2">
      <c r="A29" s="2">
        <v>29</v>
      </c>
      <c r="B29" s="60" t="str">
        <f t="shared" si="3"/>
        <v>=SI(Upg!$P29=1;0;'$ Unit'!$P29)+SI(Upg!$Q29=1;0;'$ Unit'!$P29)+SI(Upg!$R29=1;0;'$ Unit'!$P29)+SI(Upg!$S29=1;0;'$ Unit'!$P29)</v>
      </c>
      <c r="C29" s="60" t="str">
        <f t="shared" si="4"/>
        <v>=SI(Upg!$T29=1;0;'$ Unit'!$Q29)+SI(Upg!$U29=1;0;'$ Unit'!$Q29)+SI(Upg!$V29=1;0;'$ Unit'!$Q29)+SI(Upg!$W29=1;0;'$ Unit'!$Q29)</v>
      </c>
      <c r="D29" s="60" t="str">
        <f t="shared" si="5"/>
        <v>=SI(Upg!$X29=1;0;'$ Unit'!$R29)+SI(Upg!$Y29=1;0;'$ Unit'!$R29)+SI(Upg!$Z29=1;0;'$ Unit'!$R29)+SI(Upg!$AA29=1;0;'$ Unit'!$R29)</v>
      </c>
      <c r="E29" s="60" t="str">
        <f t="shared" si="6"/>
        <v>=SI(Upg!$AB29=1;0;'$ Unit'!$S29)+SI(Upg!$AC29=1;0;'$ Unit'!$S29)+SI(Upg!$AD29=1;0;'$ Unit'!$S29)+SI(Upg!$AE29=1;0;'$ Unit'!$S29)</v>
      </c>
      <c r="F29" s="60" t="str">
        <f t="shared" si="7"/>
        <v>=SI(Upg!$AF29=1;0;'$ Unit'!$T29)+SI(Upg!$AG29=1;0;'$ Unit'!$T29)+SI(Upg!$AH29=1;0;'$ Unit'!$T29)+SI(Upg!$AI29=1;0;'$ Unit'!$T29)</v>
      </c>
      <c r="G29" s="60" t="str">
        <f t="shared" si="8"/>
        <v>=SI(Upg!$AJ29=1;0;'$ Unit'!$U29)+SI(Upg!$AK29=1;0;'$ Unit'!$U29)+SI(Upg!$AL29=1;0;'$ Unit'!$U29)+SI(Upg!$AM29=1;0;'$ Unit'!$U29)</v>
      </c>
      <c r="H29" s="60" t="str">
        <f t="shared" si="9"/>
        <v>=SI(Upg!$AN29=1;0;'$ Unit'!$V29)+SI(Upg!$AO29=1;0;'$ Unit'!$V29)+SI(Upg!$AP29=1;0;'$ Unit'!$V29)+SI(Upg!$AQ29=1;0;'$ Unit'!$V29)</v>
      </c>
      <c r="I29" s="60" t="str">
        <f t="shared" si="10"/>
        <v>=SI(Upg!$AR29=1;0;'$ Unit'!$W29)+SI(Upg!$AS29=1;0;'$ Unit'!$W29)+SI(Upg!$AT29=1;0;'$ Unit'!$W29)+SI(Upg!$AU29=1;0;'$ Unit'!$W29)</v>
      </c>
      <c r="J29" s="60" t="str">
        <f t="shared" si="11"/>
        <v>=SI(Upg!$AV29=1;0;'$ Unit'!$X29)+SI(Upg!$AW29=1;0;'$ Unit'!$X29)+SI(Upg!$AX29=1;0;'$ Unit'!$X29)+SI(Upg!$AY29=1;0;'$ Unit'!$X29)</v>
      </c>
      <c r="K29" s="60" t="str">
        <f t="shared" si="12"/>
        <v>=SI(Upg!$AZ29=1;0;'$ Unit'!$Y29)+SI(Upg!$BA29=1;0;'$ Unit'!$Y29)+SI(Upg!$BB29=1;0;'$ Unit'!$Y29)+SI(Upg!$BC29=1;0;'$ Unit'!$Y29)</v>
      </c>
      <c r="L29" s="60" t="str">
        <f t="shared" si="13"/>
        <v>=SI(Upg!$BD29=1;0;'$ Unit'!$Z29)+SI(Upg!$BE29=1;0;'$ Unit'!$Z29)+SI(Upg!$BF29=1;0;'$ Unit'!$Z29)+SI(Upg!$BG29=1;0;'$ Unit'!$Z29)</v>
      </c>
      <c r="M29" s="60" t="str">
        <f t="shared" si="14"/>
        <v>=SI(Upg!$BH29=1;0;'$ Unit'!$AA29)+SI(Upg!$BI29=1;0;'$ Unit'!$AA29)+SI(Upg!$BJ29=1;0;'$ Unit'!$AA29)+SI(Upg!$BK29=1;0;'$ Unit'!$AA29)</v>
      </c>
      <c r="N29" s="60" t="str">
        <f t="shared" si="15"/>
        <v>=SI(Upg!$BL29=1;0;'$ Unit'!$AB29)+SI(Upg!$BM29=1;0;'$ Unit'!$AB29)+SI(Upg!$BN29=1;0;'$ Unit'!$AB29)+SI(Upg!$BO29=1;0;'$ Unit'!$AB29)</v>
      </c>
      <c r="Q29" t="str">
        <f t="shared" si="0"/>
        <v>='$ Unit'!AD29*Garage!AD29</v>
      </c>
      <c r="R29" t="str">
        <f t="shared" si="1"/>
        <v>='$ Unit'!AE29*Garage!AI29</v>
      </c>
      <c r="S29" t="str">
        <f t="shared" si="2"/>
        <v>='$ Unit'!AF29*Garage!AN29</v>
      </c>
    </row>
    <row r="30" spans="1:19" x14ac:dyDescent="0.2">
      <c r="A30" s="2">
        <v>30</v>
      </c>
      <c r="B30" s="60" t="str">
        <f t="shared" si="3"/>
        <v>=SI(Upg!$P30=1;0;'$ Unit'!$P30)+SI(Upg!$Q30=1;0;'$ Unit'!$P30)+SI(Upg!$R30=1;0;'$ Unit'!$P30)+SI(Upg!$S30=1;0;'$ Unit'!$P30)</v>
      </c>
      <c r="C30" s="60" t="str">
        <f t="shared" si="4"/>
        <v>=SI(Upg!$T30=1;0;'$ Unit'!$Q30)+SI(Upg!$U30=1;0;'$ Unit'!$Q30)+SI(Upg!$V30=1;0;'$ Unit'!$Q30)+SI(Upg!$W30=1;0;'$ Unit'!$Q30)</v>
      </c>
      <c r="D30" s="60" t="str">
        <f t="shared" si="5"/>
        <v>=SI(Upg!$X30=1;0;'$ Unit'!$R30)+SI(Upg!$Y30=1;0;'$ Unit'!$R30)+SI(Upg!$Z30=1;0;'$ Unit'!$R30)+SI(Upg!$AA30=1;0;'$ Unit'!$R30)</v>
      </c>
      <c r="E30" s="60" t="str">
        <f t="shared" si="6"/>
        <v>=SI(Upg!$AB30=1;0;'$ Unit'!$S30)+SI(Upg!$AC30=1;0;'$ Unit'!$S30)+SI(Upg!$AD30=1;0;'$ Unit'!$S30)+SI(Upg!$AE30=1;0;'$ Unit'!$S30)</v>
      </c>
      <c r="F30" s="60" t="str">
        <f t="shared" si="7"/>
        <v>=SI(Upg!$AF30=1;0;'$ Unit'!$T30)+SI(Upg!$AG30=1;0;'$ Unit'!$T30)+SI(Upg!$AH30=1;0;'$ Unit'!$T30)+SI(Upg!$AI30=1;0;'$ Unit'!$T30)</v>
      </c>
      <c r="G30" s="60" t="str">
        <f t="shared" si="8"/>
        <v>=SI(Upg!$AJ30=1;0;'$ Unit'!$U30)+SI(Upg!$AK30=1;0;'$ Unit'!$U30)+SI(Upg!$AL30=1;0;'$ Unit'!$U30)+SI(Upg!$AM30=1;0;'$ Unit'!$U30)</v>
      </c>
      <c r="H30" s="60" t="str">
        <f t="shared" si="9"/>
        <v>=SI(Upg!$AN30=1;0;'$ Unit'!$V30)+SI(Upg!$AO30=1;0;'$ Unit'!$V30)+SI(Upg!$AP30=1;0;'$ Unit'!$V30)+SI(Upg!$AQ30=1;0;'$ Unit'!$V30)</v>
      </c>
      <c r="I30" s="60" t="str">
        <f t="shared" si="10"/>
        <v>=SI(Upg!$AR30=1;0;'$ Unit'!$W30)+SI(Upg!$AS30=1;0;'$ Unit'!$W30)+SI(Upg!$AT30=1;0;'$ Unit'!$W30)+SI(Upg!$AU30=1;0;'$ Unit'!$W30)</v>
      </c>
      <c r="J30" s="60" t="str">
        <f t="shared" si="11"/>
        <v>=SI(Upg!$AV30=1;0;'$ Unit'!$X30)+SI(Upg!$AW30=1;0;'$ Unit'!$X30)+SI(Upg!$AX30=1;0;'$ Unit'!$X30)+SI(Upg!$AY30=1;0;'$ Unit'!$X30)</v>
      </c>
      <c r="K30" s="60" t="str">
        <f t="shared" si="12"/>
        <v>=SI(Upg!$AZ30=1;0;'$ Unit'!$Y30)+SI(Upg!$BA30=1;0;'$ Unit'!$Y30)+SI(Upg!$BB30=1;0;'$ Unit'!$Y30)+SI(Upg!$BC30=1;0;'$ Unit'!$Y30)</v>
      </c>
      <c r="L30" s="60" t="str">
        <f t="shared" si="13"/>
        <v>=SI(Upg!$BD30=1;0;'$ Unit'!$Z30)+SI(Upg!$BE30=1;0;'$ Unit'!$Z30)+SI(Upg!$BF30=1;0;'$ Unit'!$Z30)+SI(Upg!$BG30=1;0;'$ Unit'!$Z30)</v>
      </c>
      <c r="M30" s="60" t="str">
        <f t="shared" si="14"/>
        <v>=SI(Upg!$BH30=1;0;'$ Unit'!$AA30)+SI(Upg!$BI30=1;0;'$ Unit'!$AA30)+SI(Upg!$BJ30=1;0;'$ Unit'!$AA30)+SI(Upg!$BK30=1;0;'$ Unit'!$AA30)</v>
      </c>
      <c r="N30" s="60" t="str">
        <f t="shared" si="15"/>
        <v>=SI(Upg!$BL30=1;0;'$ Unit'!$AB30)+SI(Upg!$BM30=1;0;'$ Unit'!$AB30)+SI(Upg!$BN30=1;0;'$ Unit'!$AB30)+SI(Upg!$BO30=1;0;'$ Unit'!$AB30)</v>
      </c>
      <c r="Q30" t="str">
        <f t="shared" si="0"/>
        <v>='$ Unit'!AD30*Garage!AD30</v>
      </c>
      <c r="R30" t="str">
        <f t="shared" si="1"/>
        <v>='$ Unit'!AE30*Garage!AI30</v>
      </c>
      <c r="S30" t="str">
        <f t="shared" si="2"/>
        <v>='$ Unit'!AF30*Garage!AN30</v>
      </c>
    </row>
    <row r="31" spans="1:19" x14ac:dyDescent="0.2">
      <c r="A31" s="2">
        <v>31</v>
      </c>
      <c r="B31" s="60" t="str">
        <f t="shared" si="3"/>
        <v>=SI(Upg!$P31=1;0;'$ Unit'!$P31)+SI(Upg!$Q31=1;0;'$ Unit'!$P31)+SI(Upg!$R31=1;0;'$ Unit'!$P31)+SI(Upg!$S31=1;0;'$ Unit'!$P31)</v>
      </c>
      <c r="C31" s="60" t="str">
        <f t="shared" si="4"/>
        <v>=SI(Upg!$T31=1;0;'$ Unit'!$Q31)+SI(Upg!$U31=1;0;'$ Unit'!$Q31)+SI(Upg!$V31=1;0;'$ Unit'!$Q31)+SI(Upg!$W31=1;0;'$ Unit'!$Q31)</v>
      </c>
      <c r="D31" s="60" t="str">
        <f t="shared" si="5"/>
        <v>=SI(Upg!$X31=1;0;'$ Unit'!$R31)+SI(Upg!$Y31=1;0;'$ Unit'!$R31)+SI(Upg!$Z31=1;0;'$ Unit'!$R31)+SI(Upg!$AA31=1;0;'$ Unit'!$R31)</v>
      </c>
      <c r="E31" s="60" t="str">
        <f t="shared" si="6"/>
        <v>=SI(Upg!$AB31=1;0;'$ Unit'!$S31)+SI(Upg!$AC31=1;0;'$ Unit'!$S31)+SI(Upg!$AD31=1;0;'$ Unit'!$S31)+SI(Upg!$AE31=1;0;'$ Unit'!$S31)</v>
      </c>
      <c r="F31" s="60" t="str">
        <f t="shared" si="7"/>
        <v>=SI(Upg!$AF31=1;0;'$ Unit'!$T31)+SI(Upg!$AG31=1;0;'$ Unit'!$T31)+SI(Upg!$AH31=1;0;'$ Unit'!$T31)+SI(Upg!$AI31=1;0;'$ Unit'!$T31)</v>
      </c>
      <c r="G31" s="60" t="str">
        <f t="shared" si="8"/>
        <v>=SI(Upg!$AJ31=1;0;'$ Unit'!$U31)+SI(Upg!$AK31=1;0;'$ Unit'!$U31)+SI(Upg!$AL31=1;0;'$ Unit'!$U31)+SI(Upg!$AM31=1;0;'$ Unit'!$U31)</v>
      </c>
      <c r="H31" s="60" t="str">
        <f t="shared" si="9"/>
        <v>=SI(Upg!$AN31=1;0;'$ Unit'!$V31)+SI(Upg!$AO31=1;0;'$ Unit'!$V31)+SI(Upg!$AP31=1;0;'$ Unit'!$V31)+SI(Upg!$AQ31=1;0;'$ Unit'!$V31)</v>
      </c>
      <c r="I31" s="60" t="str">
        <f t="shared" si="10"/>
        <v>=SI(Upg!$AR31=1;0;'$ Unit'!$W31)+SI(Upg!$AS31=1;0;'$ Unit'!$W31)+SI(Upg!$AT31=1;0;'$ Unit'!$W31)+SI(Upg!$AU31=1;0;'$ Unit'!$W31)</v>
      </c>
      <c r="J31" s="60" t="str">
        <f t="shared" si="11"/>
        <v>=SI(Upg!$AV31=1;0;'$ Unit'!$X31)+SI(Upg!$AW31=1;0;'$ Unit'!$X31)+SI(Upg!$AX31=1;0;'$ Unit'!$X31)+SI(Upg!$AY31=1;0;'$ Unit'!$X31)</v>
      </c>
      <c r="K31" s="60" t="str">
        <f t="shared" si="12"/>
        <v>=SI(Upg!$AZ31=1;0;'$ Unit'!$Y31)+SI(Upg!$BA31=1;0;'$ Unit'!$Y31)+SI(Upg!$BB31=1;0;'$ Unit'!$Y31)+SI(Upg!$BC31=1;0;'$ Unit'!$Y31)</v>
      </c>
      <c r="L31" s="60" t="str">
        <f t="shared" si="13"/>
        <v>=SI(Upg!$BD31=1;0;'$ Unit'!$Z31)+SI(Upg!$BE31=1;0;'$ Unit'!$Z31)+SI(Upg!$BF31=1;0;'$ Unit'!$Z31)+SI(Upg!$BG31=1;0;'$ Unit'!$Z31)</v>
      </c>
      <c r="M31" s="60" t="str">
        <f t="shared" si="14"/>
        <v>=SI(Upg!$BH31=1;0;'$ Unit'!$AA31)+SI(Upg!$BI31=1;0;'$ Unit'!$AA31)+SI(Upg!$BJ31=1;0;'$ Unit'!$AA31)+SI(Upg!$BK31=1;0;'$ Unit'!$AA31)</v>
      </c>
      <c r="N31" s="60" t="str">
        <f t="shared" si="15"/>
        <v>=SI(Upg!$BL31=1;0;'$ Unit'!$AB31)+SI(Upg!$BM31=1;0;'$ Unit'!$AB31)+SI(Upg!$BN31=1;0;'$ Unit'!$AB31)+SI(Upg!$BO31=1;0;'$ Unit'!$AB31)</v>
      </c>
      <c r="Q31" t="str">
        <f t="shared" si="0"/>
        <v>='$ Unit'!AD31*Garage!AD31</v>
      </c>
      <c r="R31" t="str">
        <f t="shared" si="1"/>
        <v>='$ Unit'!AE31*Garage!AI31</v>
      </c>
      <c r="S31" t="str">
        <f t="shared" si="2"/>
        <v>='$ Unit'!AF31*Garage!AN31</v>
      </c>
    </row>
    <row r="32" spans="1:19" x14ac:dyDescent="0.2">
      <c r="A32" s="2">
        <v>32</v>
      </c>
      <c r="B32" s="60" t="str">
        <f t="shared" si="3"/>
        <v>=SI(Upg!$P32=1;0;'$ Unit'!$P32)+SI(Upg!$Q32=1;0;'$ Unit'!$P32)+SI(Upg!$R32=1;0;'$ Unit'!$P32)+SI(Upg!$S32=1;0;'$ Unit'!$P32)</v>
      </c>
      <c r="C32" s="60" t="str">
        <f t="shared" si="4"/>
        <v>=SI(Upg!$T32=1;0;'$ Unit'!$Q32)+SI(Upg!$U32=1;0;'$ Unit'!$Q32)+SI(Upg!$V32=1;0;'$ Unit'!$Q32)+SI(Upg!$W32=1;0;'$ Unit'!$Q32)</v>
      </c>
      <c r="D32" s="60" t="str">
        <f t="shared" si="5"/>
        <v>=SI(Upg!$X32=1;0;'$ Unit'!$R32)+SI(Upg!$Y32=1;0;'$ Unit'!$R32)+SI(Upg!$Z32=1;0;'$ Unit'!$R32)+SI(Upg!$AA32=1;0;'$ Unit'!$R32)</v>
      </c>
      <c r="E32" s="60" t="str">
        <f t="shared" si="6"/>
        <v>=SI(Upg!$AB32=1;0;'$ Unit'!$S32)+SI(Upg!$AC32=1;0;'$ Unit'!$S32)+SI(Upg!$AD32=1;0;'$ Unit'!$S32)+SI(Upg!$AE32=1;0;'$ Unit'!$S32)</v>
      </c>
      <c r="F32" s="60" t="str">
        <f t="shared" si="7"/>
        <v>=SI(Upg!$AF32=1;0;'$ Unit'!$T32)+SI(Upg!$AG32=1;0;'$ Unit'!$T32)+SI(Upg!$AH32=1;0;'$ Unit'!$T32)+SI(Upg!$AI32=1;0;'$ Unit'!$T32)</v>
      </c>
      <c r="G32" s="60" t="str">
        <f t="shared" si="8"/>
        <v>=SI(Upg!$AJ32=1;0;'$ Unit'!$U32)+SI(Upg!$AK32=1;0;'$ Unit'!$U32)+SI(Upg!$AL32=1;0;'$ Unit'!$U32)+SI(Upg!$AM32=1;0;'$ Unit'!$U32)</v>
      </c>
      <c r="H32" s="60" t="str">
        <f t="shared" si="9"/>
        <v>=SI(Upg!$AN32=1;0;'$ Unit'!$V32)+SI(Upg!$AO32=1;0;'$ Unit'!$V32)+SI(Upg!$AP32=1;0;'$ Unit'!$V32)+SI(Upg!$AQ32=1;0;'$ Unit'!$V32)</v>
      </c>
      <c r="I32" s="60" t="str">
        <f t="shared" si="10"/>
        <v>=SI(Upg!$AR32=1;0;'$ Unit'!$W32)+SI(Upg!$AS32=1;0;'$ Unit'!$W32)+SI(Upg!$AT32=1;0;'$ Unit'!$W32)+SI(Upg!$AU32=1;0;'$ Unit'!$W32)</v>
      </c>
      <c r="J32" s="60" t="str">
        <f t="shared" si="11"/>
        <v>=SI(Upg!$AV32=1;0;'$ Unit'!$X32)+SI(Upg!$AW32=1;0;'$ Unit'!$X32)+SI(Upg!$AX32=1;0;'$ Unit'!$X32)+SI(Upg!$AY32=1;0;'$ Unit'!$X32)</v>
      </c>
      <c r="K32" s="60" t="str">
        <f t="shared" si="12"/>
        <v>=SI(Upg!$AZ32=1;0;'$ Unit'!$Y32)+SI(Upg!$BA32=1;0;'$ Unit'!$Y32)+SI(Upg!$BB32=1;0;'$ Unit'!$Y32)+SI(Upg!$BC32=1;0;'$ Unit'!$Y32)</v>
      </c>
      <c r="L32" s="60" t="str">
        <f t="shared" si="13"/>
        <v>=SI(Upg!$BD32=1;0;'$ Unit'!$Z32)+SI(Upg!$BE32=1;0;'$ Unit'!$Z32)+SI(Upg!$BF32=1;0;'$ Unit'!$Z32)+SI(Upg!$BG32=1;0;'$ Unit'!$Z32)</v>
      </c>
      <c r="M32" s="60" t="str">
        <f t="shared" si="14"/>
        <v>=SI(Upg!$BH32=1;0;'$ Unit'!$AA32)+SI(Upg!$BI32=1;0;'$ Unit'!$AA32)+SI(Upg!$BJ32=1;0;'$ Unit'!$AA32)+SI(Upg!$BK32=1;0;'$ Unit'!$AA32)</v>
      </c>
      <c r="N32" s="60" t="str">
        <f t="shared" si="15"/>
        <v>=SI(Upg!$BL32=1;0;'$ Unit'!$AB32)+SI(Upg!$BM32=1;0;'$ Unit'!$AB32)+SI(Upg!$BN32=1;0;'$ Unit'!$AB32)+SI(Upg!$BO32=1;0;'$ Unit'!$AB32)</v>
      </c>
      <c r="Q32" t="str">
        <f t="shared" si="0"/>
        <v>='$ Unit'!AD32*Garage!AD32</v>
      </c>
      <c r="R32" t="str">
        <f t="shared" si="1"/>
        <v>='$ Unit'!AE32*Garage!AI32</v>
      </c>
      <c r="S32" t="str">
        <f t="shared" si="2"/>
        <v>='$ Unit'!AF32*Garage!AN32</v>
      </c>
    </row>
    <row r="33" spans="1:19" x14ac:dyDescent="0.2">
      <c r="A33" s="2">
        <v>39</v>
      </c>
      <c r="B33" s="60" t="str">
        <f t="shared" si="3"/>
        <v>=SI(Upg!$P39=1;0;'$ Unit'!$P39)+SI(Upg!$Q39=1;0;'$ Unit'!$P39)+SI(Upg!$R39=1;0;'$ Unit'!$P39)+SI(Upg!$S39=1;0;'$ Unit'!$P39)</v>
      </c>
      <c r="C33" s="60" t="str">
        <f t="shared" si="4"/>
        <v>=SI(Upg!$T39=1;0;'$ Unit'!$Q39)+SI(Upg!$U39=1;0;'$ Unit'!$Q39)+SI(Upg!$V39=1;0;'$ Unit'!$Q39)+SI(Upg!$W39=1;0;'$ Unit'!$Q39)</v>
      </c>
      <c r="D33" s="60" t="str">
        <f t="shared" si="5"/>
        <v>=SI(Upg!$X39=1;0;'$ Unit'!$R39)+SI(Upg!$Y39=1;0;'$ Unit'!$R39)+SI(Upg!$Z39=1;0;'$ Unit'!$R39)+SI(Upg!$AA39=1;0;'$ Unit'!$R39)</v>
      </c>
      <c r="E33" s="60" t="str">
        <f t="shared" si="6"/>
        <v>=SI(Upg!$AB39=1;0;'$ Unit'!$S39)+SI(Upg!$AC39=1;0;'$ Unit'!$S39)+SI(Upg!$AD39=1;0;'$ Unit'!$S39)+SI(Upg!$AE39=1;0;'$ Unit'!$S39)</v>
      </c>
      <c r="F33" s="60" t="str">
        <f t="shared" si="7"/>
        <v>=SI(Upg!$AF39=1;0;'$ Unit'!$T39)+SI(Upg!$AG39=1;0;'$ Unit'!$T39)+SI(Upg!$AH39=1;0;'$ Unit'!$T39)+SI(Upg!$AI39=1;0;'$ Unit'!$T39)</v>
      </c>
      <c r="G33" s="60" t="str">
        <f t="shared" si="8"/>
        <v>=SI(Upg!$AJ39=1;0;'$ Unit'!$U39)+SI(Upg!$AK39=1;0;'$ Unit'!$U39)+SI(Upg!$AL39=1;0;'$ Unit'!$U39)+SI(Upg!$AM39=1;0;'$ Unit'!$U39)</v>
      </c>
      <c r="H33" s="60" t="str">
        <f t="shared" si="9"/>
        <v>=SI(Upg!$AN39=1;0;'$ Unit'!$V39)+SI(Upg!$AO39=1;0;'$ Unit'!$V39)+SI(Upg!$AP39=1;0;'$ Unit'!$V39)+SI(Upg!$AQ39=1;0;'$ Unit'!$V39)</v>
      </c>
      <c r="I33" s="60" t="str">
        <f t="shared" si="10"/>
        <v>=SI(Upg!$AR39=1;0;'$ Unit'!$W39)+SI(Upg!$AS39=1;0;'$ Unit'!$W39)+SI(Upg!$AT39=1;0;'$ Unit'!$W39)+SI(Upg!$AU39=1;0;'$ Unit'!$W39)</v>
      </c>
      <c r="J33" s="60" t="str">
        <f t="shared" si="11"/>
        <v>=SI(Upg!$AV39=1;0;'$ Unit'!$X39)+SI(Upg!$AW39=1;0;'$ Unit'!$X39)+SI(Upg!$AX39=1;0;'$ Unit'!$X39)+SI(Upg!$AY39=1;0;'$ Unit'!$X39)</v>
      </c>
      <c r="K33" s="60" t="str">
        <f t="shared" si="12"/>
        <v>=SI(Upg!$AZ39=1;0;'$ Unit'!$Y39)+SI(Upg!$BA39=1;0;'$ Unit'!$Y39)+SI(Upg!$BB39=1;0;'$ Unit'!$Y39)+SI(Upg!$BC39=1;0;'$ Unit'!$Y39)</v>
      </c>
      <c r="L33" s="60" t="str">
        <f t="shared" si="13"/>
        <v>=SI(Upg!$BD39=1;0;'$ Unit'!$Z39)+SI(Upg!$BE39=1;0;'$ Unit'!$Z39)+SI(Upg!$BF39=1;0;'$ Unit'!$Z39)+SI(Upg!$BG39=1;0;'$ Unit'!$Z39)</v>
      </c>
      <c r="M33" s="60" t="str">
        <f t="shared" si="14"/>
        <v>=SI(Upg!$BH39=1;0;'$ Unit'!$AA39)+SI(Upg!$BI39=1;0;'$ Unit'!$AA39)+SI(Upg!$BJ39=1;0;'$ Unit'!$AA39)+SI(Upg!$BK39=1;0;'$ Unit'!$AA39)</v>
      </c>
      <c r="N33" s="60" t="str">
        <f t="shared" si="15"/>
        <v>=SI(Upg!$BL39=1;0;'$ Unit'!$AB39)+SI(Upg!$BM39=1;0;'$ Unit'!$AB39)+SI(Upg!$BN39=1;0;'$ Unit'!$AB39)+SI(Upg!$BO39=1;0;'$ Unit'!$AB39)</v>
      </c>
      <c r="Q33" t="str">
        <f t="shared" si="0"/>
        <v>='$ Unit'!AD39*Garage!AD39</v>
      </c>
      <c r="R33" t="str">
        <f t="shared" si="1"/>
        <v>='$ Unit'!AE39*Garage!AI39</v>
      </c>
      <c r="S33" t="str">
        <f t="shared" si="2"/>
        <v>='$ Unit'!AF39*Garage!AN39</v>
      </c>
    </row>
    <row r="34" spans="1:19" x14ac:dyDescent="0.2">
      <c r="A34" s="2">
        <v>41</v>
      </c>
      <c r="B34" s="60" t="str">
        <f t="shared" si="3"/>
        <v>=SI(Upg!$P41=1;0;'$ Unit'!$P41)+SI(Upg!$Q41=1;0;'$ Unit'!$P41)+SI(Upg!$R41=1;0;'$ Unit'!$P41)+SI(Upg!$S41=1;0;'$ Unit'!$P41)</v>
      </c>
      <c r="C34" s="60" t="str">
        <f t="shared" si="4"/>
        <v>=SI(Upg!$T41=1;0;'$ Unit'!$Q41)+SI(Upg!$U41=1;0;'$ Unit'!$Q41)+SI(Upg!$V41=1;0;'$ Unit'!$Q41)+SI(Upg!$W41=1;0;'$ Unit'!$Q41)</v>
      </c>
      <c r="D34" s="60" t="str">
        <f t="shared" si="5"/>
        <v>=SI(Upg!$X41=1;0;'$ Unit'!$R41)+SI(Upg!$Y41=1;0;'$ Unit'!$R41)+SI(Upg!$Z41=1;0;'$ Unit'!$R41)+SI(Upg!$AA41=1;0;'$ Unit'!$R41)</v>
      </c>
      <c r="E34" s="60" t="str">
        <f t="shared" si="6"/>
        <v>=SI(Upg!$AB41=1;0;'$ Unit'!$S41)+SI(Upg!$AC41=1;0;'$ Unit'!$S41)+SI(Upg!$AD41=1;0;'$ Unit'!$S41)+SI(Upg!$AE41=1;0;'$ Unit'!$S41)</v>
      </c>
      <c r="F34" s="60" t="str">
        <f t="shared" si="7"/>
        <v>=SI(Upg!$AF41=1;0;'$ Unit'!$T41)+SI(Upg!$AG41=1;0;'$ Unit'!$T41)+SI(Upg!$AH41=1;0;'$ Unit'!$T41)+SI(Upg!$AI41=1;0;'$ Unit'!$T41)</v>
      </c>
      <c r="G34" s="60" t="str">
        <f t="shared" si="8"/>
        <v>=SI(Upg!$AJ41=1;0;'$ Unit'!$U41)+SI(Upg!$AK41=1;0;'$ Unit'!$U41)+SI(Upg!$AL41=1;0;'$ Unit'!$U41)+SI(Upg!$AM41=1;0;'$ Unit'!$U41)</v>
      </c>
      <c r="H34" s="60" t="str">
        <f t="shared" si="9"/>
        <v>=SI(Upg!$AN41=1;0;'$ Unit'!$V41)+SI(Upg!$AO41=1;0;'$ Unit'!$V41)+SI(Upg!$AP41=1;0;'$ Unit'!$V41)+SI(Upg!$AQ41=1;0;'$ Unit'!$V41)</v>
      </c>
      <c r="I34" s="60" t="str">
        <f t="shared" si="10"/>
        <v>=SI(Upg!$AR41=1;0;'$ Unit'!$W41)+SI(Upg!$AS41=1;0;'$ Unit'!$W41)+SI(Upg!$AT41=1;0;'$ Unit'!$W41)+SI(Upg!$AU41=1;0;'$ Unit'!$W41)</v>
      </c>
      <c r="J34" s="60" t="str">
        <f t="shared" si="11"/>
        <v>=SI(Upg!$AV41=1;0;'$ Unit'!$X41)+SI(Upg!$AW41=1;0;'$ Unit'!$X41)+SI(Upg!$AX41=1;0;'$ Unit'!$X41)+SI(Upg!$AY41=1;0;'$ Unit'!$X41)</v>
      </c>
      <c r="K34" s="60" t="str">
        <f t="shared" si="12"/>
        <v>=SI(Upg!$AZ41=1;0;'$ Unit'!$Y41)+SI(Upg!$BA41=1;0;'$ Unit'!$Y41)+SI(Upg!$BB41=1;0;'$ Unit'!$Y41)+SI(Upg!$BC41=1;0;'$ Unit'!$Y41)</v>
      </c>
      <c r="L34" s="60" t="str">
        <f t="shared" si="13"/>
        <v>=SI(Upg!$BD41=1;0;'$ Unit'!$Z41)+SI(Upg!$BE41=1;0;'$ Unit'!$Z41)+SI(Upg!$BF41=1;0;'$ Unit'!$Z41)+SI(Upg!$BG41=1;0;'$ Unit'!$Z41)</v>
      </c>
      <c r="M34" s="60" t="str">
        <f t="shared" si="14"/>
        <v>=SI(Upg!$BH41=1;0;'$ Unit'!$AA41)+SI(Upg!$BI41=1;0;'$ Unit'!$AA41)+SI(Upg!$BJ41=1;0;'$ Unit'!$AA41)+SI(Upg!$BK41=1;0;'$ Unit'!$AA41)</v>
      </c>
      <c r="N34" s="60" t="str">
        <f t="shared" si="15"/>
        <v>=SI(Upg!$BL41=1;0;'$ Unit'!$AB41)+SI(Upg!$BM41=1;0;'$ Unit'!$AB41)+SI(Upg!$BN41=1;0;'$ Unit'!$AB41)+SI(Upg!$BO41=1;0;'$ Unit'!$AB41)</v>
      </c>
      <c r="Q34" t="str">
        <f t="shared" si="0"/>
        <v>='$ Unit'!AD41*Garage!AD41</v>
      </c>
      <c r="R34" t="str">
        <f t="shared" si="1"/>
        <v>='$ Unit'!AE41*Garage!AI41</v>
      </c>
      <c r="S34" t="str">
        <f t="shared" si="2"/>
        <v>='$ Unit'!AF41*Garage!AN41</v>
      </c>
    </row>
    <row r="35" spans="1:19" x14ac:dyDescent="0.2">
      <c r="A35" s="2">
        <v>45</v>
      </c>
      <c r="B35" s="60" t="str">
        <f t="shared" si="3"/>
        <v>=SI(Upg!$P45=1;0;'$ Unit'!$P45)+SI(Upg!$Q45=1;0;'$ Unit'!$P45)+SI(Upg!$R45=1;0;'$ Unit'!$P45)+SI(Upg!$S45=1;0;'$ Unit'!$P45)</v>
      </c>
      <c r="C35" s="60" t="str">
        <f t="shared" si="4"/>
        <v>=SI(Upg!$T45=1;0;'$ Unit'!$Q45)+SI(Upg!$U45=1;0;'$ Unit'!$Q45)+SI(Upg!$V45=1;0;'$ Unit'!$Q45)+SI(Upg!$W45=1;0;'$ Unit'!$Q45)</v>
      </c>
      <c r="D35" s="60" t="str">
        <f t="shared" si="5"/>
        <v>=SI(Upg!$X45=1;0;'$ Unit'!$R45)+SI(Upg!$Y45=1;0;'$ Unit'!$R45)+SI(Upg!$Z45=1;0;'$ Unit'!$R45)+SI(Upg!$AA45=1;0;'$ Unit'!$R45)</v>
      </c>
      <c r="E35" s="60" t="str">
        <f t="shared" si="6"/>
        <v>=SI(Upg!$AB45=1;0;'$ Unit'!$S45)+SI(Upg!$AC45=1;0;'$ Unit'!$S45)+SI(Upg!$AD45=1;0;'$ Unit'!$S45)+SI(Upg!$AE45=1;0;'$ Unit'!$S45)</v>
      </c>
      <c r="F35" s="60" t="str">
        <f t="shared" si="7"/>
        <v>=SI(Upg!$AF45=1;0;'$ Unit'!$T45)+SI(Upg!$AG45=1;0;'$ Unit'!$T45)+SI(Upg!$AH45=1;0;'$ Unit'!$T45)+SI(Upg!$AI45=1;0;'$ Unit'!$T45)</v>
      </c>
      <c r="G35" s="60" t="str">
        <f t="shared" si="8"/>
        <v>=SI(Upg!$AJ45=1;0;'$ Unit'!$U45)+SI(Upg!$AK45=1;0;'$ Unit'!$U45)+SI(Upg!$AL45=1;0;'$ Unit'!$U45)+SI(Upg!$AM45=1;0;'$ Unit'!$U45)</v>
      </c>
      <c r="H35" s="60" t="str">
        <f t="shared" si="9"/>
        <v>=SI(Upg!$AN45=1;0;'$ Unit'!$V45)+SI(Upg!$AO45=1;0;'$ Unit'!$V45)+SI(Upg!$AP45=1;0;'$ Unit'!$V45)+SI(Upg!$AQ45=1;0;'$ Unit'!$V45)</v>
      </c>
      <c r="I35" s="60" t="str">
        <f t="shared" si="10"/>
        <v>=SI(Upg!$AR45=1;0;'$ Unit'!$W45)+SI(Upg!$AS45=1;0;'$ Unit'!$W45)+SI(Upg!$AT45=1;0;'$ Unit'!$W45)+SI(Upg!$AU45=1;0;'$ Unit'!$W45)</v>
      </c>
      <c r="J35" s="60" t="str">
        <f t="shared" si="11"/>
        <v>=SI(Upg!$AV45=1;0;'$ Unit'!$X45)+SI(Upg!$AW45=1;0;'$ Unit'!$X45)+SI(Upg!$AX45=1;0;'$ Unit'!$X45)+SI(Upg!$AY45=1;0;'$ Unit'!$X45)</v>
      </c>
      <c r="K35" s="60" t="str">
        <f t="shared" si="12"/>
        <v>=SI(Upg!$AZ45=1;0;'$ Unit'!$Y45)+SI(Upg!$BA45=1;0;'$ Unit'!$Y45)+SI(Upg!$BB45=1;0;'$ Unit'!$Y45)+SI(Upg!$BC45=1;0;'$ Unit'!$Y45)</v>
      </c>
      <c r="L35" s="60" t="str">
        <f t="shared" si="13"/>
        <v>=SI(Upg!$BD45=1;0;'$ Unit'!$Z45)+SI(Upg!$BE45=1;0;'$ Unit'!$Z45)+SI(Upg!$BF45=1;0;'$ Unit'!$Z45)+SI(Upg!$BG45=1;0;'$ Unit'!$Z45)</v>
      </c>
      <c r="M35" s="60" t="str">
        <f t="shared" si="14"/>
        <v>=SI(Upg!$BH45=1;0;'$ Unit'!$AA45)+SI(Upg!$BI45=1;0;'$ Unit'!$AA45)+SI(Upg!$BJ45=1;0;'$ Unit'!$AA45)+SI(Upg!$BK45=1;0;'$ Unit'!$AA45)</v>
      </c>
      <c r="N35" s="60" t="str">
        <f t="shared" si="15"/>
        <v>=SI(Upg!$BL45=1;0;'$ Unit'!$AB45)+SI(Upg!$BM45=1;0;'$ Unit'!$AB45)+SI(Upg!$BN45=1;0;'$ Unit'!$AB45)+SI(Upg!$BO45=1;0;'$ Unit'!$AB45)</v>
      </c>
      <c r="Q35" t="str">
        <f t="shared" si="0"/>
        <v>='$ Unit'!AD45*Garage!AD45</v>
      </c>
      <c r="R35" t="str">
        <f t="shared" si="1"/>
        <v>='$ Unit'!AE45*Garage!AI45</v>
      </c>
      <c r="S35" t="str">
        <f t="shared" si="2"/>
        <v>='$ Unit'!AF45*Garage!AN45</v>
      </c>
    </row>
    <row r="36" spans="1:19" x14ac:dyDescent="0.2">
      <c r="A36" s="2">
        <v>48</v>
      </c>
      <c r="B36" s="60" t="str">
        <f t="shared" si="3"/>
        <v>=SI(Upg!$P48=1;0;'$ Unit'!$P48)+SI(Upg!$Q48=1;0;'$ Unit'!$P48)+SI(Upg!$R48=1;0;'$ Unit'!$P48)+SI(Upg!$S48=1;0;'$ Unit'!$P48)</v>
      </c>
      <c r="C36" s="60" t="str">
        <f t="shared" si="4"/>
        <v>=SI(Upg!$T48=1;0;'$ Unit'!$Q48)+SI(Upg!$U48=1;0;'$ Unit'!$Q48)+SI(Upg!$V48=1;0;'$ Unit'!$Q48)+SI(Upg!$W48=1;0;'$ Unit'!$Q48)</v>
      </c>
      <c r="D36" s="60" t="str">
        <f t="shared" si="5"/>
        <v>=SI(Upg!$X48=1;0;'$ Unit'!$R48)+SI(Upg!$Y48=1;0;'$ Unit'!$R48)+SI(Upg!$Z48=1;0;'$ Unit'!$R48)+SI(Upg!$AA48=1;0;'$ Unit'!$R48)</v>
      </c>
      <c r="E36" s="60" t="str">
        <f t="shared" si="6"/>
        <v>=SI(Upg!$AB48=1;0;'$ Unit'!$S48)+SI(Upg!$AC48=1;0;'$ Unit'!$S48)+SI(Upg!$AD48=1;0;'$ Unit'!$S48)+SI(Upg!$AE48=1;0;'$ Unit'!$S48)</v>
      </c>
      <c r="F36" s="60" t="str">
        <f t="shared" si="7"/>
        <v>=SI(Upg!$AF48=1;0;'$ Unit'!$T48)+SI(Upg!$AG48=1;0;'$ Unit'!$T48)+SI(Upg!$AH48=1;0;'$ Unit'!$T48)+SI(Upg!$AI48=1;0;'$ Unit'!$T48)</v>
      </c>
      <c r="G36" s="60" t="str">
        <f t="shared" si="8"/>
        <v>=SI(Upg!$AJ48=1;0;'$ Unit'!$U48)+SI(Upg!$AK48=1;0;'$ Unit'!$U48)+SI(Upg!$AL48=1;0;'$ Unit'!$U48)+SI(Upg!$AM48=1;0;'$ Unit'!$U48)</v>
      </c>
      <c r="H36" s="60" t="str">
        <f t="shared" si="9"/>
        <v>=SI(Upg!$AN48=1;0;'$ Unit'!$V48)+SI(Upg!$AO48=1;0;'$ Unit'!$V48)+SI(Upg!$AP48=1;0;'$ Unit'!$V48)+SI(Upg!$AQ48=1;0;'$ Unit'!$V48)</v>
      </c>
      <c r="I36" s="60" t="str">
        <f t="shared" si="10"/>
        <v>=SI(Upg!$AR48=1;0;'$ Unit'!$W48)+SI(Upg!$AS48=1;0;'$ Unit'!$W48)+SI(Upg!$AT48=1;0;'$ Unit'!$W48)+SI(Upg!$AU48=1;0;'$ Unit'!$W48)</v>
      </c>
      <c r="J36" s="60" t="str">
        <f t="shared" si="11"/>
        <v>=SI(Upg!$AV48=1;0;'$ Unit'!$X48)+SI(Upg!$AW48=1;0;'$ Unit'!$X48)+SI(Upg!$AX48=1;0;'$ Unit'!$X48)+SI(Upg!$AY48=1;0;'$ Unit'!$X48)</v>
      </c>
      <c r="K36" s="60" t="str">
        <f t="shared" si="12"/>
        <v>=SI(Upg!$AZ48=1;0;'$ Unit'!$Y48)+SI(Upg!$BA48=1;0;'$ Unit'!$Y48)+SI(Upg!$BB48=1;0;'$ Unit'!$Y48)+SI(Upg!$BC48=1;0;'$ Unit'!$Y48)</v>
      </c>
      <c r="L36" s="60" t="str">
        <f t="shared" si="13"/>
        <v>=SI(Upg!$BD48=1;0;'$ Unit'!$Z48)+SI(Upg!$BE48=1;0;'$ Unit'!$Z48)+SI(Upg!$BF48=1;0;'$ Unit'!$Z48)+SI(Upg!$BG48=1;0;'$ Unit'!$Z48)</v>
      </c>
      <c r="M36" s="60" t="str">
        <f t="shared" si="14"/>
        <v>=SI(Upg!$BH48=1;0;'$ Unit'!$AA48)+SI(Upg!$BI48=1;0;'$ Unit'!$AA48)+SI(Upg!$BJ48=1;0;'$ Unit'!$AA48)+SI(Upg!$BK48=1;0;'$ Unit'!$AA48)</v>
      </c>
      <c r="N36" s="60" t="str">
        <f t="shared" si="15"/>
        <v>=SI(Upg!$BL48=1;0;'$ Unit'!$AB48)+SI(Upg!$BM48=1;0;'$ Unit'!$AB48)+SI(Upg!$BN48=1;0;'$ Unit'!$AB48)+SI(Upg!$BO48=1;0;'$ Unit'!$AB48)</v>
      </c>
      <c r="Q36" t="str">
        <f t="shared" si="0"/>
        <v>='$ Unit'!AD48*Garage!AD48</v>
      </c>
      <c r="R36" t="str">
        <f t="shared" si="1"/>
        <v>='$ Unit'!AE48*Garage!AI48</v>
      </c>
      <c r="S36" t="str">
        <f t="shared" si="2"/>
        <v>='$ Unit'!AF48*Garage!AN48</v>
      </c>
    </row>
    <row r="37" spans="1:19" x14ac:dyDescent="0.2">
      <c r="A37" s="2">
        <v>49</v>
      </c>
      <c r="B37" s="60" t="str">
        <f t="shared" si="3"/>
        <v>=SI(Upg!$P49=1;0;'$ Unit'!$P49)+SI(Upg!$Q49=1;0;'$ Unit'!$P49)+SI(Upg!$R49=1;0;'$ Unit'!$P49)+SI(Upg!$S49=1;0;'$ Unit'!$P49)</v>
      </c>
      <c r="C37" s="60" t="str">
        <f t="shared" si="4"/>
        <v>=SI(Upg!$T49=1;0;'$ Unit'!$Q49)+SI(Upg!$U49=1;0;'$ Unit'!$Q49)+SI(Upg!$V49=1;0;'$ Unit'!$Q49)+SI(Upg!$W49=1;0;'$ Unit'!$Q49)</v>
      </c>
      <c r="D37" s="60" t="str">
        <f t="shared" si="5"/>
        <v>=SI(Upg!$X49=1;0;'$ Unit'!$R49)+SI(Upg!$Y49=1;0;'$ Unit'!$R49)+SI(Upg!$Z49=1;0;'$ Unit'!$R49)+SI(Upg!$AA49=1;0;'$ Unit'!$R49)</v>
      </c>
      <c r="E37" s="60" t="str">
        <f t="shared" si="6"/>
        <v>=SI(Upg!$AB49=1;0;'$ Unit'!$S49)+SI(Upg!$AC49=1;0;'$ Unit'!$S49)+SI(Upg!$AD49=1;0;'$ Unit'!$S49)+SI(Upg!$AE49=1;0;'$ Unit'!$S49)</v>
      </c>
      <c r="F37" s="60" t="str">
        <f t="shared" si="7"/>
        <v>=SI(Upg!$AF49=1;0;'$ Unit'!$T49)+SI(Upg!$AG49=1;0;'$ Unit'!$T49)+SI(Upg!$AH49=1;0;'$ Unit'!$T49)+SI(Upg!$AI49=1;0;'$ Unit'!$T49)</v>
      </c>
      <c r="G37" s="60" t="str">
        <f t="shared" si="8"/>
        <v>=SI(Upg!$AJ49=1;0;'$ Unit'!$U49)+SI(Upg!$AK49=1;0;'$ Unit'!$U49)+SI(Upg!$AL49=1;0;'$ Unit'!$U49)+SI(Upg!$AM49=1;0;'$ Unit'!$U49)</v>
      </c>
      <c r="H37" s="60" t="str">
        <f t="shared" si="9"/>
        <v>=SI(Upg!$AN49=1;0;'$ Unit'!$V49)+SI(Upg!$AO49=1;0;'$ Unit'!$V49)+SI(Upg!$AP49=1;0;'$ Unit'!$V49)+SI(Upg!$AQ49=1;0;'$ Unit'!$V49)</v>
      </c>
      <c r="I37" s="60" t="str">
        <f t="shared" si="10"/>
        <v>=SI(Upg!$AR49=1;0;'$ Unit'!$W49)+SI(Upg!$AS49=1;0;'$ Unit'!$W49)+SI(Upg!$AT49=1;0;'$ Unit'!$W49)+SI(Upg!$AU49=1;0;'$ Unit'!$W49)</v>
      </c>
      <c r="J37" s="60" t="str">
        <f t="shared" si="11"/>
        <v>=SI(Upg!$AV49=1;0;'$ Unit'!$X49)+SI(Upg!$AW49=1;0;'$ Unit'!$X49)+SI(Upg!$AX49=1;0;'$ Unit'!$X49)+SI(Upg!$AY49=1;0;'$ Unit'!$X49)</v>
      </c>
      <c r="K37" s="60" t="str">
        <f t="shared" si="12"/>
        <v>=SI(Upg!$AZ49=1;0;'$ Unit'!$Y49)+SI(Upg!$BA49=1;0;'$ Unit'!$Y49)+SI(Upg!$BB49=1;0;'$ Unit'!$Y49)+SI(Upg!$BC49=1;0;'$ Unit'!$Y49)</v>
      </c>
      <c r="L37" s="60" t="str">
        <f t="shared" si="13"/>
        <v>=SI(Upg!$BD49=1;0;'$ Unit'!$Z49)+SI(Upg!$BE49=1;0;'$ Unit'!$Z49)+SI(Upg!$BF49=1;0;'$ Unit'!$Z49)+SI(Upg!$BG49=1;0;'$ Unit'!$Z49)</v>
      </c>
      <c r="M37" s="60" t="str">
        <f t="shared" si="14"/>
        <v>=SI(Upg!$BH49=1;0;'$ Unit'!$AA49)+SI(Upg!$BI49=1;0;'$ Unit'!$AA49)+SI(Upg!$BJ49=1;0;'$ Unit'!$AA49)+SI(Upg!$BK49=1;0;'$ Unit'!$AA49)</v>
      </c>
      <c r="N37" s="60" t="str">
        <f t="shared" si="15"/>
        <v>=SI(Upg!$BL49=1;0;'$ Unit'!$AB49)+SI(Upg!$BM49=1;0;'$ Unit'!$AB49)+SI(Upg!$BN49=1;0;'$ Unit'!$AB49)+SI(Upg!$BO49=1;0;'$ Unit'!$AB49)</v>
      </c>
      <c r="Q37" t="str">
        <f t="shared" si="0"/>
        <v>='$ Unit'!AD49*Garage!AD49</v>
      </c>
      <c r="R37" t="str">
        <f t="shared" si="1"/>
        <v>='$ Unit'!AE49*Garage!AI49</v>
      </c>
      <c r="S37" t="str">
        <f t="shared" si="2"/>
        <v>='$ Unit'!AF49*Garage!AN49</v>
      </c>
    </row>
    <row r="38" spans="1:19" x14ac:dyDescent="0.2">
      <c r="A38" s="2">
        <v>50</v>
      </c>
      <c r="B38" s="60" t="str">
        <f t="shared" si="3"/>
        <v>=SI(Upg!$P50=1;0;'$ Unit'!$P50)+SI(Upg!$Q50=1;0;'$ Unit'!$P50)+SI(Upg!$R50=1;0;'$ Unit'!$P50)+SI(Upg!$S50=1;0;'$ Unit'!$P50)</v>
      </c>
      <c r="C38" s="60" t="str">
        <f t="shared" si="4"/>
        <v>=SI(Upg!$T50=1;0;'$ Unit'!$Q50)+SI(Upg!$U50=1;0;'$ Unit'!$Q50)+SI(Upg!$V50=1;0;'$ Unit'!$Q50)+SI(Upg!$W50=1;0;'$ Unit'!$Q50)</v>
      </c>
      <c r="D38" s="60" t="str">
        <f t="shared" si="5"/>
        <v>=SI(Upg!$X50=1;0;'$ Unit'!$R50)+SI(Upg!$Y50=1;0;'$ Unit'!$R50)+SI(Upg!$Z50=1;0;'$ Unit'!$R50)+SI(Upg!$AA50=1;0;'$ Unit'!$R50)</v>
      </c>
      <c r="E38" s="60" t="str">
        <f t="shared" si="6"/>
        <v>=SI(Upg!$AB50=1;0;'$ Unit'!$S50)+SI(Upg!$AC50=1;0;'$ Unit'!$S50)+SI(Upg!$AD50=1;0;'$ Unit'!$S50)+SI(Upg!$AE50=1;0;'$ Unit'!$S50)</v>
      </c>
      <c r="F38" s="60" t="str">
        <f t="shared" si="7"/>
        <v>=SI(Upg!$AF50=1;0;'$ Unit'!$T50)+SI(Upg!$AG50=1;0;'$ Unit'!$T50)+SI(Upg!$AH50=1;0;'$ Unit'!$T50)+SI(Upg!$AI50=1;0;'$ Unit'!$T50)</v>
      </c>
      <c r="G38" s="60" t="str">
        <f t="shared" si="8"/>
        <v>=SI(Upg!$AJ50=1;0;'$ Unit'!$U50)+SI(Upg!$AK50=1;0;'$ Unit'!$U50)+SI(Upg!$AL50=1;0;'$ Unit'!$U50)+SI(Upg!$AM50=1;0;'$ Unit'!$U50)</v>
      </c>
      <c r="H38" s="60" t="str">
        <f t="shared" si="9"/>
        <v>=SI(Upg!$AN50=1;0;'$ Unit'!$V50)+SI(Upg!$AO50=1;0;'$ Unit'!$V50)+SI(Upg!$AP50=1;0;'$ Unit'!$V50)+SI(Upg!$AQ50=1;0;'$ Unit'!$V50)</v>
      </c>
      <c r="I38" s="60" t="str">
        <f t="shared" si="10"/>
        <v>=SI(Upg!$AR50=1;0;'$ Unit'!$W50)+SI(Upg!$AS50=1;0;'$ Unit'!$W50)+SI(Upg!$AT50=1;0;'$ Unit'!$W50)+SI(Upg!$AU50=1;0;'$ Unit'!$W50)</v>
      </c>
      <c r="J38" s="60" t="str">
        <f t="shared" si="11"/>
        <v>=SI(Upg!$AV50=1;0;'$ Unit'!$X50)+SI(Upg!$AW50=1;0;'$ Unit'!$X50)+SI(Upg!$AX50=1;0;'$ Unit'!$X50)+SI(Upg!$AY50=1;0;'$ Unit'!$X50)</v>
      </c>
      <c r="K38" s="60" t="str">
        <f t="shared" si="12"/>
        <v>=SI(Upg!$AZ50=1;0;'$ Unit'!$Y50)+SI(Upg!$BA50=1;0;'$ Unit'!$Y50)+SI(Upg!$BB50=1;0;'$ Unit'!$Y50)+SI(Upg!$BC50=1;0;'$ Unit'!$Y50)</v>
      </c>
      <c r="L38" s="60" t="str">
        <f t="shared" si="13"/>
        <v>=SI(Upg!$BD50=1;0;'$ Unit'!$Z50)+SI(Upg!$BE50=1;0;'$ Unit'!$Z50)+SI(Upg!$BF50=1;0;'$ Unit'!$Z50)+SI(Upg!$BG50=1;0;'$ Unit'!$Z50)</v>
      </c>
      <c r="M38" s="60" t="str">
        <f t="shared" si="14"/>
        <v>=SI(Upg!$BH50=1;0;'$ Unit'!$AA50)+SI(Upg!$BI50=1;0;'$ Unit'!$AA50)+SI(Upg!$BJ50=1;0;'$ Unit'!$AA50)+SI(Upg!$BK50=1;0;'$ Unit'!$AA50)</v>
      </c>
      <c r="N38" s="60" t="str">
        <f t="shared" si="15"/>
        <v>=SI(Upg!$BL50=1;0;'$ Unit'!$AB50)+SI(Upg!$BM50=1;0;'$ Unit'!$AB50)+SI(Upg!$BN50=1;0;'$ Unit'!$AB50)+SI(Upg!$BO50=1;0;'$ Unit'!$AB50)</v>
      </c>
      <c r="Q38" t="str">
        <f t="shared" si="0"/>
        <v>='$ Unit'!AD50*Garage!AD50</v>
      </c>
      <c r="R38" t="str">
        <f t="shared" si="1"/>
        <v>='$ Unit'!AE50*Garage!AI50</v>
      </c>
      <c r="S38" t="str">
        <f t="shared" si="2"/>
        <v>='$ Unit'!AF50*Garage!AN50</v>
      </c>
    </row>
    <row r="39" spans="1:19" x14ac:dyDescent="0.2">
      <c r="A39" s="2">
        <v>51</v>
      </c>
      <c r="B39" s="60" t="str">
        <f t="shared" si="3"/>
        <v>=SI(Upg!$P51=1;0;'$ Unit'!$P51)+SI(Upg!$Q51=1;0;'$ Unit'!$P51)+SI(Upg!$R51=1;0;'$ Unit'!$P51)+SI(Upg!$S51=1;0;'$ Unit'!$P51)</v>
      </c>
      <c r="C39" s="60" t="str">
        <f t="shared" si="4"/>
        <v>=SI(Upg!$T51=1;0;'$ Unit'!$Q51)+SI(Upg!$U51=1;0;'$ Unit'!$Q51)+SI(Upg!$V51=1;0;'$ Unit'!$Q51)+SI(Upg!$W51=1;0;'$ Unit'!$Q51)</v>
      </c>
      <c r="D39" s="60" t="str">
        <f t="shared" si="5"/>
        <v>=SI(Upg!$X51=1;0;'$ Unit'!$R51)+SI(Upg!$Y51=1;0;'$ Unit'!$R51)+SI(Upg!$Z51=1;0;'$ Unit'!$R51)+SI(Upg!$AA51=1;0;'$ Unit'!$R51)</v>
      </c>
      <c r="E39" s="60" t="str">
        <f t="shared" si="6"/>
        <v>=SI(Upg!$AB51=1;0;'$ Unit'!$S51)+SI(Upg!$AC51=1;0;'$ Unit'!$S51)+SI(Upg!$AD51=1;0;'$ Unit'!$S51)+SI(Upg!$AE51=1;0;'$ Unit'!$S51)</v>
      </c>
      <c r="F39" s="60" t="str">
        <f t="shared" si="7"/>
        <v>=SI(Upg!$AF51=1;0;'$ Unit'!$T51)+SI(Upg!$AG51=1;0;'$ Unit'!$T51)+SI(Upg!$AH51=1;0;'$ Unit'!$T51)+SI(Upg!$AI51=1;0;'$ Unit'!$T51)</v>
      </c>
      <c r="G39" s="60" t="str">
        <f t="shared" si="8"/>
        <v>=SI(Upg!$AJ51=1;0;'$ Unit'!$U51)+SI(Upg!$AK51=1;0;'$ Unit'!$U51)+SI(Upg!$AL51=1;0;'$ Unit'!$U51)+SI(Upg!$AM51=1;0;'$ Unit'!$U51)</v>
      </c>
      <c r="H39" s="60" t="str">
        <f t="shared" si="9"/>
        <v>=SI(Upg!$AN51=1;0;'$ Unit'!$V51)+SI(Upg!$AO51=1;0;'$ Unit'!$V51)+SI(Upg!$AP51=1;0;'$ Unit'!$V51)+SI(Upg!$AQ51=1;0;'$ Unit'!$V51)</v>
      </c>
      <c r="I39" s="60" t="str">
        <f t="shared" si="10"/>
        <v>=SI(Upg!$AR51=1;0;'$ Unit'!$W51)+SI(Upg!$AS51=1;0;'$ Unit'!$W51)+SI(Upg!$AT51=1;0;'$ Unit'!$W51)+SI(Upg!$AU51=1;0;'$ Unit'!$W51)</v>
      </c>
      <c r="J39" s="60" t="str">
        <f t="shared" si="11"/>
        <v>=SI(Upg!$AV51=1;0;'$ Unit'!$X51)+SI(Upg!$AW51=1;0;'$ Unit'!$X51)+SI(Upg!$AX51=1;0;'$ Unit'!$X51)+SI(Upg!$AY51=1;0;'$ Unit'!$X51)</v>
      </c>
      <c r="K39" s="60" t="str">
        <f t="shared" si="12"/>
        <v>=SI(Upg!$AZ51=1;0;'$ Unit'!$Y51)+SI(Upg!$BA51=1;0;'$ Unit'!$Y51)+SI(Upg!$BB51=1;0;'$ Unit'!$Y51)+SI(Upg!$BC51=1;0;'$ Unit'!$Y51)</v>
      </c>
      <c r="L39" s="60" t="str">
        <f t="shared" si="13"/>
        <v>=SI(Upg!$BD51=1;0;'$ Unit'!$Z51)+SI(Upg!$BE51=1;0;'$ Unit'!$Z51)+SI(Upg!$BF51=1;0;'$ Unit'!$Z51)+SI(Upg!$BG51=1;0;'$ Unit'!$Z51)</v>
      </c>
      <c r="M39" s="60" t="str">
        <f t="shared" si="14"/>
        <v>=SI(Upg!$BH51=1;0;'$ Unit'!$AA51)+SI(Upg!$BI51=1;0;'$ Unit'!$AA51)+SI(Upg!$BJ51=1;0;'$ Unit'!$AA51)+SI(Upg!$BK51=1;0;'$ Unit'!$AA51)</v>
      </c>
      <c r="N39" s="60" t="str">
        <f t="shared" si="15"/>
        <v>=SI(Upg!$BL51=1;0;'$ Unit'!$AB51)+SI(Upg!$BM51=1;0;'$ Unit'!$AB51)+SI(Upg!$BN51=1;0;'$ Unit'!$AB51)+SI(Upg!$BO51=1;0;'$ Unit'!$AB51)</v>
      </c>
      <c r="Q39" t="str">
        <f t="shared" si="0"/>
        <v>='$ Unit'!AD51*Garage!AD51</v>
      </c>
      <c r="R39" t="str">
        <f t="shared" si="1"/>
        <v>='$ Unit'!AE51*Garage!AI51</v>
      </c>
      <c r="S39" t="str">
        <f t="shared" si="2"/>
        <v>='$ Unit'!AF51*Garage!AN51</v>
      </c>
    </row>
    <row r="40" spans="1:19" x14ac:dyDescent="0.2">
      <c r="A40" s="2">
        <v>52</v>
      </c>
      <c r="B40" s="60" t="str">
        <f t="shared" si="3"/>
        <v>=SI(Upg!$P52=1;0;'$ Unit'!$P52)+SI(Upg!$Q52=1;0;'$ Unit'!$P52)+SI(Upg!$R52=1;0;'$ Unit'!$P52)+SI(Upg!$S52=1;0;'$ Unit'!$P52)</v>
      </c>
      <c r="C40" s="60" t="str">
        <f t="shared" si="4"/>
        <v>=SI(Upg!$T52=1;0;'$ Unit'!$Q52)+SI(Upg!$U52=1;0;'$ Unit'!$Q52)+SI(Upg!$V52=1;0;'$ Unit'!$Q52)+SI(Upg!$W52=1;0;'$ Unit'!$Q52)</v>
      </c>
      <c r="D40" s="60" t="str">
        <f t="shared" si="5"/>
        <v>=SI(Upg!$X52=1;0;'$ Unit'!$R52)+SI(Upg!$Y52=1;0;'$ Unit'!$R52)+SI(Upg!$Z52=1;0;'$ Unit'!$R52)+SI(Upg!$AA52=1;0;'$ Unit'!$R52)</v>
      </c>
      <c r="E40" s="60" t="str">
        <f t="shared" si="6"/>
        <v>=SI(Upg!$AB52=1;0;'$ Unit'!$S52)+SI(Upg!$AC52=1;0;'$ Unit'!$S52)+SI(Upg!$AD52=1;0;'$ Unit'!$S52)+SI(Upg!$AE52=1;0;'$ Unit'!$S52)</v>
      </c>
      <c r="F40" s="60" t="str">
        <f t="shared" si="7"/>
        <v>=SI(Upg!$AF52=1;0;'$ Unit'!$T52)+SI(Upg!$AG52=1;0;'$ Unit'!$T52)+SI(Upg!$AH52=1;0;'$ Unit'!$T52)+SI(Upg!$AI52=1;0;'$ Unit'!$T52)</v>
      </c>
      <c r="G40" s="60" t="str">
        <f t="shared" si="8"/>
        <v>=SI(Upg!$AJ52=1;0;'$ Unit'!$U52)+SI(Upg!$AK52=1;0;'$ Unit'!$U52)+SI(Upg!$AL52=1;0;'$ Unit'!$U52)+SI(Upg!$AM52=1;0;'$ Unit'!$U52)</v>
      </c>
      <c r="H40" s="60" t="str">
        <f t="shared" si="9"/>
        <v>=SI(Upg!$AN52=1;0;'$ Unit'!$V52)+SI(Upg!$AO52=1;0;'$ Unit'!$V52)+SI(Upg!$AP52=1;0;'$ Unit'!$V52)+SI(Upg!$AQ52=1;0;'$ Unit'!$V52)</v>
      </c>
      <c r="I40" s="60" t="str">
        <f t="shared" si="10"/>
        <v>=SI(Upg!$AR52=1;0;'$ Unit'!$W52)+SI(Upg!$AS52=1;0;'$ Unit'!$W52)+SI(Upg!$AT52=1;0;'$ Unit'!$W52)+SI(Upg!$AU52=1;0;'$ Unit'!$W52)</v>
      </c>
      <c r="J40" s="60" t="str">
        <f t="shared" si="11"/>
        <v>=SI(Upg!$AV52=1;0;'$ Unit'!$X52)+SI(Upg!$AW52=1;0;'$ Unit'!$X52)+SI(Upg!$AX52=1;0;'$ Unit'!$X52)+SI(Upg!$AY52=1;0;'$ Unit'!$X52)</v>
      </c>
      <c r="K40" s="60" t="str">
        <f t="shared" si="12"/>
        <v>=SI(Upg!$AZ52=1;0;'$ Unit'!$Y52)+SI(Upg!$BA52=1;0;'$ Unit'!$Y52)+SI(Upg!$BB52=1;0;'$ Unit'!$Y52)+SI(Upg!$BC52=1;0;'$ Unit'!$Y52)</v>
      </c>
      <c r="L40" s="60" t="str">
        <f t="shared" si="13"/>
        <v>=SI(Upg!$BD52=1;0;'$ Unit'!$Z52)+SI(Upg!$BE52=1;0;'$ Unit'!$Z52)+SI(Upg!$BF52=1;0;'$ Unit'!$Z52)+SI(Upg!$BG52=1;0;'$ Unit'!$Z52)</v>
      </c>
      <c r="M40" s="60" t="str">
        <f t="shared" si="14"/>
        <v>=SI(Upg!$BH52=1;0;'$ Unit'!$AA52)+SI(Upg!$BI52=1;0;'$ Unit'!$AA52)+SI(Upg!$BJ52=1;0;'$ Unit'!$AA52)+SI(Upg!$BK52=1;0;'$ Unit'!$AA52)</v>
      </c>
      <c r="N40" s="60" t="str">
        <f t="shared" si="15"/>
        <v>=SI(Upg!$BL52=1;0;'$ Unit'!$AB52)+SI(Upg!$BM52=1;0;'$ Unit'!$AB52)+SI(Upg!$BN52=1;0;'$ Unit'!$AB52)+SI(Upg!$BO52=1;0;'$ Unit'!$AB52)</v>
      </c>
      <c r="Q40" t="str">
        <f t="shared" si="0"/>
        <v>='$ Unit'!AD52*Garage!AD52</v>
      </c>
      <c r="R40" t="str">
        <f t="shared" si="1"/>
        <v>='$ Unit'!AE52*Garage!AI52</v>
      </c>
      <c r="S40" t="str">
        <f t="shared" si="2"/>
        <v>='$ Unit'!AF52*Garage!AN52</v>
      </c>
    </row>
    <row r="41" spans="1:19" x14ac:dyDescent="0.2">
      <c r="A41" s="2">
        <v>53</v>
      </c>
      <c r="B41" s="60" t="str">
        <f t="shared" si="3"/>
        <v>=SI(Upg!$P53=1;0;'$ Unit'!$P53)+SI(Upg!$Q53=1;0;'$ Unit'!$P53)+SI(Upg!$R53=1;0;'$ Unit'!$P53)+SI(Upg!$S53=1;0;'$ Unit'!$P53)</v>
      </c>
      <c r="C41" s="60" t="str">
        <f t="shared" si="4"/>
        <v>=SI(Upg!$T53=1;0;'$ Unit'!$Q53)+SI(Upg!$U53=1;0;'$ Unit'!$Q53)+SI(Upg!$V53=1;0;'$ Unit'!$Q53)+SI(Upg!$W53=1;0;'$ Unit'!$Q53)</v>
      </c>
      <c r="D41" s="60" t="str">
        <f t="shared" si="5"/>
        <v>=SI(Upg!$X53=1;0;'$ Unit'!$R53)+SI(Upg!$Y53=1;0;'$ Unit'!$R53)+SI(Upg!$Z53=1;0;'$ Unit'!$R53)+SI(Upg!$AA53=1;0;'$ Unit'!$R53)</v>
      </c>
      <c r="E41" s="60" t="str">
        <f t="shared" si="6"/>
        <v>=SI(Upg!$AB53=1;0;'$ Unit'!$S53)+SI(Upg!$AC53=1;0;'$ Unit'!$S53)+SI(Upg!$AD53=1;0;'$ Unit'!$S53)+SI(Upg!$AE53=1;0;'$ Unit'!$S53)</v>
      </c>
      <c r="F41" s="60" t="str">
        <f t="shared" si="7"/>
        <v>=SI(Upg!$AF53=1;0;'$ Unit'!$T53)+SI(Upg!$AG53=1;0;'$ Unit'!$T53)+SI(Upg!$AH53=1;0;'$ Unit'!$T53)+SI(Upg!$AI53=1;0;'$ Unit'!$T53)</v>
      </c>
      <c r="G41" s="60" t="str">
        <f t="shared" si="8"/>
        <v>=SI(Upg!$AJ53=1;0;'$ Unit'!$U53)+SI(Upg!$AK53=1;0;'$ Unit'!$U53)+SI(Upg!$AL53=1;0;'$ Unit'!$U53)+SI(Upg!$AM53=1;0;'$ Unit'!$U53)</v>
      </c>
      <c r="H41" s="60" t="str">
        <f t="shared" si="9"/>
        <v>=SI(Upg!$AN53=1;0;'$ Unit'!$V53)+SI(Upg!$AO53=1;0;'$ Unit'!$V53)+SI(Upg!$AP53=1;0;'$ Unit'!$V53)+SI(Upg!$AQ53=1;0;'$ Unit'!$V53)</v>
      </c>
      <c r="I41" s="60" t="str">
        <f t="shared" si="10"/>
        <v>=SI(Upg!$AR53=1;0;'$ Unit'!$W53)+SI(Upg!$AS53=1;0;'$ Unit'!$W53)+SI(Upg!$AT53=1;0;'$ Unit'!$W53)+SI(Upg!$AU53=1;0;'$ Unit'!$W53)</v>
      </c>
      <c r="J41" s="60" t="str">
        <f t="shared" si="11"/>
        <v>=SI(Upg!$AV53=1;0;'$ Unit'!$X53)+SI(Upg!$AW53=1;0;'$ Unit'!$X53)+SI(Upg!$AX53=1;0;'$ Unit'!$X53)+SI(Upg!$AY53=1;0;'$ Unit'!$X53)</v>
      </c>
      <c r="K41" s="60" t="str">
        <f t="shared" si="12"/>
        <v>=SI(Upg!$AZ53=1;0;'$ Unit'!$Y53)+SI(Upg!$BA53=1;0;'$ Unit'!$Y53)+SI(Upg!$BB53=1;0;'$ Unit'!$Y53)+SI(Upg!$BC53=1;0;'$ Unit'!$Y53)</v>
      </c>
      <c r="L41" s="60" t="str">
        <f t="shared" si="13"/>
        <v>=SI(Upg!$BD53=1;0;'$ Unit'!$Z53)+SI(Upg!$BE53=1;0;'$ Unit'!$Z53)+SI(Upg!$BF53=1;0;'$ Unit'!$Z53)+SI(Upg!$BG53=1;0;'$ Unit'!$Z53)</v>
      </c>
      <c r="M41" s="60" t="str">
        <f t="shared" si="14"/>
        <v>=SI(Upg!$BH53=1;0;'$ Unit'!$AA53)+SI(Upg!$BI53=1;0;'$ Unit'!$AA53)+SI(Upg!$BJ53=1;0;'$ Unit'!$AA53)+SI(Upg!$BK53=1;0;'$ Unit'!$AA53)</v>
      </c>
      <c r="N41" s="60" t="str">
        <f t="shared" si="15"/>
        <v>=SI(Upg!$BL53=1;0;'$ Unit'!$AB53)+SI(Upg!$BM53=1;0;'$ Unit'!$AB53)+SI(Upg!$BN53=1;0;'$ Unit'!$AB53)+SI(Upg!$BO53=1;0;'$ Unit'!$AB53)</v>
      </c>
      <c r="Q41" t="str">
        <f t="shared" si="0"/>
        <v>='$ Unit'!AD53*Garage!AD53</v>
      </c>
      <c r="R41" t="str">
        <f t="shared" si="1"/>
        <v>='$ Unit'!AE53*Garage!AI53</v>
      </c>
      <c r="S41" t="str">
        <f t="shared" si="2"/>
        <v>='$ Unit'!AF53*Garage!AN53</v>
      </c>
    </row>
    <row r="42" spans="1:19" x14ac:dyDescent="0.2">
      <c r="A42" s="2">
        <v>55</v>
      </c>
      <c r="B42" s="60" t="str">
        <f t="shared" si="3"/>
        <v>=SI(Upg!$P55=1;0;'$ Unit'!$P55)+SI(Upg!$Q55=1;0;'$ Unit'!$P55)+SI(Upg!$R55=1;0;'$ Unit'!$P55)+SI(Upg!$S55=1;0;'$ Unit'!$P55)</v>
      </c>
      <c r="C42" s="60" t="str">
        <f t="shared" si="4"/>
        <v>=SI(Upg!$T55=1;0;'$ Unit'!$Q55)+SI(Upg!$U55=1;0;'$ Unit'!$Q55)+SI(Upg!$V55=1;0;'$ Unit'!$Q55)+SI(Upg!$W55=1;0;'$ Unit'!$Q55)</v>
      </c>
      <c r="D42" s="60" t="str">
        <f t="shared" si="5"/>
        <v>=SI(Upg!$X55=1;0;'$ Unit'!$R55)+SI(Upg!$Y55=1;0;'$ Unit'!$R55)+SI(Upg!$Z55=1;0;'$ Unit'!$R55)+SI(Upg!$AA55=1;0;'$ Unit'!$R55)</v>
      </c>
      <c r="E42" s="60" t="str">
        <f t="shared" si="6"/>
        <v>=SI(Upg!$AB55=1;0;'$ Unit'!$S55)+SI(Upg!$AC55=1;0;'$ Unit'!$S55)+SI(Upg!$AD55=1;0;'$ Unit'!$S55)+SI(Upg!$AE55=1;0;'$ Unit'!$S55)</v>
      </c>
      <c r="F42" s="60" t="str">
        <f t="shared" si="7"/>
        <v>=SI(Upg!$AF55=1;0;'$ Unit'!$T55)+SI(Upg!$AG55=1;0;'$ Unit'!$T55)+SI(Upg!$AH55=1;0;'$ Unit'!$T55)+SI(Upg!$AI55=1;0;'$ Unit'!$T55)</v>
      </c>
      <c r="G42" s="60" t="str">
        <f t="shared" si="8"/>
        <v>=SI(Upg!$AJ55=1;0;'$ Unit'!$U55)+SI(Upg!$AK55=1;0;'$ Unit'!$U55)+SI(Upg!$AL55=1;0;'$ Unit'!$U55)+SI(Upg!$AM55=1;0;'$ Unit'!$U55)</v>
      </c>
      <c r="H42" s="60" t="str">
        <f t="shared" si="9"/>
        <v>=SI(Upg!$AN55=1;0;'$ Unit'!$V55)+SI(Upg!$AO55=1;0;'$ Unit'!$V55)+SI(Upg!$AP55=1;0;'$ Unit'!$V55)+SI(Upg!$AQ55=1;0;'$ Unit'!$V55)</v>
      </c>
      <c r="I42" s="60" t="str">
        <f t="shared" si="10"/>
        <v>=SI(Upg!$AR55=1;0;'$ Unit'!$W55)+SI(Upg!$AS55=1;0;'$ Unit'!$W55)+SI(Upg!$AT55=1;0;'$ Unit'!$W55)+SI(Upg!$AU55=1;0;'$ Unit'!$W55)</v>
      </c>
      <c r="J42" s="60" t="str">
        <f t="shared" si="11"/>
        <v>=SI(Upg!$AV55=1;0;'$ Unit'!$X55)+SI(Upg!$AW55=1;0;'$ Unit'!$X55)+SI(Upg!$AX55=1;0;'$ Unit'!$X55)+SI(Upg!$AY55=1;0;'$ Unit'!$X55)</v>
      </c>
      <c r="K42" s="60" t="str">
        <f t="shared" si="12"/>
        <v>=SI(Upg!$AZ55=1;0;'$ Unit'!$Y55)+SI(Upg!$BA55=1;0;'$ Unit'!$Y55)+SI(Upg!$BB55=1;0;'$ Unit'!$Y55)+SI(Upg!$BC55=1;0;'$ Unit'!$Y55)</v>
      </c>
      <c r="L42" s="60" t="str">
        <f t="shared" si="13"/>
        <v>=SI(Upg!$BD55=1;0;'$ Unit'!$Z55)+SI(Upg!$BE55=1;0;'$ Unit'!$Z55)+SI(Upg!$BF55=1;0;'$ Unit'!$Z55)+SI(Upg!$BG55=1;0;'$ Unit'!$Z55)</v>
      </c>
      <c r="M42" s="60" t="str">
        <f t="shared" si="14"/>
        <v>=SI(Upg!$BH55=1;0;'$ Unit'!$AA55)+SI(Upg!$BI55=1;0;'$ Unit'!$AA55)+SI(Upg!$BJ55=1;0;'$ Unit'!$AA55)+SI(Upg!$BK55=1;0;'$ Unit'!$AA55)</v>
      </c>
      <c r="N42" s="60" t="str">
        <f t="shared" si="15"/>
        <v>=SI(Upg!$BL55=1;0;'$ Unit'!$AB55)+SI(Upg!$BM55=1;0;'$ Unit'!$AB55)+SI(Upg!$BN55=1;0;'$ Unit'!$AB55)+SI(Upg!$BO55=1;0;'$ Unit'!$AB55)</v>
      </c>
      <c r="Q42" t="str">
        <f t="shared" si="0"/>
        <v>='$ Unit'!AD55*Garage!AD55</v>
      </c>
      <c r="R42" t="str">
        <f t="shared" si="1"/>
        <v>='$ Unit'!AE55*Garage!AI55</v>
      </c>
      <c r="S42" t="str">
        <f t="shared" si="2"/>
        <v>='$ Unit'!AF55*Garage!AN55</v>
      </c>
    </row>
    <row r="43" spans="1:19" x14ac:dyDescent="0.2">
      <c r="A43" s="2">
        <v>56</v>
      </c>
      <c r="B43" s="60" t="str">
        <f t="shared" si="3"/>
        <v>=SI(Upg!$P56=1;0;'$ Unit'!$P56)+SI(Upg!$Q56=1;0;'$ Unit'!$P56)+SI(Upg!$R56=1;0;'$ Unit'!$P56)+SI(Upg!$S56=1;0;'$ Unit'!$P56)</v>
      </c>
      <c r="C43" s="60" t="str">
        <f t="shared" si="4"/>
        <v>=SI(Upg!$T56=1;0;'$ Unit'!$Q56)+SI(Upg!$U56=1;0;'$ Unit'!$Q56)+SI(Upg!$V56=1;0;'$ Unit'!$Q56)+SI(Upg!$W56=1;0;'$ Unit'!$Q56)</v>
      </c>
      <c r="D43" s="60" t="str">
        <f t="shared" si="5"/>
        <v>=SI(Upg!$X56=1;0;'$ Unit'!$R56)+SI(Upg!$Y56=1;0;'$ Unit'!$R56)+SI(Upg!$Z56=1;0;'$ Unit'!$R56)+SI(Upg!$AA56=1;0;'$ Unit'!$R56)</v>
      </c>
      <c r="E43" s="60" t="str">
        <f t="shared" si="6"/>
        <v>=SI(Upg!$AB56=1;0;'$ Unit'!$S56)+SI(Upg!$AC56=1;0;'$ Unit'!$S56)+SI(Upg!$AD56=1;0;'$ Unit'!$S56)+SI(Upg!$AE56=1;0;'$ Unit'!$S56)</v>
      </c>
      <c r="F43" s="60" t="str">
        <f t="shared" si="7"/>
        <v>=SI(Upg!$AF56=1;0;'$ Unit'!$T56)+SI(Upg!$AG56=1;0;'$ Unit'!$T56)+SI(Upg!$AH56=1;0;'$ Unit'!$T56)+SI(Upg!$AI56=1;0;'$ Unit'!$T56)</v>
      </c>
      <c r="G43" s="60" t="str">
        <f t="shared" si="8"/>
        <v>=SI(Upg!$AJ56=1;0;'$ Unit'!$U56)+SI(Upg!$AK56=1;0;'$ Unit'!$U56)+SI(Upg!$AL56=1;0;'$ Unit'!$U56)+SI(Upg!$AM56=1;0;'$ Unit'!$U56)</v>
      </c>
      <c r="H43" s="60" t="str">
        <f t="shared" si="9"/>
        <v>=SI(Upg!$AN56=1;0;'$ Unit'!$V56)+SI(Upg!$AO56=1;0;'$ Unit'!$V56)+SI(Upg!$AP56=1;0;'$ Unit'!$V56)+SI(Upg!$AQ56=1;0;'$ Unit'!$V56)</v>
      </c>
      <c r="I43" s="60" t="str">
        <f t="shared" si="10"/>
        <v>=SI(Upg!$AR56=1;0;'$ Unit'!$W56)+SI(Upg!$AS56=1;0;'$ Unit'!$W56)+SI(Upg!$AT56=1;0;'$ Unit'!$W56)+SI(Upg!$AU56=1;0;'$ Unit'!$W56)</v>
      </c>
      <c r="J43" s="60" t="str">
        <f t="shared" si="11"/>
        <v>=SI(Upg!$AV56=1;0;'$ Unit'!$X56)+SI(Upg!$AW56=1;0;'$ Unit'!$X56)+SI(Upg!$AX56=1;0;'$ Unit'!$X56)+SI(Upg!$AY56=1;0;'$ Unit'!$X56)</v>
      </c>
      <c r="K43" s="60" t="str">
        <f t="shared" si="12"/>
        <v>=SI(Upg!$AZ56=1;0;'$ Unit'!$Y56)+SI(Upg!$BA56=1;0;'$ Unit'!$Y56)+SI(Upg!$BB56=1;0;'$ Unit'!$Y56)+SI(Upg!$BC56=1;0;'$ Unit'!$Y56)</v>
      </c>
      <c r="L43" s="60" t="str">
        <f t="shared" si="13"/>
        <v>=SI(Upg!$BD56=1;0;'$ Unit'!$Z56)+SI(Upg!$BE56=1;0;'$ Unit'!$Z56)+SI(Upg!$BF56=1;0;'$ Unit'!$Z56)+SI(Upg!$BG56=1;0;'$ Unit'!$Z56)</v>
      </c>
      <c r="M43" s="60" t="str">
        <f t="shared" si="14"/>
        <v>=SI(Upg!$BH56=1;0;'$ Unit'!$AA56)+SI(Upg!$BI56=1;0;'$ Unit'!$AA56)+SI(Upg!$BJ56=1;0;'$ Unit'!$AA56)+SI(Upg!$BK56=1;0;'$ Unit'!$AA56)</v>
      </c>
      <c r="N43" s="60" t="str">
        <f t="shared" si="15"/>
        <v>=SI(Upg!$BL56=1;0;'$ Unit'!$AB56)+SI(Upg!$BM56=1;0;'$ Unit'!$AB56)+SI(Upg!$BN56=1;0;'$ Unit'!$AB56)+SI(Upg!$BO56=1;0;'$ Unit'!$AB56)</v>
      </c>
      <c r="Q43" t="str">
        <f t="shared" si="0"/>
        <v>='$ Unit'!AD56*Garage!AD56</v>
      </c>
      <c r="R43" t="str">
        <f t="shared" si="1"/>
        <v>='$ Unit'!AE56*Garage!AI56</v>
      </c>
      <c r="S43" t="str">
        <f t="shared" si="2"/>
        <v>='$ Unit'!AF56*Garage!AN56</v>
      </c>
    </row>
    <row r="44" spans="1:19" x14ac:dyDescent="0.2">
      <c r="A44" s="2">
        <v>57</v>
      </c>
      <c r="B44" s="60" t="str">
        <f t="shared" si="3"/>
        <v>=SI(Upg!$P57=1;0;'$ Unit'!$P57)+SI(Upg!$Q57=1;0;'$ Unit'!$P57)+SI(Upg!$R57=1;0;'$ Unit'!$P57)+SI(Upg!$S57=1;0;'$ Unit'!$P57)</v>
      </c>
      <c r="C44" s="60" t="str">
        <f t="shared" si="4"/>
        <v>=SI(Upg!$T57=1;0;'$ Unit'!$Q57)+SI(Upg!$U57=1;0;'$ Unit'!$Q57)+SI(Upg!$V57=1;0;'$ Unit'!$Q57)+SI(Upg!$W57=1;0;'$ Unit'!$Q57)</v>
      </c>
      <c r="D44" s="60" t="str">
        <f t="shared" si="5"/>
        <v>=SI(Upg!$X57=1;0;'$ Unit'!$R57)+SI(Upg!$Y57=1;0;'$ Unit'!$R57)+SI(Upg!$Z57=1;0;'$ Unit'!$R57)+SI(Upg!$AA57=1;0;'$ Unit'!$R57)</v>
      </c>
      <c r="E44" s="60" t="str">
        <f t="shared" si="6"/>
        <v>=SI(Upg!$AB57=1;0;'$ Unit'!$S57)+SI(Upg!$AC57=1;0;'$ Unit'!$S57)+SI(Upg!$AD57=1;0;'$ Unit'!$S57)+SI(Upg!$AE57=1;0;'$ Unit'!$S57)</v>
      </c>
      <c r="F44" s="60" t="str">
        <f t="shared" si="7"/>
        <v>=SI(Upg!$AF57=1;0;'$ Unit'!$T57)+SI(Upg!$AG57=1;0;'$ Unit'!$T57)+SI(Upg!$AH57=1;0;'$ Unit'!$T57)+SI(Upg!$AI57=1;0;'$ Unit'!$T57)</v>
      </c>
      <c r="G44" s="60" t="str">
        <f t="shared" si="8"/>
        <v>=SI(Upg!$AJ57=1;0;'$ Unit'!$U57)+SI(Upg!$AK57=1;0;'$ Unit'!$U57)+SI(Upg!$AL57=1;0;'$ Unit'!$U57)+SI(Upg!$AM57=1;0;'$ Unit'!$U57)</v>
      </c>
      <c r="H44" s="60" t="str">
        <f t="shared" si="9"/>
        <v>=SI(Upg!$AN57=1;0;'$ Unit'!$V57)+SI(Upg!$AO57=1;0;'$ Unit'!$V57)+SI(Upg!$AP57=1;0;'$ Unit'!$V57)+SI(Upg!$AQ57=1;0;'$ Unit'!$V57)</v>
      </c>
      <c r="I44" s="60" t="str">
        <f t="shared" si="10"/>
        <v>=SI(Upg!$AR57=1;0;'$ Unit'!$W57)+SI(Upg!$AS57=1;0;'$ Unit'!$W57)+SI(Upg!$AT57=1;0;'$ Unit'!$W57)+SI(Upg!$AU57=1;0;'$ Unit'!$W57)</v>
      </c>
      <c r="J44" s="60" t="str">
        <f t="shared" si="11"/>
        <v>=SI(Upg!$AV57=1;0;'$ Unit'!$X57)+SI(Upg!$AW57=1;0;'$ Unit'!$X57)+SI(Upg!$AX57=1;0;'$ Unit'!$X57)+SI(Upg!$AY57=1;0;'$ Unit'!$X57)</v>
      </c>
      <c r="K44" s="60" t="str">
        <f t="shared" si="12"/>
        <v>=SI(Upg!$AZ57=1;0;'$ Unit'!$Y57)+SI(Upg!$BA57=1;0;'$ Unit'!$Y57)+SI(Upg!$BB57=1;0;'$ Unit'!$Y57)+SI(Upg!$BC57=1;0;'$ Unit'!$Y57)</v>
      </c>
      <c r="L44" s="60" t="str">
        <f t="shared" si="13"/>
        <v>=SI(Upg!$BD57=1;0;'$ Unit'!$Z57)+SI(Upg!$BE57=1;0;'$ Unit'!$Z57)+SI(Upg!$BF57=1;0;'$ Unit'!$Z57)+SI(Upg!$BG57=1;0;'$ Unit'!$Z57)</v>
      </c>
      <c r="M44" s="60" t="str">
        <f t="shared" si="14"/>
        <v>=SI(Upg!$BH57=1;0;'$ Unit'!$AA57)+SI(Upg!$BI57=1;0;'$ Unit'!$AA57)+SI(Upg!$BJ57=1;0;'$ Unit'!$AA57)+SI(Upg!$BK57=1;0;'$ Unit'!$AA57)</v>
      </c>
      <c r="N44" s="60" t="str">
        <f t="shared" si="15"/>
        <v>=SI(Upg!$BL57=1;0;'$ Unit'!$AB57)+SI(Upg!$BM57=1;0;'$ Unit'!$AB57)+SI(Upg!$BN57=1;0;'$ Unit'!$AB57)+SI(Upg!$BO57=1;0;'$ Unit'!$AB57)</v>
      </c>
      <c r="Q44" t="str">
        <f t="shared" si="0"/>
        <v>='$ Unit'!AD57*Garage!AD57</v>
      </c>
      <c r="R44" t="str">
        <f t="shared" si="1"/>
        <v>='$ Unit'!AE57*Garage!AI57</v>
      </c>
      <c r="S44" t="str">
        <f t="shared" si="2"/>
        <v>='$ Unit'!AF57*Garage!AN57</v>
      </c>
    </row>
    <row r="45" spans="1:19" x14ac:dyDescent="0.2">
      <c r="A45" s="2">
        <v>58</v>
      </c>
      <c r="B45" s="60" t="str">
        <f t="shared" si="3"/>
        <v>=SI(Upg!$P58=1;0;'$ Unit'!$P58)+SI(Upg!$Q58=1;0;'$ Unit'!$P58)+SI(Upg!$R58=1;0;'$ Unit'!$P58)+SI(Upg!$S58=1;0;'$ Unit'!$P58)</v>
      </c>
      <c r="C45" s="60" t="str">
        <f t="shared" si="4"/>
        <v>=SI(Upg!$T58=1;0;'$ Unit'!$Q58)+SI(Upg!$U58=1;0;'$ Unit'!$Q58)+SI(Upg!$V58=1;0;'$ Unit'!$Q58)+SI(Upg!$W58=1;0;'$ Unit'!$Q58)</v>
      </c>
      <c r="D45" s="60" t="str">
        <f t="shared" si="5"/>
        <v>=SI(Upg!$X58=1;0;'$ Unit'!$R58)+SI(Upg!$Y58=1;0;'$ Unit'!$R58)+SI(Upg!$Z58=1;0;'$ Unit'!$R58)+SI(Upg!$AA58=1;0;'$ Unit'!$R58)</v>
      </c>
      <c r="E45" s="60" t="str">
        <f t="shared" si="6"/>
        <v>=SI(Upg!$AB58=1;0;'$ Unit'!$S58)+SI(Upg!$AC58=1;0;'$ Unit'!$S58)+SI(Upg!$AD58=1;0;'$ Unit'!$S58)+SI(Upg!$AE58=1;0;'$ Unit'!$S58)</v>
      </c>
      <c r="F45" s="60" t="str">
        <f t="shared" si="7"/>
        <v>=SI(Upg!$AF58=1;0;'$ Unit'!$T58)+SI(Upg!$AG58=1;0;'$ Unit'!$T58)+SI(Upg!$AH58=1;0;'$ Unit'!$T58)+SI(Upg!$AI58=1;0;'$ Unit'!$T58)</v>
      </c>
      <c r="G45" s="60" t="str">
        <f t="shared" si="8"/>
        <v>=SI(Upg!$AJ58=1;0;'$ Unit'!$U58)+SI(Upg!$AK58=1;0;'$ Unit'!$U58)+SI(Upg!$AL58=1;0;'$ Unit'!$U58)+SI(Upg!$AM58=1;0;'$ Unit'!$U58)</v>
      </c>
      <c r="H45" s="60" t="str">
        <f t="shared" si="9"/>
        <v>=SI(Upg!$AN58=1;0;'$ Unit'!$V58)+SI(Upg!$AO58=1;0;'$ Unit'!$V58)+SI(Upg!$AP58=1;0;'$ Unit'!$V58)+SI(Upg!$AQ58=1;0;'$ Unit'!$V58)</v>
      </c>
      <c r="I45" s="60" t="str">
        <f t="shared" si="10"/>
        <v>=SI(Upg!$AR58=1;0;'$ Unit'!$W58)+SI(Upg!$AS58=1;0;'$ Unit'!$W58)+SI(Upg!$AT58=1;0;'$ Unit'!$W58)+SI(Upg!$AU58=1;0;'$ Unit'!$W58)</v>
      </c>
      <c r="J45" s="60" t="str">
        <f t="shared" si="11"/>
        <v>=SI(Upg!$AV58=1;0;'$ Unit'!$X58)+SI(Upg!$AW58=1;0;'$ Unit'!$X58)+SI(Upg!$AX58=1;0;'$ Unit'!$X58)+SI(Upg!$AY58=1;0;'$ Unit'!$X58)</v>
      </c>
      <c r="K45" s="60" t="str">
        <f t="shared" si="12"/>
        <v>=SI(Upg!$AZ58=1;0;'$ Unit'!$Y58)+SI(Upg!$BA58=1;0;'$ Unit'!$Y58)+SI(Upg!$BB58=1;0;'$ Unit'!$Y58)+SI(Upg!$BC58=1;0;'$ Unit'!$Y58)</v>
      </c>
      <c r="L45" s="60" t="str">
        <f t="shared" si="13"/>
        <v>=SI(Upg!$BD58=1;0;'$ Unit'!$Z58)+SI(Upg!$BE58=1;0;'$ Unit'!$Z58)+SI(Upg!$BF58=1;0;'$ Unit'!$Z58)+SI(Upg!$BG58=1;0;'$ Unit'!$Z58)</v>
      </c>
      <c r="M45" s="60" t="str">
        <f t="shared" si="14"/>
        <v>=SI(Upg!$BH58=1;0;'$ Unit'!$AA58)+SI(Upg!$BI58=1;0;'$ Unit'!$AA58)+SI(Upg!$BJ58=1;0;'$ Unit'!$AA58)+SI(Upg!$BK58=1;0;'$ Unit'!$AA58)</v>
      </c>
      <c r="N45" s="60" t="str">
        <f t="shared" si="15"/>
        <v>=SI(Upg!$BL58=1;0;'$ Unit'!$AB58)+SI(Upg!$BM58=1;0;'$ Unit'!$AB58)+SI(Upg!$BN58=1;0;'$ Unit'!$AB58)+SI(Upg!$BO58=1;0;'$ Unit'!$AB58)</v>
      </c>
      <c r="Q45" t="str">
        <f t="shared" si="0"/>
        <v>='$ Unit'!AD58*Garage!AD58</v>
      </c>
      <c r="R45" t="str">
        <f t="shared" si="1"/>
        <v>='$ Unit'!AE58*Garage!AI58</v>
      </c>
      <c r="S45" t="str">
        <f t="shared" si="2"/>
        <v>='$ Unit'!AF58*Garage!AN58</v>
      </c>
    </row>
    <row r="46" spans="1:19" x14ac:dyDescent="0.2">
      <c r="A46" s="2">
        <v>59</v>
      </c>
      <c r="B46" s="60" t="str">
        <f t="shared" si="3"/>
        <v>=SI(Upg!$P59=1;0;'$ Unit'!$P59)+SI(Upg!$Q59=1;0;'$ Unit'!$P59)+SI(Upg!$R59=1;0;'$ Unit'!$P59)+SI(Upg!$S59=1;0;'$ Unit'!$P59)</v>
      </c>
      <c r="C46" s="60" t="str">
        <f t="shared" si="4"/>
        <v>=SI(Upg!$T59=1;0;'$ Unit'!$Q59)+SI(Upg!$U59=1;0;'$ Unit'!$Q59)+SI(Upg!$V59=1;0;'$ Unit'!$Q59)+SI(Upg!$W59=1;0;'$ Unit'!$Q59)</v>
      </c>
      <c r="D46" s="60" t="str">
        <f t="shared" si="5"/>
        <v>=SI(Upg!$X59=1;0;'$ Unit'!$R59)+SI(Upg!$Y59=1;0;'$ Unit'!$R59)+SI(Upg!$Z59=1;0;'$ Unit'!$R59)+SI(Upg!$AA59=1;0;'$ Unit'!$R59)</v>
      </c>
      <c r="E46" s="60" t="str">
        <f t="shared" si="6"/>
        <v>=SI(Upg!$AB59=1;0;'$ Unit'!$S59)+SI(Upg!$AC59=1;0;'$ Unit'!$S59)+SI(Upg!$AD59=1;0;'$ Unit'!$S59)+SI(Upg!$AE59=1;0;'$ Unit'!$S59)</v>
      </c>
      <c r="F46" s="60" t="str">
        <f t="shared" si="7"/>
        <v>=SI(Upg!$AF59=1;0;'$ Unit'!$T59)+SI(Upg!$AG59=1;0;'$ Unit'!$T59)+SI(Upg!$AH59=1;0;'$ Unit'!$T59)+SI(Upg!$AI59=1;0;'$ Unit'!$T59)</v>
      </c>
      <c r="G46" s="60" t="str">
        <f t="shared" si="8"/>
        <v>=SI(Upg!$AJ59=1;0;'$ Unit'!$U59)+SI(Upg!$AK59=1;0;'$ Unit'!$U59)+SI(Upg!$AL59=1;0;'$ Unit'!$U59)+SI(Upg!$AM59=1;0;'$ Unit'!$U59)</v>
      </c>
      <c r="H46" s="60" t="str">
        <f t="shared" si="9"/>
        <v>=SI(Upg!$AN59=1;0;'$ Unit'!$V59)+SI(Upg!$AO59=1;0;'$ Unit'!$V59)+SI(Upg!$AP59=1;0;'$ Unit'!$V59)+SI(Upg!$AQ59=1;0;'$ Unit'!$V59)</v>
      </c>
      <c r="I46" s="60" t="str">
        <f t="shared" si="10"/>
        <v>=SI(Upg!$AR59=1;0;'$ Unit'!$W59)+SI(Upg!$AS59=1;0;'$ Unit'!$W59)+SI(Upg!$AT59=1;0;'$ Unit'!$W59)+SI(Upg!$AU59=1;0;'$ Unit'!$W59)</v>
      </c>
      <c r="J46" s="60" t="str">
        <f t="shared" si="11"/>
        <v>=SI(Upg!$AV59=1;0;'$ Unit'!$X59)+SI(Upg!$AW59=1;0;'$ Unit'!$X59)+SI(Upg!$AX59=1;0;'$ Unit'!$X59)+SI(Upg!$AY59=1;0;'$ Unit'!$X59)</v>
      </c>
      <c r="K46" s="60" t="str">
        <f t="shared" si="12"/>
        <v>=SI(Upg!$AZ59=1;0;'$ Unit'!$Y59)+SI(Upg!$BA59=1;0;'$ Unit'!$Y59)+SI(Upg!$BB59=1;0;'$ Unit'!$Y59)+SI(Upg!$BC59=1;0;'$ Unit'!$Y59)</v>
      </c>
      <c r="L46" s="60" t="str">
        <f t="shared" si="13"/>
        <v>=SI(Upg!$BD59=1;0;'$ Unit'!$Z59)+SI(Upg!$BE59=1;0;'$ Unit'!$Z59)+SI(Upg!$BF59=1;0;'$ Unit'!$Z59)+SI(Upg!$BG59=1;0;'$ Unit'!$Z59)</v>
      </c>
      <c r="M46" s="60" t="str">
        <f t="shared" si="14"/>
        <v>=SI(Upg!$BH59=1;0;'$ Unit'!$AA59)+SI(Upg!$BI59=1;0;'$ Unit'!$AA59)+SI(Upg!$BJ59=1;0;'$ Unit'!$AA59)+SI(Upg!$BK59=1;0;'$ Unit'!$AA59)</v>
      </c>
      <c r="N46" s="60" t="str">
        <f t="shared" si="15"/>
        <v>=SI(Upg!$BL59=1;0;'$ Unit'!$AB59)+SI(Upg!$BM59=1;0;'$ Unit'!$AB59)+SI(Upg!$BN59=1;0;'$ Unit'!$AB59)+SI(Upg!$BO59=1;0;'$ Unit'!$AB59)</v>
      </c>
      <c r="Q46" t="str">
        <f t="shared" si="0"/>
        <v>='$ Unit'!AD59*Garage!AD59</v>
      </c>
      <c r="R46" t="str">
        <f t="shared" si="1"/>
        <v>='$ Unit'!AE59*Garage!AI59</v>
      </c>
      <c r="S46" t="str">
        <f t="shared" si="2"/>
        <v>='$ Unit'!AF59*Garage!AN59</v>
      </c>
    </row>
    <row r="47" spans="1:19" x14ac:dyDescent="0.2">
      <c r="A47" s="2">
        <v>60</v>
      </c>
      <c r="B47" s="60" t="str">
        <f t="shared" si="3"/>
        <v>=SI(Upg!$P60=1;0;'$ Unit'!$P60)+SI(Upg!$Q60=1;0;'$ Unit'!$P60)+SI(Upg!$R60=1;0;'$ Unit'!$P60)+SI(Upg!$S60=1;0;'$ Unit'!$P60)</v>
      </c>
      <c r="C47" s="60" t="str">
        <f t="shared" si="4"/>
        <v>=SI(Upg!$T60=1;0;'$ Unit'!$Q60)+SI(Upg!$U60=1;0;'$ Unit'!$Q60)+SI(Upg!$V60=1;0;'$ Unit'!$Q60)+SI(Upg!$W60=1;0;'$ Unit'!$Q60)</v>
      </c>
      <c r="D47" s="60" t="str">
        <f t="shared" si="5"/>
        <v>=SI(Upg!$X60=1;0;'$ Unit'!$R60)+SI(Upg!$Y60=1;0;'$ Unit'!$R60)+SI(Upg!$Z60=1;0;'$ Unit'!$R60)+SI(Upg!$AA60=1;0;'$ Unit'!$R60)</v>
      </c>
      <c r="E47" s="60" t="str">
        <f t="shared" si="6"/>
        <v>=SI(Upg!$AB60=1;0;'$ Unit'!$S60)+SI(Upg!$AC60=1;0;'$ Unit'!$S60)+SI(Upg!$AD60=1;0;'$ Unit'!$S60)+SI(Upg!$AE60=1;0;'$ Unit'!$S60)</v>
      </c>
      <c r="F47" s="60" t="str">
        <f t="shared" si="7"/>
        <v>=SI(Upg!$AF60=1;0;'$ Unit'!$T60)+SI(Upg!$AG60=1;0;'$ Unit'!$T60)+SI(Upg!$AH60=1;0;'$ Unit'!$T60)+SI(Upg!$AI60=1;0;'$ Unit'!$T60)</v>
      </c>
      <c r="G47" s="60" t="str">
        <f t="shared" si="8"/>
        <v>=SI(Upg!$AJ60=1;0;'$ Unit'!$U60)+SI(Upg!$AK60=1;0;'$ Unit'!$U60)+SI(Upg!$AL60=1;0;'$ Unit'!$U60)+SI(Upg!$AM60=1;0;'$ Unit'!$U60)</v>
      </c>
      <c r="H47" s="60" t="str">
        <f t="shared" si="9"/>
        <v>=SI(Upg!$AN60=1;0;'$ Unit'!$V60)+SI(Upg!$AO60=1;0;'$ Unit'!$V60)+SI(Upg!$AP60=1;0;'$ Unit'!$V60)+SI(Upg!$AQ60=1;0;'$ Unit'!$V60)</v>
      </c>
      <c r="I47" s="60" t="str">
        <f t="shared" si="10"/>
        <v>=SI(Upg!$AR60=1;0;'$ Unit'!$W60)+SI(Upg!$AS60=1;0;'$ Unit'!$W60)+SI(Upg!$AT60=1;0;'$ Unit'!$W60)+SI(Upg!$AU60=1;0;'$ Unit'!$W60)</v>
      </c>
      <c r="J47" s="60" t="str">
        <f t="shared" si="11"/>
        <v>=SI(Upg!$AV60=1;0;'$ Unit'!$X60)+SI(Upg!$AW60=1;0;'$ Unit'!$X60)+SI(Upg!$AX60=1;0;'$ Unit'!$X60)+SI(Upg!$AY60=1;0;'$ Unit'!$X60)</v>
      </c>
      <c r="K47" s="60" t="str">
        <f t="shared" si="12"/>
        <v>=SI(Upg!$AZ60=1;0;'$ Unit'!$Y60)+SI(Upg!$BA60=1;0;'$ Unit'!$Y60)+SI(Upg!$BB60=1;0;'$ Unit'!$Y60)+SI(Upg!$BC60=1;0;'$ Unit'!$Y60)</v>
      </c>
      <c r="L47" s="60" t="str">
        <f t="shared" si="13"/>
        <v>=SI(Upg!$BD60=1;0;'$ Unit'!$Z60)+SI(Upg!$BE60=1;0;'$ Unit'!$Z60)+SI(Upg!$BF60=1;0;'$ Unit'!$Z60)+SI(Upg!$BG60=1;0;'$ Unit'!$Z60)</v>
      </c>
      <c r="M47" s="60" t="str">
        <f t="shared" si="14"/>
        <v>=SI(Upg!$BH60=1;0;'$ Unit'!$AA60)+SI(Upg!$BI60=1;0;'$ Unit'!$AA60)+SI(Upg!$BJ60=1;0;'$ Unit'!$AA60)+SI(Upg!$BK60=1;0;'$ Unit'!$AA60)</v>
      </c>
      <c r="N47" s="60" t="str">
        <f t="shared" si="15"/>
        <v>=SI(Upg!$BL60=1;0;'$ Unit'!$AB60)+SI(Upg!$BM60=1;0;'$ Unit'!$AB60)+SI(Upg!$BN60=1;0;'$ Unit'!$AB60)+SI(Upg!$BO60=1;0;'$ Unit'!$AB60)</v>
      </c>
      <c r="Q47" t="str">
        <f t="shared" si="0"/>
        <v>='$ Unit'!AD60*Garage!AD60</v>
      </c>
      <c r="R47" t="str">
        <f t="shared" si="1"/>
        <v>='$ Unit'!AE60*Garage!AI60</v>
      </c>
      <c r="S47" t="str">
        <f t="shared" si="2"/>
        <v>='$ Unit'!AF60*Garage!AN60</v>
      </c>
    </row>
    <row r="48" spans="1:19" x14ac:dyDescent="0.2">
      <c r="A48" s="2">
        <v>61</v>
      </c>
      <c r="B48" s="60" t="str">
        <f t="shared" si="3"/>
        <v>=SI(Upg!$P61=1;0;'$ Unit'!$P61)+SI(Upg!$Q61=1;0;'$ Unit'!$P61)+SI(Upg!$R61=1;0;'$ Unit'!$P61)+SI(Upg!$S61=1;0;'$ Unit'!$P61)</v>
      </c>
      <c r="C48" s="60" t="str">
        <f t="shared" si="4"/>
        <v>=SI(Upg!$T61=1;0;'$ Unit'!$Q61)+SI(Upg!$U61=1;0;'$ Unit'!$Q61)+SI(Upg!$V61=1;0;'$ Unit'!$Q61)+SI(Upg!$W61=1;0;'$ Unit'!$Q61)</v>
      </c>
      <c r="D48" s="60" t="str">
        <f t="shared" si="5"/>
        <v>=SI(Upg!$X61=1;0;'$ Unit'!$R61)+SI(Upg!$Y61=1;0;'$ Unit'!$R61)+SI(Upg!$Z61=1;0;'$ Unit'!$R61)+SI(Upg!$AA61=1;0;'$ Unit'!$R61)</v>
      </c>
      <c r="E48" s="60" t="str">
        <f t="shared" si="6"/>
        <v>=SI(Upg!$AB61=1;0;'$ Unit'!$S61)+SI(Upg!$AC61=1;0;'$ Unit'!$S61)+SI(Upg!$AD61=1;0;'$ Unit'!$S61)+SI(Upg!$AE61=1;0;'$ Unit'!$S61)</v>
      </c>
      <c r="F48" s="60" t="str">
        <f t="shared" si="7"/>
        <v>=SI(Upg!$AF61=1;0;'$ Unit'!$T61)+SI(Upg!$AG61=1;0;'$ Unit'!$T61)+SI(Upg!$AH61=1;0;'$ Unit'!$T61)+SI(Upg!$AI61=1;0;'$ Unit'!$T61)</v>
      </c>
      <c r="G48" s="60" t="str">
        <f t="shared" si="8"/>
        <v>=SI(Upg!$AJ61=1;0;'$ Unit'!$U61)+SI(Upg!$AK61=1;0;'$ Unit'!$U61)+SI(Upg!$AL61=1;0;'$ Unit'!$U61)+SI(Upg!$AM61=1;0;'$ Unit'!$U61)</v>
      </c>
      <c r="H48" s="60" t="str">
        <f t="shared" si="9"/>
        <v>=SI(Upg!$AN61=1;0;'$ Unit'!$V61)+SI(Upg!$AO61=1;0;'$ Unit'!$V61)+SI(Upg!$AP61=1;0;'$ Unit'!$V61)+SI(Upg!$AQ61=1;0;'$ Unit'!$V61)</v>
      </c>
      <c r="I48" s="60" t="str">
        <f t="shared" si="10"/>
        <v>=SI(Upg!$AR61=1;0;'$ Unit'!$W61)+SI(Upg!$AS61=1;0;'$ Unit'!$W61)+SI(Upg!$AT61=1;0;'$ Unit'!$W61)+SI(Upg!$AU61=1;0;'$ Unit'!$W61)</v>
      </c>
      <c r="J48" s="60" t="str">
        <f t="shared" si="11"/>
        <v>=SI(Upg!$AV61=1;0;'$ Unit'!$X61)+SI(Upg!$AW61=1;0;'$ Unit'!$X61)+SI(Upg!$AX61=1;0;'$ Unit'!$X61)+SI(Upg!$AY61=1;0;'$ Unit'!$X61)</v>
      </c>
      <c r="K48" s="60" t="str">
        <f t="shared" si="12"/>
        <v>=SI(Upg!$AZ61=1;0;'$ Unit'!$Y61)+SI(Upg!$BA61=1;0;'$ Unit'!$Y61)+SI(Upg!$BB61=1;0;'$ Unit'!$Y61)+SI(Upg!$BC61=1;0;'$ Unit'!$Y61)</v>
      </c>
      <c r="L48" s="60" t="str">
        <f t="shared" si="13"/>
        <v>=SI(Upg!$BD61=1;0;'$ Unit'!$Z61)+SI(Upg!$BE61=1;0;'$ Unit'!$Z61)+SI(Upg!$BF61=1;0;'$ Unit'!$Z61)+SI(Upg!$BG61=1;0;'$ Unit'!$Z61)</v>
      </c>
      <c r="M48" s="60" t="str">
        <f t="shared" si="14"/>
        <v>=SI(Upg!$BH61=1;0;'$ Unit'!$AA61)+SI(Upg!$BI61=1;0;'$ Unit'!$AA61)+SI(Upg!$BJ61=1;0;'$ Unit'!$AA61)+SI(Upg!$BK61=1;0;'$ Unit'!$AA61)</v>
      </c>
      <c r="N48" s="60" t="str">
        <f t="shared" si="15"/>
        <v>=SI(Upg!$BL61=1;0;'$ Unit'!$AB61)+SI(Upg!$BM61=1;0;'$ Unit'!$AB61)+SI(Upg!$BN61=1;0;'$ Unit'!$AB61)+SI(Upg!$BO61=1;0;'$ Unit'!$AB61)</v>
      </c>
      <c r="Q48" t="str">
        <f t="shared" si="0"/>
        <v>='$ Unit'!AD61*Garage!AD61</v>
      </c>
      <c r="R48" t="str">
        <f t="shared" si="1"/>
        <v>='$ Unit'!AE61*Garage!AI61</v>
      </c>
      <c r="S48" t="str">
        <f t="shared" si="2"/>
        <v>='$ Unit'!AF61*Garage!AN61</v>
      </c>
    </row>
    <row r="49" spans="1:19" x14ac:dyDescent="0.2">
      <c r="A49" s="2">
        <v>63</v>
      </c>
      <c r="B49" s="60" t="str">
        <f t="shared" si="3"/>
        <v>=SI(Upg!$P63=1;0;'$ Unit'!$P63)+SI(Upg!$Q63=1;0;'$ Unit'!$P63)+SI(Upg!$R63=1;0;'$ Unit'!$P63)+SI(Upg!$S63=1;0;'$ Unit'!$P63)</v>
      </c>
      <c r="C49" s="60" t="str">
        <f t="shared" si="4"/>
        <v>=SI(Upg!$T63=1;0;'$ Unit'!$Q63)+SI(Upg!$U63=1;0;'$ Unit'!$Q63)+SI(Upg!$V63=1;0;'$ Unit'!$Q63)+SI(Upg!$W63=1;0;'$ Unit'!$Q63)</v>
      </c>
      <c r="D49" s="60" t="str">
        <f t="shared" si="5"/>
        <v>=SI(Upg!$X63=1;0;'$ Unit'!$R63)+SI(Upg!$Y63=1;0;'$ Unit'!$R63)+SI(Upg!$Z63=1;0;'$ Unit'!$R63)+SI(Upg!$AA63=1;0;'$ Unit'!$R63)</v>
      </c>
      <c r="E49" s="60" t="str">
        <f t="shared" si="6"/>
        <v>=SI(Upg!$AB63=1;0;'$ Unit'!$S63)+SI(Upg!$AC63=1;0;'$ Unit'!$S63)+SI(Upg!$AD63=1;0;'$ Unit'!$S63)+SI(Upg!$AE63=1;0;'$ Unit'!$S63)</v>
      </c>
      <c r="F49" s="60" t="str">
        <f t="shared" si="7"/>
        <v>=SI(Upg!$AF63=1;0;'$ Unit'!$T63)+SI(Upg!$AG63=1;0;'$ Unit'!$T63)+SI(Upg!$AH63=1;0;'$ Unit'!$T63)+SI(Upg!$AI63=1;0;'$ Unit'!$T63)</v>
      </c>
      <c r="G49" s="60" t="str">
        <f t="shared" si="8"/>
        <v>=SI(Upg!$AJ63=1;0;'$ Unit'!$U63)+SI(Upg!$AK63=1;0;'$ Unit'!$U63)+SI(Upg!$AL63=1;0;'$ Unit'!$U63)+SI(Upg!$AM63=1;0;'$ Unit'!$U63)</v>
      </c>
      <c r="H49" s="60" t="str">
        <f t="shared" si="9"/>
        <v>=SI(Upg!$AN63=1;0;'$ Unit'!$V63)+SI(Upg!$AO63=1;0;'$ Unit'!$V63)+SI(Upg!$AP63=1;0;'$ Unit'!$V63)+SI(Upg!$AQ63=1;0;'$ Unit'!$V63)</v>
      </c>
      <c r="I49" s="60" t="str">
        <f t="shared" si="10"/>
        <v>=SI(Upg!$AR63=1;0;'$ Unit'!$W63)+SI(Upg!$AS63=1;0;'$ Unit'!$W63)+SI(Upg!$AT63=1;0;'$ Unit'!$W63)+SI(Upg!$AU63=1;0;'$ Unit'!$W63)</v>
      </c>
      <c r="J49" s="60" t="str">
        <f t="shared" si="11"/>
        <v>=SI(Upg!$AV63=1;0;'$ Unit'!$X63)+SI(Upg!$AW63=1;0;'$ Unit'!$X63)+SI(Upg!$AX63=1;0;'$ Unit'!$X63)+SI(Upg!$AY63=1;0;'$ Unit'!$X63)</v>
      </c>
      <c r="K49" s="60" t="str">
        <f t="shared" si="12"/>
        <v>=SI(Upg!$AZ63=1;0;'$ Unit'!$Y63)+SI(Upg!$BA63=1;0;'$ Unit'!$Y63)+SI(Upg!$BB63=1;0;'$ Unit'!$Y63)+SI(Upg!$BC63=1;0;'$ Unit'!$Y63)</v>
      </c>
      <c r="L49" s="60" t="str">
        <f t="shared" si="13"/>
        <v>=SI(Upg!$BD63=1;0;'$ Unit'!$Z63)+SI(Upg!$BE63=1;0;'$ Unit'!$Z63)+SI(Upg!$BF63=1;0;'$ Unit'!$Z63)+SI(Upg!$BG63=1;0;'$ Unit'!$Z63)</v>
      </c>
      <c r="M49" s="60" t="str">
        <f t="shared" si="14"/>
        <v>=SI(Upg!$BH63=1;0;'$ Unit'!$AA63)+SI(Upg!$BI63=1;0;'$ Unit'!$AA63)+SI(Upg!$BJ63=1;0;'$ Unit'!$AA63)+SI(Upg!$BK63=1;0;'$ Unit'!$AA63)</v>
      </c>
      <c r="N49" s="60" t="str">
        <f t="shared" si="15"/>
        <v>=SI(Upg!$BL63=1;0;'$ Unit'!$AB63)+SI(Upg!$BM63=1;0;'$ Unit'!$AB63)+SI(Upg!$BN63=1;0;'$ Unit'!$AB63)+SI(Upg!$BO63=1;0;'$ Unit'!$AB63)</v>
      </c>
      <c r="Q49" t="str">
        <f t="shared" si="0"/>
        <v>='$ Unit'!AD63*Garage!AD63</v>
      </c>
      <c r="R49" t="str">
        <f t="shared" si="1"/>
        <v>='$ Unit'!AE63*Garage!AI63</v>
      </c>
      <c r="S49" t="str">
        <f t="shared" si="2"/>
        <v>='$ Unit'!AF63*Garage!AN63</v>
      </c>
    </row>
    <row r="50" spans="1:19" x14ac:dyDescent="0.2">
      <c r="A50" s="2">
        <v>64</v>
      </c>
      <c r="B50" s="60" t="str">
        <f t="shared" si="3"/>
        <v>=SI(Upg!$P64=1;0;'$ Unit'!$P64)+SI(Upg!$Q64=1;0;'$ Unit'!$P64)+SI(Upg!$R64=1;0;'$ Unit'!$P64)+SI(Upg!$S64=1;0;'$ Unit'!$P64)</v>
      </c>
      <c r="C50" s="60" t="str">
        <f t="shared" si="4"/>
        <v>=SI(Upg!$T64=1;0;'$ Unit'!$Q64)+SI(Upg!$U64=1;0;'$ Unit'!$Q64)+SI(Upg!$V64=1;0;'$ Unit'!$Q64)+SI(Upg!$W64=1;0;'$ Unit'!$Q64)</v>
      </c>
      <c r="D50" s="60" t="str">
        <f t="shared" si="5"/>
        <v>=SI(Upg!$X64=1;0;'$ Unit'!$R64)+SI(Upg!$Y64=1;0;'$ Unit'!$R64)+SI(Upg!$Z64=1;0;'$ Unit'!$R64)+SI(Upg!$AA64=1;0;'$ Unit'!$R64)</v>
      </c>
      <c r="E50" s="60" t="str">
        <f t="shared" si="6"/>
        <v>=SI(Upg!$AB64=1;0;'$ Unit'!$S64)+SI(Upg!$AC64=1;0;'$ Unit'!$S64)+SI(Upg!$AD64=1;0;'$ Unit'!$S64)+SI(Upg!$AE64=1;0;'$ Unit'!$S64)</v>
      </c>
      <c r="F50" s="60" t="str">
        <f t="shared" si="7"/>
        <v>=SI(Upg!$AF64=1;0;'$ Unit'!$T64)+SI(Upg!$AG64=1;0;'$ Unit'!$T64)+SI(Upg!$AH64=1;0;'$ Unit'!$T64)+SI(Upg!$AI64=1;0;'$ Unit'!$T64)</v>
      </c>
      <c r="G50" s="60" t="str">
        <f t="shared" si="8"/>
        <v>=SI(Upg!$AJ64=1;0;'$ Unit'!$U64)+SI(Upg!$AK64=1;0;'$ Unit'!$U64)+SI(Upg!$AL64=1;0;'$ Unit'!$U64)+SI(Upg!$AM64=1;0;'$ Unit'!$U64)</v>
      </c>
      <c r="H50" s="60" t="str">
        <f t="shared" si="9"/>
        <v>=SI(Upg!$AN64=1;0;'$ Unit'!$V64)+SI(Upg!$AO64=1;0;'$ Unit'!$V64)+SI(Upg!$AP64=1;0;'$ Unit'!$V64)+SI(Upg!$AQ64=1;0;'$ Unit'!$V64)</v>
      </c>
      <c r="I50" s="60" t="str">
        <f t="shared" si="10"/>
        <v>=SI(Upg!$AR64=1;0;'$ Unit'!$W64)+SI(Upg!$AS64=1;0;'$ Unit'!$W64)+SI(Upg!$AT64=1;0;'$ Unit'!$W64)+SI(Upg!$AU64=1;0;'$ Unit'!$W64)</v>
      </c>
      <c r="J50" s="60" t="str">
        <f t="shared" si="11"/>
        <v>=SI(Upg!$AV64=1;0;'$ Unit'!$X64)+SI(Upg!$AW64=1;0;'$ Unit'!$X64)+SI(Upg!$AX64=1;0;'$ Unit'!$X64)+SI(Upg!$AY64=1;0;'$ Unit'!$X64)</v>
      </c>
      <c r="K50" s="60" t="str">
        <f t="shared" si="12"/>
        <v>=SI(Upg!$AZ64=1;0;'$ Unit'!$Y64)+SI(Upg!$BA64=1;0;'$ Unit'!$Y64)+SI(Upg!$BB64=1;0;'$ Unit'!$Y64)+SI(Upg!$BC64=1;0;'$ Unit'!$Y64)</v>
      </c>
      <c r="L50" s="60" t="str">
        <f t="shared" si="13"/>
        <v>=SI(Upg!$BD64=1;0;'$ Unit'!$Z64)+SI(Upg!$BE64=1;0;'$ Unit'!$Z64)+SI(Upg!$BF64=1;0;'$ Unit'!$Z64)+SI(Upg!$BG64=1;0;'$ Unit'!$Z64)</v>
      </c>
      <c r="M50" s="60" t="str">
        <f t="shared" si="14"/>
        <v>=SI(Upg!$BH64=1;0;'$ Unit'!$AA64)+SI(Upg!$BI64=1;0;'$ Unit'!$AA64)+SI(Upg!$BJ64=1;0;'$ Unit'!$AA64)+SI(Upg!$BK64=1;0;'$ Unit'!$AA64)</v>
      </c>
      <c r="N50" s="60" t="str">
        <f t="shared" si="15"/>
        <v>=SI(Upg!$BL64=1;0;'$ Unit'!$AB64)+SI(Upg!$BM64=1;0;'$ Unit'!$AB64)+SI(Upg!$BN64=1;0;'$ Unit'!$AB64)+SI(Upg!$BO64=1;0;'$ Unit'!$AB64)</v>
      </c>
      <c r="Q50" t="str">
        <f t="shared" ref="Q50:Q81" si="16">CONCATENATE($Q$2,$A50,$R$2,$A50)</f>
        <v>='$ Unit'!AD64*Garage!AD64</v>
      </c>
      <c r="R50" t="str">
        <f t="shared" ref="R50:R81" si="17">CONCATENATE($Q$3,$A50,$R$3,$A50)</f>
        <v>='$ Unit'!AE64*Garage!AI64</v>
      </c>
      <c r="S50" t="str">
        <f t="shared" ref="S50:S81" si="18">CONCATENATE($Q$4,$A50,$R$4,$A50,)</f>
        <v>='$ Unit'!AF64*Garage!AN64</v>
      </c>
    </row>
    <row r="51" spans="1:19" x14ac:dyDescent="0.2">
      <c r="A51" s="2">
        <v>65</v>
      </c>
      <c r="B51" s="60" t="str">
        <f t="shared" si="3"/>
        <v>=SI(Upg!$P65=1;0;'$ Unit'!$P65)+SI(Upg!$Q65=1;0;'$ Unit'!$P65)+SI(Upg!$R65=1;0;'$ Unit'!$P65)+SI(Upg!$S65=1;0;'$ Unit'!$P65)</v>
      </c>
      <c r="C51" s="60" t="str">
        <f t="shared" si="4"/>
        <v>=SI(Upg!$T65=1;0;'$ Unit'!$Q65)+SI(Upg!$U65=1;0;'$ Unit'!$Q65)+SI(Upg!$V65=1;0;'$ Unit'!$Q65)+SI(Upg!$W65=1;0;'$ Unit'!$Q65)</v>
      </c>
      <c r="D51" s="60" t="str">
        <f t="shared" si="5"/>
        <v>=SI(Upg!$X65=1;0;'$ Unit'!$R65)+SI(Upg!$Y65=1;0;'$ Unit'!$R65)+SI(Upg!$Z65=1;0;'$ Unit'!$R65)+SI(Upg!$AA65=1;0;'$ Unit'!$R65)</v>
      </c>
      <c r="E51" s="60" t="str">
        <f t="shared" si="6"/>
        <v>=SI(Upg!$AB65=1;0;'$ Unit'!$S65)+SI(Upg!$AC65=1;0;'$ Unit'!$S65)+SI(Upg!$AD65=1;0;'$ Unit'!$S65)+SI(Upg!$AE65=1;0;'$ Unit'!$S65)</v>
      </c>
      <c r="F51" s="60" t="str">
        <f t="shared" si="7"/>
        <v>=SI(Upg!$AF65=1;0;'$ Unit'!$T65)+SI(Upg!$AG65=1;0;'$ Unit'!$T65)+SI(Upg!$AH65=1;0;'$ Unit'!$T65)+SI(Upg!$AI65=1;0;'$ Unit'!$T65)</v>
      </c>
      <c r="G51" s="60" t="str">
        <f t="shared" si="8"/>
        <v>=SI(Upg!$AJ65=1;0;'$ Unit'!$U65)+SI(Upg!$AK65=1;0;'$ Unit'!$U65)+SI(Upg!$AL65=1;0;'$ Unit'!$U65)+SI(Upg!$AM65=1;0;'$ Unit'!$U65)</v>
      </c>
      <c r="H51" s="60" t="str">
        <f t="shared" si="9"/>
        <v>=SI(Upg!$AN65=1;0;'$ Unit'!$V65)+SI(Upg!$AO65=1;0;'$ Unit'!$V65)+SI(Upg!$AP65=1;0;'$ Unit'!$V65)+SI(Upg!$AQ65=1;0;'$ Unit'!$V65)</v>
      </c>
      <c r="I51" s="60" t="str">
        <f t="shared" si="10"/>
        <v>=SI(Upg!$AR65=1;0;'$ Unit'!$W65)+SI(Upg!$AS65=1;0;'$ Unit'!$W65)+SI(Upg!$AT65=1;0;'$ Unit'!$W65)+SI(Upg!$AU65=1;0;'$ Unit'!$W65)</v>
      </c>
      <c r="J51" s="60" t="str">
        <f t="shared" si="11"/>
        <v>=SI(Upg!$AV65=1;0;'$ Unit'!$X65)+SI(Upg!$AW65=1;0;'$ Unit'!$X65)+SI(Upg!$AX65=1;0;'$ Unit'!$X65)+SI(Upg!$AY65=1;0;'$ Unit'!$X65)</v>
      </c>
      <c r="K51" s="60" t="str">
        <f t="shared" si="12"/>
        <v>=SI(Upg!$AZ65=1;0;'$ Unit'!$Y65)+SI(Upg!$BA65=1;0;'$ Unit'!$Y65)+SI(Upg!$BB65=1;0;'$ Unit'!$Y65)+SI(Upg!$BC65=1;0;'$ Unit'!$Y65)</v>
      </c>
      <c r="L51" s="60" t="str">
        <f t="shared" si="13"/>
        <v>=SI(Upg!$BD65=1;0;'$ Unit'!$Z65)+SI(Upg!$BE65=1;0;'$ Unit'!$Z65)+SI(Upg!$BF65=1;0;'$ Unit'!$Z65)+SI(Upg!$BG65=1;0;'$ Unit'!$Z65)</v>
      </c>
      <c r="M51" s="60" t="str">
        <f t="shared" si="14"/>
        <v>=SI(Upg!$BH65=1;0;'$ Unit'!$AA65)+SI(Upg!$BI65=1;0;'$ Unit'!$AA65)+SI(Upg!$BJ65=1;0;'$ Unit'!$AA65)+SI(Upg!$BK65=1;0;'$ Unit'!$AA65)</v>
      </c>
      <c r="N51" s="60" t="str">
        <f t="shared" si="15"/>
        <v>=SI(Upg!$BL65=1;0;'$ Unit'!$AB65)+SI(Upg!$BM65=1;0;'$ Unit'!$AB65)+SI(Upg!$BN65=1;0;'$ Unit'!$AB65)+SI(Upg!$BO65=1;0;'$ Unit'!$AB65)</v>
      </c>
      <c r="Q51" t="str">
        <f t="shared" si="16"/>
        <v>='$ Unit'!AD65*Garage!AD65</v>
      </c>
      <c r="R51" t="str">
        <f t="shared" si="17"/>
        <v>='$ Unit'!AE65*Garage!AI65</v>
      </c>
      <c r="S51" t="str">
        <f t="shared" si="18"/>
        <v>='$ Unit'!AF65*Garage!AN65</v>
      </c>
    </row>
    <row r="52" spans="1:19" x14ac:dyDescent="0.2">
      <c r="A52" s="2">
        <v>66</v>
      </c>
      <c r="B52" s="60" t="str">
        <f t="shared" si="3"/>
        <v>=SI(Upg!$P66=1;0;'$ Unit'!$P66)+SI(Upg!$Q66=1;0;'$ Unit'!$P66)+SI(Upg!$R66=1;0;'$ Unit'!$P66)+SI(Upg!$S66=1;0;'$ Unit'!$P66)</v>
      </c>
      <c r="C52" s="60" t="str">
        <f t="shared" si="4"/>
        <v>=SI(Upg!$T66=1;0;'$ Unit'!$Q66)+SI(Upg!$U66=1;0;'$ Unit'!$Q66)+SI(Upg!$V66=1;0;'$ Unit'!$Q66)+SI(Upg!$W66=1;0;'$ Unit'!$Q66)</v>
      </c>
      <c r="D52" s="60" t="str">
        <f t="shared" si="5"/>
        <v>=SI(Upg!$X66=1;0;'$ Unit'!$R66)+SI(Upg!$Y66=1;0;'$ Unit'!$R66)+SI(Upg!$Z66=1;0;'$ Unit'!$R66)+SI(Upg!$AA66=1;0;'$ Unit'!$R66)</v>
      </c>
      <c r="E52" s="60" t="str">
        <f t="shared" si="6"/>
        <v>=SI(Upg!$AB66=1;0;'$ Unit'!$S66)+SI(Upg!$AC66=1;0;'$ Unit'!$S66)+SI(Upg!$AD66=1;0;'$ Unit'!$S66)+SI(Upg!$AE66=1;0;'$ Unit'!$S66)</v>
      </c>
      <c r="F52" s="60" t="str">
        <f t="shared" si="7"/>
        <v>=SI(Upg!$AF66=1;0;'$ Unit'!$T66)+SI(Upg!$AG66=1;0;'$ Unit'!$T66)+SI(Upg!$AH66=1;0;'$ Unit'!$T66)+SI(Upg!$AI66=1;0;'$ Unit'!$T66)</v>
      </c>
      <c r="G52" s="60" t="str">
        <f t="shared" si="8"/>
        <v>=SI(Upg!$AJ66=1;0;'$ Unit'!$U66)+SI(Upg!$AK66=1;0;'$ Unit'!$U66)+SI(Upg!$AL66=1;0;'$ Unit'!$U66)+SI(Upg!$AM66=1;0;'$ Unit'!$U66)</v>
      </c>
      <c r="H52" s="60" t="str">
        <f t="shared" si="9"/>
        <v>=SI(Upg!$AN66=1;0;'$ Unit'!$V66)+SI(Upg!$AO66=1;0;'$ Unit'!$V66)+SI(Upg!$AP66=1;0;'$ Unit'!$V66)+SI(Upg!$AQ66=1;0;'$ Unit'!$V66)</v>
      </c>
      <c r="I52" s="60" t="str">
        <f t="shared" si="10"/>
        <v>=SI(Upg!$AR66=1;0;'$ Unit'!$W66)+SI(Upg!$AS66=1;0;'$ Unit'!$W66)+SI(Upg!$AT66=1;0;'$ Unit'!$W66)+SI(Upg!$AU66=1;0;'$ Unit'!$W66)</v>
      </c>
      <c r="J52" s="60" t="str">
        <f t="shared" si="11"/>
        <v>=SI(Upg!$AV66=1;0;'$ Unit'!$X66)+SI(Upg!$AW66=1;0;'$ Unit'!$X66)+SI(Upg!$AX66=1;0;'$ Unit'!$X66)+SI(Upg!$AY66=1;0;'$ Unit'!$X66)</v>
      </c>
      <c r="K52" s="60" t="str">
        <f t="shared" si="12"/>
        <v>=SI(Upg!$AZ66=1;0;'$ Unit'!$Y66)+SI(Upg!$BA66=1;0;'$ Unit'!$Y66)+SI(Upg!$BB66=1;0;'$ Unit'!$Y66)+SI(Upg!$BC66=1;0;'$ Unit'!$Y66)</v>
      </c>
      <c r="L52" s="60" t="str">
        <f t="shared" si="13"/>
        <v>=SI(Upg!$BD66=1;0;'$ Unit'!$Z66)+SI(Upg!$BE66=1;0;'$ Unit'!$Z66)+SI(Upg!$BF66=1;0;'$ Unit'!$Z66)+SI(Upg!$BG66=1;0;'$ Unit'!$Z66)</v>
      </c>
      <c r="M52" s="60" t="str">
        <f t="shared" si="14"/>
        <v>=SI(Upg!$BH66=1;0;'$ Unit'!$AA66)+SI(Upg!$BI66=1;0;'$ Unit'!$AA66)+SI(Upg!$BJ66=1;0;'$ Unit'!$AA66)+SI(Upg!$BK66=1;0;'$ Unit'!$AA66)</v>
      </c>
      <c r="N52" s="60" t="str">
        <f t="shared" si="15"/>
        <v>=SI(Upg!$BL66=1;0;'$ Unit'!$AB66)+SI(Upg!$BM66=1;0;'$ Unit'!$AB66)+SI(Upg!$BN66=1;0;'$ Unit'!$AB66)+SI(Upg!$BO66=1;0;'$ Unit'!$AB66)</v>
      </c>
      <c r="Q52" t="str">
        <f t="shared" si="16"/>
        <v>='$ Unit'!AD66*Garage!AD66</v>
      </c>
      <c r="R52" t="str">
        <f t="shared" si="17"/>
        <v>='$ Unit'!AE66*Garage!AI66</v>
      </c>
      <c r="S52" t="str">
        <f t="shared" si="18"/>
        <v>='$ Unit'!AF66*Garage!AN66</v>
      </c>
    </row>
    <row r="53" spans="1:19" x14ac:dyDescent="0.2">
      <c r="A53" s="2">
        <v>67</v>
      </c>
      <c r="B53" s="60" t="str">
        <f t="shared" si="3"/>
        <v>=SI(Upg!$P67=1;0;'$ Unit'!$P67)+SI(Upg!$Q67=1;0;'$ Unit'!$P67)+SI(Upg!$R67=1;0;'$ Unit'!$P67)+SI(Upg!$S67=1;0;'$ Unit'!$P67)</v>
      </c>
      <c r="C53" s="60" t="str">
        <f t="shared" si="4"/>
        <v>=SI(Upg!$T67=1;0;'$ Unit'!$Q67)+SI(Upg!$U67=1;0;'$ Unit'!$Q67)+SI(Upg!$V67=1;0;'$ Unit'!$Q67)+SI(Upg!$W67=1;0;'$ Unit'!$Q67)</v>
      </c>
      <c r="D53" s="60" t="str">
        <f t="shared" si="5"/>
        <v>=SI(Upg!$X67=1;0;'$ Unit'!$R67)+SI(Upg!$Y67=1;0;'$ Unit'!$R67)+SI(Upg!$Z67=1;0;'$ Unit'!$R67)+SI(Upg!$AA67=1;0;'$ Unit'!$R67)</v>
      </c>
      <c r="E53" s="60" t="str">
        <f t="shared" si="6"/>
        <v>=SI(Upg!$AB67=1;0;'$ Unit'!$S67)+SI(Upg!$AC67=1;0;'$ Unit'!$S67)+SI(Upg!$AD67=1;0;'$ Unit'!$S67)+SI(Upg!$AE67=1;0;'$ Unit'!$S67)</v>
      </c>
      <c r="F53" s="60" t="str">
        <f t="shared" si="7"/>
        <v>=SI(Upg!$AF67=1;0;'$ Unit'!$T67)+SI(Upg!$AG67=1;0;'$ Unit'!$T67)+SI(Upg!$AH67=1;0;'$ Unit'!$T67)+SI(Upg!$AI67=1;0;'$ Unit'!$T67)</v>
      </c>
      <c r="G53" s="60" t="str">
        <f t="shared" si="8"/>
        <v>=SI(Upg!$AJ67=1;0;'$ Unit'!$U67)+SI(Upg!$AK67=1;0;'$ Unit'!$U67)+SI(Upg!$AL67=1;0;'$ Unit'!$U67)+SI(Upg!$AM67=1;0;'$ Unit'!$U67)</v>
      </c>
      <c r="H53" s="60" t="str">
        <f t="shared" si="9"/>
        <v>=SI(Upg!$AN67=1;0;'$ Unit'!$V67)+SI(Upg!$AO67=1;0;'$ Unit'!$V67)+SI(Upg!$AP67=1;0;'$ Unit'!$V67)+SI(Upg!$AQ67=1;0;'$ Unit'!$V67)</v>
      </c>
      <c r="I53" s="60" t="str">
        <f t="shared" si="10"/>
        <v>=SI(Upg!$AR67=1;0;'$ Unit'!$W67)+SI(Upg!$AS67=1;0;'$ Unit'!$W67)+SI(Upg!$AT67=1;0;'$ Unit'!$W67)+SI(Upg!$AU67=1;0;'$ Unit'!$W67)</v>
      </c>
      <c r="J53" s="60" t="str">
        <f t="shared" si="11"/>
        <v>=SI(Upg!$AV67=1;0;'$ Unit'!$X67)+SI(Upg!$AW67=1;0;'$ Unit'!$X67)+SI(Upg!$AX67=1;0;'$ Unit'!$X67)+SI(Upg!$AY67=1;0;'$ Unit'!$X67)</v>
      </c>
      <c r="K53" s="60" t="str">
        <f t="shared" si="12"/>
        <v>=SI(Upg!$AZ67=1;0;'$ Unit'!$Y67)+SI(Upg!$BA67=1;0;'$ Unit'!$Y67)+SI(Upg!$BB67=1;0;'$ Unit'!$Y67)+SI(Upg!$BC67=1;0;'$ Unit'!$Y67)</v>
      </c>
      <c r="L53" s="60" t="str">
        <f t="shared" si="13"/>
        <v>=SI(Upg!$BD67=1;0;'$ Unit'!$Z67)+SI(Upg!$BE67=1;0;'$ Unit'!$Z67)+SI(Upg!$BF67=1;0;'$ Unit'!$Z67)+SI(Upg!$BG67=1;0;'$ Unit'!$Z67)</v>
      </c>
      <c r="M53" s="60" t="str">
        <f t="shared" si="14"/>
        <v>=SI(Upg!$BH67=1;0;'$ Unit'!$AA67)+SI(Upg!$BI67=1;0;'$ Unit'!$AA67)+SI(Upg!$BJ67=1;0;'$ Unit'!$AA67)+SI(Upg!$BK67=1;0;'$ Unit'!$AA67)</v>
      </c>
      <c r="N53" s="60" t="str">
        <f t="shared" si="15"/>
        <v>=SI(Upg!$BL67=1;0;'$ Unit'!$AB67)+SI(Upg!$BM67=1;0;'$ Unit'!$AB67)+SI(Upg!$BN67=1;0;'$ Unit'!$AB67)+SI(Upg!$BO67=1;0;'$ Unit'!$AB67)</v>
      </c>
      <c r="Q53" t="str">
        <f t="shared" si="16"/>
        <v>='$ Unit'!AD67*Garage!AD67</v>
      </c>
      <c r="R53" t="str">
        <f t="shared" si="17"/>
        <v>='$ Unit'!AE67*Garage!AI67</v>
      </c>
      <c r="S53" t="str">
        <f t="shared" si="18"/>
        <v>='$ Unit'!AF67*Garage!AN67</v>
      </c>
    </row>
    <row r="54" spans="1:19" x14ac:dyDescent="0.2">
      <c r="A54" s="2">
        <v>69</v>
      </c>
      <c r="B54" s="60" t="str">
        <f t="shared" si="3"/>
        <v>=SI(Upg!$P69=1;0;'$ Unit'!$P69)+SI(Upg!$Q69=1;0;'$ Unit'!$P69)+SI(Upg!$R69=1;0;'$ Unit'!$P69)+SI(Upg!$S69=1;0;'$ Unit'!$P69)</v>
      </c>
      <c r="C54" s="60" t="str">
        <f t="shared" si="4"/>
        <v>=SI(Upg!$T69=1;0;'$ Unit'!$Q69)+SI(Upg!$U69=1;0;'$ Unit'!$Q69)+SI(Upg!$V69=1;0;'$ Unit'!$Q69)+SI(Upg!$W69=1;0;'$ Unit'!$Q69)</v>
      </c>
      <c r="D54" s="60" t="str">
        <f t="shared" si="5"/>
        <v>=SI(Upg!$X69=1;0;'$ Unit'!$R69)+SI(Upg!$Y69=1;0;'$ Unit'!$R69)+SI(Upg!$Z69=1;0;'$ Unit'!$R69)+SI(Upg!$AA69=1;0;'$ Unit'!$R69)</v>
      </c>
      <c r="E54" s="60" t="str">
        <f t="shared" si="6"/>
        <v>=SI(Upg!$AB69=1;0;'$ Unit'!$S69)+SI(Upg!$AC69=1;0;'$ Unit'!$S69)+SI(Upg!$AD69=1;0;'$ Unit'!$S69)+SI(Upg!$AE69=1;0;'$ Unit'!$S69)</v>
      </c>
      <c r="F54" s="60" t="str">
        <f t="shared" si="7"/>
        <v>=SI(Upg!$AF69=1;0;'$ Unit'!$T69)+SI(Upg!$AG69=1;0;'$ Unit'!$T69)+SI(Upg!$AH69=1;0;'$ Unit'!$T69)+SI(Upg!$AI69=1;0;'$ Unit'!$T69)</v>
      </c>
      <c r="G54" s="60" t="str">
        <f t="shared" si="8"/>
        <v>=SI(Upg!$AJ69=1;0;'$ Unit'!$U69)+SI(Upg!$AK69=1;0;'$ Unit'!$U69)+SI(Upg!$AL69=1;0;'$ Unit'!$U69)+SI(Upg!$AM69=1;0;'$ Unit'!$U69)</v>
      </c>
      <c r="H54" s="60" t="str">
        <f t="shared" si="9"/>
        <v>=SI(Upg!$AN69=1;0;'$ Unit'!$V69)+SI(Upg!$AO69=1;0;'$ Unit'!$V69)+SI(Upg!$AP69=1;0;'$ Unit'!$V69)+SI(Upg!$AQ69=1;0;'$ Unit'!$V69)</v>
      </c>
      <c r="I54" s="60" t="str">
        <f t="shared" si="10"/>
        <v>=SI(Upg!$AR69=1;0;'$ Unit'!$W69)+SI(Upg!$AS69=1;0;'$ Unit'!$W69)+SI(Upg!$AT69=1;0;'$ Unit'!$W69)+SI(Upg!$AU69=1;0;'$ Unit'!$W69)</v>
      </c>
      <c r="J54" s="60" t="str">
        <f t="shared" si="11"/>
        <v>=SI(Upg!$AV69=1;0;'$ Unit'!$X69)+SI(Upg!$AW69=1;0;'$ Unit'!$X69)+SI(Upg!$AX69=1;0;'$ Unit'!$X69)+SI(Upg!$AY69=1;0;'$ Unit'!$X69)</v>
      </c>
      <c r="K54" s="60" t="str">
        <f t="shared" si="12"/>
        <v>=SI(Upg!$AZ69=1;0;'$ Unit'!$Y69)+SI(Upg!$BA69=1;0;'$ Unit'!$Y69)+SI(Upg!$BB69=1;0;'$ Unit'!$Y69)+SI(Upg!$BC69=1;0;'$ Unit'!$Y69)</v>
      </c>
      <c r="L54" s="60" t="str">
        <f t="shared" si="13"/>
        <v>=SI(Upg!$BD69=1;0;'$ Unit'!$Z69)+SI(Upg!$BE69=1;0;'$ Unit'!$Z69)+SI(Upg!$BF69=1;0;'$ Unit'!$Z69)+SI(Upg!$BG69=1;0;'$ Unit'!$Z69)</v>
      </c>
      <c r="M54" s="60" t="str">
        <f t="shared" si="14"/>
        <v>=SI(Upg!$BH69=1;0;'$ Unit'!$AA69)+SI(Upg!$BI69=1;0;'$ Unit'!$AA69)+SI(Upg!$BJ69=1;0;'$ Unit'!$AA69)+SI(Upg!$BK69=1;0;'$ Unit'!$AA69)</v>
      </c>
      <c r="N54" s="60" t="str">
        <f t="shared" si="15"/>
        <v>=SI(Upg!$BL69=1;0;'$ Unit'!$AB69)+SI(Upg!$BM69=1;0;'$ Unit'!$AB69)+SI(Upg!$BN69=1;0;'$ Unit'!$AB69)+SI(Upg!$BO69=1;0;'$ Unit'!$AB69)</v>
      </c>
      <c r="Q54" t="str">
        <f t="shared" si="16"/>
        <v>='$ Unit'!AD69*Garage!AD69</v>
      </c>
      <c r="R54" t="str">
        <f t="shared" si="17"/>
        <v>='$ Unit'!AE69*Garage!AI69</v>
      </c>
      <c r="S54" t="str">
        <f t="shared" si="18"/>
        <v>='$ Unit'!AF69*Garage!AN69</v>
      </c>
    </row>
    <row r="55" spans="1:19" x14ac:dyDescent="0.2">
      <c r="A55" s="2">
        <v>70</v>
      </c>
      <c r="B55" s="60" t="str">
        <f t="shared" si="3"/>
        <v>=SI(Upg!$P70=1;0;'$ Unit'!$P70)+SI(Upg!$Q70=1;0;'$ Unit'!$P70)+SI(Upg!$R70=1;0;'$ Unit'!$P70)+SI(Upg!$S70=1;0;'$ Unit'!$P70)</v>
      </c>
      <c r="C55" s="60" t="str">
        <f t="shared" si="4"/>
        <v>=SI(Upg!$T70=1;0;'$ Unit'!$Q70)+SI(Upg!$U70=1;0;'$ Unit'!$Q70)+SI(Upg!$V70=1;0;'$ Unit'!$Q70)+SI(Upg!$W70=1;0;'$ Unit'!$Q70)</v>
      </c>
      <c r="D55" s="60" t="str">
        <f t="shared" si="5"/>
        <v>=SI(Upg!$X70=1;0;'$ Unit'!$R70)+SI(Upg!$Y70=1;0;'$ Unit'!$R70)+SI(Upg!$Z70=1;0;'$ Unit'!$R70)+SI(Upg!$AA70=1;0;'$ Unit'!$R70)</v>
      </c>
      <c r="E55" s="60" t="str">
        <f t="shared" si="6"/>
        <v>=SI(Upg!$AB70=1;0;'$ Unit'!$S70)+SI(Upg!$AC70=1;0;'$ Unit'!$S70)+SI(Upg!$AD70=1;0;'$ Unit'!$S70)+SI(Upg!$AE70=1;0;'$ Unit'!$S70)</v>
      </c>
      <c r="F55" s="60" t="str">
        <f t="shared" si="7"/>
        <v>=SI(Upg!$AF70=1;0;'$ Unit'!$T70)+SI(Upg!$AG70=1;0;'$ Unit'!$T70)+SI(Upg!$AH70=1;0;'$ Unit'!$T70)+SI(Upg!$AI70=1;0;'$ Unit'!$T70)</v>
      </c>
      <c r="G55" s="60" t="str">
        <f t="shared" si="8"/>
        <v>=SI(Upg!$AJ70=1;0;'$ Unit'!$U70)+SI(Upg!$AK70=1;0;'$ Unit'!$U70)+SI(Upg!$AL70=1;0;'$ Unit'!$U70)+SI(Upg!$AM70=1;0;'$ Unit'!$U70)</v>
      </c>
      <c r="H55" s="60" t="str">
        <f t="shared" si="9"/>
        <v>=SI(Upg!$AN70=1;0;'$ Unit'!$V70)+SI(Upg!$AO70=1;0;'$ Unit'!$V70)+SI(Upg!$AP70=1;0;'$ Unit'!$V70)+SI(Upg!$AQ70=1;0;'$ Unit'!$V70)</v>
      </c>
      <c r="I55" s="60" t="str">
        <f t="shared" si="10"/>
        <v>=SI(Upg!$AR70=1;0;'$ Unit'!$W70)+SI(Upg!$AS70=1;0;'$ Unit'!$W70)+SI(Upg!$AT70=1;0;'$ Unit'!$W70)+SI(Upg!$AU70=1;0;'$ Unit'!$W70)</v>
      </c>
      <c r="J55" s="60" t="str">
        <f t="shared" si="11"/>
        <v>=SI(Upg!$AV70=1;0;'$ Unit'!$X70)+SI(Upg!$AW70=1;0;'$ Unit'!$X70)+SI(Upg!$AX70=1;0;'$ Unit'!$X70)+SI(Upg!$AY70=1;0;'$ Unit'!$X70)</v>
      </c>
      <c r="K55" s="60" t="str">
        <f t="shared" si="12"/>
        <v>=SI(Upg!$AZ70=1;0;'$ Unit'!$Y70)+SI(Upg!$BA70=1;0;'$ Unit'!$Y70)+SI(Upg!$BB70=1;0;'$ Unit'!$Y70)+SI(Upg!$BC70=1;0;'$ Unit'!$Y70)</v>
      </c>
      <c r="L55" s="60" t="str">
        <f t="shared" si="13"/>
        <v>=SI(Upg!$BD70=1;0;'$ Unit'!$Z70)+SI(Upg!$BE70=1;0;'$ Unit'!$Z70)+SI(Upg!$BF70=1;0;'$ Unit'!$Z70)+SI(Upg!$BG70=1;0;'$ Unit'!$Z70)</v>
      </c>
      <c r="M55" s="60" t="str">
        <f t="shared" si="14"/>
        <v>=SI(Upg!$BH70=1;0;'$ Unit'!$AA70)+SI(Upg!$BI70=1;0;'$ Unit'!$AA70)+SI(Upg!$BJ70=1;0;'$ Unit'!$AA70)+SI(Upg!$BK70=1;0;'$ Unit'!$AA70)</v>
      </c>
      <c r="N55" s="60" t="str">
        <f t="shared" si="15"/>
        <v>=SI(Upg!$BL70=1;0;'$ Unit'!$AB70)+SI(Upg!$BM70=1;0;'$ Unit'!$AB70)+SI(Upg!$BN70=1;0;'$ Unit'!$AB70)+SI(Upg!$BO70=1;0;'$ Unit'!$AB70)</v>
      </c>
      <c r="Q55" t="str">
        <f t="shared" si="16"/>
        <v>='$ Unit'!AD70*Garage!AD70</v>
      </c>
      <c r="R55" t="str">
        <f t="shared" si="17"/>
        <v>='$ Unit'!AE70*Garage!AI70</v>
      </c>
      <c r="S55" t="str">
        <f t="shared" si="18"/>
        <v>='$ Unit'!AF70*Garage!AN70</v>
      </c>
    </row>
    <row r="56" spans="1:19" x14ac:dyDescent="0.2">
      <c r="A56" s="2">
        <v>72</v>
      </c>
      <c r="B56" s="60" t="str">
        <f t="shared" si="3"/>
        <v>=SI(Upg!$P72=1;0;'$ Unit'!$P72)+SI(Upg!$Q72=1;0;'$ Unit'!$P72)+SI(Upg!$R72=1;0;'$ Unit'!$P72)+SI(Upg!$S72=1;0;'$ Unit'!$P72)</v>
      </c>
      <c r="C56" s="60" t="str">
        <f t="shared" si="4"/>
        <v>=SI(Upg!$T72=1;0;'$ Unit'!$Q72)+SI(Upg!$U72=1;0;'$ Unit'!$Q72)+SI(Upg!$V72=1;0;'$ Unit'!$Q72)+SI(Upg!$W72=1;0;'$ Unit'!$Q72)</v>
      </c>
      <c r="D56" s="60" t="str">
        <f t="shared" si="5"/>
        <v>=SI(Upg!$X72=1;0;'$ Unit'!$R72)+SI(Upg!$Y72=1;0;'$ Unit'!$R72)+SI(Upg!$Z72=1;0;'$ Unit'!$R72)+SI(Upg!$AA72=1;0;'$ Unit'!$R72)</v>
      </c>
      <c r="E56" s="60" t="str">
        <f t="shared" si="6"/>
        <v>=SI(Upg!$AB72=1;0;'$ Unit'!$S72)+SI(Upg!$AC72=1;0;'$ Unit'!$S72)+SI(Upg!$AD72=1;0;'$ Unit'!$S72)+SI(Upg!$AE72=1;0;'$ Unit'!$S72)</v>
      </c>
      <c r="F56" s="60" t="str">
        <f t="shared" si="7"/>
        <v>=SI(Upg!$AF72=1;0;'$ Unit'!$T72)+SI(Upg!$AG72=1;0;'$ Unit'!$T72)+SI(Upg!$AH72=1;0;'$ Unit'!$T72)+SI(Upg!$AI72=1;0;'$ Unit'!$T72)</v>
      </c>
      <c r="G56" s="60" t="str">
        <f t="shared" si="8"/>
        <v>=SI(Upg!$AJ72=1;0;'$ Unit'!$U72)+SI(Upg!$AK72=1;0;'$ Unit'!$U72)+SI(Upg!$AL72=1;0;'$ Unit'!$U72)+SI(Upg!$AM72=1;0;'$ Unit'!$U72)</v>
      </c>
      <c r="H56" s="60" t="str">
        <f t="shared" si="9"/>
        <v>=SI(Upg!$AN72=1;0;'$ Unit'!$V72)+SI(Upg!$AO72=1;0;'$ Unit'!$V72)+SI(Upg!$AP72=1;0;'$ Unit'!$V72)+SI(Upg!$AQ72=1;0;'$ Unit'!$V72)</v>
      </c>
      <c r="I56" s="60" t="str">
        <f t="shared" si="10"/>
        <v>=SI(Upg!$AR72=1;0;'$ Unit'!$W72)+SI(Upg!$AS72=1;0;'$ Unit'!$W72)+SI(Upg!$AT72=1;0;'$ Unit'!$W72)+SI(Upg!$AU72=1;0;'$ Unit'!$W72)</v>
      </c>
      <c r="J56" s="60" t="str">
        <f t="shared" si="11"/>
        <v>=SI(Upg!$AV72=1;0;'$ Unit'!$X72)+SI(Upg!$AW72=1;0;'$ Unit'!$X72)+SI(Upg!$AX72=1;0;'$ Unit'!$X72)+SI(Upg!$AY72=1;0;'$ Unit'!$X72)</v>
      </c>
      <c r="K56" s="60" t="str">
        <f t="shared" si="12"/>
        <v>=SI(Upg!$AZ72=1;0;'$ Unit'!$Y72)+SI(Upg!$BA72=1;0;'$ Unit'!$Y72)+SI(Upg!$BB72=1;0;'$ Unit'!$Y72)+SI(Upg!$BC72=1;0;'$ Unit'!$Y72)</v>
      </c>
      <c r="L56" s="60" t="str">
        <f t="shared" si="13"/>
        <v>=SI(Upg!$BD72=1;0;'$ Unit'!$Z72)+SI(Upg!$BE72=1;0;'$ Unit'!$Z72)+SI(Upg!$BF72=1;0;'$ Unit'!$Z72)+SI(Upg!$BG72=1;0;'$ Unit'!$Z72)</v>
      </c>
      <c r="M56" s="60" t="str">
        <f t="shared" si="14"/>
        <v>=SI(Upg!$BH72=1;0;'$ Unit'!$AA72)+SI(Upg!$BI72=1;0;'$ Unit'!$AA72)+SI(Upg!$BJ72=1;0;'$ Unit'!$AA72)+SI(Upg!$BK72=1;0;'$ Unit'!$AA72)</v>
      </c>
      <c r="N56" s="60" t="str">
        <f t="shared" si="15"/>
        <v>=SI(Upg!$BL72=1;0;'$ Unit'!$AB72)+SI(Upg!$BM72=1;0;'$ Unit'!$AB72)+SI(Upg!$BN72=1;0;'$ Unit'!$AB72)+SI(Upg!$BO72=1;0;'$ Unit'!$AB72)</v>
      </c>
      <c r="Q56" t="str">
        <f t="shared" si="16"/>
        <v>='$ Unit'!AD72*Garage!AD72</v>
      </c>
      <c r="R56" t="str">
        <f t="shared" si="17"/>
        <v>='$ Unit'!AE72*Garage!AI72</v>
      </c>
      <c r="S56" t="str">
        <f t="shared" si="18"/>
        <v>='$ Unit'!AF72*Garage!AN72</v>
      </c>
    </row>
    <row r="57" spans="1:19" x14ac:dyDescent="0.2">
      <c r="A57" s="2">
        <v>73</v>
      </c>
      <c r="B57" s="60" t="str">
        <f t="shared" si="3"/>
        <v>=SI(Upg!$P73=1;0;'$ Unit'!$P73)+SI(Upg!$Q73=1;0;'$ Unit'!$P73)+SI(Upg!$R73=1;0;'$ Unit'!$P73)+SI(Upg!$S73=1;0;'$ Unit'!$P73)</v>
      </c>
      <c r="C57" s="60" t="str">
        <f t="shared" si="4"/>
        <v>=SI(Upg!$T73=1;0;'$ Unit'!$Q73)+SI(Upg!$U73=1;0;'$ Unit'!$Q73)+SI(Upg!$V73=1;0;'$ Unit'!$Q73)+SI(Upg!$W73=1;0;'$ Unit'!$Q73)</v>
      </c>
      <c r="D57" s="60" t="str">
        <f t="shared" si="5"/>
        <v>=SI(Upg!$X73=1;0;'$ Unit'!$R73)+SI(Upg!$Y73=1;0;'$ Unit'!$R73)+SI(Upg!$Z73=1;0;'$ Unit'!$R73)+SI(Upg!$AA73=1;0;'$ Unit'!$R73)</v>
      </c>
      <c r="E57" s="60" t="str">
        <f t="shared" si="6"/>
        <v>=SI(Upg!$AB73=1;0;'$ Unit'!$S73)+SI(Upg!$AC73=1;0;'$ Unit'!$S73)+SI(Upg!$AD73=1;0;'$ Unit'!$S73)+SI(Upg!$AE73=1;0;'$ Unit'!$S73)</v>
      </c>
      <c r="F57" s="60" t="str">
        <f t="shared" si="7"/>
        <v>=SI(Upg!$AF73=1;0;'$ Unit'!$T73)+SI(Upg!$AG73=1;0;'$ Unit'!$T73)+SI(Upg!$AH73=1;0;'$ Unit'!$T73)+SI(Upg!$AI73=1;0;'$ Unit'!$T73)</v>
      </c>
      <c r="G57" s="60" t="str">
        <f t="shared" si="8"/>
        <v>=SI(Upg!$AJ73=1;0;'$ Unit'!$U73)+SI(Upg!$AK73=1;0;'$ Unit'!$U73)+SI(Upg!$AL73=1;0;'$ Unit'!$U73)+SI(Upg!$AM73=1;0;'$ Unit'!$U73)</v>
      </c>
      <c r="H57" s="60" t="str">
        <f t="shared" si="9"/>
        <v>=SI(Upg!$AN73=1;0;'$ Unit'!$V73)+SI(Upg!$AO73=1;0;'$ Unit'!$V73)+SI(Upg!$AP73=1;0;'$ Unit'!$V73)+SI(Upg!$AQ73=1;0;'$ Unit'!$V73)</v>
      </c>
      <c r="I57" s="60" t="str">
        <f t="shared" si="10"/>
        <v>=SI(Upg!$AR73=1;0;'$ Unit'!$W73)+SI(Upg!$AS73=1;0;'$ Unit'!$W73)+SI(Upg!$AT73=1;0;'$ Unit'!$W73)+SI(Upg!$AU73=1;0;'$ Unit'!$W73)</v>
      </c>
      <c r="J57" s="60" t="str">
        <f t="shared" si="11"/>
        <v>=SI(Upg!$AV73=1;0;'$ Unit'!$X73)+SI(Upg!$AW73=1;0;'$ Unit'!$X73)+SI(Upg!$AX73=1;0;'$ Unit'!$X73)+SI(Upg!$AY73=1;0;'$ Unit'!$X73)</v>
      </c>
      <c r="K57" s="60" t="str">
        <f t="shared" si="12"/>
        <v>=SI(Upg!$AZ73=1;0;'$ Unit'!$Y73)+SI(Upg!$BA73=1;0;'$ Unit'!$Y73)+SI(Upg!$BB73=1;0;'$ Unit'!$Y73)+SI(Upg!$BC73=1;0;'$ Unit'!$Y73)</v>
      </c>
      <c r="L57" s="60" t="str">
        <f t="shared" si="13"/>
        <v>=SI(Upg!$BD73=1;0;'$ Unit'!$Z73)+SI(Upg!$BE73=1;0;'$ Unit'!$Z73)+SI(Upg!$BF73=1;0;'$ Unit'!$Z73)+SI(Upg!$BG73=1;0;'$ Unit'!$Z73)</v>
      </c>
      <c r="M57" s="60" t="str">
        <f t="shared" si="14"/>
        <v>=SI(Upg!$BH73=1;0;'$ Unit'!$AA73)+SI(Upg!$BI73=1;0;'$ Unit'!$AA73)+SI(Upg!$BJ73=1;0;'$ Unit'!$AA73)+SI(Upg!$BK73=1;0;'$ Unit'!$AA73)</v>
      </c>
      <c r="N57" s="60" t="str">
        <f t="shared" si="15"/>
        <v>=SI(Upg!$BL73=1;0;'$ Unit'!$AB73)+SI(Upg!$BM73=1;0;'$ Unit'!$AB73)+SI(Upg!$BN73=1;0;'$ Unit'!$AB73)+SI(Upg!$BO73=1;0;'$ Unit'!$AB73)</v>
      </c>
      <c r="Q57" t="str">
        <f t="shared" si="16"/>
        <v>='$ Unit'!AD73*Garage!AD73</v>
      </c>
      <c r="R57" t="str">
        <f t="shared" si="17"/>
        <v>='$ Unit'!AE73*Garage!AI73</v>
      </c>
      <c r="S57" t="str">
        <f t="shared" si="18"/>
        <v>='$ Unit'!AF73*Garage!AN73</v>
      </c>
    </row>
    <row r="58" spans="1:19" x14ac:dyDescent="0.2">
      <c r="A58" s="2">
        <v>74</v>
      </c>
      <c r="B58" s="60" t="str">
        <f t="shared" si="3"/>
        <v>=SI(Upg!$P74=1;0;'$ Unit'!$P74)+SI(Upg!$Q74=1;0;'$ Unit'!$P74)+SI(Upg!$R74=1;0;'$ Unit'!$P74)+SI(Upg!$S74=1;0;'$ Unit'!$P74)</v>
      </c>
      <c r="C58" s="60" t="str">
        <f t="shared" si="4"/>
        <v>=SI(Upg!$T74=1;0;'$ Unit'!$Q74)+SI(Upg!$U74=1;0;'$ Unit'!$Q74)+SI(Upg!$V74=1;0;'$ Unit'!$Q74)+SI(Upg!$W74=1;0;'$ Unit'!$Q74)</v>
      </c>
      <c r="D58" s="60" t="str">
        <f t="shared" si="5"/>
        <v>=SI(Upg!$X74=1;0;'$ Unit'!$R74)+SI(Upg!$Y74=1;0;'$ Unit'!$R74)+SI(Upg!$Z74=1;0;'$ Unit'!$R74)+SI(Upg!$AA74=1;0;'$ Unit'!$R74)</v>
      </c>
      <c r="E58" s="60" t="str">
        <f t="shared" si="6"/>
        <v>=SI(Upg!$AB74=1;0;'$ Unit'!$S74)+SI(Upg!$AC74=1;0;'$ Unit'!$S74)+SI(Upg!$AD74=1;0;'$ Unit'!$S74)+SI(Upg!$AE74=1;0;'$ Unit'!$S74)</v>
      </c>
      <c r="F58" s="60" t="str">
        <f t="shared" si="7"/>
        <v>=SI(Upg!$AF74=1;0;'$ Unit'!$T74)+SI(Upg!$AG74=1;0;'$ Unit'!$T74)+SI(Upg!$AH74=1;0;'$ Unit'!$T74)+SI(Upg!$AI74=1;0;'$ Unit'!$T74)</v>
      </c>
      <c r="G58" s="60" t="str">
        <f t="shared" si="8"/>
        <v>=SI(Upg!$AJ74=1;0;'$ Unit'!$U74)+SI(Upg!$AK74=1;0;'$ Unit'!$U74)+SI(Upg!$AL74=1;0;'$ Unit'!$U74)+SI(Upg!$AM74=1;0;'$ Unit'!$U74)</v>
      </c>
      <c r="H58" s="60" t="str">
        <f t="shared" si="9"/>
        <v>=SI(Upg!$AN74=1;0;'$ Unit'!$V74)+SI(Upg!$AO74=1;0;'$ Unit'!$V74)+SI(Upg!$AP74=1;0;'$ Unit'!$V74)+SI(Upg!$AQ74=1;0;'$ Unit'!$V74)</v>
      </c>
      <c r="I58" s="60" t="str">
        <f t="shared" si="10"/>
        <v>=SI(Upg!$AR74=1;0;'$ Unit'!$W74)+SI(Upg!$AS74=1;0;'$ Unit'!$W74)+SI(Upg!$AT74=1;0;'$ Unit'!$W74)+SI(Upg!$AU74=1;0;'$ Unit'!$W74)</v>
      </c>
      <c r="J58" s="60" t="str">
        <f t="shared" si="11"/>
        <v>=SI(Upg!$AV74=1;0;'$ Unit'!$X74)+SI(Upg!$AW74=1;0;'$ Unit'!$X74)+SI(Upg!$AX74=1;0;'$ Unit'!$X74)+SI(Upg!$AY74=1;0;'$ Unit'!$X74)</v>
      </c>
      <c r="K58" s="60" t="str">
        <f t="shared" si="12"/>
        <v>=SI(Upg!$AZ74=1;0;'$ Unit'!$Y74)+SI(Upg!$BA74=1;0;'$ Unit'!$Y74)+SI(Upg!$BB74=1;0;'$ Unit'!$Y74)+SI(Upg!$BC74=1;0;'$ Unit'!$Y74)</v>
      </c>
      <c r="L58" s="60" t="str">
        <f t="shared" si="13"/>
        <v>=SI(Upg!$BD74=1;0;'$ Unit'!$Z74)+SI(Upg!$BE74=1;0;'$ Unit'!$Z74)+SI(Upg!$BF74=1;0;'$ Unit'!$Z74)+SI(Upg!$BG74=1;0;'$ Unit'!$Z74)</v>
      </c>
      <c r="M58" s="60" t="str">
        <f t="shared" si="14"/>
        <v>=SI(Upg!$BH74=1;0;'$ Unit'!$AA74)+SI(Upg!$BI74=1;0;'$ Unit'!$AA74)+SI(Upg!$BJ74=1;0;'$ Unit'!$AA74)+SI(Upg!$BK74=1;0;'$ Unit'!$AA74)</v>
      </c>
      <c r="N58" s="60" t="str">
        <f t="shared" si="15"/>
        <v>=SI(Upg!$BL74=1;0;'$ Unit'!$AB74)+SI(Upg!$BM74=1;0;'$ Unit'!$AB74)+SI(Upg!$BN74=1;0;'$ Unit'!$AB74)+SI(Upg!$BO74=1;0;'$ Unit'!$AB74)</v>
      </c>
      <c r="Q58" t="str">
        <f t="shared" si="16"/>
        <v>='$ Unit'!AD74*Garage!AD74</v>
      </c>
      <c r="R58" t="str">
        <f t="shared" si="17"/>
        <v>='$ Unit'!AE74*Garage!AI74</v>
      </c>
      <c r="S58" t="str">
        <f t="shared" si="18"/>
        <v>='$ Unit'!AF74*Garage!AN74</v>
      </c>
    </row>
    <row r="59" spans="1:19" x14ac:dyDescent="0.2">
      <c r="A59" s="2">
        <v>76</v>
      </c>
      <c r="B59" s="60" t="str">
        <f t="shared" si="3"/>
        <v>=SI(Upg!$P76=1;0;'$ Unit'!$P76)+SI(Upg!$Q76=1;0;'$ Unit'!$P76)+SI(Upg!$R76=1;0;'$ Unit'!$P76)+SI(Upg!$S76=1;0;'$ Unit'!$P76)</v>
      </c>
      <c r="C59" s="60" t="str">
        <f t="shared" si="4"/>
        <v>=SI(Upg!$T76=1;0;'$ Unit'!$Q76)+SI(Upg!$U76=1;0;'$ Unit'!$Q76)+SI(Upg!$V76=1;0;'$ Unit'!$Q76)+SI(Upg!$W76=1;0;'$ Unit'!$Q76)</v>
      </c>
      <c r="D59" s="60" t="str">
        <f t="shared" si="5"/>
        <v>=SI(Upg!$X76=1;0;'$ Unit'!$R76)+SI(Upg!$Y76=1;0;'$ Unit'!$R76)+SI(Upg!$Z76=1;0;'$ Unit'!$R76)+SI(Upg!$AA76=1;0;'$ Unit'!$R76)</v>
      </c>
      <c r="E59" s="60" t="str">
        <f t="shared" si="6"/>
        <v>=SI(Upg!$AB76=1;0;'$ Unit'!$S76)+SI(Upg!$AC76=1;0;'$ Unit'!$S76)+SI(Upg!$AD76=1;0;'$ Unit'!$S76)+SI(Upg!$AE76=1;0;'$ Unit'!$S76)</v>
      </c>
      <c r="F59" s="60" t="str">
        <f t="shared" si="7"/>
        <v>=SI(Upg!$AF76=1;0;'$ Unit'!$T76)+SI(Upg!$AG76=1;0;'$ Unit'!$T76)+SI(Upg!$AH76=1;0;'$ Unit'!$T76)+SI(Upg!$AI76=1;0;'$ Unit'!$T76)</v>
      </c>
      <c r="G59" s="60" t="str">
        <f t="shared" si="8"/>
        <v>=SI(Upg!$AJ76=1;0;'$ Unit'!$U76)+SI(Upg!$AK76=1;0;'$ Unit'!$U76)+SI(Upg!$AL76=1;0;'$ Unit'!$U76)+SI(Upg!$AM76=1;0;'$ Unit'!$U76)</v>
      </c>
      <c r="H59" s="60" t="str">
        <f t="shared" si="9"/>
        <v>=SI(Upg!$AN76=1;0;'$ Unit'!$V76)+SI(Upg!$AO76=1;0;'$ Unit'!$V76)+SI(Upg!$AP76=1;0;'$ Unit'!$V76)+SI(Upg!$AQ76=1;0;'$ Unit'!$V76)</v>
      </c>
      <c r="I59" s="60" t="str">
        <f t="shared" si="10"/>
        <v>=SI(Upg!$AR76=1;0;'$ Unit'!$W76)+SI(Upg!$AS76=1;0;'$ Unit'!$W76)+SI(Upg!$AT76=1;0;'$ Unit'!$W76)+SI(Upg!$AU76=1;0;'$ Unit'!$W76)</v>
      </c>
      <c r="J59" s="60" t="str">
        <f t="shared" si="11"/>
        <v>=SI(Upg!$AV76=1;0;'$ Unit'!$X76)+SI(Upg!$AW76=1;0;'$ Unit'!$X76)+SI(Upg!$AX76=1;0;'$ Unit'!$X76)+SI(Upg!$AY76=1;0;'$ Unit'!$X76)</v>
      </c>
      <c r="K59" s="60" t="str">
        <f t="shared" si="12"/>
        <v>=SI(Upg!$AZ76=1;0;'$ Unit'!$Y76)+SI(Upg!$BA76=1;0;'$ Unit'!$Y76)+SI(Upg!$BB76=1;0;'$ Unit'!$Y76)+SI(Upg!$BC76=1;0;'$ Unit'!$Y76)</v>
      </c>
      <c r="L59" s="60" t="str">
        <f t="shared" si="13"/>
        <v>=SI(Upg!$BD76=1;0;'$ Unit'!$Z76)+SI(Upg!$BE76=1;0;'$ Unit'!$Z76)+SI(Upg!$BF76=1;0;'$ Unit'!$Z76)+SI(Upg!$BG76=1;0;'$ Unit'!$Z76)</v>
      </c>
      <c r="M59" s="60" t="str">
        <f t="shared" si="14"/>
        <v>=SI(Upg!$BH76=1;0;'$ Unit'!$AA76)+SI(Upg!$BI76=1;0;'$ Unit'!$AA76)+SI(Upg!$BJ76=1;0;'$ Unit'!$AA76)+SI(Upg!$BK76=1;0;'$ Unit'!$AA76)</v>
      </c>
      <c r="N59" s="60" t="str">
        <f t="shared" si="15"/>
        <v>=SI(Upg!$BL76=1;0;'$ Unit'!$AB76)+SI(Upg!$BM76=1;0;'$ Unit'!$AB76)+SI(Upg!$BN76=1;0;'$ Unit'!$AB76)+SI(Upg!$BO76=1;0;'$ Unit'!$AB76)</v>
      </c>
      <c r="Q59" t="str">
        <f t="shared" si="16"/>
        <v>='$ Unit'!AD76*Garage!AD76</v>
      </c>
      <c r="R59" t="str">
        <f t="shared" si="17"/>
        <v>='$ Unit'!AE76*Garage!AI76</v>
      </c>
      <c r="S59" t="str">
        <f t="shared" si="18"/>
        <v>='$ Unit'!AF76*Garage!AN76</v>
      </c>
    </row>
    <row r="60" spans="1:19" x14ac:dyDescent="0.2">
      <c r="A60" s="2">
        <v>78</v>
      </c>
      <c r="B60" s="60" t="str">
        <f t="shared" si="3"/>
        <v>=SI(Upg!$P78=1;0;'$ Unit'!$P78)+SI(Upg!$Q78=1;0;'$ Unit'!$P78)+SI(Upg!$R78=1;0;'$ Unit'!$P78)+SI(Upg!$S78=1;0;'$ Unit'!$P78)</v>
      </c>
      <c r="C60" s="60" t="str">
        <f t="shared" si="4"/>
        <v>=SI(Upg!$T78=1;0;'$ Unit'!$Q78)+SI(Upg!$U78=1;0;'$ Unit'!$Q78)+SI(Upg!$V78=1;0;'$ Unit'!$Q78)+SI(Upg!$W78=1;0;'$ Unit'!$Q78)</v>
      </c>
      <c r="D60" s="60" t="str">
        <f t="shared" si="5"/>
        <v>=SI(Upg!$X78=1;0;'$ Unit'!$R78)+SI(Upg!$Y78=1;0;'$ Unit'!$R78)+SI(Upg!$Z78=1;0;'$ Unit'!$R78)+SI(Upg!$AA78=1;0;'$ Unit'!$R78)</v>
      </c>
      <c r="E60" s="60" t="str">
        <f t="shared" si="6"/>
        <v>=SI(Upg!$AB78=1;0;'$ Unit'!$S78)+SI(Upg!$AC78=1;0;'$ Unit'!$S78)+SI(Upg!$AD78=1;0;'$ Unit'!$S78)+SI(Upg!$AE78=1;0;'$ Unit'!$S78)</v>
      </c>
      <c r="F60" s="60" t="str">
        <f t="shared" si="7"/>
        <v>=SI(Upg!$AF78=1;0;'$ Unit'!$T78)+SI(Upg!$AG78=1;0;'$ Unit'!$T78)+SI(Upg!$AH78=1;0;'$ Unit'!$T78)+SI(Upg!$AI78=1;0;'$ Unit'!$T78)</v>
      </c>
      <c r="G60" s="60" t="str">
        <f t="shared" si="8"/>
        <v>=SI(Upg!$AJ78=1;0;'$ Unit'!$U78)+SI(Upg!$AK78=1;0;'$ Unit'!$U78)+SI(Upg!$AL78=1;0;'$ Unit'!$U78)+SI(Upg!$AM78=1;0;'$ Unit'!$U78)</v>
      </c>
      <c r="H60" s="60" t="str">
        <f t="shared" si="9"/>
        <v>=SI(Upg!$AN78=1;0;'$ Unit'!$V78)+SI(Upg!$AO78=1;0;'$ Unit'!$V78)+SI(Upg!$AP78=1;0;'$ Unit'!$V78)+SI(Upg!$AQ78=1;0;'$ Unit'!$V78)</v>
      </c>
      <c r="I60" s="60" t="str">
        <f t="shared" si="10"/>
        <v>=SI(Upg!$AR78=1;0;'$ Unit'!$W78)+SI(Upg!$AS78=1;0;'$ Unit'!$W78)+SI(Upg!$AT78=1;0;'$ Unit'!$W78)+SI(Upg!$AU78=1;0;'$ Unit'!$W78)</v>
      </c>
      <c r="J60" s="60" t="str">
        <f t="shared" si="11"/>
        <v>=SI(Upg!$AV78=1;0;'$ Unit'!$X78)+SI(Upg!$AW78=1;0;'$ Unit'!$X78)+SI(Upg!$AX78=1;0;'$ Unit'!$X78)+SI(Upg!$AY78=1;0;'$ Unit'!$X78)</v>
      </c>
      <c r="K60" s="60" t="str">
        <f t="shared" si="12"/>
        <v>=SI(Upg!$AZ78=1;0;'$ Unit'!$Y78)+SI(Upg!$BA78=1;0;'$ Unit'!$Y78)+SI(Upg!$BB78=1;0;'$ Unit'!$Y78)+SI(Upg!$BC78=1;0;'$ Unit'!$Y78)</v>
      </c>
      <c r="L60" s="60" t="str">
        <f t="shared" si="13"/>
        <v>=SI(Upg!$BD78=1;0;'$ Unit'!$Z78)+SI(Upg!$BE78=1;0;'$ Unit'!$Z78)+SI(Upg!$BF78=1;0;'$ Unit'!$Z78)+SI(Upg!$BG78=1;0;'$ Unit'!$Z78)</v>
      </c>
      <c r="M60" s="60" t="str">
        <f t="shared" si="14"/>
        <v>=SI(Upg!$BH78=1;0;'$ Unit'!$AA78)+SI(Upg!$BI78=1;0;'$ Unit'!$AA78)+SI(Upg!$BJ78=1;0;'$ Unit'!$AA78)+SI(Upg!$BK78=1;0;'$ Unit'!$AA78)</v>
      </c>
      <c r="N60" s="60" t="str">
        <f t="shared" si="15"/>
        <v>=SI(Upg!$BL78=1;0;'$ Unit'!$AB78)+SI(Upg!$BM78=1;0;'$ Unit'!$AB78)+SI(Upg!$BN78=1;0;'$ Unit'!$AB78)+SI(Upg!$BO78=1;0;'$ Unit'!$AB78)</v>
      </c>
      <c r="Q60" t="str">
        <f t="shared" si="16"/>
        <v>='$ Unit'!AD78*Garage!AD78</v>
      </c>
      <c r="R60" t="str">
        <f t="shared" si="17"/>
        <v>='$ Unit'!AE78*Garage!AI78</v>
      </c>
      <c r="S60" t="str">
        <f t="shared" si="18"/>
        <v>='$ Unit'!AF78*Garage!AN78</v>
      </c>
    </row>
    <row r="61" spans="1:19" x14ac:dyDescent="0.2">
      <c r="A61" s="2">
        <v>80</v>
      </c>
      <c r="B61" s="60" t="str">
        <f t="shared" si="3"/>
        <v>=SI(Upg!$P80=1;0;'$ Unit'!$P80)+SI(Upg!$Q80=1;0;'$ Unit'!$P80)+SI(Upg!$R80=1;0;'$ Unit'!$P80)+SI(Upg!$S80=1;0;'$ Unit'!$P80)</v>
      </c>
      <c r="C61" s="60" t="str">
        <f t="shared" si="4"/>
        <v>=SI(Upg!$T80=1;0;'$ Unit'!$Q80)+SI(Upg!$U80=1;0;'$ Unit'!$Q80)+SI(Upg!$V80=1;0;'$ Unit'!$Q80)+SI(Upg!$W80=1;0;'$ Unit'!$Q80)</v>
      </c>
      <c r="D61" s="60" t="str">
        <f t="shared" si="5"/>
        <v>=SI(Upg!$X80=1;0;'$ Unit'!$R80)+SI(Upg!$Y80=1;0;'$ Unit'!$R80)+SI(Upg!$Z80=1;0;'$ Unit'!$R80)+SI(Upg!$AA80=1;0;'$ Unit'!$R80)</v>
      </c>
      <c r="E61" s="60" t="str">
        <f t="shared" si="6"/>
        <v>=SI(Upg!$AB80=1;0;'$ Unit'!$S80)+SI(Upg!$AC80=1;0;'$ Unit'!$S80)+SI(Upg!$AD80=1;0;'$ Unit'!$S80)+SI(Upg!$AE80=1;0;'$ Unit'!$S80)</v>
      </c>
      <c r="F61" s="60" t="str">
        <f t="shared" si="7"/>
        <v>=SI(Upg!$AF80=1;0;'$ Unit'!$T80)+SI(Upg!$AG80=1;0;'$ Unit'!$T80)+SI(Upg!$AH80=1;0;'$ Unit'!$T80)+SI(Upg!$AI80=1;0;'$ Unit'!$T80)</v>
      </c>
      <c r="G61" s="60" t="str">
        <f t="shared" si="8"/>
        <v>=SI(Upg!$AJ80=1;0;'$ Unit'!$U80)+SI(Upg!$AK80=1;0;'$ Unit'!$U80)+SI(Upg!$AL80=1;0;'$ Unit'!$U80)+SI(Upg!$AM80=1;0;'$ Unit'!$U80)</v>
      </c>
      <c r="H61" s="60" t="str">
        <f t="shared" si="9"/>
        <v>=SI(Upg!$AN80=1;0;'$ Unit'!$V80)+SI(Upg!$AO80=1;0;'$ Unit'!$V80)+SI(Upg!$AP80=1;0;'$ Unit'!$V80)+SI(Upg!$AQ80=1;0;'$ Unit'!$V80)</v>
      </c>
      <c r="I61" s="60" t="str">
        <f t="shared" si="10"/>
        <v>=SI(Upg!$AR80=1;0;'$ Unit'!$W80)+SI(Upg!$AS80=1;0;'$ Unit'!$W80)+SI(Upg!$AT80=1;0;'$ Unit'!$W80)+SI(Upg!$AU80=1;0;'$ Unit'!$W80)</v>
      </c>
      <c r="J61" s="60" t="str">
        <f t="shared" si="11"/>
        <v>=SI(Upg!$AV80=1;0;'$ Unit'!$X80)+SI(Upg!$AW80=1;0;'$ Unit'!$X80)+SI(Upg!$AX80=1;0;'$ Unit'!$X80)+SI(Upg!$AY80=1;0;'$ Unit'!$X80)</v>
      </c>
      <c r="K61" s="60" t="str">
        <f t="shared" si="12"/>
        <v>=SI(Upg!$AZ80=1;0;'$ Unit'!$Y80)+SI(Upg!$BA80=1;0;'$ Unit'!$Y80)+SI(Upg!$BB80=1;0;'$ Unit'!$Y80)+SI(Upg!$BC80=1;0;'$ Unit'!$Y80)</v>
      </c>
      <c r="L61" s="60" t="str">
        <f t="shared" si="13"/>
        <v>=SI(Upg!$BD80=1;0;'$ Unit'!$Z80)+SI(Upg!$BE80=1;0;'$ Unit'!$Z80)+SI(Upg!$BF80=1;0;'$ Unit'!$Z80)+SI(Upg!$BG80=1;0;'$ Unit'!$Z80)</v>
      </c>
      <c r="M61" s="60" t="str">
        <f t="shared" si="14"/>
        <v>=SI(Upg!$BH80=1;0;'$ Unit'!$AA80)+SI(Upg!$BI80=1;0;'$ Unit'!$AA80)+SI(Upg!$BJ80=1;0;'$ Unit'!$AA80)+SI(Upg!$BK80=1;0;'$ Unit'!$AA80)</v>
      </c>
      <c r="N61" s="60" t="str">
        <f t="shared" si="15"/>
        <v>=SI(Upg!$BL80=1;0;'$ Unit'!$AB80)+SI(Upg!$BM80=1;0;'$ Unit'!$AB80)+SI(Upg!$BN80=1;0;'$ Unit'!$AB80)+SI(Upg!$BO80=1;0;'$ Unit'!$AB80)</v>
      </c>
      <c r="Q61" t="str">
        <f t="shared" si="16"/>
        <v>='$ Unit'!AD80*Garage!AD80</v>
      </c>
      <c r="R61" t="str">
        <f t="shared" si="17"/>
        <v>='$ Unit'!AE80*Garage!AI80</v>
      </c>
      <c r="S61" t="str">
        <f t="shared" si="18"/>
        <v>='$ Unit'!AF80*Garage!AN80</v>
      </c>
    </row>
    <row r="62" spans="1:19" x14ac:dyDescent="0.2">
      <c r="A62" s="2">
        <v>82</v>
      </c>
      <c r="B62" s="60" t="str">
        <f t="shared" si="3"/>
        <v>=SI(Upg!$P82=1;0;'$ Unit'!$P82)+SI(Upg!$Q82=1;0;'$ Unit'!$P82)+SI(Upg!$R82=1;0;'$ Unit'!$P82)+SI(Upg!$S82=1;0;'$ Unit'!$P82)</v>
      </c>
      <c r="C62" s="60" t="str">
        <f t="shared" si="4"/>
        <v>=SI(Upg!$T82=1;0;'$ Unit'!$Q82)+SI(Upg!$U82=1;0;'$ Unit'!$Q82)+SI(Upg!$V82=1;0;'$ Unit'!$Q82)+SI(Upg!$W82=1;0;'$ Unit'!$Q82)</v>
      </c>
      <c r="D62" s="60" t="str">
        <f t="shared" si="5"/>
        <v>=SI(Upg!$X82=1;0;'$ Unit'!$R82)+SI(Upg!$Y82=1;0;'$ Unit'!$R82)+SI(Upg!$Z82=1;0;'$ Unit'!$R82)+SI(Upg!$AA82=1;0;'$ Unit'!$R82)</v>
      </c>
      <c r="E62" s="60" t="str">
        <f t="shared" si="6"/>
        <v>=SI(Upg!$AB82=1;0;'$ Unit'!$S82)+SI(Upg!$AC82=1;0;'$ Unit'!$S82)+SI(Upg!$AD82=1;0;'$ Unit'!$S82)+SI(Upg!$AE82=1;0;'$ Unit'!$S82)</v>
      </c>
      <c r="F62" s="60" t="str">
        <f t="shared" si="7"/>
        <v>=SI(Upg!$AF82=1;0;'$ Unit'!$T82)+SI(Upg!$AG82=1;0;'$ Unit'!$T82)+SI(Upg!$AH82=1;0;'$ Unit'!$T82)+SI(Upg!$AI82=1;0;'$ Unit'!$T82)</v>
      </c>
      <c r="G62" s="60" t="str">
        <f t="shared" si="8"/>
        <v>=SI(Upg!$AJ82=1;0;'$ Unit'!$U82)+SI(Upg!$AK82=1;0;'$ Unit'!$U82)+SI(Upg!$AL82=1;0;'$ Unit'!$U82)+SI(Upg!$AM82=1;0;'$ Unit'!$U82)</v>
      </c>
      <c r="H62" s="60" t="str">
        <f t="shared" si="9"/>
        <v>=SI(Upg!$AN82=1;0;'$ Unit'!$V82)+SI(Upg!$AO82=1;0;'$ Unit'!$V82)+SI(Upg!$AP82=1;0;'$ Unit'!$V82)+SI(Upg!$AQ82=1;0;'$ Unit'!$V82)</v>
      </c>
      <c r="I62" s="60" t="str">
        <f t="shared" si="10"/>
        <v>=SI(Upg!$AR82=1;0;'$ Unit'!$W82)+SI(Upg!$AS82=1;0;'$ Unit'!$W82)+SI(Upg!$AT82=1;0;'$ Unit'!$W82)+SI(Upg!$AU82=1;0;'$ Unit'!$W82)</v>
      </c>
      <c r="J62" s="60" t="str">
        <f t="shared" si="11"/>
        <v>=SI(Upg!$AV82=1;0;'$ Unit'!$X82)+SI(Upg!$AW82=1;0;'$ Unit'!$X82)+SI(Upg!$AX82=1;0;'$ Unit'!$X82)+SI(Upg!$AY82=1;0;'$ Unit'!$X82)</v>
      </c>
      <c r="K62" s="60" t="str">
        <f t="shared" si="12"/>
        <v>=SI(Upg!$AZ82=1;0;'$ Unit'!$Y82)+SI(Upg!$BA82=1;0;'$ Unit'!$Y82)+SI(Upg!$BB82=1;0;'$ Unit'!$Y82)+SI(Upg!$BC82=1;0;'$ Unit'!$Y82)</v>
      </c>
      <c r="L62" s="60" t="str">
        <f t="shared" si="13"/>
        <v>=SI(Upg!$BD82=1;0;'$ Unit'!$Z82)+SI(Upg!$BE82=1;0;'$ Unit'!$Z82)+SI(Upg!$BF82=1;0;'$ Unit'!$Z82)+SI(Upg!$BG82=1;0;'$ Unit'!$Z82)</v>
      </c>
      <c r="M62" s="60" t="str">
        <f t="shared" si="14"/>
        <v>=SI(Upg!$BH82=1;0;'$ Unit'!$AA82)+SI(Upg!$BI82=1;0;'$ Unit'!$AA82)+SI(Upg!$BJ82=1;0;'$ Unit'!$AA82)+SI(Upg!$BK82=1;0;'$ Unit'!$AA82)</v>
      </c>
      <c r="N62" s="60" t="str">
        <f t="shared" si="15"/>
        <v>=SI(Upg!$BL82=1;0;'$ Unit'!$AB82)+SI(Upg!$BM82=1;0;'$ Unit'!$AB82)+SI(Upg!$BN82=1;0;'$ Unit'!$AB82)+SI(Upg!$BO82=1;0;'$ Unit'!$AB82)</v>
      </c>
      <c r="Q62" t="str">
        <f t="shared" si="16"/>
        <v>='$ Unit'!AD82*Garage!AD82</v>
      </c>
      <c r="R62" t="str">
        <f t="shared" si="17"/>
        <v>='$ Unit'!AE82*Garage!AI82</v>
      </c>
      <c r="S62" t="str">
        <f t="shared" si="18"/>
        <v>='$ Unit'!AF82*Garage!AN82</v>
      </c>
    </row>
    <row r="63" spans="1:19" x14ac:dyDescent="0.2">
      <c r="A63" s="2">
        <v>83</v>
      </c>
      <c r="B63" s="60" t="str">
        <f t="shared" si="3"/>
        <v>=SI(Upg!$P83=1;0;'$ Unit'!$P83)+SI(Upg!$Q83=1;0;'$ Unit'!$P83)+SI(Upg!$R83=1;0;'$ Unit'!$P83)+SI(Upg!$S83=1;0;'$ Unit'!$P83)</v>
      </c>
      <c r="C63" s="60" t="str">
        <f t="shared" si="4"/>
        <v>=SI(Upg!$T83=1;0;'$ Unit'!$Q83)+SI(Upg!$U83=1;0;'$ Unit'!$Q83)+SI(Upg!$V83=1;0;'$ Unit'!$Q83)+SI(Upg!$W83=1;0;'$ Unit'!$Q83)</v>
      </c>
      <c r="D63" s="60" t="str">
        <f t="shared" si="5"/>
        <v>=SI(Upg!$X83=1;0;'$ Unit'!$R83)+SI(Upg!$Y83=1;0;'$ Unit'!$R83)+SI(Upg!$Z83=1;0;'$ Unit'!$R83)+SI(Upg!$AA83=1;0;'$ Unit'!$R83)</v>
      </c>
      <c r="E63" s="60" t="str">
        <f t="shared" si="6"/>
        <v>=SI(Upg!$AB83=1;0;'$ Unit'!$S83)+SI(Upg!$AC83=1;0;'$ Unit'!$S83)+SI(Upg!$AD83=1;0;'$ Unit'!$S83)+SI(Upg!$AE83=1;0;'$ Unit'!$S83)</v>
      </c>
      <c r="F63" s="60" t="str">
        <f t="shared" si="7"/>
        <v>=SI(Upg!$AF83=1;0;'$ Unit'!$T83)+SI(Upg!$AG83=1;0;'$ Unit'!$T83)+SI(Upg!$AH83=1;0;'$ Unit'!$T83)+SI(Upg!$AI83=1;0;'$ Unit'!$T83)</v>
      </c>
      <c r="G63" s="60" t="str">
        <f t="shared" si="8"/>
        <v>=SI(Upg!$AJ83=1;0;'$ Unit'!$U83)+SI(Upg!$AK83=1;0;'$ Unit'!$U83)+SI(Upg!$AL83=1;0;'$ Unit'!$U83)+SI(Upg!$AM83=1;0;'$ Unit'!$U83)</v>
      </c>
      <c r="H63" s="60" t="str">
        <f t="shared" si="9"/>
        <v>=SI(Upg!$AN83=1;0;'$ Unit'!$V83)+SI(Upg!$AO83=1;0;'$ Unit'!$V83)+SI(Upg!$AP83=1;0;'$ Unit'!$V83)+SI(Upg!$AQ83=1;0;'$ Unit'!$V83)</v>
      </c>
      <c r="I63" s="60" t="str">
        <f t="shared" si="10"/>
        <v>=SI(Upg!$AR83=1;0;'$ Unit'!$W83)+SI(Upg!$AS83=1;0;'$ Unit'!$W83)+SI(Upg!$AT83=1;0;'$ Unit'!$W83)+SI(Upg!$AU83=1;0;'$ Unit'!$W83)</v>
      </c>
      <c r="J63" s="60" t="str">
        <f t="shared" si="11"/>
        <v>=SI(Upg!$AV83=1;0;'$ Unit'!$X83)+SI(Upg!$AW83=1;0;'$ Unit'!$X83)+SI(Upg!$AX83=1;0;'$ Unit'!$X83)+SI(Upg!$AY83=1;0;'$ Unit'!$X83)</v>
      </c>
      <c r="K63" s="60" t="str">
        <f t="shared" si="12"/>
        <v>=SI(Upg!$AZ83=1;0;'$ Unit'!$Y83)+SI(Upg!$BA83=1;0;'$ Unit'!$Y83)+SI(Upg!$BB83=1;0;'$ Unit'!$Y83)+SI(Upg!$BC83=1;0;'$ Unit'!$Y83)</v>
      </c>
      <c r="L63" s="60" t="str">
        <f t="shared" si="13"/>
        <v>=SI(Upg!$BD83=1;0;'$ Unit'!$Z83)+SI(Upg!$BE83=1;0;'$ Unit'!$Z83)+SI(Upg!$BF83=1;0;'$ Unit'!$Z83)+SI(Upg!$BG83=1;0;'$ Unit'!$Z83)</v>
      </c>
      <c r="M63" s="60" t="str">
        <f t="shared" si="14"/>
        <v>=SI(Upg!$BH83=1;0;'$ Unit'!$AA83)+SI(Upg!$BI83=1;0;'$ Unit'!$AA83)+SI(Upg!$BJ83=1;0;'$ Unit'!$AA83)+SI(Upg!$BK83=1;0;'$ Unit'!$AA83)</v>
      </c>
      <c r="N63" s="60" t="str">
        <f t="shared" si="15"/>
        <v>=SI(Upg!$BL83=1;0;'$ Unit'!$AB83)+SI(Upg!$BM83=1;0;'$ Unit'!$AB83)+SI(Upg!$BN83=1;0;'$ Unit'!$AB83)+SI(Upg!$BO83=1;0;'$ Unit'!$AB83)</v>
      </c>
      <c r="Q63" t="str">
        <f t="shared" si="16"/>
        <v>='$ Unit'!AD83*Garage!AD83</v>
      </c>
      <c r="R63" t="str">
        <f t="shared" si="17"/>
        <v>='$ Unit'!AE83*Garage!AI83</v>
      </c>
      <c r="S63" t="str">
        <f t="shared" si="18"/>
        <v>='$ Unit'!AF83*Garage!AN83</v>
      </c>
    </row>
    <row r="64" spans="1:19" x14ac:dyDescent="0.2">
      <c r="A64" s="2">
        <v>85</v>
      </c>
      <c r="B64" s="60" t="str">
        <f t="shared" si="3"/>
        <v>=SI(Upg!$P85=1;0;'$ Unit'!$P85)+SI(Upg!$Q85=1;0;'$ Unit'!$P85)+SI(Upg!$R85=1;0;'$ Unit'!$P85)+SI(Upg!$S85=1;0;'$ Unit'!$P85)</v>
      </c>
      <c r="C64" s="60" t="str">
        <f t="shared" si="4"/>
        <v>=SI(Upg!$T85=1;0;'$ Unit'!$Q85)+SI(Upg!$U85=1;0;'$ Unit'!$Q85)+SI(Upg!$V85=1;0;'$ Unit'!$Q85)+SI(Upg!$W85=1;0;'$ Unit'!$Q85)</v>
      </c>
      <c r="D64" s="60" t="str">
        <f t="shared" si="5"/>
        <v>=SI(Upg!$X85=1;0;'$ Unit'!$R85)+SI(Upg!$Y85=1;0;'$ Unit'!$R85)+SI(Upg!$Z85=1;0;'$ Unit'!$R85)+SI(Upg!$AA85=1;0;'$ Unit'!$R85)</v>
      </c>
      <c r="E64" s="60" t="str">
        <f t="shared" si="6"/>
        <v>=SI(Upg!$AB85=1;0;'$ Unit'!$S85)+SI(Upg!$AC85=1;0;'$ Unit'!$S85)+SI(Upg!$AD85=1;0;'$ Unit'!$S85)+SI(Upg!$AE85=1;0;'$ Unit'!$S85)</v>
      </c>
      <c r="F64" s="60" t="str">
        <f t="shared" si="7"/>
        <v>=SI(Upg!$AF85=1;0;'$ Unit'!$T85)+SI(Upg!$AG85=1;0;'$ Unit'!$T85)+SI(Upg!$AH85=1;0;'$ Unit'!$T85)+SI(Upg!$AI85=1;0;'$ Unit'!$T85)</v>
      </c>
      <c r="G64" s="60" t="str">
        <f t="shared" si="8"/>
        <v>=SI(Upg!$AJ85=1;0;'$ Unit'!$U85)+SI(Upg!$AK85=1;0;'$ Unit'!$U85)+SI(Upg!$AL85=1;0;'$ Unit'!$U85)+SI(Upg!$AM85=1;0;'$ Unit'!$U85)</v>
      </c>
      <c r="H64" s="60" t="str">
        <f t="shared" si="9"/>
        <v>=SI(Upg!$AN85=1;0;'$ Unit'!$V85)+SI(Upg!$AO85=1;0;'$ Unit'!$V85)+SI(Upg!$AP85=1;0;'$ Unit'!$V85)+SI(Upg!$AQ85=1;0;'$ Unit'!$V85)</v>
      </c>
      <c r="I64" s="60" t="str">
        <f t="shared" si="10"/>
        <v>=SI(Upg!$AR85=1;0;'$ Unit'!$W85)+SI(Upg!$AS85=1;0;'$ Unit'!$W85)+SI(Upg!$AT85=1;0;'$ Unit'!$W85)+SI(Upg!$AU85=1;0;'$ Unit'!$W85)</v>
      </c>
      <c r="J64" s="60" t="str">
        <f t="shared" si="11"/>
        <v>=SI(Upg!$AV85=1;0;'$ Unit'!$X85)+SI(Upg!$AW85=1;0;'$ Unit'!$X85)+SI(Upg!$AX85=1;0;'$ Unit'!$X85)+SI(Upg!$AY85=1;0;'$ Unit'!$X85)</v>
      </c>
      <c r="K64" s="60" t="str">
        <f t="shared" si="12"/>
        <v>=SI(Upg!$AZ85=1;0;'$ Unit'!$Y85)+SI(Upg!$BA85=1;0;'$ Unit'!$Y85)+SI(Upg!$BB85=1;0;'$ Unit'!$Y85)+SI(Upg!$BC85=1;0;'$ Unit'!$Y85)</v>
      </c>
      <c r="L64" s="60" t="str">
        <f t="shared" si="13"/>
        <v>=SI(Upg!$BD85=1;0;'$ Unit'!$Z85)+SI(Upg!$BE85=1;0;'$ Unit'!$Z85)+SI(Upg!$BF85=1;0;'$ Unit'!$Z85)+SI(Upg!$BG85=1;0;'$ Unit'!$Z85)</v>
      </c>
      <c r="M64" s="60" t="str">
        <f t="shared" si="14"/>
        <v>=SI(Upg!$BH85=1;0;'$ Unit'!$AA85)+SI(Upg!$BI85=1;0;'$ Unit'!$AA85)+SI(Upg!$BJ85=1;0;'$ Unit'!$AA85)+SI(Upg!$BK85=1;0;'$ Unit'!$AA85)</v>
      </c>
      <c r="N64" s="60" t="str">
        <f t="shared" si="15"/>
        <v>=SI(Upg!$BL85=1;0;'$ Unit'!$AB85)+SI(Upg!$BM85=1;0;'$ Unit'!$AB85)+SI(Upg!$BN85=1;0;'$ Unit'!$AB85)+SI(Upg!$BO85=1;0;'$ Unit'!$AB85)</v>
      </c>
      <c r="Q64" t="str">
        <f t="shared" si="16"/>
        <v>='$ Unit'!AD85*Garage!AD85</v>
      </c>
      <c r="R64" t="str">
        <f t="shared" si="17"/>
        <v>='$ Unit'!AE85*Garage!AI85</v>
      </c>
      <c r="S64" t="str">
        <f t="shared" si="18"/>
        <v>='$ Unit'!AF85*Garage!AN85</v>
      </c>
    </row>
    <row r="65" spans="1:19" x14ac:dyDescent="0.2">
      <c r="A65" s="2">
        <v>86</v>
      </c>
      <c r="B65" s="60" t="str">
        <f t="shared" si="3"/>
        <v>=SI(Upg!$P86=1;0;'$ Unit'!$P86)+SI(Upg!$Q86=1;0;'$ Unit'!$P86)+SI(Upg!$R86=1;0;'$ Unit'!$P86)+SI(Upg!$S86=1;0;'$ Unit'!$P86)</v>
      </c>
      <c r="C65" s="60" t="str">
        <f t="shared" si="4"/>
        <v>=SI(Upg!$T86=1;0;'$ Unit'!$Q86)+SI(Upg!$U86=1;0;'$ Unit'!$Q86)+SI(Upg!$V86=1;0;'$ Unit'!$Q86)+SI(Upg!$W86=1;0;'$ Unit'!$Q86)</v>
      </c>
      <c r="D65" s="60" t="str">
        <f t="shared" si="5"/>
        <v>=SI(Upg!$X86=1;0;'$ Unit'!$R86)+SI(Upg!$Y86=1;0;'$ Unit'!$R86)+SI(Upg!$Z86=1;0;'$ Unit'!$R86)+SI(Upg!$AA86=1;0;'$ Unit'!$R86)</v>
      </c>
      <c r="E65" s="60" t="str">
        <f t="shared" si="6"/>
        <v>=SI(Upg!$AB86=1;0;'$ Unit'!$S86)+SI(Upg!$AC86=1;0;'$ Unit'!$S86)+SI(Upg!$AD86=1;0;'$ Unit'!$S86)+SI(Upg!$AE86=1;0;'$ Unit'!$S86)</v>
      </c>
      <c r="F65" s="60" t="str">
        <f t="shared" si="7"/>
        <v>=SI(Upg!$AF86=1;0;'$ Unit'!$T86)+SI(Upg!$AG86=1;0;'$ Unit'!$T86)+SI(Upg!$AH86=1;0;'$ Unit'!$T86)+SI(Upg!$AI86=1;0;'$ Unit'!$T86)</v>
      </c>
      <c r="G65" s="60" t="str">
        <f t="shared" si="8"/>
        <v>=SI(Upg!$AJ86=1;0;'$ Unit'!$U86)+SI(Upg!$AK86=1;0;'$ Unit'!$U86)+SI(Upg!$AL86=1;0;'$ Unit'!$U86)+SI(Upg!$AM86=1;0;'$ Unit'!$U86)</v>
      </c>
      <c r="H65" s="60" t="str">
        <f t="shared" si="9"/>
        <v>=SI(Upg!$AN86=1;0;'$ Unit'!$V86)+SI(Upg!$AO86=1;0;'$ Unit'!$V86)+SI(Upg!$AP86=1;0;'$ Unit'!$V86)+SI(Upg!$AQ86=1;0;'$ Unit'!$V86)</v>
      </c>
      <c r="I65" s="60" t="str">
        <f t="shared" si="10"/>
        <v>=SI(Upg!$AR86=1;0;'$ Unit'!$W86)+SI(Upg!$AS86=1;0;'$ Unit'!$W86)+SI(Upg!$AT86=1;0;'$ Unit'!$W86)+SI(Upg!$AU86=1;0;'$ Unit'!$W86)</v>
      </c>
      <c r="J65" s="60" t="str">
        <f t="shared" si="11"/>
        <v>=SI(Upg!$AV86=1;0;'$ Unit'!$X86)+SI(Upg!$AW86=1;0;'$ Unit'!$X86)+SI(Upg!$AX86=1;0;'$ Unit'!$X86)+SI(Upg!$AY86=1;0;'$ Unit'!$X86)</v>
      </c>
      <c r="K65" s="60" t="str">
        <f t="shared" si="12"/>
        <v>=SI(Upg!$AZ86=1;0;'$ Unit'!$Y86)+SI(Upg!$BA86=1;0;'$ Unit'!$Y86)+SI(Upg!$BB86=1;0;'$ Unit'!$Y86)+SI(Upg!$BC86=1;0;'$ Unit'!$Y86)</v>
      </c>
      <c r="L65" s="60" t="str">
        <f t="shared" si="13"/>
        <v>=SI(Upg!$BD86=1;0;'$ Unit'!$Z86)+SI(Upg!$BE86=1;0;'$ Unit'!$Z86)+SI(Upg!$BF86=1;0;'$ Unit'!$Z86)+SI(Upg!$BG86=1;0;'$ Unit'!$Z86)</v>
      </c>
      <c r="M65" s="60" t="str">
        <f t="shared" si="14"/>
        <v>=SI(Upg!$BH86=1;0;'$ Unit'!$AA86)+SI(Upg!$BI86=1;0;'$ Unit'!$AA86)+SI(Upg!$BJ86=1;0;'$ Unit'!$AA86)+SI(Upg!$BK86=1;0;'$ Unit'!$AA86)</v>
      </c>
      <c r="N65" s="60" t="str">
        <f t="shared" si="15"/>
        <v>=SI(Upg!$BL86=1;0;'$ Unit'!$AB86)+SI(Upg!$BM86=1;0;'$ Unit'!$AB86)+SI(Upg!$BN86=1;0;'$ Unit'!$AB86)+SI(Upg!$BO86=1;0;'$ Unit'!$AB86)</v>
      </c>
      <c r="Q65" t="str">
        <f t="shared" si="16"/>
        <v>='$ Unit'!AD86*Garage!AD86</v>
      </c>
      <c r="R65" t="str">
        <f t="shared" si="17"/>
        <v>='$ Unit'!AE86*Garage!AI86</v>
      </c>
      <c r="S65" t="str">
        <f t="shared" si="18"/>
        <v>='$ Unit'!AF86*Garage!AN86</v>
      </c>
    </row>
    <row r="66" spans="1:19" x14ac:dyDescent="0.2">
      <c r="A66" s="2">
        <v>89</v>
      </c>
      <c r="B66" s="60" t="str">
        <f t="shared" si="3"/>
        <v>=SI(Upg!$P89=1;0;'$ Unit'!$P89)+SI(Upg!$Q89=1;0;'$ Unit'!$P89)+SI(Upg!$R89=1;0;'$ Unit'!$P89)+SI(Upg!$S89=1;0;'$ Unit'!$P89)</v>
      </c>
      <c r="C66" s="60" t="str">
        <f t="shared" si="4"/>
        <v>=SI(Upg!$T89=1;0;'$ Unit'!$Q89)+SI(Upg!$U89=1;0;'$ Unit'!$Q89)+SI(Upg!$V89=1;0;'$ Unit'!$Q89)+SI(Upg!$W89=1;0;'$ Unit'!$Q89)</v>
      </c>
      <c r="D66" s="60" t="str">
        <f t="shared" si="5"/>
        <v>=SI(Upg!$X89=1;0;'$ Unit'!$R89)+SI(Upg!$Y89=1;0;'$ Unit'!$R89)+SI(Upg!$Z89=1;0;'$ Unit'!$R89)+SI(Upg!$AA89=1;0;'$ Unit'!$R89)</v>
      </c>
      <c r="E66" s="60" t="str">
        <f t="shared" si="6"/>
        <v>=SI(Upg!$AB89=1;0;'$ Unit'!$S89)+SI(Upg!$AC89=1;0;'$ Unit'!$S89)+SI(Upg!$AD89=1;0;'$ Unit'!$S89)+SI(Upg!$AE89=1;0;'$ Unit'!$S89)</v>
      </c>
      <c r="F66" s="60" t="str">
        <f t="shared" si="7"/>
        <v>=SI(Upg!$AF89=1;0;'$ Unit'!$T89)+SI(Upg!$AG89=1;0;'$ Unit'!$T89)+SI(Upg!$AH89=1;0;'$ Unit'!$T89)+SI(Upg!$AI89=1;0;'$ Unit'!$T89)</v>
      </c>
      <c r="G66" s="60" t="str">
        <f t="shared" si="8"/>
        <v>=SI(Upg!$AJ89=1;0;'$ Unit'!$U89)+SI(Upg!$AK89=1;0;'$ Unit'!$U89)+SI(Upg!$AL89=1;0;'$ Unit'!$U89)+SI(Upg!$AM89=1;0;'$ Unit'!$U89)</v>
      </c>
      <c r="H66" s="60" t="str">
        <f t="shared" si="9"/>
        <v>=SI(Upg!$AN89=1;0;'$ Unit'!$V89)+SI(Upg!$AO89=1;0;'$ Unit'!$V89)+SI(Upg!$AP89=1;0;'$ Unit'!$V89)+SI(Upg!$AQ89=1;0;'$ Unit'!$V89)</v>
      </c>
      <c r="I66" s="60" t="str">
        <f t="shared" si="10"/>
        <v>=SI(Upg!$AR89=1;0;'$ Unit'!$W89)+SI(Upg!$AS89=1;0;'$ Unit'!$W89)+SI(Upg!$AT89=1;0;'$ Unit'!$W89)+SI(Upg!$AU89=1;0;'$ Unit'!$W89)</v>
      </c>
      <c r="J66" s="60" t="str">
        <f t="shared" si="11"/>
        <v>=SI(Upg!$AV89=1;0;'$ Unit'!$X89)+SI(Upg!$AW89=1;0;'$ Unit'!$X89)+SI(Upg!$AX89=1;0;'$ Unit'!$X89)+SI(Upg!$AY89=1;0;'$ Unit'!$X89)</v>
      </c>
      <c r="K66" s="60" t="str">
        <f t="shared" si="12"/>
        <v>=SI(Upg!$AZ89=1;0;'$ Unit'!$Y89)+SI(Upg!$BA89=1;0;'$ Unit'!$Y89)+SI(Upg!$BB89=1;0;'$ Unit'!$Y89)+SI(Upg!$BC89=1;0;'$ Unit'!$Y89)</v>
      </c>
      <c r="L66" s="60" t="str">
        <f t="shared" si="13"/>
        <v>=SI(Upg!$BD89=1;0;'$ Unit'!$Z89)+SI(Upg!$BE89=1;0;'$ Unit'!$Z89)+SI(Upg!$BF89=1;0;'$ Unit'!$Z89)+SI(Upg!$BG89=1;0;'$ Unit'!$Z89)</v>
      </c>
      <c r="M66" s="60" t="str">
        <f t="shared" si="14"/>
        <v>=SI(Upg!$BH89=1;0;'$ Unit'!$AA89)+SI(Upg!$BI89=1;0;'$ Unit'!$AA89)+SI(Upg!$BJ89=1;0;'$ Unit'!$AA89)+SI(Upg!$BK89=1;0;'$ Unit'!$AA89)</v>
      </c>
      <c r="N66" s="60" t="str">
        <f t="shared" si="15"/>
        <v>=SI(Upg!$BL89=1;0;'$ Unit'!$AB89)+SI(Upg!$BM89=1;0;'$ Unit'!$AB89)+SI(Upg!$BN89=1;0;'$ Unit'!$AB89)+SI(Upg!$BO89=1;0;'$ Unit'!$AB89)</v>
      </c>
      <c r="Q66" t="str">
        <f t="shared" si="16"/>
        <v>='$ Unit'!AD89*Garage!AD89</v>
      </c>
      <c r="R66" t="str">
        <f t="shared" si="17"/>
        <v>='$ Unit'!AE89*Garage!AI89</v>
      </c>
      <c r="S66" t="str">
        <f t="shared" si="18"/>
        <v>='$ Unit'!AF89*Garage!AN89</v>
      </c>
    </row>
    <row r="67" spans="1:19" x14ac:dyDescent="0.2">
      <c r="A67" s="2">
        <v>90</v>
      </c>
      <c r="B67" s="60" t="str">
        <f t="shared" si="3"/>
        <v>=SI(Upg!$P90=1;0;'$ Unit'!$P90)+SI(Upg!$Q90=1;0;'$ Unit'!$P90)+SI(Upg!$R90=1;0;'$ Unit'!$P90)+SI(Upg!$S90=1;0;'$ Unit'!$P90)</v>
      </c>
      <c r="C67" s="60" t="str">
        <f t="shared" si="4"/>
        <v>=SI(Upg!$T90=1;0;'$ Unit'!$Q90)+SI(Upg!$U90=1;0;'$ Unit'!$Q90)+SI(Upg!$V90=1;0;'$ Unit'!$Q90)+SI(Upg!$W90=1;0;'$ Unit'!$Q90)</v>
      </c>
      <c r="D67" s="60" t="str">
        <f t="shared" si="5"/>
        <v>=SI(Upg!$X90=1;0;'$ Unit'!$R90)+SI(Upg!$Y90=1;0;'$ Unit'!$R90)+SI(Upg!$Z90=1;0;'$ Unit'!$R90)+SI(Upg!$AA90=1;0;'$ Unit'!$R90)</v>
      </c>
      <c r="E67" s="60" t="str">
        <f t="shared" si="6"/>
        <v>=SI(Upg!$AB90=1;0;'$ Unit'!$S90)+SI(Upg!$AC90=1;0;'$ Unit'!$S90)+SI(Upg!$AD90=1;0;'$ Unit'!$S90)+SI(Upg!$AE90=1;0;'$ Unit'!$S90)</v>
      </c>
      <c r="F67" s="60" t="str">
        <f t="shared" si="7"/>
        <v>=SI(Upg!$AF90=1;0;'$ Unit'!$T90)+SI(Upg!$AG90=1;0;'$ Unit'!$T90)+SI(Upg!$AH90=1;0;'$ Unit'!$T90)+SI(Upg!$AI90=1;0;'$ Unit'!$T90)</v>
      </c>
      <c r="G67" s="60" t="str">
        <f t="shared" si="8"/>
        <v>=SI(Upg!$AJ90=1;0;'$ Unit'!$U90)+SI(Upg!$AK90=1;0;'$ Unit'!$U90)+SI(Upg!$AL90=1;0;'$ Unit'!$U90)+SI(Upg!$AM90=1;0;'$ Unit'!$U90)</v>
      </c>
      <c r="H67" s="60" t="str">
        <f t="shared" si="9"/>
        <v>=SI(Upg!$AN90=1;0;'$ Unit'!$V90)+SI(Upg!$AO90=1;0;'$ Unit'!$V90)+SI(Upg!$AP90=1;0;'$ Unit'!$V90)+SI(Upg!$AQ90=1;0;'$ Unit'!$V90)</v>
      </c>
      <c r="I67" s="60" t="str">
        <f t="shared" si="10"/>
        <v>=SI(Upg!$AR90=1;0;'$ Unit'!$W90)+SI(Upg!$AS90=1;0;'$ Unit'!$W90)+SI(Upg!$AT90=1;0;'$ Unit'!$W90)+SI(Upg!$AU90=1;0;'$ Unit'!$W90)</v>
      </c>
      <c r="J67" s="60" t="str">
        <f t="shared" si="11"/>
        <v>=SI(Upg!$AV90=1;0;'$ Unit'!$X90)+SI(Upg!$AW90=1;0;'$ Unit'!$X90)+SI(Upg!$AX90=1;0;'$ Unit'!$X90)+SI(Upg!$AY90=1;0;'$ Unit'!$X90)</v>
      </c>
      <c r="K67" s="60" t="str">
        <f t="shared" si="12"/>
        <v>=SI(Upg!$AZ90=1;0;'$ Unit'!$Y90)+SI(Upg!$BA90=1;0;'$ Unit'!$Y90)+SI(Upg!$BB90=1;0;'$ Unit'!$Y90)+SI(Upg!$BC90=1;0;'$ Unit'!$Y90)</v>
      </c>
      <c r="L67" s="60" t="str">
        <f t="shared" si="13"/>
        <v>=SI(Upg!$BD90=1;0;'$ Unit'!$Z90)+SI(Upg!$BE90=1;0;'$ Unit'!$Z90)+SI(Upg!$BF90=1;0;'$ Unit'!$Z90)+SI(Upg!$BG90=1;0;'$ Unit'!$Z90)</v>
      </c>
      <c r="M67" s="60" t="str">
        <f t="shared" si="14"/>
        <v>=SI(Upg!$BH90=1;0;'$ Unit'!$AA90)+SI(Upg!$BI90=1;0;'$ Unit'!$AA90)+SI(Upg!$BJ90=1;0;'$ Unit'!$AA90)+SI(Upg!$BK90=1;0;'$ Unit'!$AA90)</v>
      </c>
      <c r="N67" s="60" t="str">
        <f t="shared" si="15"/>
        <v>=SI(Upg!$BL90=1;0;'$ Unit'!$AB90)+SI(Upg!$BM90=1;0;'$ Unit'!$AB90)+SI(Upg!$BN90=1;0;'$ Unit'!$AB90)+SI(Upg!$BO90=1;0;'$ Unit'!$AB90)</v>
      </c>
      <c r="Q67" t="str">
        <f t="shared" si="16"/>
        <v>='$ Unit'!AD90*Garage!AD90</v>
      </c>
      <c r="R67" t="str">
        <f t="shared" si="17"/>
        <v>='$ Unit'!AE90*Garage!AI90</v>
      </c>
      <c r="S67" t="str">
        <f t="shared" si="18"/>
        <v>='$ Unit'!AF90*Garage!AN90</v>
      </c>
    </row>
    <row r="68" spans="1:19" x14ac:dyDescent="0.2">
      <c r="A68" s="2">
        <v>92</v>
      </c>
      <c r="B68" s="60" t="str">
        <f t="shared" si="3"/>
        <v>=SI(Upg!$P92=1;0;'$ Unit'!$P92)+SI(Upg!$Q92=1;0;'$ Unit'!$P92)+SI(Upg!$R92=1;0;'$ Unit'!$P92)+SI(Upg!$S92=1;0;'$ Unit'!$P92)</v>
      </c>
      <c r="C68" s="60" t="str">
        <f t="shared" si="4"/>
        <v>=SI(Upg!$T92=1;0;'$ Unit'!$Q92)+SI(Upg!$U92=1;0;'$ Unit'!$Q92)+SI(Upg!$V92=1;0;'$ Unit'!$Q92)+SI(Upg!$W92=1;0;'$ Unit'!$Q92)</v>
      </c>
      <c r="D68" s="60" t="str">
        <f t="shared" si="5"/>
        <v>=SI(Upg!$X92=1;0;'$ Unit'!$R92)+SI(Upg!$Y92=1;0;'$ Unit'!$R92)+SI(Upg!$Z92=1;0;'$ Unit'!$R92)+SI(Upg!$AA92=1;0;'$ Unit'!$R92)</v>
      </c>
      <c r="E68" s="60" t="str">
        <f t="shared" si="6"/>
        <v>=SI(Upg!$AB92=1;0;'$ Unit'!$S92)+SI(Upg!$AC92=1;0;'$ Unit'!$S92)+SI(Upg!$AD92=1;0;'$ Unit'!$S92)+SI(Upg!$AE92=1;0;'$ Unit'!$S92)</v>
      </c>
      <c r="F68" s="60" t="str">
        <f t="shared" si="7"/>
        <v>=SI(Upg!$AF92=1;0;'$ Unit'!$T92)+SI(Upg!$AG92=1;0;'$ Unit'!$T92)+SI(Upg!$AH92=1;0;'$ Unit'!$T92)+SI(Upg!$AI92=1;0;'$ Unit'!$T92)</v>
      </c>
      <c r="G68" s="60" t="str">
        <f t="shared" si="8"/>
        <v>=SI(Upg!$AJ92=1;0;'$ Unit'!$U92)+SI(Upg!$AK92=1;0;'$ Unit'!$U92)+SI(Upg!$AL92=1;0;'$ Unit'!$U92)+SI(Upg!$AM92=1;0;'$ Unit'!$U92)</v>
      </c>
      <c r="H68" s="60" t="str">
        <f t="shared" si="9"/>
        <v>=SI(Upg!$AN92=1;0;'$ Unit'!$V92)+SI(Upg!$AO92=1;0;'$ Unit'!$V92)+SI(Upg!$AP92=1;0;'$ Unit'!$V92)+SI(Upg!$AQ92=1;0;'$ Unit'!$V92)</v>
      </c>
      <c r="I68" s="60" t="str">
        <f t="shared" si="10"/>
        <v>=SI(Upg!$AR92=1;0;'$ Unit'!$W92)+SI(Upg!$AS92=1;0;'$ Unit'!$W92)+SI(Upg!$AT92=1;0;'$ Unit'!$W92)+SI(Upg!$AU92=1;0;'$ Unit'!$W92)</v>
      </c>
      <c r="J68" s="60" t="str">
        <f t="shared" si="11"/>
        <v>=SI(Upg!$AV92=1;0;'$ Unit'!$X92)+SI(Upg!$AW92=1;0;'$ Unit'!$X92)+SI(Upg!$AX92=1;0;'$ Unit'!$X92)+SI(Upg!$AY92=1;0;'$ Unit'!$X92)</v>
      </c>
      <c r="K68" s="60" t="str">
        <f t="shared" si="12"/>
        <v>=SI(Upg!$AZ92=1;0;'$ Unit'!$Y92)+SI(Upg!$BA92=1;0;'$ Unit'!$Y92)+SI(Upg!$BB92=1;0;'$ Unit'!$Y92)+SI(Upg!$BC92=1;0;'$ Unit'!$Y92)</v>
      </c>
      <c r="L68" s="60" t="str">
        <f t="shared" si="13"/>
        <v>=SI(Upg!$BD92=1;0;'$ Unit'!$Z92)+SI(Upg!$BE92=1;0;'$ Unit'!$Z92)+SI(Upg!$BF92=1;0;'$ Unit'!$Z92)+SI(Upg!$BG92=1;0;'$ Unit'!$Z92)</v>
      </c>
      <c r="M68" s="60" t="str">
        <f t="shared" si="14"/>
        <v>=SI(Upg!$BH92=1;0;'$ Unit'!$AA92)+SI(Upg!$BI92=1;0;'$ Unit'!$AA92)+SI(Upg!$BJ92=1;0;'$ Unit'!$AA92)+SI(Upg!$BK92=1;0;'$ Unit'!$AA92)</v>
      </c>
      <c r="N68" s="60" t="str">
        <f t="shared" si="15"/>
        <v>=SI(Upg!$BL92=1;0;'$ Unit'!$AB92)+SI(Upg!$BM92=1;0;'$ Unit'!$AB92)+SI(Upg!$BN92=1;0;'$ Unit'!$AB92)+SI(Upg!$BO92=1;0;'$ Unit'!$AB92)</v>
      </c>
      <c r="Q68" t="str">
        <f t="shared" si="16"/>
        <v>='$ Unit'!AD92*Garage!AD92</v>
      </c>
      <c r="R68" t="str">
        <f t="shared" si="17"/>
        <v>='$ Unit'!AE92*Garage!AI92</v>
      </c>
      <c r="S68" t="str">
        <f t="shared" si="18"/>
        <v>='$ Unit'!AF92*Garage!AN92</v>
      </c>
    </row>
    <row r="69" spans="1:19" x14ac:dyDescent="0.2">
      <c r="A69" s="2">
        <v>93</v>
      </c>
      <c r="B69" s="60" t="str">
        <f t="shared" si="3"/>
        <v>=SI(Upg!$P93=1;0;'$ Unit'!$P93)+SI(Upg!$Q93=1;0;'$ Unit'!$P93)+SI(Upg!$R93=1;0;'$ Unit'!$P93)+SI(Upg!$S93=1;0;'$ Unit'!$P93)</v>
      </c>
      <c r="C69" s="60" t="str">
        <f t="shared" si="4"/>
        <v>=SI(Upg!$T93=1;0;'$ Unit'!$Q93)+SI(Upg!$U93=1;0;'$ Unit'!$Q93)+SI(Upg!$V93=1;0;'$ Unit'!$Q93)+SI(Upg!$W93=1;0;'$ Unit'!$Q93)</v>
      </c>
      <c r="D69" s="60" t="str">
        <f t="shared" si="5"/>
        <v>=SI(Upg!$X93=1;0;'$ Unit'!$R93)+SI(Upg!$Y93=1;0;'$ Unit'!$R93)+SI(Upg!$Z93=1;0;'$ Unit'!$R93)+SI(Upg!$AA93=1;0;'$ Unit'!$R93)</v>
      </c>
      <c r="E69" s="60" t="str">
        <f t="shared" si="6"/>
        <v>=SI(Upg!$AB93=1;0;'$ Unit'!$S93)+SI(Upg!$AC93=1;0;'$ Unit'!$S93)+SI(Upg!$AD93=1;0;'$ Unit'!$S93)+SI(Upg!$AE93=1;0;'$ Unit'!$S93)</v>
      </c>
      <c r="F69" s="60" t="str">
        <f t="shared" si="7"/>
        <v>=SI(Upg!$AF93=1;0;'$ Unit'!$T93)+SI(Upg!$AG93=1;0;'$ Unit'!$T93)+SI(Upg!$AH93=1;0;'$ Unit'!$T93)+SI(Upg!$AI93=1;0;'$ Unit'!$T93)</v>
      </c>
      <c r="G69" s="60" t="str">
        <f t="shared" si="8"/>
        <v>=SI(Upg!$AJ93=1;0;'$ Unit'!$U93)+SI(Upg!$AK93=1;0;'$ Unit'!$U93)+SI(Upg!$AL93=1;0;'$ Unit'!$U93)+SI(Upg!$AM93=1;0;'$ Unit'!$U93)</v>
      </c>
      <c r="H69" s="60" t="str">
        <f t="shared" si="9"/>
        <v>=SI(Upg!$AN93=1;0;'$ Unit'!$V93)+SI(Upg!$AO93=1;0;'$ Unit'!$V93)+SI(Upg!$AP93=1;0;'$ Unit'!$V93)+SI(Upg!$AQ93=1;0;'$ Unit'!$V93)</v>
      </c>
      <c r="I69" s="60" t="str">
        <f t="shared" si="10"/>
        <v>=SI(Upg!$AR93=1;0;'$ Unit'!$W93)+SI(Upg!$AS93=1;0;'$ Unit'!$W93)+SI(Upg!$AT93=1;0;'$ Unit'!$W93)+SI(Upg!$AU93=1;0;'$ Unit'!$W93)</v>
      </c>
      <c r="J69" s="60" t="str">
        <f t="shared" si="11"/>
        <v>=SI(Upg!$AV93=1;0;'$ Unit'!$X93)+SI(Upg!$AW93=1;0;'$ Unit'!$X93)+SI(Upg!$AX93=1;0;'$ Unit'!$X93)+SI(Upg!$AY93=1;0;'$ Unit'!$X93)</v>
      </c>
      <c r="K69" s="60" t="str">
        <f t="shared" si="12"/>
        <v>=SI(Upg!$AZ93=1;0;'$ Unit'!$Y93)+SI(Upg!$BA93=1;0;'$ Unit'!$Y93)+SI(Upg!$BB93=1;0;'$ Unit'!$Y93)+SI(Upg!$BC93=1;0;'$ Unit'!$Y93)</v>
      </c>
      <c r="L69" s="60" t="str">
        <f t="shared" si="13"/>
        <v>=SI(Upg!$BD93=1;0;'$ Unit'!$Z93)+SI(Upg!$BE93=1;0;'$ Unit'!$Z93)+SI(Upg!$BF93=1;0;'$ Unit'!$Z93)+SI(Upg!$BG93=1;0;'$ Unit'!$Z93)</v>
      </c>
      <c r="M69" s="60" t="str">
        <f t="shared" si="14"/>
        <v>=SI(Upg!$BH93=1;0;'$ Unit'!$AA93)+SI(Upg!$BI93=1;0;'$ Unit'!$AA93)+SI(Upg!$BJ93=1;0;'$ Unit'!$AA93)+SI(Upg!$BK93=1;0;'$ Unit'!$AA93)</v>
      </c>
      <c r="N69" s="60" t="str">
        <f t="shared" si="15"/>
        <v>=SI(Upg!$BL93=1;0;'$ Unit'!$AB93)+SI(Upg!$BM93=1;0;'$ Unit'!$AB93)+SI(Upg!$BN93=1;0;'$ Unit'!$AB93)+SI(Upg!$BO93=1;0;'$ Unit'!$AB93)</v>
      </c>
      <c r="Q69" t="str">
        <f t="shared" si="16"/>
        <v>='$ Unit'!AD93*Garage!AD93</v>
      </c>
      <c r="R69" t="str">
        <f t="shared" si="17"/>
        <v>='$ Unit'!AE93*Garage!AI93</v>
      </c>
      <c r="S69" t="str">
        <f t="shared" si="18"/>
        <v>='$ Unit'!AF93*Garage!AN93</v>
      </c>
    </row>
    <row r="70" spans="1:19" x14ac:dyDescent="0.2">
      <c r="A70" s="2">
        <v>94</v>
      </c>
      <c r="B70" s="60" t="str">
        <f t="shared" si="3"/>
        <v>=SI(Upg!$P94=1;0;'$ Unit'!$P94)+SI(Upg!$Q94=1;0;'$ Unit'!$P94)+SI(Upg!$R94=1;0;'$ Unit'!$P94)+SI(Upg!$S94=1;0;'$ Unit'!$P94)</v>
      </c>
      <c r="C70" s="60" t="str">
        <f t="shared" si="4"/>
        <v>=SI(Upg!$T94=1;0;'$ Unit'!$Q94)+SI(Upg!$U94=1;0;'$ Unit'!$Q94)+SI(Upg!$V94=1;0;'$ Unit'!$Q94)+SI(Upg!$W94=1;0;'$ Unit'!$Q94)</v>
      </c>
      <c r="D70" s="60" t="str">
        <f t="shared" si="5"/>
        <v>=SI(Upg!$X94=1;0;'$ Unit'!$R94)+SI(Upg!$Y94=1;0;'$ Unit'!$R94)+SI(Upg!$Z94=1;0;'$ Unit'!$R94)+SI(Upg!$AA94=1;0;'$ Unit'!$R94)</v>
      </c>
      <c r="E70" s="60" t="str">
        <f t="shared" si="6"/>
        <v>=SI(Upg!$AB94=1;0;'$ Unit'!$S94)+SI(Upg!$AC94=1;0;'$ Unit'!$S94)+SI(Upg!$AD94=1;0;'$ Unit'!$S94)+SI(Upg!$AE94=1;0;'$ Unit'!$S94)</v>
      </c>
      <c r="F70" s="60" t="str">
        <f t="shared" si="7"/>
        <v>=SI(Upg!$AF94=1;0;'$ Unit'!$T94)+SI(Upg!$AG94=1;0;'$ Unit'!$T94)+SI(Upg!$AH94=1;0;'$ Unit'!$T94)+SI(Upg!$AI94=1;0;'$ Unit'!$T94)</v>
      </c>
      <c r="G70" s="60" t="str">
        <f t="shared" si="8"/>
        <v>=SI(Upg!$AJ94=1;0;'$ Unit'!$U94)+SI(Upg!$AK94=1;0;'$ Unit'!$U94)+SI(Upg!$AL94=1;0;'$ Unit'!$U94)+SI(Upg!$AM94=1;0;'$ Unit'!$U94)</v>
      </c>
      <c r="H70" s="60" t="str">
        <f t="shared" si="9"/>
        <v>=SI(Upg!$AN94=1;0;'$ Unit'!$V94)+SI(Upg!$AO94=1;0;'$ Unit'!$V94)+SI(Upg!$AP94=1;0;'$ Unit'!$V94)+SI(Upg!$AQ94=1;0;'$ Unit'!$V94)</v>
      </c>
      <c r="I70" s="60" t="str">
        <f t="shared" si="10"/>
        <v>=SI(Upg!$AR94=1;0;'$ Unit'!$W94)+SI(Upg!$AS94=1;0;'$ Unit'!$W94)+SI(Upg!$AT94=1;0;'$ Unit'!$W94)+SI(Upg!$AU94=1;0;'$ Unit'!$W94)</v>
      </c>
      <c r="J70" s="60" t="str">
        <f t="shared" si="11"/>
        <v>=SI(Upg!$AV94=1;0;'$ Unit'!$X94)+SI(Upg!$AW94=1;0;'$ Unit'!$X94)+SI(Upg!$AX94=1;0;'$ Unit'!$X94)+SI(Upg!$AY94=1;0;'$ Unit'!$X94)</v>
      </c>
      <c r="K70" s="60" t="str">
        <f t="shared" si="12"/>
        <v>=SI(Upg!$AZ94=1;0;'$ Unit'!$Y94)+SI(Upg!$BA94=1;0;'$ Unit'!$Y94)+SI(Upg!$BB94=1;0;'$ Unit'!$Y94)+SI(Upg!$BC94=1;0;'$ Unit'!$Y94)</v>
      </c>
      <c r="L70" s="60" t="str">
        <f t="shared" si="13"/>
        <v>=SI(Upg!$BD94=1;0;'$ Unit'!$Z94)+SI(Upg!$BE94=1;0;'$ Unit'!$Z94)+SI(Upg!$BF94=1;0;'$ Unit'!$Z94)+SI(Upg!$BG94=1;0;'$ Unit'!$Z94)</v>
      </c>
      <c r="M70" s="60" t="str">
        <f t="shared" si="14"/>
        <v>=SI(Upg!$BH94=1;0;'$ Unit'!$AA94)+SI(Upg!$BI94=1;0;'$ Unit'!$AA94)+SI(Upg!$BJ94=1;0;'$ Unit'!$AA94)+SI(Upg!$BK94=1;0;'$ Unit'!$AA94)</v>
      </c>
      <c r="N70" s="60" t="str">
        <f t="shared" si="15"/>
        <v>=SI(Upg!$BL94=1;0;'$ Unit'!$AB94)+SI(Upg!$BM94=1;0;'$ Unit'!$AB94)+SI(Upg!$BN94=1;0;'$ Unit'!$AB94)+SI(Upg!$BO94=1;0;'$ Unit'!$AB94)</v>
      </c>
      <c r="Q70" t="str">
        <f t="shared" si="16"/>
        <v>='$ Unit'!AD94*Garage!AD94</v>
      </c>
      <c r="R70" t="str">
        <f t="shared" si="17"/>
        <v>='$ Unit'!AE94*Garage!AI94</v>
      </c>
      <c r="S70" t="str">
        <f t="shared" si="18"/>
        <v>='$ Unit'!AF94*Garage!AN94</v>
      </c>
    </row>
    <row r="71" spans="1:19" x14ac:dyDescent="0.2">
      <c r="A71" s="2">
        <v>96</v>
      </c>
      <c r="B71" s="60" t="str">
        <f t="shared" si="3"/>
        <v>=SI(Upg!$P96=1;0;'$ Unit'!$P96)+SI(Upg!$Q96=1;0;'$ Unit'!$P96)+SI(Upg!$R96=1;0;'$ Unit'!$P96)+SI(Upg!$S96=1;0;'$ Unit'!$P96)</v>
      </c>
      <c r="C71" s="60" t="str">
        <f t="shared" si="4"/>
        <v>=SI(Upg!$T96=1;0;'$ Unit'!$Q96)+SI(Upg!$U96=1;0;'$ Unit'!$Q96)+SI(Upg!$V96=1;0;'$ Unit'!$Q96)+SI(Upg!$W96=1;0;'$ Unit'!$Q96)</v>
      </c>
      <c r="D71" s="60" t="str">
        <f t="shared" si="5"/>
        <v>=SI(Upg!$X96=1;0;'$ Unit'!$R96)+SI(Upg!$Y96=1;0;'$ Unit'!$R96)+SI(Upg!$Z96=1;0;'$ Unit'!$R96)+SI(Upg!$AA96=1;0;'$ Unit'!$R96)</v>
      </c>
      <c r="E71" s="60" t="str">
        <f t="shared" si="6"/>
        <v>=SI(Upg!$AB96=1;0;'$ Unit'!$S96)+SI(Upg!$AC96=1;0;'$ Unit'!$S96)+SI(Upg!$AD96=1;0;'$ Unit'!$S96)+SI(Upg!$AE96=1;0;'$ Unit'!$S96)</v>
      </c>
      <c r="F71" s="60" t="str">
        <f t="shared" si="7"/>
        <v>=SI(Upg!$AF96=1;0;'$ Unit'!$T96)+SI(Upg!$AG96=1;0;'$ Unit'!$T96)+SI(Upg!$AH96=1;0;'$ Unit'!$T96)+SI(Upg!$AI96=1;0;'$ Unit'!$T96)</v>
      </c>
      <c r="G71" s="60" t="str">
        <f t="shared" si="8"/>
        <v>=SI(Upg!$AJ96=1;0;'$ Unit'!$U96)+SI(Upg!$AK96=1;0;'$ Unit'!$U96)+SI(Upg!$AL96=1;0;'$ Unit'!$U96)+SI(Upg!$AM96=1;0;'$ Unit'!$U96)</v>
      </c>
      <c r="H71" s="60" t="str">
        <f t="shared" si="9"/>
        <v>=SI(Upg!$AN96=1;0;'$ Unit'!$V96)+SI(Upg!$AO96=1;0;'$ Unit'!$V96)+SI(Upg!$AP96=1;0;'$ Unit'!$V96)+SI(Upg!$AQ96=1;0;'$ Unit'!$V96)</v>
      </c>
      <c r="I71" s="60" t="str">
        <f t="shared" si="10"/>
        <v>=SI(Upg!$AR96=1;0;'$ Unit'!$W96)+SI(Upg!$AS96=1;0;'$ Unit'!$W96)+SI(Upg!$AT96=1;0;'$ Unit'!$W96)+SI(Upg!$AU96=1;0;'$ Unit'!$W96)</v>
      </c>
      <c r="J71" s="60" t="str">
        <f t="shared" si="11"/>
        <v>=SI(Upg!$AV96=1;0;'$ Unit'!$X96)+SI(Upg!$AW96=1;0;'$ Unit'!$X96)+SI(Upg!$AX96=1;0;'$ Unit'!$X96)+SI(Upg!$AY96=1;0;'$ Unit'!$X96)</v>
      </c>
      <c r="K71" s="60" t="str">
        <f t="shared" si="12"/>
        <v>=SI(Upg!$AZ96=1;0;'$ Unit'!$Y96)+SI(Upg!$BA96=1;0;'$ Unit'!$Y96)+SI(Upg!$BB96=1;0;'$ Unit'!$Y96)+SI(Upg!$BC96=1;0;'$ Unit'!$Y96)</v>
      </c>
      <c r="L71" s="60" t="str">
        <f t="shared" si="13"/>
        <v>=SI(Upg!$BD96=1;0;'$ Unit'!$Z96)+SI(Upg!$BE96=1;0;'$ Unit'!$Z96)+SI(Upg!$BF96=1;0;'$ Unit'!$Z96)+SI(Upg!$BG96=1;0;'$ Unit'!$Z96)</v>
      </c>
      <c r="M71" s="60" t="str">
        <f t="shared" si="14"/>
        <v>=SI(Upg!$BH96=1;0;'$ Unit'!$AA96)+SI(Upg!$BI96=1;0;'$ Unit'!$AA96)+SI(Upg!$BJ96=1;0;'$ Unit'!$AA96)+SI(Upg!$BK96=1;0;'$ Unit'!$AA96)</v>
      </c>
      <c r="N71" s="60" t="str">
        <f t="shared" si="15"/>
        <v>=SI(Upg!$BL96=1;0;'$ Unit'!$AB96)+SI(Upg!$BM96=1;0;'$ Unit'!$AB96)+SI(Upg!$BN96=1;0;'$ Unit'!$AB96)+SI(Upg!$BO96=1;0;'$ Unit'!$AB96)</v>
      </c>
      <c r="Q71" t="str">
        <f t="shared" si="16"/>
        <v>='$ Unit'!AD96*Garage!AD96</v>
      </c>
      <c r="R71" t="str">
        <f t="shared" si="17"/>
        <v>='$ Unit'!AE96*Garage!AI96</v>
      </c>
      <c r="S71" t="str">
        <f t="shared" si="18"/>
        <v>='$ Unit'!AF96*Garage!AN96</v>
      </c>
    </row>
    <row r="72" spans="1:19" x14ac:dyDescent="0.2">
      <c r="A72" s="2">
        <v>98</v>
      </c>
      <c r="B72" s="60" t="str">
        <f t="shared" si="3"/>
        <v>=SI(Upg!$P98=1;0;'$ Unit'!$P98)+SI(Upg!$Q98=1;0;'$ Unit'!$P98)+SI(Upg!$R98=1;0;'$ Unit'!$P98)+SI(Upg!$S98=1;0;'$ Unit'!$P98)</v>
      </c>
      <c r="C72" s="60" t="str">
        <f t="shared" si="4"/>
        <v>=SI(Upg!$T98=1;0;'$ Unit'!$Q98)+SI(Upg!$U98=1;0;'$ Unit'!$Q98)+SI(Upg!$V98=1;0;'$ Unit'!$Q98)+SI(Upg!$W98=1;0;'$ Unit'!$Q98)</v>
      </c>
      <c r="D72" s="60" t="str">
        <f t="shared" si="5"/>
        <v>=SI(Upg!$X98=1;0;'$ Unit'!$R98)+SI(Upg!$Y98=1;0;'$ Unit'!$R98)+SI(Upg!$Z98=1;0;'$ Unit'!$R98)+SI(Upg!$AA98=1;0;'$ Unit'!$R98)</v>
      </c>
      <c r="E72" s="60" t="str">
        <f t="shared" si="6"/>
        <v>=SI(Upg!$AB98=1;0;'$ Unit'!$S98)+SI(Upg!$AC98=1;0;'$ Unit'!$S98)+SI(Upg!$AD98=1;0;'$ Unit'!$S98)+SI(Upg!$AE98=1;0;'$ Unit'!$S98)</v>
      </c>
      <c r="F72" s="60" t="str">
        <f t="shared" si="7"/>
        <v>=SI(Upg!$AF98=1;0;'$ Unit'!$T98)+SI(Upg!$AG98=1;0;'$ Unit'!$T98)+SI(Upg!$AH98=1;0;'$ Unit'!$T98)+SI(Upg!$AI98=1;0;'$ Unit'!$T98)</v>
      </c>
      <c r="G72" s="60" t="str">
        <f t="shared" si="8"/>
        <v>=SI(Upg!$AJ98=1;0;'$ Unit'!$U98)+SI(Upg!$AK98=1;0;'$ Unit'!$U98)+SI(Upg!$AL98=1;0;'$ Unit'!$U98)+SI(Upg!$AM98=1;0;'$ Unit'!$U98)</v>
      </c>
      <c r="H72" s="60" t="str">
        <f t="shared" si="9"/>
        <v>=SI(Upg!$AN98=1;0;'$ Unit'!$V98)+SI(Upg!$AO98=1;0;'$ Unit'!$V98)+SI(Upg!$AP98=1;0;'$ Unit'!$V98)+SI(Upg!$AQ98=1;0;'$ Unit'!$V98)</v>
      </c>
      <c r="I72" s="60" t="str">
        <f t="shared" si="10"/>
        <v>=SI(Upg!$AR98=1;0;'$ Unit'!$W98)+SI(Upg!$AS98=1;0;'$ Unit'!$W98)+SI(Upg!$AT98=1;0;'$ Unit'!$W98)+SI(Upg!$AU98=1;0;'$ Unit'!$W98)</v>
      </c>
      <c r="J72" s="60" t="str">
        <f t="shared" si="11"/>
        <v>=SI(Upg!$AV98=1;0;'$ Unit'!$X98)+SI(Upg!$AW98=1;0;'$ Unit'!$X98)+SI(Upg!$AX98=1;0;'$ Unit'!$X98)+SI(Upg!$AY98=1;0;'$ Unit'!$X98)</v>
      </c>
      <c r="K72" s="60" t="str">
        <f t="shared" si="12"/>
        <v>=SI(Upg!$AZ98=1;0;'$ Unit'!$Y98)+SI(Upg!$BA98=1;0;'$ Unit'!$Y98)+SI(Upg!$BB98=1;0;'$ Unit'!$Y98)+SI(Upg!$BC98=1;0;'$ Unit'!$Y98)</v>
      </c>
      <c r="L72" s="60" t="str">
        <f t="shared" si="13"/>
        <v>=SI(Upg!$BD98=1;0;'$ Unit'!$Z98)+SI(Upg!$BE98=1;0;'$ Unit'!$Z98)+SI(Upg!$BF98=1;0;'$ Unit'!$Z98)+SI(Upg!$BG98=1;0;'$ Unit'!$Z98)</v>
      </c>
      <c r="M72" s="60" t="str">
        <f t="shared" si="14"/>
        <v>=SI(Upg!$BH98=1;0;'$ Unit'!$AA98)+SI(Upg!$BI98=1;0;'$ Unit'!$AA98)+SI(Upg!$BJ98=1;0;'$ Unit'!$AA98)+SI(Upg!$BK98=1;0;'$ Unit'!$AA98)</v>
      </c>
      <c r="N72" s="60" t="str">
        <f t="shared" si="15"/>
        <v>=SI(Upg!$BL98=1;0;'$ Unit'!$AB98)+SI(Upg!$BM98=1;0;'$ Unit'!$AB98)+SI(Upg!$BN98=1;0;'$ Unit'!$AB98)+SI(Upg!$BO98=1;0;'$ Unit'!$AB98)</v>
      </c>
      <c r="Q72" t="str">
        <f t="shared" si="16"/>
        <v>='$ Unit'!AD98*Garage!AD98</v>
      </c>
      <c r="R72" t="str">
        <f t="shared" si="17"/>
        <v>='$ Unit'!AE98*Garage!AI98</v>
      </c>
      <c r="S72" t="str">
        <f t="shared" si="18"/>
        <v>='$ Unit'!AF98*Garage!AN98</v>
      </c>
    </row>
    <row r="73" spans="1:19" x14ac:dyDescent="0.2">
      <c r="A73" s="2">
        <v>99</v>
      </c>
      <c r="B73" s="60" t="str">
        <f t="shared" si="3"/>
        <v>=SI(Upg!$P99=1;0;'$ Unit'!$P99)+SI(Upg!$Q99=1;0;'$ Unit'!$P99)+SI(Upg!$R99=1;0;'$ Unit'!$P99)+SI(Upg!$S99=1;0;'$ Unit'!$P99)</v>
      </c>
      <c r="C73" s="60" t="str">
        <f t="shared" si="4"/>
        <v>=SI(Upg!$T99=1;0;'$ Unit'!$Q99)+SI(Upg!$U99=1;0;'$ Unit'!$Q99)+SI(Upg!$V99=1;0;'$ Unit'!$Q99)+SI(Upg!$W99=1;0;'$ Unit'!$Q99)</v>
      </c>
      <c r="D73" s="60" t="str">
        <f t="shared" si="5"/>
        <v>=SI(Upg!$X99=1;0;'$ Unit'!$R99)+SI(Upg!$Y99=1;0;'$ Unit'!$R99)+SI(Upg!$Z99=1;0;'$ Unit'!$R99)+SI(Upg!$AA99=1;0;'$ Unit'!$R99)</v>
      </c>
      <c r="E73" s="60" t="str">
        <f t="shared" si="6"/>
        <v>=SI(Upg!$AB99=1;0;'$ Unit'!$S99)+SI(Upg!$AC99=1;0;'$ Unit'!$S99)+SI(Upg!$AD99=1;0;'$ Unit'!$S99)+SI(Upg!$AE99=1;0;'$ Unit'!$S99)</v>
      </c>
      <c r="F73" s="60" t="str">
        <f t="shared" si="7"/>
        <v>=SI(Upg!$AF99=1;0;'$ Unit'!$T99)+SI(Upg!$AG99=1;0;'$ Unit'!$T99)+SI(Upg!$AH99=1;0;'$ Unit'!$T99)+SI(Upg!$AI99=1;0;'$ Unit'!$T99)</v>
      </c>
      <c r="G73" s="60" t="str">
        <f t="shared" si="8"/>
        <v>=SI(Upg!$AJ99=1;0;'$ Unit'!$U99)+SI(Upg!$AK99=1;0;'$ Unit'!$U99)+SI(Upg!$AL99=1;0;'$ Unit'!$U99)+SI(Upg!$AM99=1;0;'$ Unit'!$U99)</v>
      </c>
      <c r="H73" s="60" t="str">
        <f t="shared" si="9"/>
        <v>=SI(Upg!$AN99=1;0;'$ Unit'!$V99)+SI(Upg!$AO99=1;0;'$ Unit'!$V99)+SI(Upg!$AP99=1;0;'$ Unit'!$V99)+SI(Upg!$AQ99=1;0;'$ Unit'!$V99)</v>
      </c>
      <c r="I73" s="60" t="str">
        <f t="shared" si="10"/>
        <v>=SI(Upg!$AR99=1;0;'$ Unit'!$W99)+SI(Upg!$AS99=1;0;'$ Unit'!$W99)+SI(Upg!$AT99=1;0;'$ Unit'!$W99)+SI(Upg!$AU99=1;0;'$ Unit'!$W99)</v>
      </c>
      <c r="J73" s="60" t="str">
        <f t="shared" si="11"/>
        <v>=SI(Upg!$AV99=1;0;'$ Unit'!$X99)+SI(Upg!$AW99=1;0;'$ Unit'!$X99)+SI(Upg!$AX99=1;0;'$ Unit'!$X99)+SI(Upg!$AY99=1;0;'$ Unit'!$X99)</v>
      </c>
      <c r="K73" s="60" t="str">
        <f t="shared" si="12"/>
        <v>=SI(Upg!$AZ99=1;0;'$ Unit'!$Y99)+SI(Upg!$BA99=1;0;'$ Unit'!$Y99)+SI(Upg!$BB99=1;0;'$ Unit'!$Y99)+SI(Upg!$BC99=1;0;'$ Unit'!$Y99)</v>
      </c>
      <c r="L73" s="60" t="str">
        <f t="shared" si="13"/>
        <v>=SI(Upg!$BD99=1;0;'$ Unit'!$Z99)+SI(Upg!$BE99=1;0;'$ Unit'!$Z99)+SI(Upg!$BF99=1;0;'$ Unit'!$Z99)+SI(Upg!$BG99=1;0;'$ Unit'!$Z99)</v>
      </c>
      <c r="M73" s="60" t="str">
        <f t="shared" si="14"/>
        <v>=SI(Upg!$BH99=1;0;'$ Unit'!$AA99)+SI(Upg!$BI99=1;0;'$ Unit'!$AA99)+SI(Upg!$BJ99=1;0;'$ Unit'!$AA99)+SI(Upg!$BK99=1;0;'$ Unit'!$AA99)</v>
      </c>
      <c r="N73" s="60" t="str">
        <f t="shared" si="15"/>
        <v>=SI(Upg!$BL99=1;0;'$ Unit'!$AB99)+SI(Upg!$BM99=1;0;'$ Unit'!$AB99)+SI(Upg!$BN99=1;0;'$ Unit'!$AB99)+SI(Upg!$BO99=1;0;'$ Unit'!$AB99)</v>
      </c>
      <c r="Q73" t="str">
        <f t="shared" si="16"/>
        <v>='$ Unit'!AD99*Garage!AD99</v>
      </c>
      <c r="R73" t="str">
        <f t="shared" si="17"/>
        <v>='$ Unit'!AE99*Garage!AI99</v>
      </c>
      <c r="S73" t="str">
        <f t="shared" si="18"/>
        <v>='$ Unit'!AF99*Garage!AN99</v>
      </c>
    </row>
    <row r="74" spans="1:19" x14ac:dyDescent="0.2">
      <c r="A74" s="2">
        <v>101</v>
      </c>
      <c r="B74" s="60" t="str">
        <f t="shared" si="3"/>
        <v>=SI(Upg!$P101=1;0;'$ Unit'!$P101)+SI(Upg!$Q101=1;0;'$ Unit'!$P101)+SI(Upg!$R101=1;0;'$ Unit'!$P101)+SI(Upg!$S101=1;0;'$ Unit'!$P101)</v>
      </c>
      <c r="C74" s="60" t="str">
        <f t="shared" si="4"/>
        <v>=SI(Upg!$T101=1;0;'$ Unit'!$Q101)+SI(Upg!$U101=1;0;'$ Unit'!$Q101)+SI(Upg!$V101=1;0;'$ Unit'!$Q101)+SI(Upg!$W101=1;0;'$ Unit'!$Q101)</v>
      </c>
      <c r="D74" s="60" t="str">
        <f t="shared" si="5"/>
        <v>=SI(Upg!$X101=1;0;'$ Unit'!$R101)+SI(Upg!$Y101=1;0;'$ Unit'!$R101)+SI(Upg!$Z101=1;0;'$ Unit'!$R101)+SI(Upg!$AA101=1;0;'$ Unit'!$R101)</v>
      </c>
      <c r="E74" s="60" t="str">
        <f t="shared" si="6"/>
        <v>=SI(Upg!$AB101=1;0;'$ Unit'!$S101)+SI(Upg!$AC101=1;0;'$ Unit'!$S101)+SI(Upg!$AD101=1;0;'$ Unit'!$S101)+SI(Upg!$AE101=1;0;'$ Unit'!$S101)</v>
      </c>
      <c r="F74" s="60" t="str">
        <f t="shared" si="7"/>
        <v>=SI(Upg!$AF101=1;0;'$ Unit'!$T101)+SI(Upg!$AG101=1;0;'$ Unit'!$T101)+SI(Upg!$AH101=1;0;'$ Unit'!$T101)+SI(Upg!$AI101=1;0;'$ Unit'!$T101)</v>
      </c>
      <c r="G74" s="60" t="str">
        <f t="shared" si="8"/>
        <v>=SI(Upg!$AJ101=1;0;'$ Unit'!$U101)+SI(Upg!$AK101=1;0;'$ Unit'!$U101)+SI(Upg!$AL101=1;0;'$ Unit'!$U101)+SI(Upg!$AM101=1;0;'$ Unit'!$U101)</v>
      </c>
      <c r="H74" s="60" t="str">
        <f t="shared" si="9"/>
        <v>=SI(Upg!$AN101=1;0;'$ Unit'!$V101)+SI(Upg!$AO101=1;0;'$ Unit'!$V101)+SI(Upg!$AP101=1;0;'$ Unit'!$V101)+SI(Upg!$AQ101=1;0;'$ Unit'!$V101)</v>
      </c>
      <c r="I74" s="60" t="str">
        <f t="shared" si="10"/>
        <v>=SI(Upg!$AR101=1;0;'$ Unit'!$W101)+SI(Upg!$AS101=1;0;'$ Unit'!$W101)+SI(Upg!$AT101=1;0;'$ Unit'!$W101)+SI(Upg!$AU101=1;0;'$ Unit'!$W101)</v>
      </c>
      <c r="J74" s="60" t="str">
        <f t="shared" si="11"/>
        <v>=SI(Upg!$AV101=1;0;'$ Unit'!$X101)+SI(Upg!$AW101=1;0;'$ Unit'!$X101)+SI(Upg!$AX101=1;0;'$ Unit'!$X101)+SI(Upg!$AY101=1;0;'$ Unit'!$X101)</v>
      </c>
      <c r="K74" s="60" t="str">
        <f t="shared" si="12"/>
        <v>=SI(Upg!$AZ101=1;0;'$ Unit'!$Y101)+SI(Upg!$BA101=1;0;'$ Unit'!$Y101)+SI(Upg!$BB101=1;0;'$ Unit'!$Y101)+SI(Upg!$BC101=1;0;'$ Unit'!$Y101)</v>
      </c>
      <c r="L74" s="60" t="str">
        <f t="shared" si="13"/>
        <v>=SI(Upg!$BD101=1;0;'$ Unit'!$Z101)+SI(Upg!$BE101=1;0;'$ Unit'!$Z101)+SI(Upg!$BF101=1;0;'$ Unit'!$Z101)+SI(Upg!$BG101=1;0;'$ Unit'!$Z101)</v>
      </c>
      <c r="M74" s="60" t="str">
        <f t="shared" si="14"/>
        <v>=SI(Upg!$BH101=1;0;'$ Unit'!$AA101)+SI(Upg!$BI101=1;0;'$ Unit'!$AA101)+SI(Upg!$BJ101=1;0;'$ Unit'!$AA101)+SI(Upg!$BK101=1;0;'$ Unit'!$AA101)</v>
      </c>
      <c r="N74" s="60" t="str">
        <f t="shared" si="15"/>
        <v>=SI(Upg!$BL101=1;0;'$ Unit'!$AB101)+SI(Upg!$BM101=1;0;'$ Unit'!$AB101)+SI(Upg!$BN101=1;0;'$ Unit'!$AB101)+SI(Upg!$BO101=1;0;'$ Unit'!$AB101)</v>
      </c>
      <c r="Q74" t="str">
        <f t="shared" si="16"/>
        <v>='$ Unit'!AD101*Garage!AD101</v>
      </c>
      <c r="R74" t="str">
        <f t="shared" si="17"/>
        <v>='$ Unit'!AE101*Garage!AI101</v>
      </c>
      <c r="S74" t="str">
        <f t="shared" si="18"/>
        <v>='$ Unit'!AF101*Garage!AN101</v>
      </c>
    </row>
    <row r="75" spans="1:19" x14ac:dyDescent="0.2">
      <c r="A75" s="2">
        <v>102</v>
      </c>
      <c r="B75" s="60" t="str">
        <f t="shared" si="3"/>
        <v>=SI(Upg!$P102=1;0;'$ Unit'!$P102)+SI(Upg!$Q102=1;0;'$ Unit'!$P102)+SI(Upg!$R102=1;0;'$ Unit'!$P102)+SI(Upg!$S102=1;0;'$ Unit'!$P102)</v>
      </c>
      <c r="C75" s="60" t="str">
        <f t="shared" si="4"/>
        <v>=SI(Upg!$T102=1;0;'$ Unit'!$Q102)+SI(Upg!$U102=1;0;'$ Unit'!$Q102)+SI(Upg!$V102=1;0;'$ Unit'!$Q102)+SI(Upg!$W102=1;0;'$ Unit'!$Q102)</v>
      </c>
      <c r="D75" s="60" t="str">
        <f t="shared" si="5"/>
        <v>=SI(Upg!$X102=1;0;'$ Unit'!$R102)+SI(Upg!$Y102=1;0;'$ Unit'!$R102)+SI(Upg!$Z102=1;0;'$ Unit'!$R102)+SI(Upg!$AA102=1;0;'$ Unit'!$R102)</v>
      </c>
      <c r="E75" s="60" t="str">
        <f t="shared" si="6"/>
        <v>=SI(Upg!$AB102=1;0;'$ Unit'!$S102)+SI(Upg!$AC102=1;0;'$ Unit'!$S102)+SI(Upg!$AD102=1;0;'$ Unit'!$S102)+SI(Upg!$AE102=1;0;'$ Unit'!$S102)</v>
      </c>
      <c r="F75" s="60" t="str">
        <f t="shared" si="7"/>
        <v>=SI(Upg!$AF102=1;0;'$ Unit'!$T102)+SI(Upg!$AG102=1;0;'$ Unit'!$T102)+SI(Upg!$AH102=1;0;'$ Unit'!$T102)+SI(Upg!$AI102=1;0;'$ Unit'!$T102)</v>
      </c>
      <c r="G75" s="60" t="str">
        <f t="shared" si="8"/>
        <v>=SI(Upg!$AJ102=1;0;'$ Unit'!$U102)+SI(Upg!$AK102=1;0;'$ Unit'!$U102)+SI(Upg!$AL102=1;0;'$ Unit'!$U102)+SI(Upg!$AM102=1;0;'$ Unit'!$U102)</v>
      </c>
      <c r="H75" s="60" t="str">
        <f t="shared" si="9"/>
        <v>=SI(Upg!$AN102=1;0;'$ Unit'!$V102)+SI(Upg!$AO102=1;0;'$ Unit'!$V102)+SI(Upg!$AP102=1;0;'$ Unit'!$V102)+SI(Upg!$AQ102=1;0;'$ Unit'!$V102)</v>
      </c>
      <c r="I75" s="60" t="str">
        <f t="shared" si="10"/>
        <v>=SI(Upg!$AR102=1;0;'$ Unit'!$W102)+SI(Upg!$AS102=1;0;'$ Unit'!$W102)+SI(Upg!$AT102=1;0;'$ Unit'!$W102)+SI(Upg!$AU102=1;0;'$ Unit'!$W102)</v>
      </c>
      <c r="J75" s="60" t="str">
        <f t="shared" si="11"/>
        <v>=SI(Upg!$AV102=1;0;'$ Unit'!$X102)+SI(Upg!$AW102=1;0;'$ Unit'!$X102)+SI(Upg!$AX102=1;0;'$ Unit'!$X102)+SI(Upg!$AY102=1;0;'$ Unit'!$X102)</v>
      </c>
      <c r="K75" s="60" t="str">
        <f t="shared" si="12"/>
        <v>=SI(Upg!$AZ102=1;0;'$ Unit'!$Y102)+SI(Upg!$BA102=1;0;'$ Unit'!$Y102)+SI(Upg!$BB102=1;0;'$ Unit'!$Y102)+SI(Upg!$BC102=1;0;'$ Unit'!$Y102)</v>
      </c>
      <c r="L75" s="60" t="str">
        <f t="shared" si="13"/>
        <v>=SI(Upg!$BD102=1;0;'$ Unit'!$Z102)+SI(Upg!$BE102=1;0;'$ Unit'!$Z102)+SI(Upg!$BF102=1;0;'$ Unit'!$Z102)+SI(Upg!$BG102=1;0;'$ Unit'!$Z102)</v>
      </c>
      <c r="M75" s="60" t="str">
        <f t="shared" si="14"/>
        <v>=SI(Upg!$BH102=1;0;'$ Unit'!$AA102)+SI(Upg!$BI102=1;0;'$ Unit'!$AA102)+SI(Upg!$BJ102=1;0;'$ Unit'!$AA102)+SI(Upg!$BK102=1;0;'$ Unit'!$AA102)</v>
      </c>
      <c r="N75" s="60" t="str">
        <f t="shared" si="15"/>
        <v>=SI(Upg!$BL102=1;0;'$ Unit'!$AB102)+SI(Upg!$BM102=1;0;'$ Unit'!$AB102)+SI(Upg!$BN102=1;0;'$ Unit'!$AB102)+SI(Upg!$BO102=1;0;'$ Unit'!$AB102)</v>
      </c>
      <c r="Q75" t="str">
        <f t="shared" si="16"/>
        <v>='$ Unit'!AD102*Garage!AD102</v>
      </c>
      <c r="R75" t="str">
        <f t="shared" si="17"/>
        <v>='$ Unit'!AE102*Garage!AI102</v>
      </c>
      <c r="S75" t="str">
        <f t="shared" si="18"/>
        <v>='$ Unit'!AF102*Garage!AN102</v>
      </c>
    </row>
    <row r="76" spans="1:19" x14ac:dyDescent="0.2">
      <c r="A76" s="2">
        <v>103</v>
      </c>
      <c r="B76" s="60" t="str">
        <f t="shared" si="3"/>
        <v>=SI(Upg!$P103=1;0;'$ Unit'!$P103)+SI(Upg!$Q103=1;0;'$ Unit'!$P103)+SI(Upg!$R103=1;0;'$ Unit'!$P103)+SI(Upg!$S103=1;0;'$ Unit'!$P103)</v>
      </c>
      <c r="C76" s="60" t="str">
        <f t="shared" si="4"/>
        <v>=SI(Upg!$T103=1;0;'$ Unit'!$Q103)+SI(Upg!$U103=1;0;'$ Unit'!$Q103)+SI(Upg!$V103=1;0;'$ Unit'!$Q103)+SI(Upg!$W103=1;0;'$ Unit'!$Q103)</v>
      </c>
      <c r="D76" s="60" t="str">
        <f t="shared" si="5"/>
        <v>=SI(Upg!$X103=1;0;'$ Unit'!$R103)+SI(Upg!$Y103=1;0;'$ Unit'!$R103)+SI(Upg!$Z103=1;0;'$ Unit'!$R103)+SI(Upg!$AA103=1;0;'$ Unit'!$R103)</v>
      </c>
      <c r="E76" s="60" t="str">
        <f t="shared" si="6"/>
        <v>=SI(Upg!$AB103=1;0;'$ Unit'!$S103)+SI(Upg!$AC103=1;0;'$ Unit'!$S103)+SI(Upg!$AD103=1;0;'$ Unit'!$S103)+SI(Upg!$AE103=1;0;'$ Unit'!$S103)</v>
      </c>
      <c r="F76" s="60" t="str">
        <f t="shared" si="7"/>
        <v>=SI(Upg!$AF103=1;0;'$ Unit'!$T103)+SI(Upg!$AG103=1;0;'$ Unit'!$T103)+SI(Upg!$AH103=1;0;'$ Unit'!$T103)+SI(Upg!$AI103=1;0;'$ Unit'!$T103)</v>
      </c>
      <c r="G76" s="60" t="str">
        <f t="shared" si="8"/>
        <v>=SI(Upg!$AJ103=1;0;'$ Unit'!$U103)+SI(Upg!$AK103=1;0;'$ Unit'!$U103)+SI(Upg!$AL103=1;0;'$ Unit'!$U103)+SI(Upg!$AM103=1;0;'$ Unit'!$U103)</v>
      </c>
      <c r="H76" s="60" t="str">
        <f t="shared" si="9"/>
        <v>=SI(Upg!$AN103=1;0;'$ Unit'!$V103)+SI(Upg!$AO103=1;0;'$ Unit'!$V103)+SI(Upg!$AP103=1;0;'$ Unit'!$V103)+SI(Upg!$AQ103=1;0;'$ Unit'!$V103)</v>
      </c>
      <c r="I76" s="60" t="str">
        <f t="shared" si="10"/>
        <v>=SI(Upg!$AR103=1;0;'$ Unit'!$W103)+SI(Upg!$AS103=1;0;'$ Unit'!$W103)+SI(Upg!$AT103=1;0;'$ Unit'!$W103)+SI(Upg!$AU103=1;0;'$ Unit'!$W103)</v>
      </c>
      <c r="J76" s="60" t="str">
        <f t="shared" si="11"/>
        <v>=SI(Upg!$AV103=1;0;'$ Unit'!$X103)+SI(Upg!$AW103=1;0;'$ Unit'!$X103)+SI(Upg!$AX103=1;0;'$ Unit'!$X103)+SI(Upg!$AY103=1;0;'$ Unit'!$X103)</v>
      </c>
      <c r="K76" s="60" t="str">
        <f t="shared" si="12"/>
        <v>=SI(Upg!$AZ103=1;0;'$ Unit'!$Y103)+SI(Upg!$BA103=1;0;'$ Unit'!$Y103)+SI(Upg!$BB103=1;0;'$ Unit'!$Y103)+SI(Upg!$BC103=1;0;'$ Unit'!$Y103)</v>
      </c>
      <c r="L76" s="60" t="str">
        <f t="shared" si="13"/>
        <v>=SI(Upg!$BD103=1;0;'$ Unit'!$Z103)+SI(Upg!$BE103=1;0;'$ Unit'!$Z103)+SI(Upg!$BF103=1;0;'$ Unit'!$Z103)+SI(Upg!$BG103=1;0;'$ Unit'!$Z103)</v>
      </c>
      <c r="M76" s="60" t="str">
        <f t="shared" si="14"/>
        <v>=SI(Upg!$BH103=1;0;'$ Unit'!$AA103)+SI(Upg!$BI103=1;0;'$ Unit'!$AA103)+SI(Upg!$BJ103=1;0;'$ Unit'!$AA103)+SI(Upg!$BK103=1;0;'$ Unit'!$AA103)</v>
      </c>
      <c r="N76" s="60" t="str">
        <f t="shared" si="15"/>
        <v>=SI(Upg!$BL103=1;0;'$ Unit'!$AB103)+SI(Upg!$BM103=1;0;'$ Unit'!$AB103)+SI(Upg!$BN103=1;0;'$ Unit'!$AB103)+SI(Upg!$BO103=1;0;'$ Unit'!$AB103)</v>
      </c>
      <c r="Q76" t="str">
        <f t="shared" si="16"/>
        <v>='$ Unit'!AD103*Garage!AD103</v>
      </c>
      <c r="R76" t="str">
        <f t="shared" si="17"/>
        <v>='$ Unit'!AE103*Garage!AI103</v>
      </c>
      <c r="S76" t="str">
        <f t="shared" si="18"/>
        <v>='$ Unit'!AF103*Garage!AN103</v>
      </c>
    </row>
    <row r="77" spans="1:19" x14ac:dyDescent="0.2">
      <c r="A77" s="2">
        <v>104</v>
      </c>
      <c r="B77" s="60" t="str">
        <f t="shared" si="3"/>
        <v>=SI(Upg!$P104=1;0;'$ Unit'!$P104)+SI(Upg!$Q104=1;0;'$ Unit'!$P104)+SI(Upg!$R104=1;0;'$ Unit'!$P104)+SI(Upg!$S104=1;0;'$ Unit'!$P104)</v>
      </c>
      <c r="C77" s="60" t="str">
        <f t="shared" si="4"/>
        <v>=SI(Upg!$T104=1;0;'$ Unit'!$Q104)+SI(Upg!$U104=1;0;'$ Unit'!$Q104)+SI(Upg!$V104=1;0;'$ Unit'!$Q104)+SI(Upg!$W104=1;0;'$ Unit'!$Q104)</v>
      </c>
      <c r="D77" s="60" t="str">
        <f t="shared" si="5"/>
        <v>=SI(Upg!$X104=1;0;'$ Unit'!$R104)+SI(Upg!$Y104=1;0;'$ Unit'!$R104)+SI(Upg!$Z104=1;0;'$ Unit'!$R104)+SI(Upg!$AA104=1;0;'$ Unit'!$R104)</v>
      </c>
      <c r="E77" s="60" t="str">
        <f t="shared" si="6"/>
        <v>=SI(Upg!$AB104=1;0;'$ Unit'!$S104)+SI(Upg!$AC104=1;0;'$ Unit'!$S104)+SI(Upg!$AD104=1;0;'$ Unit'!$S104)+SI(Upg!$AE104=1;0;'$ Unit'!$S104)</v>
      </c>
      <c r="F77" s="60" t="str">
        <f t="shared" si="7"/>
        <v>=SI(Upg!$AF104=1;0;'$ Unit'!$T104)+SI(Upg!$AG104=1;0;'$ Unit'!$T104)+SI(Upg!$AH104=1;0;'$ Unit'!$T104)+SI(Upg!$AI104=1;0;'$ Unit'!$T104)</v>
      </c>
      <c r="G77" s="60" t="str">
        <f t="shared" si="8"/>
        <v>=SI(Upg!$AJ104=1;0;'$ Unit'!$U104)+SI(Upg!$AK104=1;0;'$ Unit'!$U104)+SI(Upg!$AL104=1;0;'$ Unit'!$U104)+SI(Upg!$AM104=1;0;'$ Unit'!$U104)</v>
      </c>
      <c r="H77" s="60" t="str">
        <f t="shared" si="9"/>
        <v>=SI(Upg!$AN104=1;0;'$ Unit'!$V104)+SI(Upg!$AO104=1;0;'$ Unit'!$V104)+SI(Upg!$AP104=1;0;'$ Unit'!$V104)+SI(Upg!$AQ104=1;0;'$ Unit'!$V104)</v>
      </c>
      <c r="I77" s="60" t="str">
        <f t="shared" si="10"/>
        <v>=SI(Upg!$AR104=1;0;'$ Unit'!$W104)+SI(Upg!$AS104=1;0;'$ Unit'!$W104)+SI(Upg!$AT104=1;0;'$ Unit'!$W104)+SI(Upg!$AU104=1;0;'$ Unit'!$W104)</v>
      </c>
      <c r="J77" s="60" t="str">
        <f t="shared" si="11"/>
        <v>=SI(Upg!$AV104=1;0;'$ Unit'!$X104)+SI(Upg!$AW104=1;0;'$ Unit'!$X104)+SI(Upg!$AX104=1;0;'$ Unit'!$X104)+SI(Upg!$AY104=1;0;'$ Unit'!$X104)</v>
      </c>
      <c r="K77" s="60" t="str">
        <f t="shared" si="12"/>
        <v>=SI(Upg!$AZ104=1;0;'$ Unit'!$Y104)+SI(Upg!$BA104=1;0;'$ Unit'!$Y104)+SI(Upg!$BB104=1;0;'$ Unit'!$Y104)+SI(Upg!$BC104=1;0;'$ Unit'!$Y104)</v>
      </c>
      <c r="L77" s="60" t="str">
        <f t="shared" si="13"/>
        <v>=SI(Upg!$BD104=1;0;'$ Unit'!$Z104)+SI(Upg!$BE104=1;0;'$ Unit'!$Z104)+SI(Upg!$BF104=1;0;'$ Unit'!$Z104)+SI(Upg!$BG104=1;0;'$ Unit'!$Z104)</v>
      </c>
      <c r="M77" s="60" t="str">
        <f t="shared" si="14"/>
        <v>=SI(Upg!$BH104=1;0;'$ Unit'!$AA104)+SI(Upg!$BI104=1;0;'$ Unit'!$AA104)+SI(Upg!$BJ104=1;0;'$ Unit'!$AA104)+SI(Upg!$BK104=1;0;'$ Unit'!$AA104)</v>
      </c>
      <c r="N77" s="60" t="str">
        <f t="shared" si="15"/>
        <v>=SI(Upg!$BL104=1;0;'$ Unit'!$AB104)+SI(Upg!$BM104=1;0;'$ Unit'!$AB104)+SI(Upg!$BN104=1;0;'$ Unit'!$AB104)+SI(Upg!$BO104=1;0;'$ Unit'!$AB104)</v>
      </c>
      <c r="Q77" t="str">
        <f t="shared" si="16"/>
        <v>='$ Unit'!AD104*Garage!AD104</v>
      </c>
      <c r="R77" t="str">
        <f t="shared" si="17"/>
        <v>='$ Unit'!AE104*Garage!AI104</v>
      </c>
      <c r="S77" t="str">
        <f t="shared" si="18"/>
        <v>='$ Unit'!AF104*Garage!AN104</v>
      </c>
    </row>
    <row r="78" spans="1:19" x14ac:dyDescent="0.2">
      <c r="A78" s="2">
        <v>105</v>
      </c>
      <c r="B78" s="60" t="str">
        <f t="shared" si="3"/>
        <v>=SI(Upg!$P105=1;0;'$ Unit'!$P105)+SI(Upg!$Q105=1;0;'$ Unit'!$P105)+SI(Upg!$R105=1;0;'$ Unit'!$P105)+SI(Upg!$S105=1;0;'$ Unit'!$P105)</v>
      </c>
      <c r="C78" s="60" t="str">
        <f t="shared" si="4"/>
        <v>=SI(Upg!$T105=1;0;'$ Unit'!$Q105)+SI(Upg!$U105=1;0;'$ Unit'!$Q105)+SI(Upg!$V105=1;0;'$ Unit'!$Q105)+SI(Upg!$W105=1;0;'$ Unit'!$Q105)</v>
      </c>
      <c r="D78" s="60" t="str">
        <f t="shared" si="5"/>
        <v>=SI(Upg!$X105=1;0;'$ Unit'!$R105)+SI(Upg!$Y105=1;0;'$ Unit'!$R105)+SI(Upg!$Z105=1;0;'$ Unit'!$R105)+SI(Upg!$AA105=1;0;'$ Unit'!$R105)</v>
      </c>
      <c r="E78" s="60" t="str">
        <f t="shared" si="6"/>
        <v>=SI(Upg!$AB105=1;0;'$ Unit'!$S105)+SI(Upg!$AC105=1;0;'$ Unit'!$S105)+SI(Upg!$AD105=1;0;'$ Unit'!$S105)+SI(Upg!$AE105=1;0;'$ Unit'!$S105)</v>
      </c>
      <c r="F78" s="60" t="str">
        <f t="shared" si="7"/>
        <v>=SI(Upg!$AF105=1;0;'$ Unit'!$T105)+SI(Upg!$AG105=1;0;'$ Unit'!$T105)+SI(Upg!$AH105=1;0;'$ Unit'!$T105)+SI(Upg!$AI105=1;0;'$ Unit'!$T105)</v>
      </c>
      <c r="G78" s="60" t="str">
        <f t="shared" si="8"/>
        <v>=SI(Upg!$AJ105=1;0;'$ Unit'!$U105)+SI(Upg!$AK105=1;0;'$ Unit'!$U105)+SI(Upg!$AL105=1;0;'$ Unit'!$U105)+SI(Upg!$AM105=1;0;'$ Unit'!$U105)</v>
      </c>
      <c r="H78" s="60" t="str">
        <f t="shared" si="9"/>
        <v>=SI(Upg!$AN105=1;0;'$ Unit'!$V105)+SI(Upg!$AO105=1;0;'$ Unit'!$V105)+SI(Upg!$AP105=1;0;'$ Unit'!$V105)+SI(Upg!$AQ105=1;0;'$ Unit'!$V105)</v>
      </c>
      <c r="I78" s="60" t="str">
        <f t="shared" si="10"/>
        <v>=SI(Upg!$AR105=1;0;'$ Unit'!$W105)+SI(Upg!$AS105=1;0;'$ Unit'!$W105)+SI(Upg!$AT105=1;0;'$ Unit'!$W105)+SI(Upg!$AU105=1;0;'$ Unit'!$W105)</v>
      </c>
      <c r="J78" s="60" t="str">
        <f t="shared" si="11"/>
        <v>=SI(Upg!$AV105=1;0;'$ Unit'!$X105)+SI(Upg!$AW105=1;0;'$ Unit'!$X105)+SI(Upg!$AX105=1;0;'$ Unit'!$X105)+SI(Upg!$AY105=1;0;'$ Unit'!$X105)</v>
      </c>
      <c r="K78" s="60" t="str">
        <f t="shared" si="12"/>
        <v>=SI(Upg!$AZ105=1;0;'$ Unit'!$Y105)+SI(Upg!$BA105=1;0;'$ Unit'!$Y105)+SI(Upg!$BB105=1;0;'$ Unit'!$Y105)+SI(Upg!$BC105=1;0;'$ Unit'!$Y105)</v>
      </c>
      <c r="L78" s="60" t="str">
        <f t="shared" si="13"/>
        <v>=SI(Upg!$BD105=1;0;'$ Unit'!$Z105)+SI(Upg!$BE105=1;0;'$ Unit'!$Z105)+SI(Upg!$BF105=1;0;'$ Unit'!$Z105)+SI(Upg!$BG105=1;0;'$ Unit'!$Z105)</v>
      </c>
      <c r="M78" s="60" t="str">
        <f t="shared" si="14"/>
        <v>=SI(Upg!$BH105=1;0;'$ Unit'!$AA105)+SI(Upg!$BI105=1;0;'$ Unit'!$AA105)+SI(Upg!$BJ105=1;0;'$ Unit'!$AA105)+SI(Upg!$BK105=1;0;'$ Unit'!$AA105)</v>
      </c>
      <c r="N78" s="60" t="str">
        <f t="shared" si="15"/>
        <v>=SI(Upg!$BL105=1;0;'$ Unit'!$AB105)+SI(Upg!$BM105=1;0;'$ Unit'!$AB105)+SI(Upg!$BN105=1;0;'$ Unit'!$AB105)+SI(Upg!$BO105=1;0;'$ Unit'!$AB105)</v>
      </c>
      <c r="Q78" t="str">
        <f t="shared" si="16"/>
        <v>='$ Unit'!AD105*Garage!AD105</v>
      </c>
      <c r="R78" t="str">
        <f t="shared" si="17"/>
        <v>='$ Unit'!AE105*Garage!AI105</v>
      </c>
      <c r="S78" t="str">
        <f t="shared" si="18"/>
        <v>='$ Unit'!AF105*Garage!AN105</v>
      </c>
    </row>
    <row r="79" spans="1:19" x14ac:dyDescent="0.2">
      <c r="A79" s="2">
        <v>106</v>
      </c>
      <c r="B79" s="60" t="str">
        <f t="shared" si="3"/>
        <v>=SI(Upg!$P106=1;0;'$ Unit'!$P106)+SI(Upg!$Q106=1;0;'$ Unit'!$P106)+SI(Upg!$R106=1;0;'$ Unit'!$P106)+SI(Upg!$S106=1;0;'$ Unit'!$P106)</v>
      </c>
      <c r="C79" s="60" t="str">
        <f t="shared" si="4"/>
        <v>=SI(Upg!$T106=1;0;'$ Unit'!$Q106)+SI(Upg!$U106=1;0;'$ Unit'!$Q106)+SI(Upg!$V106=1;0;'$ Unit'!$Q106)+SI(Upg!$W106=1;0;'$ Unit'!$Q106)</v>
      </c>
      <c r="D79" s="60" t="str">
        <f t="shared" si="5"/>
        <v>=SI(Upg!$X106=1;0;'$ Unit'!$R106)+SI(Upg!$Y106=1;0;'$ Unit'!$R106)+SI(Upg!$Z106=1;0;'$ Unit'!$R106)+SI(Upg!$AA106=1;0;'$ Unit'!$R106)</v>
      </c>
      <c r="E79" s="60" t="str">
        <f t="shared" si="6"/>
        <v>=SI(Upg!$AB106=1;0;'$ Unit'!$S106)+SI(Upg!$AC106=1;0;'$ Unit'!$S106)+SI(Upg!$AD106=1;0;'$ Unit'!$S106)+SI(Upg!$AE106=1;0;'$ Unit'!$S106)</v>
      </c>
      <c r="F79" s="60" t="str">
        <f t="shared" si="7"/>
        <v>=SI(Upg!$AF106=1;0;'$ Unit'!$T106)+SI(Upg!$AG106=1;0;'$ Unit'!$T106)+SI(Upg!$AH106=1;0;'$ Unit'!$T106)+SI(Upg!$AI106=1;0;'$ Unit'!$T106)</v>
      </c>
      <c r="G79" s="60" t="str">
        <f t="shared" si="8"/>
        <v>=SI(Upg!$AJ106=1;0;'$ Unit'!$U106)+SI(Upg!$AK106=1;0;'$ Unit'!$U106)+SI(Upg!$AL106=1;0;'$ Unit'!$U106)+SI(Upg!$AM106=1;0;'$ Unit'!$U106)</v>
      </c>
      <c r="H79" s="60" t="str">
        <f t="shared" si="9"/>
        <v>=SI(Upg!$AN106=1;0;'$ Unit'!$V106)+SI(Upg!$AO106=1;0;'$ Unit'!$V106)+SI(Upg!$AP106=1;0;'$ Unit'!$V106)+SI(Upg!$AQ106=1;0;'$ Unit'!$V106)</v>
      </c>
      <c r="I79" s="60" t="str">
        <f t="shared" si="10"/>
        <v>=SI(Upg!$AR106=1;0;'$ Unit'!$W106)+SI(Upg!$AS106=1;0;'$ Unit'!$W106)+SI(Upg!$AT106=1;0;'$ Unit'!$W106)+SI(Upg!$AU106=1;0;'$ Unit'!$W106)</v>
      </c>
      <c r="J79" s="60" t="str">
        <f t="shared" si="11"/>
        <v>=SI(Upg!$AV106=1;0;'$ Unit'!$X106)+SI(Upg!$AW106=1;0;'$ Unit'!$X106)+SI(Upg!$AX106=1;0;'$ Unit'!$X106)+SI(Upg!$AY106=1;0;'$ Unit'!$X106)</v>
      </c>
      <c r="K79" s="60" t="str">
        <f t="shared" si="12"/>
        <v>=SI(Upg!$AZ106=1;0;'$ Unit'!$Y106)+SI(Upg!$BA106=1;0;'$ Unit'!$Y106)+SI(Upg!$BB106=1;0;'$ Unit'!$Y106)+SI(Upg!$BC106=1;0;'$ Unit'!$Y106)</v>
      </c>
      <c r="L79" s="60" t="str">
        <f t="shared" si="13"/>
        <v>=SI(Upg!$BD106=1;0;'$ Unit'!$Z106)+SI(Upg!$BE106=1;0;'$ Unit'!$Z106)+SI(Upg!$BF106=1;0;'$ Unit'!$Z106)+SI(Upg!$BG106=1;0;'$ Unit'!$Z106)</v>
      </c>
      <c r="M79" s="60" t="str">
        <f t="shared" si="14"/>
        <v>=SI(Upg!$BH106=1;0;'$ Unit'!$AA106)+SI(Upg!$BI106=1;0;'$ Unit'!$AA106)+SI(Upg!$BJ106=1;0;'$ Unit'!$AA106)+SI(Upg!$BK106=1;0;'$ Unit'!$AA106)</v>
      </c>
      <c r="N79" s="60" t="str">
        <f t="shared" si="15"/>
        <v>=SI(Upg!$BL106=1;0;'$ Unit'!$AB106)+SI(Upg!$BM106=1;0;'$ Unit'!$AB106)+SI(Upg!$BN106=1;0;'$ Unit'!$AB106)+SI(Upg!$BO106=1;0;'$ Unit'!$AB106)</v>
      </c>
      <c r="Q79" t="str">
        <f t="shared" si="16"/>
        <v>='$ Unit'!AD106*Garage!AD106</v>
      </c>
      <c r="R79" t="str">
        <f t="shared" si="17"/>
        <v>='$ Unit'!AE106*Garage!AI106</v>
      </c>
      <c r="S79" t="str">
        <f t="shared" si="18"/>
        <v>='$ Unit'!AF106*Garage!AN106</v>
      </c>
    </row>
    <row r="80" spans="1:19" x14ac:dyDescent="0.2">
      <c r="A80" s="2">
        <v>107</v>
      </c>
      <c r="B80" s="60" t="str">
        <f t="shared" si="3"/>
        <v>=SI(Upg!$P107=1;0;'$ Unit'!$P107)+SI(Upg!$Q107=1;0;'$ Unit'!$P107)+SI(Upg!$R107=1;0;'$ Unit'!$P107)+SI(Upg!$S107=1;0;'$ Unit'!$P107)</v>
      </c>
      <c r="C80" s="60" t="str">
        <f t="shared" si="4"/>
        <v>=SI(Upg!$T107=1;0;'$ Unit'!$Q107)+SI(Upg!$U107=1;0;'$ Unit'!$Q107)+SI(Upg!$V107=1;0;'$ Unit'!$Q107)+SI(Upg!$W107=1;0;'$ Unit'!$Q107)</v>
      </c>
      <c r="D80" s="60" t="str">
        <f t="shared" si="5"/>
        <v>=SI(Upg!$X107=1;0;'$ Unit'!$R107)+SI(Upg!$Y107=1;0;'$ Unit'!$R107)+SI(Upg!$Z107=1;0;'$ Unit'!$R107)+SI(Upg!$AA107=1;0;'$ Unit'!$R107)</v>
      </c>
      <c r="E80" s="60" t="str">
        <f t="shared" si="6"/>
        <v>=SI(Upg!$AB107=1;0;'$ Unit'!$S107)+SI(Upg!$AC107=1;0;'$ Unit'!$S107)+SI(Upg!$AD107=1;0;'$ Unit'!$S107)+SI(Upg!$AE107=1;0;'$ Unit'!$S107)</v>
      </c>
      <c r="F80" s="60" t="str">
        <f t="shared" si="7"/>
        <v>=SI(Upg!$AF107=1;0;'$ Unit'!$T107)+SI(Upg!$AG107=1;0;'$ Unit'!$T107)+SI(Upg!$AH107=1;0;'$ Unit'!$T107)+SI(Upg!$AI107=1;0;'$ Unit'!$T107)</v>
      </c>
      <c r="G80" s="60" t="str">
        <f t="shared" si="8"/>
        <v>=SI(Upg!$AJ107=1;0;'$ Unit'!$U107)+SI(Upg!$AK107=1;0;'$ Unit'!$U107)+SI(Upg!$AL107=1;0;'$ Unit'!$U107)+SI(Upg!$AM107=1;0;'$ Unit'!$U107)</v>
      </c>
      <c r="H80" s="60" t="str">
        <f t="shared" si="9"/>
        <v>=SI(Upg!$AN107=1;0;'$ Unit'!$V107)+SI(Upg!$AO107=1;0;'$ Unit'!$V107)+SI(Upg!$AP107=1;0;'$ Unit'!$V107)+SI(Upg!$AQ107=1;0;'$ Unit'!$V107)</v>
      </c>
      <c r="I80" s="60" t="str">
        <f t="shared" si="10"/>
        <v>=SI(Upg!$AR107=1;0;'$ Unit'!$W107)+SI(Upg!$AS107=1;0;'$ Unit'!$W107)+SI(Upg!$AT107=1;0;'$ Unit'!$W107)+SI(Upg!$AU107=1;0;'$ Unit'!$W107)</v>
      </c>
      <c r="J80" s="60" t="str">
        <f t="shared" si="11"/>
        <v>=SI(Upg!$AV107=1;0;'$ Unit'!$X107)+SI(Upg!$AW107=1;0;'$ Unit'!$X107)+SI(Upg!$AX107=1;0;'$ Unit'!$X107)+SI(Upg!$AY107=1;0;'$ Unit'!$X107)</v>
      </c>
      <c r="K80" s="60" t="str">
        <f t="shared" si="12"/>
        <v>=SI(Upg!$AZ107=1;0;'$ Unit'!$Y107)+SI(Upg!$BA107=1;0;'$ Unit'!$Y107)+SI(Upg!$BB107=1;0;'$ Unit'!$Y107)+SI(Upg!$BC107=1;0;'$ Unit'!$Y107)</v>
      </c>
      <c r="L80" s="60" t="str">
        <f t="shared" si="13"/>
        <v>=SI(Upg!$BD107=1;0;'$ Unit'!$Z107)+SI(Upg!$BE107=1;0;'$ Unit'!$Z107)+SI(Upg!$BF107=1;0;'$ Unit'!$Z107)+SI(Upg!$BG107=1;0;'$ Unit'!$Z107)</v>
      </c>
      <c r="M80" s="60" t="str">
        <f t="shared" si="14"/>
        <v>=SI(Upg!$BH107=1;0;'$ Unit'!$AA107)+SI(Upg!$BI107=1;0;'$ Unit'!$AA107)+SI(Upg!$BJ107=1;0;'$ Unit'!$AA107)+SI(Upg!$BK107=1;0;'$ Unit'!$AA107)</v>
      </c>
      <c r="N80" s="60" t="str">
        <f t="shared" si="15"/>
        <v>=SI(Upg!$BL107=1;0;'$ Unit'!$AB107)+SI(Upg!$BM107=1;0;'$ Unit'!$AB107)+SI(Upg!$BN107=1;0;'$ Unit'!$AB107)+SI(Upg!$BO107=1;0;'$ Unit'!$AB107)</v>
      </c>
      <c r="Q80" t="str">
        <f t="shared" si="16"/>
        <v>='$ Unit'!AD107*Garage!AD107</v>
      </c>
      <c r="R80" t="str">
        <f t="shared" si="17"/>
        <v>='$ Unit'!AE107*Garage!AI107</v>
      </c>
      <c r="S80" t="str">
        <f t="shared" si="18"/>
        <v>='$ Unit'!AF107*Garage!AN107</v>
      </c>
    </row>
    <row r="81" spans="1:19" x14ac:dyDescent="0.2">
      <c r="A81" s="2">
        <v>108</v>
      </c>
      <c r="B81" s="60" t="str">
        <f t="shared" si="3"/>
        <v>=SI(Upg!$P108=1;0;'$ Unit'!$P108)+SI(Upg!$Q108=1;0;'$ Unit'!$P108)+SI(Upg!$R108=1;0;'$ Unit'!$P108)+SI(Upg!$S108=1;0;'$ Unit'!$P108)</v>
      </c>
      <c r="C81" s="60" t="str">
        <f t="shared" si="4"/>
        <v>=SI(Upg!$T108=1;0;'$ Unit'!$Q108)+SI(Upg!$U108=1;0;'$ Unit'!$Q108)+SI(Upg!$V108=1;0;'$ Unit'!$Q108)+SI(Upg!$W108=1;0;'$ Unit'!$Q108)</v>
      </c>
      <c r="D81" s="60" t="str">
        <f t="shared" si="5"/>
        <v>=SI(Upg!$X108=1;0;'$ Unit'!$R108)+SI(Upg!$Y108=1;0;'$ Unit'!$R108)+SI(Upg!$Z108=1;0;'$ Unit'!$R108)+SI(Upg!$AA108=1;0;'$ Unit'!$R108)</v>
      </c>
      <c r="E81" s="60" t="str">
        <f t="shared" si="6"/>
        <v>=SI(Upg!$AB108=1;0;'$ Unit'!$S108)+SI(Upg!$AC108=1;0;'$ Unit'!$S108)+SI(Upg!$AD108=1;0;'$ Unit'!$S108)+SI(Upg!$AE108=1;0;'$ Unit'!$S108)</v>
      </c>
      <c r="F81" s="60" t="str">
        <f t="shared" si="7"/>
        <v>=SI(Upg!$AF108=1;0;'$ Unit'!$T108)+SI(Upg!$AG108=1;0;'$ Unit'!$T108)+SI(Upg!$AH108=1;0;'$ Unit'!$T108)+SI(Upg!$AI108=1;0;'$ Unit'!$T108)</v>
      </c>
      <c r="G81" s="60" t="str">
        <f t="shared" si="8"/>
        <v>=SI(Upg!$AJ108=1;0;'$ Unit'!$U108)+SI(Upg!$AK108=1;0;'$ Unit'!$U108)+SI(Upg!$AL108=1;0;'$ Unit'!$U108)+SI(Upg!$AM108=1;0;'$ Unit'!$U108)</v>
      </c>
      <c r="H81" s="60" t="str">
        <f t="shared" si="9"/>
        <v>=SI(Upg!$AN108=1;0;'$ Unit'!$V108)+SI(Upg!$AO108=1;0;'$ Unit'!$V108)+SI(Upg!$AP108=1;0;'$ Unit'!$V108)+SI(Upg!$AQ108=1;0;'$ Unit'!$V108)</v>
      </c>
      <c r="I81" s="60" t="str">
        <f t="shared" si="10"/>
        <v>=SI(Upg!$AR108=1;0;'$ Unit'!$W108)+SI(Upg!$AS108=1;0;'$ Unit'!$W108)+SI(Upg!$AT108=1;0;'$ Unit'!$W108)+SI(Upg!$AU108=1;0;'$ Unit'!$W108)</v>
      </c>
      <c r="J81" s="60" t="str">
        <f t="shared" si="11"/>
        <v>=SI(Upg!$AV108=1;0;'$ Unit'!$X108)+SI(Upg!$AW108=1;0;'$ Unit'!$X108)+SI(Upg!$AX108=1;0;'$ Unit'!$X108)+SI(Upg!$AY108=1;0;'$ Unit'!$X108)</v>
      </c>
      <c r="K81" s="60" t="str">
        <f t="shared" si="12"/>
        <v>=SI(Upg!$AZ108=1;0;'$ Unit'!$Y108)+SI(Upg!$BA108=1;0;'$ Unit'!$Y108)+SI(Upg!$BB108=1;0;'$ Unit'!$Y108)+SI(Upg!$BC108=1;0;'$ Unit'!$Y108)</v>
      </c>
      <c r="L81" s="60" t="str">
        <f t="shared" si="13"/>
        <v>=SI(Upg!$BD108=1;0;'$ Unit'!$Z108)+SI(Upg!$BE108=1;0;'$ Unit'!$Z108)+SI(Upg!$BF108=1;0;'$ Unit'!$Z108)+SI(Upg!$BG108=1;0;'$ Unit'!$Z108)</v>
      </c>
      <c r="M81" s="60" t="str">
        <f t="shared" si="14"/>
        <v>=SI(Upg!$BH108=1;0;'$ Unit'!$AA108)+SI(Upg!$BI108=1;0;'$ Unit'!$AA108)+SI(Upg!$BJ108=1;0;'$ Unit'!$AA108)+SI(Upg!$BK108=1;0;'$ Unit'!$AA108)</v>
      </c>
      <c r="N81" s="60" t="str">
        <f t="shared" si="15"/>
        <v>=SI(Upg!$BL108=1;0;'$ Unit'!$AB108)+SI(Upg!$BM108=1;0;'$ Unit'!$AB108)+SI(Upg!$BN108=1;0;'$ Unit'!$AB108)+SI(Upg!$BO108=1;0;'$ Unit'!$AB108)</v>
      </c>
      <c r="Q81" t="str">
        <f t="shared" si="16"/>
        <v>='$ Unit'!AD108*Garage!AD108</v>
      </c>
      <c r="R81" t="str">
        <f t="shared" si="17"/>
        <v>='$ Unit'!AE108*Garage!AI108</v>
      </c>
      <c r="S81" t="str">
        <f t="shared" si="18"/>
        <v>='$ Unit'!AF108*Garage!AN108</v>
      </c>
    </row>
    <row r="82" spans="1:19" x14ac:dyDescent="0.2">
      <c r="A82" s="2">
        <v>109</v>
      </c>
      <c r="B82" s="60" t="str">
        <f t="shared" si="3"/>
        <v>=SI(Upg!$P109=1;0;'$ Unit'!$P109)+SI(Upg!$Q109=1;0;'$ Unit'!$P109)+SI(Upg!$R109=1;0;'$ Unit'!$P109)+SI(Upg!$S109=1;0;'$ Unit'!$P109)</v>
      </c>
      <c r="C82" s="60" t="str">
        <f t="shared" si="4"/>
        <v>=SI(Upg!$T109=1;0;'$ Unit'!$Q109)+SI(Upg!$U109=1;0;'$ Unit'!$Q109)+SI(Upg!$V109=1;0;'$ Unit'!$Q109)+SI(Upg!$W109=1;0;'$ Unit'!$Q109)</v>
      </c>
      <c r="D82" s="60" t="str">
        <f t="shared" si="5"/>
        <v>=SI(Upg!$X109=1;0;'$ Unit'!$R109)+SI(Upg!$Y109=1;0;'$ Unit'!$R109)+SI(Upg!$Z109=1;0;'$ Unit'!$R109)+SI(Upg!$AA109=1;0;'$ Unit'!$R109)</v>
      </c>
      <c r="E82" s="60" t="str">
        <f t="shared" si="6"/>
        <v>=SI(Upg!$AB109=1;0;'$ Unit'!$S109)+SI(Upg!$AC109=1;0;'$ Unit'!$S109)+SI(Upg!$AD109=1;0;'$ Unit'!$S109)+SI(Upg!$AE109=1;0;'$ Unit'!$S109)</v>
      </c>
      <c r="F82" s="60" t="str">
        <f t="shared" si="7"/>
        <v>=SI(Upg!$AF109=1;0;'$ Unit'!$T109)+SI(Upg!$AG109=1;0;'$ Unit'!$T109)+SI(Upg!$AH109=1;0;'$ Unit'!$T109)+SI(Upg!$AI109=1;0;'$ Unit'!$T109)</v>
      </c>
      <c r="G82" s="60" t="str">
        <f t="shared" si="8"/>
        <v>=SI(Upg!$AJ109=1;0;'$ Unit'!$U109)+SI(Upg!$AK109=1;0;'$ Unit'!$U109)+SI(Upg!$AL109=1;0;'$ Unit'!$U109)+SI(Upg!$AM109=1;0;'$ Unit'!$U109)</v>
      </c>
      <c r="H82" s="60" t="str">
        <f t="shared" si="9"/>
        <v>=SI(Upg!$AN109=1;0;'$ Unit'!$V109)+SI(Upg!$AO109=1;0;'$ Unit'!$V109)+SI(Upg!$AP109=1;0;'$ Unit'!$V109)+SI(Upg!$AQ109=1;0;'$ Unit'!$V109)</v>
      </c>
      <c r="I82" s="60" t="str">
        <f t="shared" si="10"/>
        <v>=SI(Upg!$AR109=1;0;'$ Unit'!$W109)+SI(Upg!$AS109=1;0;'$ Unit'!$W109)+SI(Upg!$AT109=1;0;'$ Unit'!$W109)+SI(Upg!$AU109=1;0;'$ Unit'!$W109)</v>
      </c>
      <c r="J82" s="60" t="str">
        <f t="shared" si="11"/>
        <v>=SI(Upg!$AV109=1;0;'$ Unit'!$X109)+SI(Upg!$AW109=1;0;'$ Unit'!$X109)+SI(Upg!$AX109=1;0;'$ Unit'!$X109)+SI(Upg!$AY109=1;0;'$ Unit'!$X109)</v>
      </c>
      <c r="K82" s="60" t="str">
        <f t="shared" si="12"/>
        <v>=SI(Upg!$AZ109=1;0;'$ Unit'!$Y109)+SI(Upg!$BA109=1;0;'$ Unit'!$Y109)+SI(Upg!$BB109=1;0;'$ Unit'!$Y109)+SI(Upg!$BC109=1;0;'$ Unit'!$Y109)</v>
      </c>
      <c r="L82" s="60" t="str">
        <f t="shared" si="13"/>
        <v>=SI(Upg!$BD109=1;0;'$ Unit'!$Z109)+SI(Upg!$BE109=1;0;'$ Unit'!$Z109)+SI(Upg!$BF109=1;0;'$ Unit'!$Z109)+SI(Upg!$BG109=1;0;'$ Unit'!$Z109)</v>
      </c>
      <c r="M82" s="60" t="str">
        <f t="shared" si="14"/>
        <v>=SI(Upg!$BH109=1;0;'$ Unit'!$AA109)+SI(Upg!$BI109=1;0;'$ Unit'!$AA109)+SI(Upg!$BJ109=1;0;'$ Unit'!$AA109)+SI(Upg!$BK109=1;0;'$ Unit'!$AA109)</v>
      </c>
      <c r="N82" s="60" t="str">
        <f t="shared" si="15"/>
        <v>=SI(Upg!$BL109=1;0;'$ Unit'!$AB109)+SI(Upg!$BM109=1;0;'$ Unit'!$AB109)+SI(Upg!$BN109=1;0;'$ Unit'!$AB109)+SI(Upg!$BO109=1;0;'$ Unit'!$AB109)</v>
      </c>
      <c r="Q82" t="str">
        <f t="shared" ref="Q82:Q113" si="19">CONCATENATE($Q$2,$A82,$R$2,$A82)</f>
        <v>='$ Unit'!AD109*Garage!AD109</v>
      </c>
      <c r="R82" t="str">
        <f t="shared" ref="R82:R113" si="20">CONCATENATE($Q$3,$A82,$R$3,$A82)</f>
        <v>='$ Unit'!AE109*Garage!AI109</v>
      </c>
      <c r="S82" t="str">
        <f t="shared" ref="S82:S113" si="21">CONCATENATE($Q$4,$A82,$R$4,$A82,)</f>
        <v>='$ Unit'!AF109*Garage!AN109</v>
      </c>
    </row>
    <row r="83" spans="1:19" x14ac:dyDescent="0.2">
      <c r="A83" s="2">
        <v>110</v>
      </c>
      <c r="B83" s="60" t="str">
        <f t="shared" ref="B83:B139" si="22">CONCATENATE($C$2,$A83,$B$2,$A83,$D$2,$A83,$B$2,$A83,$E$2,$A83,$B$2,$A83,$F$2,$A83,$B$2,$A83,$G$2)</f>
        <v>=SI(Upg!$P110=1;0;'$ Unit'!$P110)+SI(Upg!$Q110=1;0;'$ Unit'!$P110)+SI(Upg!$R110=1;0;'$ Unit'!$P110)+SI(Upg!$S110=1;0;'$ Unit'!$P110)</v>
      </c>
      <c r="C83" s="60" t="str">
        <f t="shared" ref="C83:C139" si="23">CONCATENATE($C$3,$A83,$B$3,$A83,$D$3,$A83,$B$3,$A83,$E$3,$A83,$B$3,$A83,$F$3,$A83,$B$3,$A83,$G$3)</f>
        <v>=SI(Upg!$T110=1;0;'$ Unit'!$Q110)+SI(Upg!$U110=1;0;'$ Unit'!$Q110)+SI(Upg!$V110=1;0;'$ Unit'!$Q110)+SI(Upg!$W110=1;0;'$ Unit'!$Q110)</v>
      </c>
      <c r="D83" s="60" t="str">
        <f t="shared" ref="D83:D139" si="24">CONCATENATE($C$4,$A83,$B$4,$A83,$D$4,$A83,$B$4,$A83,$E$4,$A83,$B$4,$A83,$F$4,$A83,$B$4,$A83,$G$4)</f>
        <v>=SI(Upg!$X110=1;0;'$ Unit'!$R110)+SI(Upg!$Y110=1;0;'$ Unit'!$R110)+SI(Upg!$Z110=1;0;'$ Unit'!$R110)+SI(Upg!$AA110=1;0;'$ Unit'!$R110)</v>
      </c>
      <c r="E83" s="60" t="str">
        <f t="shared" ref="E83:E139" si="25">CONCATENATE($C$5,$A83,$B$5,$A83,$D$5,$A83,$B$5,$A83,$E$5,$A83,$B$5,$A83,$F$5,$A83,$B$5,$A83,$G$5)</f>
        <v>=SI(Upg!$AB110=1;0;'$ Unit'!$S110)+SI(Upg!$AC110=1;0;'$ Unit'!$S110)+SI(Upg!$AD110=1;0;'$ Unit'!$S110)+SI(Upg!$AE110=1;0;'$ Unit'!$S110)</v>
      </c>
      <c r="F83" s="60" t="str">
        <f t="shared" ref="F83:F139" si="26">CONCATENATE($C$6,$A83,$B$6,$A83,$D$6,$A83,$B$6,$A83,$E$6,$A83,$B$6,$A83,$F$6,$A83,$B$6,$A83,$G$6)</f>
        <v>=SI(Upg!$AF110=1;0;'$ Unit'!$T110)+SI(Upg!$AG110=1;0;'$ Unit'!$T110)+SI(Upg!$AH110=1;0;'$ Unit'!$T110)+SI(Upg!$AI110=1;0;'$ Unit'!$T110)</v>
      </c>
      <c r="G83" s="60" t="str">
        <f t="shared" ref="G83:G139" si="27">CONCATENATE($C$7,$A83,$B$7,$A83,$D$7,$A83,$B$7,$A83,$E$7,$A83,$B$7,$A83,$F$7,$A83,$B$7,$A83,$G$7)</f>
        <v>=SI(Upg!$AJ110=1;0;'$ Unit'!$U110)+SI(Upg!$AK110=1;0;'$ Unit'!$U110)+SI(Upg!$AL110=1;0;'$ Unit'!$U110)+SI(Upg!$AM110=1;0;'$ Unit'!$U110)</v>
      </c>
      <c r="H83" s="60" t="str">
        <f t="shared" ref="H83:H139" si="28">CONCATENATE($C$8,$A83,$B$8,$A83,$D$8,$A83,$B$8,$A83,$E$8,$A83,$B$8,$A83,$F$8,$A83,$B$8,$A83,$G$8)</f>
        <v>=SI(Upg!$AN110=1;0;'$ Unit'!$V110)+SI(Upg!$AO110=1;0;'$ Unit'!$V110)+SI(Upg!$AP110=1;0;'$ Unit'!$V110)+SI(Upg!$AQ110=1;0;'$ Unit'!$V110)</v>
      </c>
      <c r="I83" s="60" t="str">
        <f t="shared" ref="I83:I139" si="29">CONCATENATE($C$9,$A83,$B$9,$A83,$D$9,$A83,$B$9,$A83,$E$9,$A83,$B$9,$A83,$F$9,$A83,$B$9,$A83,$G$9)</f>
        <v>=SI(Upg!$AR110=1;0;'$ Unit'!$W110)+SI(Upg!$AS110=1;0;'$ Unit'!$W110)+SI(Upg!$AT110=1;0;'$ Unit'!$W110)+SI(Upg!$AU110=1;0;'$ Unit'!$W110)</v>
      </c>
      <c r="J83" s="60" t="str">
        <f t="shared" ref="J83:J139" si="30">CONCATENATE($C$10,$A83,$B$10,$A83,$D$10,$A83,$B$10,$A83,$E$10,$A83,$B$10,$A83,$F$10,$A83,$B$10,$A83,$G$10)</f>
        <v>=SI(Upg!$AV110=1;0;'$ Unit'!$X110)+SI(Upg!$AW110=1;0;'$ Unit'!$X110)+SI(Upg!$AX110=1;0;'$ Unit'!$X110)+SI(Upg!$AY110=1;0;'$ Unit'!$X110)</v>
      </c>
      <c r="K83" s="60" t="str">
        <f t="shared" ref="K83:K139" si="31">CONCATENATE($C$11,$A83,$B$11,$A83,$D$11,$A83,$B$11,$A83,$E$11,$A83,$B$11,$A83,$F$11,$A83,$B$11,$A83,$G$11)</f>
        <v>=SI(Upg!$AZ110=1;0;'$ Unit'!$Y110)+SI(Upg!$BA110=1;0;'$ Unit'!$Y110)+SI(Upg!$BB110=1;0;'$ Unit'!$Y110)+SI(Upg!$BC110=1;0;'$ Unit'!$Y110)</v>
      </c>
      <c r="L83" s="60" t="str">
        <f t="shared" ref="L83:L139" si="32">CONCATENATE($C$12,$A83,$B$12,$A83,$D$12,$A83,$B$12,$A83,$E$12,$A83,$B$12,$A83,$F$12,$A83,$B$12,$A83,$G$12)</f>
        <v>=SI(Upg!$BD110=1;0;'$ Unit'!$Z110)+SI(Upg!$BE110=1;0;'$ Unit'!$Z110)+SI(Upg!$BF110=1;0;'$ Unit'!$Z110)+SI(Upg!$BG110=1;0;'$ Unit'!$Z110)</v>
      </c>
      <c r="M83" s="60" t="str">
        <f t="shared" ref="M83:M139" si="33">CONCATENATE($C$13,$A83,$B$13,$A83,$D$13,$A83,$B$13,$A83,$E$13,$A83,$B$13,$A83,$F$13,$A83,$B$13,$A83,$G$13)</f>
        <v>=SI(Upg!$BH110=1;0;'$ Unit'!$AA110)+SI(Upg!$BI110=1;0;'$ Unit'!$AA110)+SI(Upg!$BJ110=1;0;'$ Unit'!$AA110)+SI(Upg!$BK110=1;0;'$ Unit'!$AA110)</v>
      </c>
      <c r="N83" s="60" t="str">
        <f t="shared" ref="N83:N139" si="34">CONCATENATE($C$14,$A83,$B$14,$A83,$D$14,$A83,$B$14,$A83,$E$14,$A83,$B$14,$A83,$F$14,$A83,$B$14,$A83,$G$14)</f>
        <v>=SI(Upg!$BL110=1;0;'$ Unit'!$AB110)+SI(Upg!$BM110=1;0;'$ Unit'!$AB110)+SI(Upg!$BN110=1;0;'$ Unit'!$AB110)+SI(Upg!$BO110=1;0;'$ Unit'!$AB110)</v>
      </c>
      <c r="Q83" t="str">
        <f t="shared" si="19"/>
        <v>='$ Unit'!AD110*Garage!AD110</v>
      </c>
      <c r="R83" t="str">
        <f t="shared" si="20"/>
        <v>='$ Unit'!AE110*Garage!AI110</v>
      </c>
      <c r="S83" t="str">
        <f t="shared" si="21"/>
        <v>='$ Unit'!AF110*Garage!AN110</v>
      </c>
    </row>
    <row r="84" spans="1:19" x14ac:dyDescent="0.2">
      <c r="A84" s="2">
        <v>113</v>
      </c>
      <c r="B84" s="60" t="str">
        <f t="shared" si="22"/>
        <v>=SI(Upg!$P113=1;0;'$ Unit'!$P113)+SI(Upg!$Q113=1;0;'$ Unit'!$P113)+SI(Upg!$R113=1;0;'$ Unit'!$P113)+SI(Upg!$S113=1;0;'$ Unit'!$P113)</v>
      </c>
      <c r="C84" s="60" t="str">
        <f t="shared" si="23"/>
        <v>=SI(Upg!$T113=1;0;'$ Unit'!$Q113)+SI(Upg!$U113=1;0;'$ Unit'!$Q113)+SI(Upg!$V113=1;0;'$ Unit'!$Q113)+SI(Upg!$W113=1;0;'$ Unit'!$Q113)</v>
      </c>
      <c r="D84" s="60" t="str">
        <f t="shared" si="24"/>
        <v>=SI(Upg!$X113=1;0;'$ Unit'!$R113)+SI(Upg!$Y113=1;0;'$ Unit'!$R113)+SI(Upg!$Z113=1;0;'$ Unit'!$R113)+SI(Upg!$AA113=1;0;'$ Unit'!$R113)</v>
      </c>
      <c r="E84" s="60" t="str">
        <f t="shared" si="25"/>
        <v>=SI(Upg!$AB113=1;0;'$ Unit'!$S113)+SI(Upg!$AC113=1;0;'$ Unit'!$S113)+SI(Upg!$AD113=1;0;'$ Unit'!$S113)+SI(Upg!$AE113=1;0;'$ Unit'!$S113)</v>
      </c>
      <c r="F84" s="60" t="str">
        <f t="shared" si="26"/>
        <v>=SI(Upg!$AF113=1;0;'$ Unit'!$T113)+SI(Upg!$AG113=1;0;'$ Unit'!$T113)+SI(Upg!$AH113=1;0;'$ Unit'!$T113)+SI(Upg!$AI113=1;0;'$ Unit'!$T113)</v>
      </c>
      <c r="G84" s="60" t="str">
        <f t="shared" si="27"/>
        <v>=SI(Upg!$AJ113=1;0;'$ Unit'!$U113)+SI(Upg!$AK113=1;0;'$ Unit'!$U113)+SI(Upg!$AL113=1;0;'$ Unit'!$U113)+SI(Upg!$AM113=1;0;'$ Unit'!$U113)</v>
      </c>
      <c r="H84" s="60" t="str">
        <f t="shared" si="28"/>
        <v>=SI(Upg!$AN113=1;0;'$ Unit'!$V113)+SI(Upg!$AO113=1;0;'$ Unit'!$V113)+SI(Upg!$AP113=1;0;'$ Unit'!$V113)+SI(Upg!$AQ113=1;0;'$ Unit'!$V113)</v>
      </c>
      <c r="I84" s="60" t="str">
        <f t="shared" si="29"/>
        <v>=SI(Upg!$AR113=1;0;'$ Unit'!$W113)+SI(Upg!$AS113=1;0;'$ Unit'!$W113)+SI(Upg!$AT113=1;0;'$ Unit'!$W113)+SI(Upg!$AU113=1;0;'$ Unit'!$W113)</v>
      </c>
      <c r="J84" s="60" t="str">
        <f t="shared" si="30"/>
        <v>=SI(Upg!$AV113=1;0;'$ Unit'!$X113)+SI(Upg!$AW113=1;0;'$ Unit'!$X113)+SI(Upg!$AX113=1;0;'$ Unit'!$X113)+SI(Upg!$AY113=1;0;'$ Unit'!$X113)</v>
      </c>
      <c r="K84" s="60" t="str">
        <f t="shared" si="31"/>
        <v>=SI(Upg!$AZ113=1;0;'$ Unit'!$Y113)+SI(Upg!$BA113=1;0;'$ Unit'!$Y113)+SI(Upg!$BB113=1;0;'$ Unit'!$Y113)+SI(Upg!$BC113=1;0;'$ Unit'!$Y113)</v>
      </c>
      <c r="L84" s="60" t="str">
        <f t="shared" si="32"/>
        <v>=SI(Upg!$BD113=1;0;'$ Unit'!$Z113)+SI(Upg!$BE113=1;0;'$ Unit'!$Z113)+SI(Upg!$BF113=1;0;'$ Unit'!$Z113)+SI(Upg!$BG113=1;0;'$ Unit'!$Z113)</v>
      </c>
      <c r="M84" s="60" t="str">
        <f t="shared" si="33"/>
        <v>=SI(Upg!$BH113=1;0;'$ Unit'!$AA113)+SI(Upg!$BI113=1;0;'$ Unit'!$AA113)+SI(Upg!$BJ113=1;0;'$ Unit'!$AA113)+SI(Upg!$BK113=1;0;'$ Unit'!$AA113)</v>
      </c>
      <c r="N84" s="60" t="str">
        <f t="shared" si="34"/>
        <v>=SI(Upg!$BL113=1;0;'$ Unit'!$AB113)+SI(Upg!$BM113=1;0;'$ Unit'!$AB113)+SI(Upg!$BN113=1;0;'$ Unit'!$AB113)+SI(Upg!$BO113=1;0;'$ Unit'!$AB113)</v>
      </c>
      <c r="Q84" t="str">
        <f t="shared" si="19"/>
        <v>='$ Unit'!AD113*Garage!AD113</v>
      </c>
      <c r="R84" t="str">
        <f t="shared" si="20"/>
        <v>='$ Unit'!AE113*Garage!AI113</v>
      </c>
      <c r="S84" t="str">
        <f t="shared" si="21"/>
        <v>='$ Unit'!AF113*Garage!AN113</v>
      </c>
    </row>
    <row r="85" spans="1:19" x14ac:dyDescent="0.2">
      <c r="A85" s="2">
        <v>116</v>
      </c>
      <c r="B85" s="60" t="str">
        <f t="shared" si="22"/>
        <v>=SI(Upg!$P116=1;0;'$ Unit'!$P116)+SI(Upg!$Q116=1;0;'$ Unit'!$P116)+SI(Upg!$R116=1;0;'$ Unit'!$P116)+SI(Upg!$S116=1;0;'$ Unit'!$P116)</v>
      </c>
      <c r="C85" s="60" t="str">
        <f t="shared" si="23"/>
        <v>=SI(Upg!$T116=1;0;'$ Unit'!$Q116)+SI(Upg!$U116=1;0;'$ Unit'!$Q116)+SI(Upg!$V116=1;0;'$ Unit'!$Q116)+SI(Upg!$W116=1;0;'$ Unit'!$Q116)</v>
      </c>
      <c r="D85" s="60" t="str">
        <f t="shared" si="24"/>
        <v>=SI(Upg!$X116=1;0;'$ Unit'!$R116)+SI(Upg!$Y116=1;0;'$ Unit'!$R116)+SI(Upg!$Z116=1;0;'$ Unit'!$R116)+SI(Upg!$AA116=1;0;'$ Unit'!$R116)</v>
      </c>
      <c r="E85" s="60" t="str">
        <f t="shared" si="25"/>
        <v>=SI(Upg!$AB116=1;0;'$ Unit'!$S116)+SI(Upg!$AC116=1;0;'$ Unit'!$S116)+SI(Upg!$AD116=1;0;'$ Unit'!$S116)+SI(Upg!$AE116=1;0;'$ Unit'!$S116)</v>
      </c>
      <c r="F85" s="60" t="str">
        <f t="shared" si="26"/>
        <v>=SI(Upg!$AF116=1;0;'$ Unit'!$T116)+SI(Upg!$AG116=1;0;'$ Unit'!$T116)+SI(Upg!$AH116=1;0;'$ Unit'!$T116)+SI(Upg!$AI116=1;0;'$ Unit'!$T116)</v>
      </c>
      <c r="G85" s="60" t="str">
        <f t="shared" si="27"/>
        <v>=SI(Upg!$AJ116=1;0;'$ Unit'!$U116)+SI(Upg!$AK116=1;0;'$ Unit'!$U116)+SI(Upg!$AL116=1;0;'$ Unit'!$U116)+SI(Upg!$AM116=1;0;'$ Unit'!$U116)</v>
      </c>
      <c r="H85" s="60" t="str">
        <f t="shared" si="28"/>
        <v>=SI(Upg!$AN116=1;0;'$ Unit'!$V116)+SI(Upg!$AO116=1;0;'$ Unit'!$V116)+SI(Upg!$AP116=1;0;'$ Unit'!$V116)+SI(Upg!$AQ116=1;0;'$ Unit'!$V116)</v>
      </c>
      <c r="I85" s="60" t="str">
        <f t="shared" si="29"/>
        <v>=SI(Upg!$AR116=1;0;'$ Unit'!$W116)+SI(Upg!$AS116=1;0;'$ Unit'!$W116)+SI(Upg!$AT116=1;0;'$ Unit'!$W116)+SI(Upg!$AU116=1;0;'$ Unit'!$W116)</v>
      </c>
      <c r="J85" s="60" t="str">
        <f t="shared" si="30"/>
        <v>=SI(Upg!$AV116=1;0;'$ Unit'!$X116)+SI(Upg!$AW116=1;0;'$ Unit'!$X116)+SI(Upg!$AX116=1;0;'$ Unit'!$X116)+SI(Upg!$AY116=1;0;'$ Unit'!$X116)</v>
      </c>
      <c r="K85" s="60" t="str">
        <f t="shared" si="31"/>
        <v>=SI(Upg!$AZ116=1;0;'$ Unit'!$Y116)+SI(Upg!$BA116=1;0;'$ Unit'!$Y116)+SI(Upg!$BB116=1;0;'$ Unit'!$Y116)+SI(Upg!$BC116=1;0;'$ Unit'!$Y116)</v>
      </c>
      <c r="L85" s="60" t="str">
        <f t="shared" si="32"/>
        <v>=SI(Upg!$BD116=1;0;'$ Unit'!$Z116)+SI(Upg!$BE116=1;0;'$ Unit'!$Z116)+SI(Upg!$BF116=1;0;'$ Unit'!$Z116)+SI(Upg!$BG116=1;0;'$ Unit'!$Z116)</v>
      </c>
      <c r="M85" s="60" t="str">
        <f t="shared" si="33"/>
        <v>=SI(Upg!$BH116=1;0;'$ Unit'!$AA116)+SI(Upg!$BI116=1;0;'$ Unit'!$AA116)+SI(Upg!$BJ116=1;0;'$ Unit'!$AA116)+SI(Upg!$BK116=1;0;'$ Unit'!$AA116)</v>
      </c>
      <c r="N85" s="60" t="str">
        <f t="shared" si="34"/>
        <v>=SI(Upg!$BL116=1;0;'$ Unit'!$AB116)+SI(Upg!$BM116=1;0;'$ Unit'!$AB116)+SI(Upg!$BN116=1;0;'$ Unit'!$AB116)+SI(Upg!$BO116=1;0;'$ Unit'!$AB116)</v>
      </c>
      <c r="Q85" t="str">
        <f t="shared" si="19"/>
        <v>='$ Unit'!AD116*Garage!AD116</v>
      </c>
      <c r="R85" t="str">
        <f t="shared" si="20"/>
        <v>='$ Unit'!AE116*Garage!AI116</v>
      </c>
      <c r="S85" t="str">
        <f t="shared" si="21"/>
        <v>='$ Unit'!AF116*Garage!AN116</v>
      </c>
    </row>
    <row r="86" spans="1:19" x14ac:dyDescent="0.2">
      <c r="A86" s="2">
        <v>119</v>
      </c>
      <c r="B86" s="60" t="str">
        <f t="shared" si="22"/>
        <v>=SI(Upg!$P119=1;0;'$ Unit'!$P119)+SI(Upg!$Q119=1;0;'$ Unit'!$P119)+SI(Upg!$R119=1;0;'$ Unit'!$P119)+SI(Upg!$S119=1;0;'$ Unit'!$P119)</v>
      </c>
      <c r="C86" s="60" t="str">
        <f t="shared" si="23"/>
        <v>=SI(Upg!$T119=1;0;'$ Unit'!$Q119)+SI(Upg!$U119=1;0;'$ Unit'!$Q119)+SI(Upg!$V119=1;0;'$ Unit'!$Q119)+SI(Upg!$W119=1;0;'$ Unit'!$Q119)</v>
      </c>
      <c r="D86" s="60" t="str">
        <f t="shared" si="24"/>
        <v>=SI(Upg!$X119=1;0;'$ Unit'!$R119)+SI(Upg!$Y119=1;0;'$ Unit'!$R119)+SI(Upg!$Z119=1;0;'$ Unit'!$R119)+SI(Upg!$AA119=1;0;'$ Unit'!$R119)</v>
      </c>
      <c r="E86" s="60" t="str">
        <f t="shared" si="25"/>
        <v>=SI(Upg!$AB119=1;0;'$ Unit'!$S119)+SI(Upg!$AC119=1;0;'$ Unit'!$S119)+SI(Upg!$AD119=1;0;'$ Unit'!$S119)+SI(Upg!$AE119=1;0;'$ Unit'!$S119)</v>
      </c>
      <c r="F86" s="60" t="str">
        <f t="shared" si="26"/>
        <v>=SI(Upg!$AF119=1;0;'$ Unit'!$T119)+SI(Upg!$AG119=1;0;'$ Unit'!$T119)+SI(Upg!$AH119=1;0;'$ Unit'!$T119)+SI(Upg!$AI119=1;0;'$ Unit'!$T119)</v>
      </c>
      <c r="G86" s="60" t="str">
        <f t="shared" si="27"/>
        <v>=SI(Upg!$AJ119=1;0;'$ Unit'!$U119)+SI(Upg!$AK119=1;0;'$ Unit'!$U119)+SI(Upg!$AL119=1;0;'$ Unit'!$U119)+SI(Upg!$AM119=1;0;'$ Unit'!$U119)</v>
      </c>
      <c r="H86" s="60" t="str">
        <f t="shared" si="28"/>
        <v>=SI(Upg!$AN119=1;0;'$ Unit'!$V119)+SI(Upg!$AO119=1;0;'$ Unit'!$V119)+SI(Upg!$AP119=1;0;'$ Unit'!$V119)+SI(Upg!$AQ119=1;0;'$ Unit'!$V119)</v>
      </c>
      <c r="I86" s="60" t="str">
        <f t="shared" si="29"/>
        <v>=SI(Upg!$AR119=1;0;'$ Unit'!$W119)+SI(Upg!$AS119=1;0;'$ Unit'!$W119)+SI(Upg!$AT119=1;0;'$ Unit'!$W119)+SI(Upg!$AU119=1;0;'$ Unit'!$W119)</v>
      </c>
      <c r="J86" s="60" t="str">
        <f t="shared" si="30"/>
        <v>=SI(Upg!$AV119=1;0;'$ Unit'!$X119)+SI(Upg!$AW119=1;0;'$ Unit'!$X119)+SI(Upg!$AX119=1;0;'$ Unit'!$X119)+SI(Upg!$AY119=1;0;'$ Unit'!$X119)</v>
      </c>
      <c r="K86" s="60" t="str">
        <f t="shared" si="31"/>
        <v>=SI(Upg!$AZ119=1;0;'$ Unit'!$Y119)+SI(Upg!$BA119=1;0;'$ Unit'!$Y119)+SI(Upg!$BB119=1;0;'$ Unit'!$Y119)+SI(Upg!$BC119=1;0;'$ Unit'!$Y119)</v>
      </c>
      <c r="L86" s="60" t="str">
        <f t="shared" si="32"/>
        <v>=SI(Upg!$BD119=1;0;'$ Unit'!$Z119)+SI(Upg!$BE119=1;0;'$ Unit'!$Z119)+SI(Upg!$BF119=1;0;'$ Unit'!$Z119)+SI(Upg!$BG119=1;0;'$ Unit'!$Z119)</v>
      </c>
      <c r="M86" s="60" t="str">
        <f t="shared" si="33"/>
        <v>=SI(Upg!$BH119=1;0;'$ Unit'!$AA119)+SI(Upg!$BI119=1;0;'$ Unit'!$AA119)+SI(Upg!$BJ119=1;0;'$ Unit'!$AA119)+SI(Upg!$BK119=1;0;'$ Unit'!$AA119)</v>
      </c>
      <c r="N86" s="60" t="str">
        <f t="shared" si="34"/>
        <v>=SI(Upg!$BL119=1;0;'$ Unit'!$AB119)+SI(Upg!$BM119=1;0;'$ Unit'!$AB119)+SI(Upg!$BN119=1;0;'$ Unit'!$AB119)+SI(Upg!$BO119=1;0;'$ Unit'!$AB119)</v>
      </c>
      <c r="Q86" t="str">
        <f t="shared" si="19"/>
        <v>='$ Unit'!AD119*Garage!AD119</v>
      </c>
      <c r="R86" t="str">
        <f t="shared" si="20"/>
        <v>='$ Unit'!AE119*Garage!AI119</v>
      </c>
      <c r="S86" t="str">
        <f t="shared" si="21"/>
        <v>='$ Unit'!AF119*Garage!AN119</v>
      </c>
    </row>
    <row r="87" spans="1:19" x14ac:dyDescent="0.2">
      <c r="A87" s="2">
        <v>122</v>
      </c>
      <c r="B87" s="60" t="str">
        <f t="shared" si="22"/>
        <v>=SI(Upg!$P122=1;0;'$ Unit'!$P122)+SI(Upg!$Q122=1;0;'$ Unit'!$P122)+SI(Upg!$R122=1;0;'$ Unit'!$P122)+SI(Upg!$S122=1;0;'$ Unit'!$P122)</v>
      </c>
      <c r="C87" s="60" t="str">
        <f t="shared" si="23"/>
        <v>=SI(Upg!$T122=1;0;'$ Unit'!$Q122)+SI(Upg!$U122=1;0;'$ Unit'!$Q122)+SI(Upg!$V122=1;0;'$ Unit'!$Q122)+SI(Upg!$W122=1;0;'$ Unit'!$Q122)</v>
      </c>
      <c r="D87" s="60" t="str">
        <f t="shared" si="24"/>
        <v>=SI(Upg!$X122=1;0;'$ Unit'!$R122)+SI(Upg!$Y122=1;0;'$ Unit'!$R122)+SI(Upg!$Z122=1;0;'$ Unit'!$R122)+SI(Upg!$AA122=1;0;'$ Unit'!$R122)</v>
      </c>
      <c r="E87" s="60" t="str">
        <f t="shared" si="25"/>
        <v>=SI(Upg!$AB122=1;0;'$ Unit'!$S122)+SI(Upg!$AC122=1;0;'$ Unit'!$S122)+SI(Upg!$AD122=1;0;'$ Unit'!$S122)+SI(Upg!$AE122=1;0;'$ Unit'!$S122)</v>
      </c>
      <c r="F87" s="60" t="str">
        <f t="shared" si="26"/>
        <v>=SI(Upg!$AF122=1;0;'$ Unit'!$T122)+SI(Upg!$AG122=1;0;'$ Unit'!$T122)+SI(Upg!$AH122=1;0;'$ Unit'!$T122)+SI(Upg!$AI122=1;0;'$ Unit'!$T122)</v>
      </c>
      <c r="G87" s="60" t="str">
        <f t="shared" si="27"/>
        <v>=SI(Upg!$AJ122=1;0;'$ Unit'!$U122)+SI(Upg!$AK122=1;0;'$ Unit'!$U122)+SI(Upg!$AL122=1;0;'$ Unit'!$U122)+SI(Upg!$AM122=1;0;'$ Unit'!$U122)</v>
      </c>
      <c r="H87" s="60" t="str">
        <f t="shared" si="28"/>
        <v>=SI(Upg!$AN122=1;0;'$ Unit'!$V122)+SI(Upg!$AO122=1;0;'$ Unit'!$V122)+SI(Upg!$AP122=1;0;'$ Unit'!$V122)+SI(Upg!$AQ122=1;0;'$ Unit'!$V122)</v>
      </c>
      <c r="I87" s="60" t="str">
        <f t="shared" si="29"/>
        <v>=SI(Upg!$AR122=1;0;'$ Unit'!$W122)+SI(Upg!$AS122=1;0;'$ Unit'!$W122)+SI(Upg!$AT122=1;0;'$ Unit'!$W122)+SI(Upg!$AU122=1;0;'$ Unit'!$W122)</v>
      </c>
      <c r="J87" s="60" t="str">
        <f t="shared" si="30"/>
        <v>=SI(Upg!$AV122=1;0;'$ Unit'!$X122)+SI(Upg!$AW122=1;0;'$ Unit'!$X122)+SI(Upg!$AX122=1;0;'$ Unit'!$X122)+SI(Upg!$AY122=1;0;'$ Unit'!$X122)</v>
      </c>
      <c r="K87" s="60" t="str">
        <f t="shared" si="31"/>
        <v>=SI(Upg!$AZ122=1;0;'$ Unit'!$Y122)+SI(Upg!$BA122=1;0;'$ Unit'!$Y122)+SI(Upg!$BB122=1;0;'$ Unit'!$Y122)+SI(Upg!$BC122=1;0;'$ Unit'!$Y122)</v>
      </c>
      <c r="L87" s="60" t="str">
        <f t="shared" si="32"/>
        <v>=SI(Upg!$BD122=1;0;'$ Unit'!$Z122)+SI(Upg!$BE122=1;0;'$ Unit'!$Z122)+SI(Upg!$BF122=1;0;'$ Unit'!$Z122)+SI(Upg!$BG122=1;0;'$ Unit'!$Z122)</v>
      </c>
      <c r="M87" s="60" t="str">
        <f t="shared" si="33"/>
        <v>=SI(Upg!$BH122=1;0;'$ Unit'!$AA122)+SI(Upg!$BI122=1;0;'$ Unit'!$AA122)+SI(Upg!$BJ122=1;0;'$ Unit'!$AA122)+SI(Upg!$BK122=1;0;'$ Unit'!$AA122)</v>
      </c>
      <c r="N87" s="60" t="str">
        <f t="shared" si="34"/>
        <v>=SI(Upg!$BL122=1;0;'$ Unit'!$AB122)+SI(Upg!$BM122=1;0;'$ Unit'!$AB122)+SI(Upg!$BN122=1;0;'$ Unit'!$AB122)+SI(Upg!$BO122=1;0;'$ Unit'!$AB122)</v>
      </c>
      <c r="Q87" t="str">
        <f t="shared" si="19"/>
        <v>='$ Unit'!AD122*Garage!AD122</v>
      </c>
      <c r="R87" t="str">
        <f t="shared" si="20"/>
        <v>='$ Unit'!AE122*Garage!AI122</v>
      </c>
      <c r="S87" t="str">
        <f t="shared" si="21"/>
        <v>='$ Unit'!AF122*Garage!AN122</v>
      </c>
    </row>
    <row r="88" spans="1:19" x14ac:dyDescent="0.2">
      <c r="A88" s="2">
        <v>123</v>
      </c>
      <c r="B88" s="60" t="str">
        <f t="shared" si="22"/>
        <v>=SI(Upg!$P123=1;0;'$ Unit'!$P123)+SI(Upg!$Q123=1;0;'$ Unit'!$P123)+SI(Upg!$R123=1;0;'$ Unit'!$P123)+SI(Upg!$S123=1;0;'$ Unit'!$P123)</v>
      </c>
      <c r="C88" s="60" t="str">
        <f t="shared" si="23"/>
        <v>=SI(Upg!$T123=1;0;'$ Unit'!$Q123)+SI(Upg!$U123=1;0;'$ Unit'!$Q123)+SI(Upg!$V123=1;0;'$ Unit'!$Q123)+SI(Upg!$W123=1;0;'$ Unit'!$Q123)</v>
      </c>
      <c r="D88" s="60" t="str">
        <f t="shared" si="24"/>
        <v>=SI(Upg!$X123=1;0;'$ Unit'!$R123)+SI(Upg!$Y123=1;0;'$ Unit'!$R123)+SI(Upg!$Z123=1;0;'$ Unit'!$R123)+SI(Upg!$AA123=1;0;'$ Unit'!$R123)</v>
      </c>
      <c r="E88" s="60" t="str">
        <f t="shared" si="25"/>
        <v>=SI(Upg!$AB123=1;0;'$ Unit'!$S123)+SI(Upg!$AC123=1;0;'$ Unit'!$S123)+SI(Upg!$AD123=1;0;'$ Unit'!$S123)+SI(Upg!$AE123=1;0;'$ Unit'!$S123)</v>
      </c>
      <c r="F88" s="60" t="str">
        <f t="shared" si="26"/>
        <v>=SI(Upg!$AF123=1;0;'$ Unit'!$T123)+SI(Upg!$AG123=1;0;'$ Unit'!$T123)+SI(Upg!$AH123=1;0;'$ Unit'!$T123)+SI(Upg!$AI123=1;0;'$ Unit'!$T123)</v>
      </c>
      <c r="G88" s="60" t="str">
        <f t="shared" si="27"/>
        <v>=SI(Upg!$AJ123=1;0;'$ Unit'!$U123)+SI(Upg!$AK123=1;0;'$ Unit'!$U123)+SI(Upg!$AL123=1;0;'$ Unit'!$U123)+SI(Upg!$AM123=1;0;'$ Unit'!$U123)</v>
      </c>
      <c r="H88" s="60" t="str">
        <f t="shared" si="28"/>
        <v>=SI(Upg!$AN123=1;0;'$ Unit'!$V123)+SI(Upg!$AO123=1;0;'$ Unit'!$V123)+SI(Upg!$AP123=1;0;'$ Unit'!$V123)+SI(Upg!$AQ123=1;0;'$ Unit'!$V123)</v>
      </c>
      <c r="I88" s="60" t="str">
        <f t="shared" si="29"/>
        <v>=SI(Upg!$AR123=1;0;'$ Unit'!$W123)+SI(Upg!$AS123=1;0;'$ Unit'!$W123)+SI(Upg!$AT123=1;0;'$ Unit'!$W123)+SI(Upg!$AU123=1;0;'$ Unit'!$W123)</v>
      </c>
      <c r="J88" s="60" t="str">
        <f t="shared" si="30"/>
        <v>=SI(Upg!$AV123=1;0;'$ Unit'!$X123)+SI(Upg!$AW123=1;0;'$ Unit'!$X123)+SI(Upg!$AX123=1;0;'$ Unit'!$X123)+SI(Upg!$AY123=1;0;'$ Unit'!$X123)</v>
      </c>
      <c r="K88" s="60" t="str">
        <f t="shared" si="31"/>
        <v>=SI(Upg!$AZ123=1;0;'$ Unit'!$Y123)+SI(Upg!$BA123=1;0;'$ Unit'!$Y123)+SI(Upg!$BB123=1;0;'$ Unit'!$Y123)+SI(Upg!$BC123=1;0;'$ Unit'!$Y123)</v>
      </c>
      <c r="L88" s="60" t="str">
        <f t="shared" si="32"/>
        <v>=SI(Upg!$BD123=1;0;'$ Unit'!$Z123)+SI(Upg!$BE123=1;0;'$ Unit'!$Z123)+SI(Upg!$BF123=1;0;'$ Unit'!$Z123)+SI(Upg!$BG123=1;0;'$ Unit'!$Z123)</v>
      </c>
      <c r="M88" s="60" t="str">
        <f t="shared" si="33"/>
        <v>=SI(Upg!$BH123=1;0;'$ Unit'!$AA123)+SI(Upg!$BI123=1;0;'$ Unit'!$AA123)+SI(Upg!$BJ123=1;0;'$ Unit'!$AA123)+SI(Upg!$BK123=1;0;'$ Unit'!$AA123)</v>
      </c>
      <c r="N88" s="60" t="str">
        <f t="shared" si="34"/>
        <v>=SI(Upg!$BL123=1;0;'$ Unit'!$AB123)+SI(Upg!$BM123=1;0;'$ Unit'!$AB123)+SI(Upg!$BN123=1;0;'$ Unit'!$AB123)+SI(Upg!$BO123=1;0;'$ Unit'!$AB123)</v>
      </c>
      <c r="Q88" t="str">
        <f t="shared" si="19"/>
        <v>='$ Unit'!AD123*Garage!AD123</v>
      </c>
      <c r="R88" t="str">
        <f t="shared" si="20"/>
        <v>='$ Unit'!AE123*Garage!AI123</v>
      </c>
      <c r="S88" t="str">
        <f t="shared" si="21"/>
        <v>='$ Unit'!AF123*Garage!AN123</v>
      </c>
    </row>
    <row r="89" spans="1:19" x14ac:dyDescent="0.2">
      <c r="A89" s="2">
        <v>125</v>
      </c>
      <c r="B89" s="60" t="str">
        <f t="shared" si="22"/>
        <v>=SI(Upg!$P125=1;0;'$ Unit'!$P125)+SI(Upg!$Q125=1;0;'$ Unit'!$P125)+SI(Upg!$R125=1;0;'$ Unit'!$P125)+SI(Upg!$S125=1;0;'$ Unit'!$P125)</v>
      </c>
      <c r="C89" s="60" t="str">
        <f t="shared" si="23"/>
        <v>=SI(Upg!$T125=1;0;'$ Unit'!$Q125)+SI(Upg!$U125=1;0;'$ Unit'!$Q125)+SI(Upg!$V125=1;0;'$ Unit'!$Q125)+SI(Upg!$W125=1;0;'$ Unit'!$Q125)</v>
      </c>
      <c r="D89" s="60" t="str">
        <f t="shared" si="24"/>
        <v>=SI(Upg!$X125=1;0;'$ Unit'!$R125)+SI(Upg!$Y125=1;0;'$ Unit'!$R125)+SI(Upg!$Z125=1;0;'$ Unit'!$R125)+SI(Upg!$AA125=1;0;'$ Unit'!$R125)</v>
      </c>
      <c r="E89" s="60" t="str">
        <f t="shared" si="25"/>
        <v>=SI(Upg!$AB125=1;0;'$ Unit'!$S125)+SI(Upg!$AC125=1;0;'$ Unit'!$S125)+SI(Upg!$AD125=1;0;'$ Unit'!$S125)+SI(Upg!$AE125=1;0;'$ Unit'!$S125)</v>
      </c>
      <c r="F89" s="60" t="str">
        <f t="shared" si="26"/>
        <v>=SI(Upg!$AF125=1;0;'$ Unit'!$T125)+SI(Upg!$AG125=1;0;'$ Unit'!$T125)+SI(Upg!$AH125=1;0;'$ Unit'!$T125)+SI(Upg!$AI125=1;0;'$ Unit'!$T125)</v>
      </c>
      <c r="G89" s="60" t="str">
        <f t="shared" si="27"/>
        <v>=SI(Upg!$AJ125=1;0;'$ Unit'!$U125)+SI(Upg!$AK125=1;0;'$ Unit'!$U125)+SI(Upg!$AL125=1;0;'$ Unit'!$U125)+SI(Upg!$AM125=1;0;'$ Unit'!$U125)</v>
      </c>
      <c r="H89" s="60" t="str">
        <f t="shared" si="28"/>
        <v>=SI(Upg!$AN125=1;0;'$ Unit'!$V125)+SI(Upg!$AO125=1;0;'$ Unit'!$V125)+SI(Upg!$AP125=1;0;'$ Unit'!$V125)+SI(Upg!$AQ125=1;0;'$ Unit'!$V125)</v>
      </c>
      <c r="I89" s="60" t="str">
        <f t="shared" si="29"/>
        <v>=SI(Upg!$AR125=1;0;'$ Unit'!$W125)+SI(Upg!$AS125=1;0;'$ Unit'!$W125)+SI(Upg!$AT125=1;0;'$ Unit'!$W125)+SI(Upg!$AU125=1;0;'$ Unit'!$W125)</v>
      </c>
      <c r="J89" s="60" t="str">
        <f t="shared" si="30"/>
        <v>=SI(Upg!$AV125=1;0;'$ Unit'!$X125)+SI(Upg!$AW125=1;0;'$ Unit'!$X125)+SI(Upg!$AX125=1;0;'$ Unit'!$X125)+SI(Upg!$AY125=1;0;'$ Unit'!$X125)</v>
      </c>
      <c r="K89" s="60" t="str">
        <f t="shared" si="31"/>
        <v>=SI(Upg!$AZ125=1;0;'$ Unit'!$Y125)+SI(Upg!$BA125=1;0;'$ Unit'!$Y125)+SI(Upg!$BB125=1;0;'$ Unit'!$Y125)+SI(Upg!$BC125=1;0;'$ Unit'!$Y125)</v>
      </c>
      <c r="L89" s="60" t="str">
        <f t="shared" si="32"/>
        <v>=SI(Upg!$BD125=1;0;'$ Unit'!$Z125)+SI(Upg!$BE125=1;0;'$ Unit'!$Z125)+SI(Upg!$BF125=1;0;'$ Unit'!$Z125)+SI(Upg!$BG125=1;0;'$ Unit'!$Z125)</v>
      </c>
      <c r="M89" s="60" t="str">
        <f t="shared" si="33"/>
        <v>=SI(Upg!$BH125=1;0;'$ Unit'!$AA125)+SI(Upg!$BI125=1;0;'$ Unit'!$AA125)+SI(Upg!$BJ125=1;0;'$ Unit'!$AA125)+SI(Upg!$BK125=1;0;'$ Unit'!$AA125)</v>
      </c>
      <c r="N89" s="60" t="str">
        <f t="shared" si="34"/>
        <v>=SI(Upg!$BL125=1;0;'$ Unit'!$AB125)+SI(Upg!$BM125=1;0;'$ Unit'!$AB125)+SI(Upg!$BN125=1;0;'$ Unit'!$AB125)+SI(Upg!$BO125=1;0;'$ Unit'!$AB125)</v>
      </c>
      <c r="Q89" t="str">
        <f t="shared" si="19"/>
        <v>='$ Unit'!AD125*Garage!AD125</v>
      </c>
      <c r="R89" t="str">
        <f t="shared" si="20"/>
        <v>='$ Unit'!AE125*Garage!AI125</v>
      </c>
      <c r="S89" t="str">
        <f t="shared" si="21"/>
        <v>='$ Unit'!AF125*Garage!AN125</v>
      </c>
    </row>
    <row r="90" spans="1:19" x14ac:dyDescent="0.2">
      <c r="A90" s="2">
        <v>126</v>
      </c>
      <c r="B90" s="60" t="str">
        <f t="shared" si="22"/>
        <v>=SI(Upg!$P126=1;0;'$ Unit'!$P126)+SI(Upg!$Q126=1;0;'$ Unit'!$P126)+SI(Upg!$R126=1;0;'$ Unit'!$P126)+SI(Upg!$S126=1;0;'$ Unit'!$P126)</v>
      </c>
      <c r="C90" s="60" t="str">
        <f t="shared" si="23"/>
        <v>=SI(Upg!$T126=1;0;'$ Unit'!$Q126)+SI(Upg!$U126=1;0;'$ Unit'!$Q126)+SI(Upg!$V126=1;0;'$ Unit'!$Q126)+SI(Upg!$W126=1;0;'$ Unit'!$Q126)</v>
      </c>
      <c r="D90" s="60" t="str">
        <f t="shared" si="24"/>
        <v>=SI(Upg!$X126=1;0;'$ Unit'!$R126)+SI(Upg!$Y126=1;0;'$ Unit'!$R126)+SI(Upg!$Z126=1;0;'$ Unit'!$R126)+SI(Upg!$AA126=1;0;'$ Unit'!$R126)</v>
      </c>
      <c r="E90" s="60" t="str">
        <f t="shared" si="25"/>
        <v>=SI(Upg!$AB126=1;0;'$ Unit'!$S126)+SI(Upg!$AC126=1;0;'$ Unit'!$S126)+SI(Upg!$AD126=1;0;'$ Unit'!$S126)+SI(Upg!$AE126=1;0;'$ Unit'!$S126)</v>
      </c>
      <c r="F90" s="60" t="str">
        <f t="shared" si="26"/>
        <v>=SI(Upg!$AF126=1;0;'$ Unit'!$T126)+SI(Upg!$AG126=1;0;'$ Unit'!$T126)+SI(Upg!$AH126=1;0;'$ Unit'!$T126)+SI(Upg!$AI126=1;0;'$ Unit'!$T126)</v>
      </c>
      <c r="G90" s="60" t="str">
        <f t="shared" si="27"/>
        <v>=SI(Upg!$AJ126=1;0;'$ Unit'!$U126)+SI(Upg!$AK126=1;0;'$ Unit'!$U126)+SI(Upg!$AL126=1;0;'$ Unit'!$U126)+SI(Upg!$AM126=1;0;'$ Unit'!$U126)</v>
      </c>
      <c r="H90" s="60" t="str">
        <f t="shared" si="28"/>
        <v>=SI(Upg!$AN126=1;0;'$ Unit'!$V126)+SI(Upg!$AO126=1;0;'$ Unit'!$V126)+SI(Upg!$AP126=1;0;'$ Unit'!$V126)+SI(Upg!$AQ126=1;0;'$ Unit'!$V126)</v>
      </c>
      <c r="I90" s="60" t="str">
        <f t="shared" si="29"/>
        <v>=SI(Upg!$AR126=1;0;'$ Unit'!$W126)+SI(Upg!$AS126=1;0;'$ Unit'!$W126)+SI(Upg!$AT126=1;0;'$ Unit'!$W126)+SI(Upg!$AU126=1;0;'$ Unit'!$W126)</v>
      </c>
      <c r="J90" s="60" t="str">
        <f t="shared" si="30"/>
        <v>=SI(Upg!$AV126=1;0;'$ Unit'!$X126)+SI(Upg!$AW126=1;0;'$ Unit'!$X126)+SI(Upg!$AX126=1;0;'$ Unit'!$X126)+SI(Upg!$AY126=1;0;'$ Unit'!$X126)</v>
      </c>
      <c r="K90" s="60" t="str">
        <f t="shared" si="31"/>
        <v>=SI(Upg!$AZ126=1;0;'$ Unit'!$Y126)+SI(Upg!$BA126=1;0;'$ Unit'!$Y126)+SI(Upg!$BB126=1;0;'$ Unit'!$Y126)+SI(Upg!$BC126=1;0;'$ Unit'!$Y126)</v>
      </c>
      <c r="L90" s="60" t="str">
        <f t="shared" si="32"/>
        <v>=SI(Upg!$BD126=1;0;'$ Unit'!$Z126)+SI(Upg!$BE126=1;0;'$ Unit'!$Z126)+SI(Upg!$BF126=1;0;'$ Unit'!$Z126)+SI(Upg!$BG126=1;0;'$ Unit'!$Z126)</v>
      </c>
      <c r="M90" s="60" t="str">
        <f t="shared" si="33"/>
        <v>=SI(Upg!$BH126=1;0;'$ Unit'!$AA126)+SI(Upg!$BI126=1;0;'$ Unit'!$AA126)+SI(Upg!$BJ126=1;0;'$ Unit'!$AA126)+SI(Upg!$BK126=1;0;'$ Unit'!$AA126)</v>
      </c>
      <c r="N90" s="60" t="str">
        <f t="shared" si="34"/>
        <v>=SI(Upg!$BL126=1;0;'$ Unit'!$AB126)+SI(Upg!$BM126=1;0;'$ Unit'!$AB126)+SI(Upg!$BN126=1;0;'$ Unit'!$AB126)+SI(Upg!$BO126=1;0;'$ Unit'!$AB126)</v>
      </c>
      <c r="Q90" t="str">
        <f t="shared" si="19"/>
        <v>='$ Unit'!AD126*Garage!AD126</v>
      </c>
      <c r="R90" t="str">
        <f t="shared" si="20"/>
        <v>='$ Unit'!AE126*Garage!AI126</v>
      </c>
      <c r="S90" t="str">
        <f t="shared" si="21"/>
        <v>='$ Unit'!AF126*Garage!AN126</v>
      </c>
    </row>
    <row r="91" spans="1:19" x14ac:dyDescent="0.2">
      <c r="A91" s="2">
        <v>131</v>
      </c>
      <c r="B91" s="60" t="str">
        <f t="shared" si="22"/>
        <v>=SI(Upg!$P131=1;0;'$ Unit'!$P131)+SI(Upg!$Q131=1;0;'$ Unit'!$P131)+SI(Upg!$R131=1;0;'$ Unit'!$P131)+SI(Upg!$S131=1;0;'$ Unit'!$P131)</v>
      </c>
      <c r="C91" s="60" t="str">
        <f t="shared" si="23"/>
        <v>=SI(Upg!$T131=1;0;'$ Unit'!$Q131)+SI(Upg!$U131=1;0;'$ Unit'!$Q131)+SI(Upg!$V131=1;0;'$ Unit'!$Q131)+SI(Upg!$W131=1;0;'$ Unit'!$Q131)</v>
      </c>
      <c r="D91" s="60" t="str">
        <f t="shared" si="24"/>
        <v>=SI(Upg!$X131=1;0;'$ Unit'!$R131)+SI(Upg!$Y131=1;0;'$ Unit'!$R131)+SI(Upg!$Z131=1;0;'$ Unit'!$R131)+SI(Upg!$AA131=1;0;'$ Unit'!$R131)</v>
      </c>
      <c r="E91" s="60" t="str">
        <f t="shared" si="25"/>
        <v>=SI(Upg!$AB131=1;0;'$ Unit'!$S131)+SI(Upg!$AC131=1;0;'$ Unit'!$S131)+SI(Upg!$AD131=1;0;'$ Unit'!$S131)+SI(Upg!$AE131=1;0;'$ Unit'!$S131)</v>
      </c>
      <c r="F91" s="60" t="str">
        <f t="shared" si="26"/>
        <v>=SI(Upg!$AF131=1;0;'$ Unit'!$T131)+SI(Upg!$AG131=1;0;'$ Unit'!$T131)+SI(Upg!$AH131=1;0;'$ Unit'!$T131)+SI(Upg!$AI131=1;0;'$ Unit'!$T131)</v>
      </c>
      <c r="G91" s="60" t="str">
        <f t="shared" si="27"/>
        <v>=SI(Upg!$AJ131=1;0;'$ Unit'!$U131)+SI(Upg!$AK131=1;0;'$ Unit'!$U131)+SI(Upg!$AL131=1;0;'$ Unit'!$U131)+SI(Upg!$AM131=1;0;'$ Unit'!$U131)</v>
      </c>
      <c r="H91" s="60" t="str">
        <f t="shared" si="28"/>
        <v>=SI(Upg!$AN131=1;0;'$ Unit'!$V131)+SI(Upg!$AO131=1;0;'$ Unit'!$V131)+SI(Upg!$AP131=1;0;'$ Unit'!$V131)+SI(Upg!$AQ131=1;0;'$ Unit'!$V131)</v>
      </c>
      <c r="I91" s="60" t="str">
        <f t="shared" si="29"/>
        <v>=SI(Upg!$AR131=1;0;'$ Unit'!$W131)+SI(Upg!$AS131=1;0;'$ Unit'!$W131)+SI(Upg!$AT131=1;0;'$ Unit'!$W131)+SI(Upg!$AU131=1;0;'$ Unit'!$W131)</v>
      </c>
      <c r="J91" s="60" t="str">
        <f t="shared" si="30"/>
        <v>=SI(Upg!$AV131=1;0;'$ Unit'!$X131)+SI(Upg!$AW131=1;0;'$ Unit'!$X131)+SI(Upg!$AX131=1;0;'$ Unit'!$X131)+SI(Upg!$AY131=1;0;'$ Unit'!$X131)</v>
      </c>
      <c r="K91" s="60" t="str">
        <f t="shared" si="31"/>
        <v>=SI(Upg!$AZ131=1;0;'$ Unit'!$Y131)+SI(Upg!$BA131=1;0;'$ Unit'!$Y131)+SI(Upg!$BB131=1;0;'$ Unit'!$Y131)+SI(Upg!$BC131=1;0;'$ Unit'!$Y131)</v>
      </c>
      <c r="L91" s="60" t="str">
        <f t="shared" si="32"/>
        <v>=SI(Upg!$BD131=1;0;'$ Unit'!$Z131)+SI(Upg!$BE131=1;0;'$ Unit'!$Z131)+SI(Upg!$BF131=1;0;'$ Unit'!$Z131)+SI(Upg!$BG131=1;0;'$ Unit'!$Z131)</v>
      </c>
      <c r="M91" s="60" t="str">
        <f t="shared" si="33"/>
        <v>=SI(Upg!$BH131=1;0;'$ Unit'!$AA131)+SI(Upg!$BI131=1;0;'$ Unit'!$AA131)+SI(Upg!$BJ131=1;0;'$ Unit'!$AA131)+SI(Upg!$BK131=1;0;'$ Unit'!$AA131)</v>
      </c>
      <c r="N91" s="60" t="str">
        <f t="shared" si="34"/>
        <v>=SI(Upg!$BL131=1;0;'$ Unit'!$AB131)+SI(Upg!$BM131=1;0;'$ Unit'!$AB131)+SI(Upg!$BN131=1;0;'$ Unit'!$AB131)+SI(Upg!$BO131=1;0;'$ Unit'!$AB131)</v>
      </c>
      <c r="Q91" t="str">
        <f t="shared" si="19"/>
        <v>='$ Unit'!AD131*Garage!AD131</v>
      </c>
      <c r="R91" t="str">
        <f t="shared" si="20"/>
        <v>='$ Unit'!AE131*Garage!AI131</v>
      </c>
      <c r="S91" t="str">
        <f t="shared" si="21"/>
        <v>='$ Unit'!AF131*Garage!AN131</v>
      </c>
    </row>
    <row r="92" spans="1:19" x14ac:dyDescent="0.2">
      <c r="A92" s="2">
        <v>132</v>
      </c>
      <c r="B92" s="60" t="str">
        <f t="shared" si="22"/>
        <v>=SI(Upg!$P132=1;0;'$ Unit'!$P132)+SI(Upg!$Q132=1;0;'$ Unit'!$P132)+SI(Upg!$R132=1;0;'$ Unit'!$P132)+SI(Upg!$S132=1;0;'$ Unit'!$P132)</v>
      </c>
      <c r="C92" s="60" t="str">
        <f t="shared" si="23"/>
        <v>=SI(Upg!$T132=1;0;'$ Unit'!$Q132)+SI(Upg!$U132=1;0;'$ Unit'!$Q132)+SI(Upg!$V132=1;0;'$ Unit'!$Q132)+SI(Upg!$W132=1;0;'$ Unit'!$Q132)</v>
      </c>
      <c r="D92" s="60" t="str">
        <f t="shared" si="24"/>
        <v>=SI(Upg!$X132=1;0;'$ Unit'!$R132)+SI(Upg!$Y132=1;0;'$ Unit'!$R132)+SI(Upg!$Z132=1;0;'$ Unit'!$R132)+SI(Upg!$AA132=1;0;'$ Unit'!$R132)</v>
      </c>
      <c r="E92" s="60" t="str">
        <f t="shared" si="25"/>
        <v>=SI(Upg!$AB132=1;0;'$ Unit'!$S132)+SI(Upg!$AC132=1;0;'$ Unit'!$S132)+SI(Upg!$AD132=1;0;'$ Unit'!$S132)+SI(Upg!$AE132=1;0;'$ Unit'!$S132)</v>
      </c>
      <c r="F92" s="60" t="str">
        <f t="shared" si="26"/>
        <v>=SI(Upg!$AF132=1;0;'$ Unit'!$T132)+SI(Upg!$AG132=1;0;'$ Unit'!$T132)+SI(Upg!$AH132=1;0;'$ Unit'!$T132)+SI(Upg!$AI132=1;0;'$ Unit'!$T132)</v>
      </c>
      <c r="G92" s="60" t="str">
        <f t="shared" si="27"/>
        <v>=SI(Upg!$AJ132=1;0;'$ Unit'!$U132)+SI(Upg!$AK132=1;0;'$ Unit'!$U132)+SI(Upg!$AL132=1;0;'$ Unit'!$U132)+SI(Upg!$AM132=1;0;'$ Unit'!$U132)</v>
      </c>
      <c r="H92" s="60" t="str">
        <f t="shared" si="28"/>
        <v>=SI(Upg!$AN132=1;0;'$ Unit'!$V132)+SI(Upg!$AO132=1;0;'$ Unit'!$V132)+SI(Upg!$AP132=1;0;'$ Unit'!$V132)+SI(Upg!$AQ132=1;0;'$ Unit'!$V132)</v>
      </c>
      <c r="I92" s="60" t="str">
        <f t="shared" si="29"/>
        <v>=SI(Upg!$AR132=1;0;'$ Unit'!$W132)+SI(Upg!$AS132=1;0;'$ Unit'!$W132)+SI(Upg!$AT132=1;0;'$ Unit'!$W132)+SI(Upg!$AU132=1;0;'$ Unit'!$W132)</v>
      </c>
      <c r="J92" s="60" t="str">
        <f t="shared" si="30"/>
        <v>=SI(Upg!$AV132=1;0;'$ Unit'!$X132)+SI(Upg!$AW132=1;0;'$ Unit'!$X132)+SI(Upg!$AX132=1;0;'$ Unit'!$X132)+SI(Upg!$AY132=1;0;'$ Unit'!$X132)</v>
      </c>
      <c r="K92" s="60" t="str">
        <f t="shared" si="31"/>
        <v>=SI(Upg!$AZ132=1;0;'$ Unit'!$Y132)+SI(Upg!$BA132=1;0;'$ Unit'!$Y132)+SI(Upg!$BB132=1;0;'$ Unit'!$Y132)+SI(Upg!$BC132=1;0;'$ Unit'!$Y132)</v>
      </c>
      <c r="L92" s="60" t="str">
        <f t="shared" si="32"/>
        <v>=SI(Upg!$BD132=1;0;'$ Unit'!$Z132)+SI(Upg!$BE132=1;0;'$ Unit'!$Z132)+SI(Upg!$BF132=1;0;'$ Unit'!$Z132)+SI(Upg!$BG132=1;0;'$ Unit'!$Z132)</v>
      </c>
      <c r="M92" s="60" t="str">
        <f t="shared" si="33"/>
        <v>=SI(Upg!$BH132=1;0;'$ Unit'!$AA132)+SI(Upg!$BI132=1;0;'$ Unit'!$AA132)+SI(Upg!$BJ132=1;0;'$ Unit'!$AA132)+SI(Upg!$BK132=1;0;'$ Unit'!$AA132)</v>
      </c>
      <c r="N92" s="60" t="str">
        <f t="shared" si="34"/>
        <v>=SI(Upg!$BL132=1;0;'$ Unit'!$AB132)+SI(Upg!$BM132=1;0;'$ Unit'!$AB132)+SI(Upg!$BN132=1;0;'$ Unit'!$AB132)+SI(Upg!$BO132=1;0;'$ Unit'!$AB132)</v>
      </c>
      <c r="Q92" t="str">
        <f t="shared" si="19"/>
        <v>='$ Unit'!AD132*Garage!AD132</v>
      </c>
      <c r="R92" t="str">
        <f t="shared" si="20"/>
        <v>='$ Unit'!AE132*Garage!AI132</v>
      </c>
      <c r="S92" t="str">
        <f t="shared" si="21"/>
        <v>='$ Unit'!AF132*Garage!AN132</v>
      </c>
    </row>
    <row r="93" spans="1:19" x14ac:dyDescent="0.2">
      <c r="A93" s="2">
        <v>133</v>
      </c>
      <c r="B93" s="60" t="str">
        <f t="shared" si="22"/>
        <v>=SI(Upg!$P133=1;0;'$ Unit'!$P133)+SI(Upg!$Q133=1;0;'$ Unit'!$P133)+SI(Upg!$R133=1;0;'$ Unit'!$P133)+SI(Upg!$S133=1;0;'$ Unit'!$P133)</v>
      </c>
      <c r="C93" s="60" t="str">
        <f t="shared" si="23"/>
        <v>=SI(Upg!$T133=1;0;'$ Unit'!$Q133)+SI(Upg!$U133=1;0;'$ Unit'!$Q133)+SI(Upg!$V133=1;0;'$ Unit'!$Q133)+SI(Upg!$W133=1;0;'$ Unit'!$Q133)</v>
      </c>
      <c r="D93" s="60" t="str">
        <f t="shared" si="24"/>
        <v>=SI(Upg!$X133=1;0;'$ Unit'!$R133)+SI(Upg!$Y133=1;0;'$ Unit'!$R133)+SI(Upg!$Z133=1;0;'$ Unit'!$R133)+SI(Upg!$AA133=1;0;'$ Unit'!$R133)</v>
      </c>
      <c r="E93" s="60" t="str">
        <f t="shared" si="25"/>
        <v>=SI(Upg!$AB133=1;0;'$ Unit'!$S133)+SI(Upg!$AC133=1;0;'$ Unit'!$S133)+SI(Upg!$AD133=1;0;'$ Unit'!$S133)+SI(Upg!$AE133=1;0;'$ Unit'!$S133)</v>
      </c>
      <c r="F93" s="60" t="str">
        <f t="shared" si="26"/>
        <v>=SI(Upg!$AF133=1;0;'$ Unit'!$T133)+SI(Upg!$AG133=1;0;'$ Unit'!$T133)+SI(Upg!$AH133=1;0;'$ Unit'!$T133)+SI(Upg!$AI133=1;0;'$ Unit'!$T133)</v>
      </c>
      <c r="G93" s="60" t="str">
        <f t="shared" si="27"/>
        <v>=SI(Upg!$AJ133=1;0;'$ Unit'!$U133)+SI(Upg!$AK133=1;0;'$ Unit'!$U133)+SI(Upg!$AL133=1;0;'$ Unit'!$U133)+SI(Upg!$AM133=1;0;'$ Unit'!$U133)</v>
      </c>
      <c r="H93" s="60" t="str">
        <f t="shared" si="28"/>
        <v>=SI(Upg!$AN133=1;0;'$ Unit'!$V133)+SI(Upg!$AO133=1;0;'$ Unit'!$V133)+SI(Upg!$AP133=1;0;'$ Unit'!$V133)+SI(Upg!$AQ133=1;0;'$ Unit'!$V133)</v>
      </c>
      <c r="I93" s="60" t="str">
        <f t="shared" si="29"/>
        <v>=SI(Upg!$AR133=1;0;'$ Unit'!$W133)+SI(Upg!$AS133=1;0;'$ Unit'!$W133)+SI(Upg!$AT133=1;0;'$ Unit'!$W133)+SI(Upg!$AU133=1;0;'$ Unit'!$W133)</v>
      </c>
      <c r="J93" s="60" t="str">
        <f t="shared" si="30"/>
        <v>=SI(Upg!$AV133=1;0;'$ Unit'!$X133)+SI(Upg!$AW133=1;0;'$ Unit'!$X133)+SI(Upg!$AX133=1;0;'$ Unit'!$X133)+SI(Upg!$AY133=1;0;'$ Unit'!$X133)</v>
      </c>
      <c r="K93" s="60" t="str">
        <f t="shared" si="31"/>
        <v>=SI(Upg!$AZ133=1;0;'$ Unit'!$Y133)+SI(Upg!$BA133=1;0;'$ Unit'!$Y133)+SI(Upg!$BB133=1;0;'$ Unit'!$Y133)+SI(Upg!$BC133=1;0;'$ Unit'!$Y133)</v>
      </c>
      <c r="L93" s="60" t="str">
        <f t="shared" si="32"/>
        <v>=SI(Upg!$BD133=1;0;'$ Unit'!$Z133)+SI(Upg!$BE133=1;0;'$ Unit'!$Z133)+SI(Upg!$BF133=1;0;'$ Unit'!$Z133)+SI(Upg!$BG133=1;0;'$ Unit'!$Z133)</v>
      </c>
      <c r="M93" s="60" t="str">
        <f t="shared" si="33"/>
        <v>=SI(Upg!$BH133=1;0;'$ Unit'!$AA133)+SI(Upg!$BI133=1;0;'$ Unit'!$AA133)+SI(Upg!$BJ133=1;0;'$ Unit'!$AA133)+SI(Upg!$BK133=1;0;'$ Unit'!$AA133)</v>
      </c>
      <c r="N93" s="60" t="str">
        <f t="shared" si="34"/>
        <v>=SI(Upg!$BL133=1;0;'$ Unit'!$AB133)+SI(Upg!$BM133=1;0;'$ Unit'!$AB133)+SI(Upg!$BN133=1;0;'$ Unit'!$AB133)+SI(Upg!$BO133=1;0;'$ Unit'!$AB133)</v>
      </c>
      <c r="Q93" t="str">
        <f t="shared" si="19"/>
        <v>='$ Unit'!AD133*Garage!AD133</v>
      </c>
      <c r="R93" t="str">
        <f t="shared" si="20"/>
        <v>='$ Unit'!AE133*Garage!AI133</v>
      </c>
      <c r="S93" t="str">
        <f t="shared" si="21"/>
        <v>='$ Unit'!AF133*Garage!AN133</v>
      </c>
    </row>
    <row r="94" spans="1:19" x14ac:dyDescent="0.2">
      <c r="A94" s="2">
        <v>134</v>
      </c>
      <c r="B94" s="60" t="str">
        <f t="shared" si="22"/>
        <v>=SI(Upg!$P134=1;0;'$ Unit'!$P134)+SI(Upg!$Q134=1;0;'$ Unit'!$P134)+SI(Upg!$R134=1;0;'$ Unit'!$P134)+SI(Upg!$S134=1;0;'$ Unit'!$P134)</v>
      </c>
      <c r="C94" s="60" t="str">
        <f t="shared" si="23"/>
        <v>=SI(Upg!$T134=1;0;'$ Unit'!$Q134)+SI(Upg!$U134=1;0;'$ Unit'!$Q134)+SI(Upg!$V134=1;0;'$ Unit'!$Q134)+SI(Upg!$W134=1;0;'$ Unit'!$Q134)</v>
      </c>
      <c r="D94" s="60" t="str">
        <f t="shared" si="24"/>
        <v>=SI(Upg!$X134=1;0;'$ Unit'!$R134)+SI(Upg!$Y134=1;0;'$ Unit'!$R134)+SI(Upg!$Z134=1;0;'$ Unit'!$R134)+SI(Upg!$AA134=1;0;'$ Unit'!$R134)</v>
      </c>
      <c r="E94" s="60" t="str">
        <f t="shared" si="25"/>
        <v>=SI(Upg!$AB134=1;0;'$ Unit'!$S134)+SI(Upg!$AC134=1;0;'$ Unit'!$S134)+SI(Upg!$AD134=1;0;'$ Unit'!$S134)+SI(Upg!$AE134=1;0;'$ Unit'!$S134)</v>
      </c>
      <c r="F94" s="60" t="str">
        <f t="shared" si="26"/>
        <v>=SI(Upg!$AF134=1;0;'$ Unit'!$T134)+SI(Upg!$AG134=1;0;'$ Unit'!$T134)+SI(Upg!$AH134=1;0;'$ Unit'!$T134)+SI(Upg!$AI134=1;0;'$ Unit'!$T134)</v>
      </c>
      <c r="G94" s="60" t="str">
        <f t="shared" si="27"/>
        <v>=SI(Upg!$AJ134=1;0;'$ Unit'!$U134)+SI(Upg!$AK134=1;0;'$ Unit'!$U134)+SI(Upg!$AL134=1;0;'$ Unit'!$U134)+SI(Upg!$AM134=1;0;'$ Unit'!$U134)</v>
      </c>
      <c r="H94" s="60" t="str">
        <f t="shared" si="28"/>
        <v>=SI(Upg!$AN134=1;0;'$ Unit'!$V134)+SI(Upg!$AO134=1;0;'$ Unit'!$V134)+SI(Upg!$AP134=1;0;'$ Unit'!$V134)+SI(Upg!$AQ134=1;0;'$ Unit'!$V134)</v>
      </c>
      <c r="I94" s="60" t="str">
        <f t="shared" si="29"/>
        <v>=SI(Upg!$AR134=1;0;'$ Unit'!$W134)+SI(Upg!$AS134=1;0;'$ Unit'!$W134)+SI(Upg!$AT134=1;0;'$ Unit'!$W134)+SI(Upg!$AU134=1;0;'$ Unit'!$W134)</v>
      </c>
      <c r="J94" s="60" t="str">
        <f t="shared" si="30"/>
        <v>=SI(Upg!$AV134=1;0;'$ Unit'!$X134)+SI(Upg!$AW134=1;0;'$ Unit'!$X134)+SI(Upg!$AX134=1;0;'$ Unit'!$X134)+SI(Upg!$AY134=1;0;'$ Unit'!$X134)</v>
      </c>
      <c r="K94" s="60" t="str">
        <f t="shared" si="31"/>
        <v>=SI(Upg!$AZ134=1;0;'$ Unit'!$Y134)+SI(Upg!$BA134=1;0;'$ Unit'!$Y134)+SI(Upg!$BB134=1;0;'$ Unit'!$Y134)+SI(Upg!$BC134=1;0;'$ Unit'!$Y134)</v>
      </c>
      <c r="L94" s="60" t="str">
        <f t="shared" si="32"/>
        <v>=SI(Upg!$BD134=1;0;'$ Unit'!$Z134)+SI(Upg!$BE134=1;0;'$ Unit'!$Z134)+SI(Upg!$BF134=1;0;'$ Unit'!$Z134)+SI(Upg!$BG134=1;0;'$ Unit'!$Z134)</v>
      </c>
      <c r="M94" s="60" t="str">
        <f t="shared" si="33"/>
        <v>=SI(Upg!$BH134=1;0;'$ Unit'!$AA134)+SI(Upg!$BI134=1;0;'$ Unit'!$AA134)+SI(Upg!$BJ134=1;0;'$ Unit'!$AA134)+SI(Upg!$BK134=1;0;'$ Unit'!$AA134)</v>
      </c>
      <c r="N94" s="60" t="str">
        <f t="shared" si="34"/>
        <v>=SI(Upg!$BL134=1;0;'$ Unit'!$AB134)+SI(Upg!$BM134=1;0;'$ Unit'!$AB134)+SI(Upg!$BN134=1;0;'$ Unit'!$AB134)+SI(Upg!$BO134=1;0;'$ Unit'!$AB134)</v>
      </c>
      <c r="Q94" t="str">
        <f t="shared" si="19"/>
        <v>='$ Unit'!AD134*Garage!AD134</v>
      </c>
      <c r="R94" t="str">
        <f t="shared" si="20"/>
        <v>='$ Unit'!AE134*Garage!AI134</v>
      </c>
      <c r="S94" t="str">
        <f t="shared" si="21"/>
        <v>='$ Unit'!AF134*Garage!AN134</v>
      </c>
    </row>
    <row r="95" spans="1:19" x14ac:dyDescent="0.2">
      <c r="A95" s="2">
        <v>135</v>
      </c>
      <c r="B95" s="60" t="str">
        <f t="shared" si="22"/>
        <v>=SI(Upg!$P135=1;0;'$ Unit'!$P135)+SI(Upg!$Q135=1;0;'$ Unit'!$P135)+SI(Upg!$R135=1;0;'$ Unit'!$P135)+SI(Upg!$S135=1;0;'$ Unit'!$P135)</v>
      </c>
      <c r="C95" s="60" t="str">
        <f t="shared" si="23"/>
        <v>=SI(Upg!$T135=1;0;'$ Unit'!$Q135)+SI(Upg!$U135=1;0;'$ Unit'!$Q135)+SI(Upg!$V135=1;0;'$ Unit'!$Q135)+SI(Upg!$W135=1;0;'$ Unit'!$Q135)</v>
      </c>
      <c r="D95" s="60" t="str">
        <f t="shared" si="24"/>
        <v>=SI(Upg!$X135=1;0;'$ Unit'!$R135)+SI(Upg!$Y135=1;0;'$ Unit'!$R135)+SI(Upg!$Z135=1;0;'$ Unit'!$R135)+SI(Upg!$AA135=1;0;'$ Unit'!$R135)</v>
      </c>
      <c r="E95" s="60" t="str">
        <f t="shared" si="25"/>
        <v>=SI(Upg!$AB135=1;0;'$ Unit'!$S135)+SI(Upg!$AC135=1;0;'$ Unit'!$S135)+SI(Upg!$AD135=1;0;'$ Unit'!$S135)+SI(Upg!$AE135=1;0;'$ Unit'!$S135)</v>
      </c>
      <c r="F95" s="60" t="str">
        <f t="shared" si="26"/>
        <v>=SI(Upg!$AF135=1;0;'$ Unit'!$T135)+SI(Upg!$AG135=1;0;'$ Unit'!$T135)+SI(Upg!$AH135=1;0;'$ Unit'!$T135)+SI(Upg!$AI135=1;0;'$ Unit'!$T135)</v>
      </c>
      <c r="G95" s="60" t="str">
        <f t="shared" si="27"/>
        <v>=SI(Upg!$AJ135=1;0;'$ Unit'!$U135)+SI(Upg!$AK135=1;0;'$ Unit'!$U135)+SI(Upg!$AL135=1;0;'$ Unit'!$U135)+SI(Upg!$AM135=1;0;'$ Unit'!$U135)</v>
      </c>
      <c r="H95" s="60" t="str">
        <f t="shared" si="28"/>
        <v>=SI(Upg!$AN135=1;0;'$ Unit'!$V135)+SI(Upg!$AO135=1;0;'$ Unit'!$V135)+SI(Upg!$AP135=1;0;'$ Unit'!$V135)+SI(Upg!$AQ135=1;0;'$ Unit'!$V135)</v>
      </c>
      <c r="I95" s="60" t="str">
        <f t="shared" si="29"/>
        <v>=SI(Upg!$AR135=1;0;'$ Unit'!$W135)+SI(Upg!$AS135=1;0;'$ Unit'!$W135)+SI(Upg!$AT135=1;0;'$ Unit'!$W135)+SI(Upg!$AU135=1;0;'$ Unit'!$W135)</v>
      </c>
      <c r="J95" s="60" t="str">
        <f t="shared" si="30"/>
        <v>=SI(Upg!$AV135=1;0;'$ Unit'!$X135)+SI(Upg!$AW135=1;0;'$ Unit'!$X135)+SI(Upg!$AX135=1;0;'$ Unit'!$X135)+SI(Upg!$AY135=1;0;'$ Unit'!$X135)</v>
      </c>
      <c r="K95" s="60" t="str">
        <f t="shared" si="31"/>
        <v>=SI(Upg!$AZ135=1;0;'$ Unit'!$Y135)+SI(Upg!$BA135=1;0;'$ Unit'!$Y135)+SI(Upg!$BB135=1;0;'$ Unit'!$Y135)+SI(Upg!$BC135=1;0;'$ Unit'!$Y135)</v>
      </c>
      <c r="L95" s="60" t="str">
        <f t="shared" si="32"/>
        <v>=SI(Upg!$BD135=1;0;'$ Unit'!$Z135)+SI(Upg!$BE135=1;0;'$ Unit'!$Z135)+SI(Upg!$BF135=1;0;'$ Unit'!$Z135)+SI(Upg!$BG135=1;0;'$ Unit'!$Z135)</v>
      </c>
      <c r="M95" s="60" t="str">
        <f t="shared" si="33"/>
        <v>=SI(Upg!$BH135=1;0;'$ Unit'!$AA135)+SI(Upg!$BI135=1;0;'$ Unit'!$AA135)+SI(Upg!$BJ135=1;0;'$ Unit'!$AA135)+SI(Upg!$BK135=1;0;'$ Unit'!$AA135)</v>
      </c>
      <c r="N95" s="60" t="str">
        <f t="shared" si="34"/>
        <v>=SI(Upg!$BL135=1;0;'$ Unit'!$AB135)+SI(Upg!$BM135=1;0;'$ Unit'!$AB135)+SI(Upg!$BN135=1;0;'$ Unit'!$AB135)+SI(Upg!$BO135=1;0;'$ Unit'!$AB135)</v>
      </c>
      <c r="Q95" t="str">
        <f t="shared" si="19"/>
        <v>='$ Unit'!AD135*Garage!AD135</v>
      </c>
      <c r="R95" t="str">
        <f t="shared" si="20"/>
        <v>='$ Unit'!AE135*Garage!AI135</v>
      </c>
      <c r="S95" t="str">
        <f t="shared" si="21"/>
        <v>='$ Unit'!AF135*Garage!AN135</v>
      </c>
    </row>
    <row r="96" spans="1:19" x14ac:dyDescent="0.2">
      <c r="A96" s="2">
        <v>136</v>
      </c>
      <c r="B96" s="60" t="str">
        <f t="shared" si="22"/>
        <v>=SI(Upg!$P136=1;0;'$ Unit'!$P136)+SI(Upg!$Q136=1;0;'$ Unit'!$P136)+SI(Upg!$R136=1;0;'$ Unit'!$P136)+SI(Upg!$S136=1;0;'$ Unit'!$P136)</v>
      </c>
      <c r="C96" s="60" t="str">
        <f t="shared" si="23"/>
        <v>=SI(Upg!$T136=1;0;'$ Unit'!$Q136)+SI(Upg!$U136=1;0;'$ Unit'!$Q136)+SI(Upg!$V136=1;0;'$ Unit'!$Q136)+SI(Upg!$W136=1;0;'$ Unit'!$Q136)</v>
      </c>
      <c r="D96" s="60" t="str">
        <f t="shared" si="24"/>
        <v>=SI(Upg!$X136=1;0;'$ Unit'!$R136)+SI(Upg!$Y136=1;0;'$ Unit'!$R136)+SI(Upg!$Z136=1;0;'$ Unit'!$R136)+SI(Upg!$AA136=1;0;'$ Unit'!$R136)</v>
      </c>
      <c r="E96" s="60" t="str">
        <f t="shared" si="25"/>
        <v>=SI(Upg!$AB136=1;0;'$ Unit'!$S136)+SI(Upg!$AC136=1;0;'$ Unit'!$S136)+SI(Upg!$AD136=1;0;'$ Unit'!$S136)+SI(Upg!$AE136=1;0;'$ Unit'!$S136)</v>
      </c>
      <c r="F96" s="60" t="str">
        <f t="shared" si="26"/>
        <v>=SI(Upg!$AF136=1;0;'$ Unit'!$T136)+SI(Upg!$AG136=1;0;'$ Unit'!$T136)+SI(Upg!$AH136=1;0;'$ Unit'!$T136)+SI(Upg!$AI136=1;0;'$ Unit'!$T136)</v>
      </c>
      <c r="G96" s="60" t="str">
        <f t="shared" si="27"/>
        <v>=SI(Upg!$AJ136=1;0;'$ Unit'!$U136)+SI(Upg!$AK136=1;0;'$ Unit'!$U136)+SI(Upg!$AL136=1;0;'$ Unit'!$U136)+SI(Upg!$AM136=1;0;'$ Unit'!$U136)</v>
      </c>
      <c r="H96" s="60" t="str">
        <f t="shared" si="28"/>
        <v>=SI(Upg!$AN136=1;0;'$ Unit'!$V136)+SI(Upg!$AO136=1;0;'$ Unit'!$V136)+SI(Upg!$AP136=1;0;'$ Unit'!$V136)+SI(Upg!$AQ136=1;0;'$ Unit'!$V136)</v>
      </c>
      <c r="I96" s="60" t="str">
        <f t="shared" si="29"/>
        <v>=SI(Upg!$AR136=1;0;'$ Unit'!$W136)+SI(Upg!$AS136=1;0;'$ Unit'!$W136)+SI(Upg!$AT136=1;0;'$ Unit'!$W136)+SI(Upg!$AU136=1;0;'$ Unit'!$W136)</v>
      </c>
      <c r="J96" s="60" t="str">
        <f t="shared" si="30"/>
        <v>=SI(Upg!$AV136=1;0;'$ Unit'!$X136)+SI(Upg!$AW136=1;0;'$ Unit'!$X136)+SI(Upg!$AX136=1;0;'$ Unit'!$X136)+SI(Upg!$AY136=1;0;'$ Unit'!$X136)</v>
      </c>
      <c r="K96" s="60" t="str">
        <f t="shared" si="31"/>
        <v>=SI(Upg!$AZ136=1;0;'$ Unit'!$Y136)+SI(Upg!$BA136=1;0;'$ Unit'!$Y136)+SI(Upg!$BB136=1;0;'$ Unit'!$Y136)+SI(Upg!$BC136=1;0;'$ Unit'!$Y136)</v>
      </c>
      <c r="L96" s="60" t="str">
        <f t="shared" si="32"/>
        <v>=SI(Upg!$BD136=1;0;'$ Unit'!$Z136)+SI(Upg!$BE136=1;0;'$ Unit'!$Z136)+SI(Upg!$BF136=1;0;'$ Unit'!$Z136)+SI(Upg!$BG136=1;0;'$ Unit'!$Z136)</v>
      </c>
      <c r="M96" s="60" t="str">
        <f t="shared" si="33"/>
        <v>=SI(Upg!$BH136=1;0;'$ Unit'!$AA136)+SI(Upg!$BI136=1;0;'$ Unit'!$AA136)+SI(Upg!$BJ136=1;0;'$ Unit'!$AA136)+SI(Upg!$BK136=1;0;'$ Unit'!$AA136)</v>
      </c>
      <c r="N96" s="60" t="str">
        <f t="shared" si="34"/>
        <v>=SI(Upg!$BL136=1;0;'$ Unit'!$AB136)+SI(Upg!$BM136=1;0;'$ Unit'!$AB136)+SI(Upg!$BN136=1;0;'$ Unit'!$AB136)+SI(Upg!$BO136=1;0;'$ Unit'!$AB136)</v>
      </c>
      <c r="Q96" t="str">
        <f t="shared" si="19"/>
        <v>='$ Unit'!AD136*Garage!AD136</v>
      </c>
      <c r="R96" t="str">
        <f t="shared" si="20"/>
        <v>='$ Unit'!AE136*Garage!AI136</v>
      </c>
      <c r="S96" t="str">
        <f t="shared" si="21"/>
        <v>='$ Unit'!AF136*Garage!AN136</v>
      </c>
    </row>
    <row r="97" spans="1:19" x14ac:dyDescent="0.2">
      <c r="A97" s="2">
        <v>138</v>
      </c>
      <c r="B97" s="60" t="str">
        <f t="shared" si="22"/>
        <v>=SI(Upg!$P138=1;0;'$ Unit'!$P138)+SI(Upg!$Q138=1;0;'$ Unit'!$P138)+SI(Upg!$R138=1;0;'$ Unit'!$P138)+SI(Upg!$S138=1;0;'$ Unit'!$P138)</v>
      </c>
      <c r="C97" s="60" t="str">
        <f t="shared" si="23"/>
        <v>=SI(Upg!$T138=1;0;'$ Unit'!$Q138)+SI(Upg!$U138=1;0;'$ Unit'!$Q138)+SI(Upg!$V138=1;0;'$ Unit'!$Q138)+SI(Upg!$W138=1;0;'$ Unit'!$Q138)</v>
      </c>
      <c r="D97" s="60" t="str">
        <f t="shared" si="24"/>
        <v>=SI(Upg!$X138=1;0;'$ Unit'!$R138)+SI(Upg!$Y138=1;0;'$ Unit'!$R138)+SI(Upg!$Z138=1;0;'$ Unit'!$R138)+SI(Upg!$AA138=1;0;'$ Unit'!$R138)</v>
      </c>
      <c r="E97" s="60" t="str">
        <f t="shared" si="25"/>
        <v>=SI(Upg!$AB138=1;0;'$ Unit'!$S138)+SI(Upg!$AC138=1;0;'$ Unit'!$S138)+SI(Upg!$AD138=1;0;'$ Unit'!$S138)+SI(Upg!$AE138=1;0;'$ Unit'!$S138)</v>
      </c>
      <c r="F97" s="60" t="str">
        <f t="shared" si="26"/>
        <v>=SI(Upg!$AF138=1;0;'$ Unit'!$T138)+SI(Upg!$AG138=1;0;'$ Unit'!$T138)+SI(Upg!$AH138=1;0;'$ Unit'!$T138)+SI(Upg!$AI138=1;0;'$ Unit'!$T138)</v>
      </c>
      <c r="G97" s="60" t="str">
        <f t="shared" si="27"/>
        <v>=SI(Upg!$AJ138=1;0;'$ Unit'!$U138)+SI(Upg!$AK138=1;0;'$ Unit'!$U138)+SI(Upg!$AL138=1;0;'$ Unit'!$U138)+SI(Upg!$AM138=1;0;'$ Unit'!$U138)</v>
      </c>
      <c r="H97" s="60" t="str">
        <f t="shared" si="28"/>
        <v>=SI(Upg!$AN138=1;0;'$ Unit'!$V138)+SI(Upg!$AO138=1;0;'$ Unit'!$V138)+SI(Upg!$AP138=1;0;'$ Unit'!$V138)+SI(Upg!$AQ138=1;0;'$ Unit'!$V138)</v>
      </c>
      <c r="I97" s="60" t="str">
        <f t="shared" si="29"/>
        <v>=SI(Upg!$AR138=1;0;'$ Unit'!$W138)+SI(Upg!$AS138=1;0;'$ Unit'!$W138)+SI(Upg!$AT138=1;0;'$ Unit'!$W138)+SI(Upg!$AU138=1;0;'$ Unit'!$W138)</v>
      </c>
      <c r="J97" s="60" t="str">
        <f t="shared" si="30"/>
        <v>=SI(Upg!$AV138=1;0;'$ Unit'!$X138)+SI(Upg!$AW138=1;0;'$ Unit'!$X138)+SI(Upg!$AX138=1;0;'$ Unit'!$X138)+SI(Upg!$AY138=1;0;'$ Unit'!$X138)</v>
      </c>
      <c r="K97" s="60" t="str">
        <f t="shared" si="31"/>
        <v>=SI(Upg!$AZ138=1;0;'$ Unit'!$Y138)+SI(Upg!$BA138=1;0;'$ Unit'!$Y138)+SI(Upg!$BB138=1;0;'$ Unit'!$Y138)+SI(Upg!$BC138=1;0;'$ Unit'!$Y138)</v>
      </c>
      <c r="L97" s="60" t="str">
        <f t="shared" si="32"/>
        <v>=SI(Upg!$BD138=1;0;'$ Unit'!$Z138)+SI(Upg!$BE138=1;0;'$ Unit'!$Z138)+SI(Upg!$BF138=1;0;'$ Unit'!$Z138)+SI(Upg!$BG138=1;0;'$ Unit'!$Z138)</v>
      </c>
      <c r="M97" s="60" t="str">
        <f t="shared" si="33"/>
        <v>=SI(Upg!$BH138=1;0;'$ Unit'!$AA138)+SI(Upg!$BI138=1;0;'$ Unit'!$AA138)+SI(Upg!$BJ138=1;0;'$ Unit'!$AA138)+SI(Upg!$BK138=1;0;'$ Unit'!$AA138)</v>
      </c>
      <c r="N97" s="60" t="str">
        <f t="shared" si="34"/>
        <v>=SI(Upg!$BL138=1;0;'$ Unit'!$AB138)+SI(Upg!$BM138=1;0;'$ Unit'!$AB138)+SI(Upg!$BN138=1;0;'$ Unit'!$AB138)+SI(Upg!$BO138=1;0;'$ Unit'!$AB138)</v>
      </c>
      <c r="Q97" t="str">
        <f t="shared" si="19"/>
        <v>='$ Unit'!AD138*Garage!AD138</v>
      </c>
      <c r="R97" t="str">
        <f t="shared" si="20"/>
        <v>='$ Unit'!AE138*Garage!AI138</v>
      </c>
      <c r="S97" t="str">
        <f t="shared" si="21"/>
        <v>='$ Unit'!AF138*Garage!AN138</v>
      </c>
    </row>
    <row r="98" spans="1:19" x14ac:dyDescent="0.2">
      <c r="A98" s="2">
        <v>140</v>
      </c>
      <c r="B98" s="60" t="str">
        <f t="shared" si="22"/>
        <v>=SI(Upg!$P140=1;0;'$ Unit'!$P140)+SI(Upg!$Q140=1;0;'$ Unit'!$P140)+SI(Upg!$R140=1;0;'$ Unit'!$P140)+SI(Upg!$S140=1;0;'$ Unit'!$P140)</v>
      </c>
      <c r="C98" s="60" t="str">
        <f t="shared" si="23"/>
        <v>=SI(Upg!$T140=1;0;'$ Unit'!$Q140)+SI(Upg!$U140=1;0;'$ Unit'!$Q140)+SI(Upg!$V140=1;0;'$ Unit'!$Q140)+SI(Upg!$W140=1;0;'$ Unit'!$Q140)</v>
      </c>
      <c r="D98" s="60" t="str">
        <f t="shared" si="24"/>
        <v>=SI(Upg!$X140=1;0;'$ Unit'!$R140)+SI(Upg!$Y140=1;0;'$ Unit'!$R140)+SI(Upg!$Z140=1;0;'$ Unit'!$R140)+SI(Upg!$AA140=1;0;'$ Unit'!$R140)</v>
      </c>
      <c r="E98" s="60" t="str">
        <f t="shared" si="25"/>
        <v>=SI(Upg!$AB140=1;0;'$ Unit'!$S140)+SI(Upg!$AC140=1;0;'$ Unit'!$S140)+SI(Upg!$AD140=1;0;'$ Unit'!$S140)+SI(Upg!$AE140=1;0;'$ Unit'!$S140)</v>
      </c>
      <c r="F98" s="60" t="str">
        <f t="shared" si="26"/>
        <v>=SI(Upg!$AF140=1;0;'$ Unit'!$T140)+SI(Upg!$AG140=1;0;'$ Unit'!$T140)+SI(Upg!$AH140=1;0;'$ Unit'!$T140)+SI(Upg!$AI140=1;0;'$ Unit'!$T140)</v>
      </c>
      <c r="G98" s="60" t="str">
        <f t="shared" si="27"/>
        <v>=SI(Upg!$AJ140=1;0;'$ Unit'!$U140)+SI(Upg!$AK140=1;0;'$ Unit'!$U140)+SI(Upg!$AL140=1;0;'$ Unit'!$U140)+SI(Upg!$AM140=1;0;'$ Unit'!$U140)</v>
      </c>
      <c r="H98" s="60" t="str">
        <f t="shared" si="28"/>
        <v>=SI(Upg!$AN140=1;0;'$ Unit'!$V140)+SI(Upg!$AO140=1;0;'$ Unit'!$V140)+SI(Upg!$AP140=1;0;'$ Unit'!$V140)+SI(Upg!$AQ140=1;0;'$ Unit'!$V140)</v>
      </c>
      <c r="I98" s="60" t="str">
        <f t="shared" si="29"/>
        <v>=SI(Upg!$AR140=1;0;'$ Unit'!$W140)+SI(Upg!$AS140=1;0;'$ Unit'!$W140)+SI(Upg!$AT140=1;0;'$ Unit'!$W140)+SI(Upg!$AU140=1;0;'$ Unit'!$W140)</v>
      </c>
      <c r="J98" s="60" t="str">
        <f t="shared" si="30"/>
        <v>=SI(Upg!$AV140=1;0;'$ Unit'!$X140)+SI(Upg!$AW140=1;0;'$ Unit'!$X140)+SI(Upg!$AX140=1;0;'$ Unit'!$X140)+SI(Upg!$AY140=1;0;'$ Unit'!$X140)</v>
      </c>
      <c r="K98" s="60" t="str">
        <f t="shared" si="31"/>
        <v>=SI(Upg!$AZ140=1;0;'$ Unit'!$Y140)+SI(Upg!$BA140=1;0;'$ Unit'!$Y140)+SI(Upg!$BB140=1;0;'$ Unit'!$Y140)+SI(Upg!$BC140=1;0;'$ Unit'!$Y140)</v>
      </c>
      <c r="L98" s="60" t="str">
        <f t="shared" si="32"/>
        <v>=SI(Upg!$BD140=1;0;'$ Unit'!$Z140)+SI(Upg!$BE140=1;0;'$ Unit'!$Z140)+SI(Upg!$BF140=1;0;'$ Unit'!$Z140)+SI(Upg!$BG140=1;0;'$ Unit'!$Z140)</v>
      </c>
      <c r="M98" s="60" t="str">
        <f t="shared" si="33"/>
        <v>=SI(Upg!$BH140=1;0;'$ Unit'!$AA140)+SI(Upg!$BI140=1;0;'$ Unit'!$AA140)+SI(Upg!$BJ140=1;0;'$ Unit'!$AA140)+SI(Upg!$BK140=1;0;'$ Unit'!$AA140)</v>
      </c>
      <c r="N98" s="60" t="str">
        <f t="shared" si="34"/>
        <v>=SI(Upg!$BL140=1;0;'$ Unit'!$AB140)+SI(Upg!$BM140=1;0;'$ Unit'!$AB140)+SI(Upg!$BN140=1;0;'$ Unit'!$AB140)+SI(Upg!$BO140=1;0;'$ Unit'!$AB140)</v>
      </c>
      <c r="Q98" t="str">
        <f t="shared" si="19"/>
        <v>='$ Unit'!AD140*Garage!AD140</v>
      </c>
      <c r="R98" t="str">
        <f t="shared" si="20"/>
        <v>='$ Unit'!AE140*Garage!AI140</v>
      </c>
      <c r="S98" t="str">
        <f t="shared" si="21"/>
        <v>='$ Unit'!AF140*Garage!AN140</v>
      </c>
    </row>
    <row r="99" spans="1:19" x14ac:dyDescent="0.2">
      <c r="A99" s="2">
        <v>141</v>
      </c>
      <c r="B99" s="60" t="str">
        <f t="shared" si="22"/>
        <v>=SI(Upg!$P141=1;0;'$ Unit'!$P141)+SI(Upg!$Q141=1;0;'$ Unit'!$P141)+SI(Upg!$R141=1;0;'$ Unit'!$P141)+SI(Upg!$S141=1;0;'$ Unit'!$P141)</v>
      </c>
      <c r="C99" s="60" t="str">
        <f t="shared" si="23"/>
        <v>=SI(Upg!$T141=1;0;'$ Unit'!$Q141)+SI(Upg!$U141=1;0;'$ Unit'!$Q141)+SI(Upg!$V141=1;0;'$ Unit'!$Q141)+SI(Upg!$W141=1;0;'$ Unit'!$Q141)</v>
      </c>
      <c r="D99" s="60" t="str">
        <f t="shared" si="24"/>
        <v>=SI(Upg!$X141=1;0;'$ Unit'!$R141)+SI(Upg!$Y141=1;0;'$ Unit'!$R141)+SI(Upg!$Z141=1;0;'$ Unit'!$R141)+SI(Upg!$AA141=1;0;'$ Unit'!$R141)</v>
      </c>
      <c r="E99" s="60" t="str">
        <f t="shared" si="25"/>
        <v>=SI(Upg!$AB141=1;0;'$ Unit'!$S141)+SI(Upg!$AC141=1;0;'$ Unit'!$S141)+SI(Upg!$AD141=1;0;'$ Unit'!$S141)+SI(Upg!$AE141=1;0;'$ Unit'!$S141)</v>
      </c>
      <c r="F99" s="60" t="str">
        <f t="shared" si="26"/>
        <v>=SI(Upg!$AF141=1;0;'$ Unit'!$T141)+SI(Upg!$AG141=1;0;'$ Unit'!$T141)+SI(Upg!$AH141=1;0;'$ Unit'!$T141)+SI(Upg!$AI141=1;0;'$ Unit'!$T141)</v>
      </c>
      <c r="G99" s="60" t="str">
        <f t="shared" si="27"/>
        <v>=SI(Upg!$AJ141=1;0;'$ Unit'!$U141)+SI(Upg!$AK141=1;0;'$ Unit'!$U141)+SI(Upg!$AL141=1;0;'$ Unit'!$U141)+SI(Upg!$AM141=1;0;'$ Unit'!$U141)</v>
      </c>
      <c r="H99" s="60" t="str">
        <f t="shared" si="28"/>
        <v>=SI(Upg!$AN141=1;0;'$ Unit'!$V141)+SI(Upg!$AO141=1;0;'$ Unit'!$V141)+SI(Upg!$AP141=1;0;'$ Unit'!$V141)+SI(Upg!$AQ141=1;0;'$ Unit'!$V141)</v>
      </c>
      <c r="I99" s="60" t="str">
        <f t="shared" si="29"/>
        <v>=SI(Upg!$AR141=1;0;'$ Unit'!$W141)+SI(Upg!$AS141=1;0;'$ Unit'!$W141)+SI(Upg!$AT141=1;0;'$ Unit'!$W141)+SI(Upg!$AU141=1;0;'$ Unit'!$W141)</v>
      </c>
      <c r="J99" s="60" t="str">
        <f t="shared" si="30"/>
        <v>=SI(Upg!$AV141=1;0;'$ Unit'!$X141)+SI(Upg!$AW141=1;0;'$ Unit'!$X141)+SI(Upg!$AX141=1;0;'$ Unit'!$X141)+SI(Upg!$AY141=1;0;'$ Unit'!$X141)</v>
      </c>
      <c r="K99" s="60" t="str">
        <f t="shared" si="31"/>
        <v>=SI(Upg!$AZ141=1;0;'$ Unit'!$Y141)+SI(Upg!$BA141=1;0;'$ Unit'!$Y141)+SI(Upg!$BB141=1;0;'$ Unit'!$Y141)+SI(Upg!$BC141=1;0;'$ Unit'!$Y141)</v>
      </c>
      <c r="L99" s="60" t="str">
        <f t="shared" si="32"/>
        <v>=SI(Upg!$BD141=1;0;'$ Unit'!$Z141)+SI(Upg!$BE141=1;0;'$ Unit'!$Z141)+SI(Upg!$BF141=1;0;'$ Unit'!$Z141)+SI(Upg!$BG141=1;0;'$ Unit'!$Z141)</v>
      </c>
      <c r="M99" s="60" t="str">
        <f t="shared" si="33"/>
        <v>=SI(Upg!$BH141=1;0;'$ Unit'!$AA141)+SI(Upg!$BI141=1;0;'$ Unit'!$AA141)+SI(Upg!$BJ141=1;0;'$ Unit'!$AA141)+SI(Upg!$BK141=1;0;'$ Unit'!$AA141)</v>
      </c>
      <c r="N99" s="60" t="str">
        <f t="shared" si="34"/>
        <v>=SI(Upg!$BL141=1;0;'$ Unit'!$AB141)+SI(Upg!$BM141=1;0;'$ Unit'!$AB141)+SI(Upg!$BN141=1;0;'$ Unit'!$AB141)+SI(Upg!$BO141=1;0;'$ Unit'!$AB141)</v>
      </c>
      <c r="Q99" t="str">
        <f t="shared" si="19"/>
        <v>='$ Unit'!AD141*Garage!AD141</v>
      </c>
      <c r="R99" t="str">
        <f t="shared" si="20"/>
        <v>='$ Unit'!AE141*Garage!AI141</v>
      </c>
      <c r="S99" t="str">
        <f t="shared" si="21"/>
        <v>='$ Unit'!AF141*Garage!AN141</v>
      </c>
    </row>
    <row r="100" spans="1:19" x14ac:dyDescent="0.2">
      <c r="A100" s="2">
        <v>143</v>
      </c>
      <c r="B100" s="60" t="str">
        <f t="shared" si="22"/>
        <v>=SI(Upg!$P143=1;0;'$ Unit'!$P143)+SI(Upg!$Q143=1;0;'$ Unit'!$P143)+SI(Upg!$R143=1;0;'$ Unit'!$P143)+SI(Upg!$S143=1;0;'$ Unit'!$P143)</v>
      </c>
      <c r="C100" s="60" t="str">
        <f t="shared" si="23"/>
        <v>=SI(Upg!$T143=1;0;'$ Unit'!$Q143)+SI(Upg!$U143=1;0;'$ Unit'!$Q143)+SI(Upg!$V143=1;0;'$ Unit'!$Q143)+SI(Upg!$W143=1;0;'$ Unit'!$Q143)</v>
      </c>
      <c r="D100" s="60" t="str">
        <f t="shared" si="24"/>
        <v>=SI(Upg!$X143=1;0;'$ Unit'!$R143)+SI(Upg!$Y143=1;0;'$ Unit'!$R143)+SI(Upg!$Z143=1;0;'$ Unit'!$R143)+SI(Upg!$AA143=1;0;'$ Unit'!$R143)</v>
      </c>
      <c r="E100" s="60" t="str">
        <f t="shared" si="25"/>
        <v>=SI(Upg!$AB143=1;0;'$ Unit'!$S143)+SI(Upg!$AC143=1;0;'$ Unit'!$S143)+SI(Upg!$AD143=1;0;'$ Unit'!$S143)+SI(Upg!$AE143=1;0;'$ Unit'!$S143)</v>
      </c>
      <c r="F100" s="60" t="str">
        <f t="shared" si="26"/>
        <v>=SI(Upg!$AF143=1;0;'$ Unit'!$T143)+SI(Upg!$AG143=1;0;'$ Unit'!$T143)+SI(Upg!$AH143=1;0;'$ Unit'!$T143)+SI(Upg!$AI143=1;0;'$ Unit'!$T143)</v>
      </c>
      <c r="G100" s="60" t="str">
        <f t="shared" si="27"/>
        <v>=SI(Upg!$AJ143=1;0;'$ Unit'!$U143)+SI(Upg!$AK143=1;0;'$ Unit'!$U143)+SI(Upg!$AL143=1;0;'$ Unit'!$U143)+SI(Upg!$AM143=1;0;'$ Unit'!$U143)</v>
      </c>
      <c r="H100" s="60" t="str">
        <f t="shared" si="28"/>
        <v>=SI(Upg!$AN143=1;0;'$ Unit'!$V143)+SI(Upg!$AO143=1;0;'$ Unit'!$V143)+SI(Upg!$AP143=1;0;'$ Unit'!$V143)+SI(Upg!$AQ143=1;0;'$ Unit'!$V143)</v>
      </c>
      <c r="I100" s="60" t="str">
        <f t="shared" si="29"/>
        <v>=SI(Upg!$AR143=1;0;'$ Unit'!$W143)+SI(Upg!$AS143=1;0;'$ Unit'!$W143)+SI(Upg!$AT143=1;0;'$ Unit'!$W143)+SI(Upg!$AU143=1;0;'$ Unit'!$W143)</v>
      </c>
      <c r="J100" s="60" t="str">
        <f t="shared" si="30"/>
        <v>=SI(Upg!$AV143=1;0;'$ Unit'!$X143)+SI(Upg!$AW143=1;0;'$ Unit'!$X143)+SI(Upg!$AX143=1;0;'$ Unit'!$X143)+SI(Upg!$AY143=1;0;'$ Unit'!$X143)</v>
      </c>
      <c r="K100" s="60" t="str">
        <f t="shared" si="31"/>
        <v>=SI(Upg!$AZ143=1;0;'$ Unit'!$Y143)+SI(Upg!$BA143=1;0;'$ Unit'!$Y143)+SI(Upg!$BB143=1;0;'$ Unit'!$Y143)+SI(Upg!$BC143=1;0;'$ Unit'!$Y143)</v>
      </c>
      <c r="L100" s="60" t="str">
        <f t="shared" si="32"/>
        <v>=SI(Upg!$BD143=1;0;'$ Unit'!$Z143)+SI(Upg!$BE143=1;0;'$ Unit'!$Z143)+SI(Upg!$BF143=1;0;'$ Unit'!$Z143)+SI(Upg!$BG143=1;0;'$ Unit'!$Z143)</v>
      </c>
      <c r="M100" s="60" t="str">
        <f t="shared" si="33"/>
        <v>=SI(Upg!$BH143=1;0;'$ Unit'!$AA143)+SI(Upg!$BI143=1;0;'$ Unit'!$AA143)+SI(Upg!$BJ143=1;0;'$ Unit'!$AA143)+SI(Upg!$BK143=1;0;'$ Unit'!$AA143)</v>
      </c>
      <c r="N100" s="60" t="str">
        <f t="shared" si="34"/>
        <v>=SI(Upg!$BL143=1;0;'$ Unit'!$AB143)+SI(Upg!$BM143=1;0;'$ Unit'!$AB143)+SI(Upg!$BN143=1;0;'$ Unit'!$AB143)+SI(Upg!$BO143=1;0;'$ Unit'!$AB143)</v>
      </c>
      <c r="Q100" t="str">
        <f t="shared" si="19"/>
        <v>='$ Unit'!AD143*Garage!AD143</v>
      </c>
      <c r="R100" t="str">
        <f t="shared" si="20"/>
        <v>='$ Unit'!AE143*Garage!AI143</v>
      </c>
      <c r="S100" t="str">
        <f t="shared" si="21"/>
        <v>='$ Unit'!AF143*Garage!AN143</v>
      </c>
    </row>
    <row r="101" spans="1:19" x14ac:dyDescent="0.2">
      <c r="A101" s="2">
        <v>144</v>
      </c>
      <c r="B101" s="60" t="str">
        <f t="shared" si="22"/>
        <v>=SI(Upg!$P144=1;0;'$ Unit'!$P144)+SI(Upg!$Q144=1;0;'$ Unit'!$P144)+SI(Upg!$R144=1;0;'$ Unit'!$P144)+SI(Upg!$S144=1;0;'$ Unit'!$P144)</v>
      </c>
      <c r="C101" s="60" t="str">
        <f t="shared" si="23"/>
        <v>=SI(Upg!$T144=1;0;'$ Unit'!$Q144)+SI(Upg!$U144=1;0;'$ Unit'!$Q144)+SI(Upg!$V144=1;0;'$ Unit'!$Q144)+SI(Upg!$W144=1;0;'$ Unit'!$Q144)</v>
      </c>
      <c r="D101" s="60" t="str">
        <f t="shared" si="24"/>
        <v>=SI(Upg!$X144=1;0;'$ Unit'!$R144)+SI(Upg!$Y144=1;0;'$ Unit'!$R144)+SI(Upg!$Z144=1;0;'$ Unit'!$R144)+SI(Upg!$AA144=1;0;'$ Unit'!$R144)</v>
      </c>
      <c r="E101" s="60" t="str">
        <f t="shared" si="25"/>
        <v>=SI(Upg!$AB144=1;0;'$ Unit'!$S144)+SI(Upg!$AC144=1;0;'$ Unit'!$S144)+SI(Upg!$AD144=1;0;'$ Unit'!$S144)+SI(Upg!$AE144=1;0;'$ Unit'!$S144)</v>
      </c>
      <c r="F101" s="60" t="str">
        <f t="shared" si="26"/>
        <v>=SI(Upg!$AF144=1;0;'$ Unit'!$T144)+SI(Upg!$AG144=1;0;'$ Unit'!$T144)+SI(Upg!$AH144=1;0;'$ Unit'!$T144)+SI(Upg!$AI144=1;0;'$ Unit'!$T144)</v>
      </c>
      <c r="G101" s="60" t="str">
        <f t="shared" si="27"/>
        <v>=SI(Upg!$AJ144=1;0;'$ Unit'!$U144)+SI(Upg!$AK144=1;0;'$ Unit'!$U144)+SI(Upg!$AL144=1;0;'$ Unit'!$U144)+SI(Upg!$AM144=1;0;'$ Unit'!$U144)</v>
      </c>
      <c r="H101" s="60" t="str">
        <f t="shared" si="28"/>
        <v>=SI(Upg!$AN144=1;0;'$ Unit'!$V144)+SI(Upg!$AO144=1;0;'$ Unit'!$V144)+SI(Upg!$AP144=1;0;'$ Unit'!$V144)+SI(Upg!$AQ144=1;0;'$ Unit'!$V144)</v>
      </c>
      <c r="I101" s="60" t="str">
        <f t="shared" si="29"/>
        <v>=SI(Upg!$AR144=1;0;'$ Unit'!$W144)+SI(Upg!$AS144=1;0;'$ Unit'!$W144)+SI(Upg!$AT144=1;0;'$ Unit'!$W144)+SI(Upg!$AU144=1;0;'$ Unit'!$W144)</v>
      </c>
      <c r="J101" s="60" t="str">
        <f t="shared" si="30"/>
        <v>=SI(Upg!$AV144=1;0;'$ Unit'!$X144)+SI(Upg!$AW144=1;0;'$ Unit'!$X144)+SI(Upg!$AX144=1;0;'$ Unit'!$X144)+SI(Upg!$AY144=1;0;'$ Unit'!$X144)</v>
      </c>
      <c r="K101" s="60" t="str">
        <f t="shared" si="31"/>
        <v>=SI(Upg!$AZ144=1;0;'$ Unit'!$Y144)+SI(Upg!$BA144=1;0;'$ Unit'!$Y144)+SI(Upg!$BB144=1;0;'$ Unit'!$Y144)+SI(Upg!$BC144=1;0;'$ Unit'!$Y144)</v>
      </c>
      <c r="L101" s="60" t="str">
        <f t="shared" si="32"/>
        <v>=SI(Upg!$BD144=1;0;'$ Unit'!$Z144)+SI(Upg!$BE144=1;0;'$ Unit'!$Z144)+SI(Upg!$BF144=1;0;'$ Unit'!$Z144)+SI(Upg!$BG144=1;0;'$ Unit'!$Z144)</v>
      </c>
      <c r="M101" s="60" t="str">
        <f t="shared" si="33"/>
        <v>=SI(Upg!$BH144=1;0;'$ Unit'!$AA144)+SI(Upg!$BI144=1;0;'$ Unit'!$AA144)+SI(Upg!$BJ144=1;0;'$ Unit'!$AA144)+SI(Upg!$BK144=1;0;'$ Unit'!$AA144)</v>
      </c>
      <c r="N101" s="60" t="str">
        <f t="shared" si="34"/>
        <v>=SI(Upg!$BL144=1;0;'$ Unit'!$AB144)+SI(Upg!$BM144=1;0;'$ Unit'!$AB144)+SI(Upg!$BN144=1;0;'$ Unit'!$AB144)+SI(Upg!$BO144=1;0;'$ Unit'!$AB144)</v>
      </c>
      <c r="Q101" t="str">
        <f t="shared" si="19"/>
        <v>='$ Unit'!AD144*Garage!AD144</v>
      </c>
      <c r="R101" t="str">
        <f t="shared" si="20"/>
        <v>='$ Unit'!AE144*Garage!AI144</v>
      </c>
      <c r="S101" t="str">
        <f t="shared" si="21"/>
        <v>='$ Unit'!AF144*Garage!AN144</v>
      </c>
    </row>
    <row r="102" spans="1:19" x14ac:dyDescent="0.2">
      <c r="A102" s="2">
        <v>145</v>
      </c>
      <c r="B102" s="60" t="str">
        <f t="shared" si="22"/>
        <v>=SI(Upg!$P145=1;0;'$ Unit'!$P145)+SI(Upg!$Q145=1;0;'$ Unit'!$P145)+SI(Upg!$R145=1;0;'$ Unit'!$P145)+SI(Upg!$S145=1;0;'$ Unit'!$P145)</v>
      </c>
      <c r="C102" s="60" t="str">
        <f t="shared" si="23"/>
        <v>=SI(Upg!$T145=1;0;'$ Unit'!$Q145)+SI(Upg!$U145=1;0;'$ Unit'!$Q145)+SI(Upg!$V145=1;0;'$ Unit'!$Q145)+SI(Upg!$W145=1;0;'$ Unit'!$Q145)</v>
      </c>
      <c r="D102" s="60" t="str">
        <f t="shared" si="24"/>
        <v>=SI(Upg!$X145=1;0;'$ Unit'!$R145)+SI(Upg!$Y145=1;0;'$ Unit'!$R145)+SI(Upg!$Z145=1;0;'$ Unit'!$R145)+SI(Upg!$AA145=1;0;'$ Unit'!$R145)</v>
      </c>
      <c r="E102" s="60" t="str">
        <f t="shared" si="25"/>
        <v>=SI(Upg!$AB145=1;0;'$ Unit'!$S145)+SI(Upg!$AC145=1;0;'$ Unit'!$S145)+SI(Upg!$AD145=1;0;'$ Unit'!$S145)+SI(Upg!$AE145=1;0;'$ Unit'!$S145)</v>
      </c>
      <c r="F102" s="60" t="str">
        <f t="shared" si="26"/>
        <v>=SI(Upg!$AF145=1;0;'$ Unit'!$T145)+SI(Upg!$AG145=1;0;'$ Unit'!$T145)+SI(Upg!$AH145=1;0;'$ Unit'!$T145)+SI(Upg!$AI145=1;0;'$ Unit'!$T145)</v>
      </c>
      <c r="G102" s="60" t="str">
        <f t="shared" si="27"/>
        <v>=SI(Upg!$AJ145=1;0;'$ Unit'!$U145)+SI(Upg!$AK145=1;0;'$ Unit'!$U145)+SI(Upg!$AL145=1;0;'$ Unit'!$U145)+SI(Upg!$AM145=1;0;'$ Unit'!$U145)</v>
      </c>
      <c r="H102" s="60" t="str">
        <f t="shared" si="28"/>
        <v>=SI(Upg!$AN145=1;0;'$ Unit'!$V145)+SI(Upg!$AO145=1;0;'$ Unit'!$V145)+SI(Upg!$AP145=1;0;'$ Unit'!$V145)+SI(Upg!$AQ145=1;0;'$ Unit'!$V145)</v>
      </c>
      <c r="I102" s="60" t="str">
        <f t="shared" si="29"/>
        <v>=SI(Upg!$AR145=1;0;'$ Unit'!$W145)+SI(Upg!$AS145=1;0;'$ Unit'!$W145)+SI(Upg!$AT145=1;0;'$ Unit'!$W145)+SI(Upg!$AU145=1;0;'$ Unit'!$W145)</v>
      </c>
      <c r="J102" s="60" t="str">
        <f t="shared" si="30"/>
        <v>=SI(Upg!$AV145=1;0;'$ Unit'!$X145)+SI(Upg!$AW145=1;0;'$ Unit'!$X145)+SI(Upg!$AX145=1;0;'$ Unit'!$X145)+SI(Upg!$AY145=1;0;'$ Unit'!$X145)</v>
      </c>
      <c r="K102" s="60" t="str">
        <f t="shared" si="31"/>
        <v>=SI(Upg!$AZ145=1;0;'$ Unit'!$Y145)+SI(Upg!$BA145=1;0;'$ Unit'!$Y145)+SI(Upg!$BB145=1;0;'$ Unit'!$Y145)+SI(Upg!$BC145=1;0;'$ Unit'!$Y145)</v>
      </c>
      <c r="L102" s="60" t="str">
        <f t="shared" si="32"/>
        <v>=SI(Upg!$BD145=1;0;'$ Unit'!$Z145)+SI(Upg!$BE145=1;0;'$ Unit'!$Z145)+SI(Upg!$BF145=1;0;'$ Unit'!$Z145)+SI(Upg!$BG145=1;0;'$ Unit'!$Z145)</v>
      </c>
      <c r="M102" s="60" t="str">
        <f t="shared" si="33"/>
        <v>=SI(Upg!$BH145=1;0;'$ Unit'!$AA145)+SI(Upg!$BI145=1;0;'$ Unit'!$AA145)+SI(Upg!$BJ145=1;0;'$ Unit'!$AA145)+SI(Upg!$BK145=1;0;'$ Unit'!$AA145)</v>
      </c>
      <c r="N102" s="60" t="str">
        <f t="shared" si="34"/>
        <v>=SI(Upg!$BL145=1;0;'$ Unit'!$AB145)+SI(Upg!$BM145=1;0;'$ Unit'!$AB145)+SI(Upg!$BN145=1;0;'$ Unit'!$AB145)+SI(Upg!$BO145=1;0;'$ Unit'!$AB145)</v>
      </c>
      <c r="Q102" t="str">
        <f t="shared" si="19"/>
        <v>='$ Unit'!AD145*Garage!AD145</v>
      </c>
      <c r="R102" t="str">
        <f t="shared" si="20"/>
        <v>='$ Unit'!AE145*Garage!AI145</v>
      </c>
      <c r="S102" t="str">
        <f t="shared" si="21"/>
        <v>='$ Unit'!AF145*Garage!AN145</v>
      </c>
    </row>
    <row r="103" spans="1:19" x14ac:dyDescent="0.2">
      <c r="A103" s="2">
        <v>146</v>
      </c>
      <c r="B103" s="60" t="str">
        <f t="shared" si="22"/>
        <v>=SI(Upg!$P146=1;0;'$ Unit'!$P146)+SI(Upg!$Q146=1;0;'$ Unit'!$P146)+SI(Upg!$R146=1;0;'$ Unit'!$P146)+SI(Upg!$S146=1;0;'$ Unit'!$P146)</v>
      </c>
      <c r="C103" s="60" t="str">
        <f t="shared" si="23"/>
        <v>=SI(Upg!$T146=1;0;'$ Unit'!$Q146)+SI(Upg!$U146=1;0;'$ Unit'!$Q146)+SI(Upg!$V146=1;0;'$ Unit'!$Q146)+SI(Upg!$W146=1;0;'$ Unit'!$Q146)</v>
      </c>
      <c r="D103" s="60" t="str">
        <f t="shared" si="24"/>
        <v>=SI(Upg!$X146=1;0;'$ Unit'!$R146)+SI(Upg!$Y146=1;0;'$ Unit'!$R146)+SI(Upg!$Z146=1;0;'$ Unit'!$R146)+SI(Upg!$AA146=1;0;'$ Unit'!$R146)</v>
      </c>
      <c r="E103" s="60" t="str">
        <f t="shared" si="25"/>
        <v>=SI(Upg!$AB146=1;0;'$ Unit'!$S146)+SI(Upg!$AC146=1;0;'$ Unit'!$S146)+SI(Upg!$AD146=1;0;'$ Unit'!$S146)+SI(Upg!$AE146=1;0;'$ Unit'!$S146)</v>
      </c>
      <c r="F103" s="60" t="str">
        <f t="shared" si="26"/>
        <v>=SI(Upg!$AF146=1;0;'$ Unit'!$T146)+SI(Upg!$AG146=1;0;'$ Unit'!$T146)+SI(Upg!$AH146=1;0;'$ Unit'!$T146)+SI(Upg!$AI146=1;0;'$ Unit'!$T146)</v>
      </c>
      <c r="G103" s="60" t="str">
        <f t="shared" si="27"/>
        <v>=SI(Upg!$AJ146=1;0;'$ Unit'!$U146)+SI(Upg!$AK146=1;0;'$ Unit'!$U146)+SI(Upg!$AL146=1;0;'$ Unit'!$U146)+SI(Upg!$AM146=1;0;'$ Unit'!$U146)</v>
      </c>
      <c r="H103" s="60" t="str">
        <f t="shared" si="28"/>
        <v>=SI(Upg!$AN146=1;0;'$ Unit'!$V146)+SI(Upg!$AO146=1;0;'$ Unit'!$V146)+SI(Upg!$AP146=1;0;'$ Unit'!$V146)+SI(Upg!$AQ146=1;0;'$ Unit'!$V146)</v>
      </c>
      <c r="I103" s="60" t="str">
        <f t="shared" si="29"/>
        <v>=SI(Upg!$AR146=1;0;'$ Unit'!$W146)+SI(Upg!$AS146=1;0;'$ Unit'!$W146)+SI(Upg!$AT146=1;0;'$ Unit'!$W146)+SI(Upg!$AU146=1;0;'$ Unit'!$W146)</v>
      </c>
      <c r="J103" s="60" t="str">
        <f t="shared" si="30"/>
        <v>=SI(Upg!$AV146=1;0;'$ Unit'!$X146)+SI(Upg!$AW146=1;0;'$ Unit'!$X146)+SI(Upg!$AX146=1;0;'$ Unit'!$X146)+SI(Upg!$AY146=1;0;'$ Unit'!$X146)</v>
      </c>
      <c r="K103" s="60" t="str">
        <f t="shared" si="31"/>
        <v>=SI(Upg!$AZ146=1;0;'$ Unit'!$Y146)+SI(Upg!$BA146=1;0;'$ Unit'!$Y146)+SI(Upg!$BB146=1;0;'$ Unit'!$Y146)+SI(Upg!$BC146=1;0;'$ Unit'!$Y146)</v>
      </c>
      <c r="L103" s="60" t="str">
        <f t="shared" si="32"/>
        <v>=SI(Upg!$BD146=1;0;'$ Unit'!$Z146)+SI(Upg!$BE146=1;0;'$ Unit'!$Z146)+SI(Upg!$BF146=1;0;'$ Unit'!$Z146)+SI(Upg!$BG146=1;0;'$ Unit'!$Z146)</v>
      </c>
      <c r="M103" s="60" t="str">
        <f t="shared" si="33"/>
        <v>=SI(Upg!$BH146=1;0;'$ Unit'!$AA146)+SI(Upg!$BI146=1;0;'$ Unit'!$AA146)+SI(Upg!$BJ146=1;0;'$ Unit'!$AA146)+SI(Upg!$BK146=1;0;'$ Unit'!$AA146)</v>
      </c>
      <c r="N103" s="60" t="str">
        <f t="shared" si="34"/>
        <v>=SI(Upg!$BL146=1;0;'$ Unit'!$AB146)+SI(Upg!$BM146=1;0;'$ Unit'!$AB146)+SI(Upg!$BN146=1;0;'$ Unit'!$AB146)+SI(Upg!$BO146=1;0;'$ Unit'!$AB146)</v>
      </c>
      <c r="Q103" t="str">
        <f t="shared" si="19"/>
        <v>='$ Unit'!AD146*Garage!AD146</v>
      </c>
      <c r="R103" t="str">
        <f t="shared" si="20"/>
        <v>='$ Unit'!AE146*Garage!AI146</v>
      </c>
      <c r="S103" t="str">
        <f t="shared" si="21"/>
        <v>='$ Unit'!AF146*Garage!AN146</v>
      </c>
    </row>
    <row r="104" spans="1:19" x14ac:dyDescent="0.2">
      <c r="A104" s="2">
        <v>147</v>
      </c>
      <c r="B104" s="60" t="str">
        <f t="shared" si="22"/>
        <v>=SI(Upg!$P147=1;0;'$ Unit'!$P147)+SI(Upg!$Q147=1;0;'$ Unit'!$P147)+SI(Upg!$R147=1;0;'$ Unit'!$P147)+SI(Upg!$S147=1;0;'$ Unit'!$P147)</v>
      </c>
      <c r="C104" s="60" t="str">
        <f t="shared" si="23"/>
        <v>=SI(Upg!$T147=1;0;'$ Unit'!$Q147)+SI(Upg!$U147=1;0;'$ Unit'!$Q147)+SI(Upg!$V147=1;0;'$ Unit'!$Q147)+SI(Upg!$W147=1;0;'$ Unit'!$Q147)</v>
      </c>
      <c r="D104" s="60" t="str">
        <f t="shared" si="24"/>
        <v>=SI(Upg!$X147=1;0;'$ Unit'!$R147)+SI(Upg!$Y147=1;0;'$ Unit'!$R147)+SI(Upg!$Z147=1;0;'$ Unit'!$R147)+SI(Upg!$AA147=1;0;'$ Unit'!$R147)</v>
      </c>
      <c r="E104" s="60" t="str">
        <f t="shared" si="25"/>
        <v>=SI(Upg!$AB147=1;0;'$ Unit'!$S147)+SI(Upg!$AC147=1;0;'$ Unit'!$S147)+SI(Upg!$AD147=1;0;'$ Unit'!$S147)+SI(Upg!$AE147=1;0;'$ Unit'!$S147)</v>
      </c>
      <c r="F104" s="60" t="str">
        <f t="shared" si="26"/>
        <v>=SI(Upg!$AF147=1;0;'$ Unit'!$T147)+SI(Upg!$AG147=1;0;'$ Unit'!$T147)+SI(Upg!$AH147=1;0;'$ Unit'!$T147)+SI(Upg!$AI147=1;0;'$ Unit'!$T147)</v>
      </c>
      <c r="G104" s="60" t="str">
        <f t="shared" si="27"/>
        <v>=SI(Upg!$AJ147=1;0;'$ Unit'!$U147)+SI(Upg!$AK147=1;0;'$ Unit'!$U147)+SI(Upg!$AL147=1;0;'$ Unit'!$U147)+SI(Upg!$AM147=1;0;'$ Unit'!$U147)</v>
      </c>
      <c r="H104" s="60" t="str">
        <f t="shared" si="28"/>
        <v>=SI(Upg!$AN147=1;0;'$ Unit'!$V147)+SI(Upg!$AO147=1;0;'$ Unit'!$V147)+SI(Upg!$AP147=1;0;'$ Unit'!$V147)+SI(Upg!$AQ147=1;0;'$ Unit'!$V147)</v>
      </c>
      <c r="I104" s="60" t="str">
        <f t="shared" si="29"/>
        <v>=SI(Upg!$AR147=1;0;'$ Unit'!$W147)+SI(Upg!$AS147=1;0;'$ Unit'!$W147)+SI(Upg!$AT147=1;0;'$ Unit'!$W147)+SI(Upg!$AU147=1;0;'$ Unit'!$W147)</v>
      </c>
      <c r="J104" s="60" t="str">
        <f t="shared" si="30"/>
        <v>=SI(Upg!$AV147=1;0;'$ Unit'!$X147)+SI(Upg!$AW147=1;0;'$ Unit'!$X147)+SI(Upg!$AX147=1;0;'$ Unit'!$X147)+SI(Upg!$AY147=1;0;'$ Unit'!$X147)</v>
      </c>
      <c r="K104" s="60" t="str">
        <f t="shared" si="31"/>
        <v>=SI(Upg!$AZ147=1;0;'$ Unit'!$Y147)+SI(Upg!$BA147=1;0;'$ Unit'!$Y147)+SI(Upg!$BB147=1;0;'$ Unit'!$Y147)+SI(Upg!$BC147=1;0;'$ Unit'!$Y147)</v>
      </c>
      <c r="L104" s="60" t="str">
        <f t="shared" si="32"/>
        <v>=SI(Upg!$BD147=1;0;'$ Unit'!$Z147)+SI(Upg!$BE147=1;0;'$ Unit'!$Z147)+SI(Upg!$BF147=1;0;'$ Unit'!$Z147)+SI(Upg!$BG147=1;0;'$ Unit'!$Z147)</v>
      </c>
      <c r="M104" s="60" t="str">
        <f t="shared" si="33"/>
        <v>=SI(Upg!$BH147=1;0;'$ Unit'!$AA147)+SI(Upg!$BI147=1;0;'$ Unit'!$AA147)+SI(Upg!$BJ147=1;0;'$ Unit'!$AA147)+SI(Upg!$BK147=1;0;'$ Unit'!$AA147)</v>
      </c>
      <c r="N104" s="60" t="str">
        <f t="shared" si="34"/>
        <v>=SI(Upg!$BL147=1;0;'$ Unit'!$AB147)+SI(Upg!$BM147=1;0;'$ Unit'!$AB147)+SI(Upg!$BN147=1;0;'$ Unit'!$AB147)+SI(Upg!$BO147=1;0;'$ Unit'!$AB147)</v>
      </c>
      <c r="Q104" t="str">
        <f t="shared" si="19"/>
        <v>='$ Unit'!AD147*Garage!AD147</v>
      </c>
      <c r="R104" t="str">
        <f t="shared" si="20"/>
        <v>='$ Unit'!AE147*Garage!AI147</v>
      </c>
      <c r="S104" t="str">
        <f t="shared" si="21"/>
        <v>='$ Unit'!AF147*Garage!AN147</v>
      </c>
    </row>
    <row r="105" spans="1:19" x14ac:dyDescent="0.2">
      <c r="A105" s="2">
        <v>148</v>
      </c>
      <c r="B105" s="60" t="str">
        <f t="shared" si="22"/>
        <v>=SI(Upg!$P148=1;0;'$ Unit'!$P148)+SI(Upg!$Q148=1;0;'$ Unit'!$P148)+SI(Upg!$R148=1;0;'$ Unit'!$P148)+SI(Upg!$S148=1;0;'$ Unit'!$P148)</v>
      </c>
      <c r="C105" s="60" t="str">
        <f t="shared" si="23"/>
        <v>=SI(Upg!$T148=1;0;'$ Unit'!$Q148)+SI(Upg!$U148=1;0;'$ Unit'!$Q148)+SI(Upg!$V148=1;0;'$ Unit'!$Q148)+SI(Upg!$W148=1;0;'$ Unit'!$Q148)</v>
      </c>
      <c r="D105" s="60" t="str">
        <f t="shared" si="24"/>
        <v>=SI(Upg!$X148=1;0;'$ Unit'!$R148)+SI(Upg!$Y148=1;0;'$ Unit'!$R148)+SI(Upg!$Z148=1;0;'$ Unit'!$R148)+SI(Upg!$AA148=1;0;'$ Unit'!$R148)</v>
      </c>
      <c r="E105" s="60" t="str">
        <f t="shared" si="25"/>
        <v>=SI(Upg!$AB148=1;0;'$ Unit'!$S148)+SI(Upg!$AC148=1;0;'$ Unit'!$S148)+SI(Upg!$AD148=1;0;'$ Unit'!$S148)+SI(Upg!$AE148=1;0;'$ Unit'!$S148)</v>
      </c>
      <c r="F105" s="60" t="str">
        <f t="shared" si="26"/>
        <v>=SI(Upg!$AF148=1;0;'$ Unit'!$T148)+SI(Upg!$AG148=1;0;'$ Unit'!$T148)+SI(Upg!$AH148=1;0;'$ Unit'!$T148)+SI(Upg!$AI148=1;0;'$ Unit'!$T148)</v>
      </c>
      <c r="G105" s="60" t="str">
        <f t="shared" si="27"/>
        <v>=SI(Upg!$AJ148=1;0;'$ Unit'!$U148)+SI(Upg!$AK148=1;0;'$ Unit'!$U148)+SI(Upg!$AL148=1;0;'$ Unit'!$U148)+SI(Upg!$AM148=1;0;'$ Unit'!$U148)</v>
      </c>
      <c r="H105" s="60" t="str">
        <f t="shared" si="28"/>
        <v>=SI(Upg!$AN148=1;0;'$ Unit'!$V148)+SI(Upg!$AO148=1;0;'$ Unit'!$V148)+SI(Upg!$AP148=1;0;'$ Unit'!$V148)+SI(Upg!$AQ148=1;0;'$ Unit'!$V148)</v>
      </c>
      <c r="I105" s="60" t="str">
        <f t="shared" si="29"/>
        <v>=SI(Upg!$AR148=1;0;'$ Unit'!$W148)+SI(Upg!$AS148=1;0;'$ Unit'!$W148)+SI(Upg!$AT148=1;0;'$ Unit'!$W148)+SI(Upg!$AU148=1;0;'$ Unit'!$W148)</v>
      </c>
      <c r="J105" s="60" t="str">
        <f t="shared" si="30"/>
        <v>=SI(Upg!$AV148=1;0;'$ Unit'!$X148)+SI(Upg!$AW148=1;0;'$ Unit'!$X148)+SI(Upg!$AX148=1;0;'$ Unit'!$X148)+SI(Upg!$AY148=1;0;'$ Unit'!$X148)</v>
      </c>
      <c r="K105" s="60" t="str">
        <f t="shared" si="31"/>
        <v>=SI(Upg!$AZ148=1;0;'$ Unit'!$Y148)+SI(Upg!$BA148=1;0;'$ Unit'!$Y148)+SI(Upg!$BB148=1;0;'$ Unit'!$Y148)+SI(Upg!$BC148=1;0;'$ Unit'!$Y148)</v>
      </c>
      <c r="L105" s="60" t="str">
        <f t="shared" si="32"/>
        <v>=SI(Upg!$BD148=1;0;'$ Unit'!$Z148)+SI(Upg!$BE148=1;0;'$ Unit'!$Z148)+SI(Upg!$BF148=1;0;'$ Unit'!$Z148)+SI(Upg!$BG148=1;0;'$ Unit'!$Z148)</v>
      </c>
      <c r="M105" s="60" t="str">
        <f t="shared" si="33"/>
        <v>=SI(Upg!$BH148=1;0;'$ Unit'!$AA148)+SI(Upg!$BI148=1;0;'$ Unit'!$AA148)+SI(Upg!$BJ148=1;0;'$ Unit'!$AA148)+SI(Upg!$BK148=1;0;'$ Unit'!$AA148)</v>
      </c>
      <c r="N105" s="60" t="str">
        <f t="shared" si="34"/>
        <v>=SI(Upg!$BL148=1;0;'$ Unit'!$AB148)+SI(Upg!$BM148=1;0;'$ Unit'!$AB148)+SI(Upg!$BN148=1;0;'$ Unit'!$AB148)+SI(Upg!$BO148=1;0;'$ Unit'!$AB148)</v>
      </c>
      <c r="Q105" t="str">
        <f t="shared" si="19"/>
        <v>='$ Unit'!AD148*Garage!AD148</v>
      </c>
      <c r="R105" t="str">
        <f t="shared" si="20"/>
        <v>='$ Unit'!AE148*Garage!AI148</v>
      </c>
      <c r="S105" t="str">
        <f t="shared" si="21"/>
        <v>='$ Unit'!AF148*Garage!AN148</v>
      </c>
    </row>
    <row r="106" spans="1:19" x14ac:dyDescent="0.2">
      <c r="A106" s="2">
        <v>149</v>
      </c>
      <c r="B106" s="60" t="str">
        <f t="shared" si="22"/>
        <v>=SI(Upg!$P149=1;0;'$ Unit'!$P149)+SI(Upg!$Q149=1;0;'$ Unit'!$P149)+SI(Upg!$R149=1;0;'$ Unit'!$P149)+SI(Upg!$S149=1;0;'$ Unit'!$P149)</v>
      </c>
      <c r="C106" s="60" t="str">
        <f t="shared" si="23"/>
        <v>=SI(Upg!$T149=1;0;'$ Unit'!$Q149)+SI(Upg!$U149=1;0;'$ Unit'!$Q149)+SI(Upg!$V149=1;0;'$ Unit'!$Q149)+SI(Upg!$W149=1;0;'$ Unit'!$Q149)</v>
      </c>
      <c r="D106" s="60" t="str">
        <f t="shared" si="24"/>
        <v>=SI(Upg!$X149=1;0;'$ Unit'!$R149)+SI(Upg!$Y149=1;0;'$ Unit'!$R149)+SI(Upg!$Z149=1;0;'$ Unit'!$R149)+SI(Upg!$AA149=1;0;'$ Unit'!$R149)</v>
      </c>
      <c r="E106" s="60" t="str">
        <f t="shared" si="25"/>
        <v>=SI(Upg!$AB149=1;0;'$ Unit'!$S149)+SI(Upg!$AC149=1;0;'$ Unit'!$S149)+SI(Upg!$AD149=1;0;'$ Unit'!$S149)+SI(Upg!$AE149=1;0;'$ Unit'!$S149)</v>
      </c>
      <c r="F106" s="60" t="str">
        <f t="shared" si="26"/>
        <v>=SI(Upg!$AF149=1;0;'$ Unit'!$T149)+SI(Upg!$AG149=1;0;'$ Unit'!$T149)+SI(Upg!$AH149=1;0;'$ Unit'!$T149)+SI(Upg!$AI149=1;0;'$ Unit'!$T149)</v>
      </c>
      <c r="G106" s="60" t="str">
        <f t="shared" si="27"/>
        <v>=SI(Upg!$AJ149=1;0;'$ Unit'!$U149)+SI(Upg!$AK149=1;0;'$ Unit'!$U149)+SI(Upg!$AL149=1;0;'$ Unit'!$U149)+SI(Upg!$AM149=1;0;'$ Unit'!$U149)</v>
      </c>
      <c r="H106" s="60" t="str">
        <f t="shared" si="28"/>
        <v>=SI(Upg!$AN149=1;0;'$ Unit'!$V149)+SI(Upg!$AO149=1;0;'$ Unit'!$V149)+SI(Upg!$AP149=1;0;'$ Unit'!$V149)+SI(Upg!$AQ149=1;0;'$ Unit'!$V149)</v>
      </c>
      <c r="I106" s="60" t="str">
        <f t="shared" si="29"/>
        <v>=SI(Upg!$AR149=1;0;'$ Unit'!$W149)+SI(Upg!$AS149=1;0;'$ Unit'!$W149)+SI(Upg!$AT149=1;0;'$ Unit'!$W149)+SI(Upg!$AU149=1;0;'$ Unit'!$W149)</v>
      </c>
      <c r="J106" s="60" t="str">
        <f t="shared" si="30"/>
        <v>=SI(Upg!$AV149=1;0;'$ Unit'!$X149)+SI(Upg!$AW149=1;0;'$ Unit'!$X149)+SI(Upg!$AX149=1;0;'$ Unit'!$X149)+SI(Upg!$AY149=1;0;'$ Unit'!$X149)</v>
      </c>
      <c r="K106" s="60" t="str">
        <f t="shared" si="31"/>
        <v>=SI(Upg!$AZ149=1;0;'$ Unit'!$Y149)+SI(Upg!$BA149=1;0;'$ Unit'!$Y149)+SI(Upg!$BB149=1;0;'$ Unit'!$Y149)+SI(Upg!$BC149=1;0;'$ Unit'!$Y149)</v>
      </c>
      <c r="L106" s="60" t="str">
        <f t="shared" si="32"/>
        <v>=SI(Upg!$BD149=1;0;'$ Unit'!$Z149)+SI(Upg!$BE149=1;0;'$ Unit'!$Z149)+SI(Upg!$BF149=1;0;'$ Unit'!$Z149)+SI(Upg!$BG149=1;0;'$ Unit'!$Z149)</v>
      </c>
      <c r="M106" s="60" t="str">
        <f t="shared" si="33"/>
        <v>=SI(Upg!$BH149=1;0;'$ Unit'!$AA149)+SI(Upg!$BI149=1;0;'$ Unit'!$AA149)+SI(Upg!$BJ149=1;0;'$ Unit'!$AA149)+SI(Upg!$BK149=1;0;'$ Unit'!$AA149)</v>
      </c>
      <c r="N106" s="60" t="str">
        <f t="shared" si="34"/>
        <v>=SI(Upg!$BL149=1;0;'$ Unit'!$AB149)+SI(Upg!$BM149=1;0;'$ Unit'!$AB149)+SI(Upg!$BN149=1;0;'$ Unit'!$AB149)+SI(Upg!$BO149=1;0;'$ Unit'!$AB149)</v>
      </c>
      <c r="Q106" t="str">
        <f t="shared" si="19"/>
        <v>='$ Unit'!AD149*Garage!AD149</v>
      </c>
      <c r="R106" t="str">
        <f t="shared" si="20"/>
        <v>='$ Unit'!AE149*Garage!AI149</v>
      </c>
      <c r="S106" t="str">
        <f t="shared" si="21"/>
        <v>='$ Unit'!AF149*Garage!AN149</v>
      </c>
    </row>
    <row r="107" spans="1:19" x14ac:dyDescent="0.2">
      <c r="A107" s="2">
        <v>153</v>
      </c>
      <c r="B107" s="60" t="str">
        <f t="shared" si="22"/>
        <v>=SI(Upg!$P153=1;0;'$ Unit'!$P153)+SI(Upg!$Q153=1;0;'$ Unit'!$P153)+SI(Upg!$R153=1;0;'$ Unit'!$P153)+SI(Upg!$S153=1;0;'$ Unit'!$P153)</v>
      </c>
      <c r="C107" s="60" t="str">
        <f t="shared" si="23"/>
        <v>=SI(Upg!$T153=1;0;'$ Unit'!$Q153)+SI(Upg!$U153=1;0;'$ Unit'!$Q153)+SI(Upg!$V153=1;0;'$ Unit'!$Q153)+SI(Upg!$W153=1;0;'$ Unit'!$Q153)</v>
      </c>
      <c r="D107" s="60" t="str">
        <f t="shared" si="24"/>
        <v>=SI(Upg!$X153=1;0;'$ Unit'!$R153)+SI(Upg!$Y153=1;0;'$ Unit'!$R153)+SI(Upg!$Z153=1;0;'$ Unit'!$R153)+SI(Upg!$AA153=1;0;'$ Unit'!$R153)</v>
      </c>
      <c r="E107" s="60" t="str">
        <f t="shared" si="25"/>
        <v>=SI(Upg!$AB153=1;0;'$ Unit'!$S153)+SI(Upg!$AC153=1;0;'$ Unit'!$S153)+SI(Upg!$AD153=1;0;'$ Unit'!$S153)+SI(Upg!$AE153=1;0;'$ Unit'!$S153)</v>
      </c>
      <c r="F107" s="60" t="str">
        <f t="shared" si="26"/>
        <v>=SI(Upg!$AF153=1;0;'$ Unit'!$T153)+SI(Upg!$AG153=1;0;'$ Unit'!$T153)+SI(Upg!$AH153=1;0;'$ Unit'!$T153)+SI(Upg!$AI153=1;0;'$ Unit'!$T153)</v>
      </c>
      <c r="G107" s="60" t="str">
        <f t="shared" si="27"/>
        <v>=SI(Upg!$AJ153=1;0;'$ Unit'!$U153)+SI(Upg!$AK153=1;0;'$ Unit'!$U153)+SI(Upg!$AL153=1;0;'$ Unit'!$U153)+SI(Upg!$AM153=1;0;'$ Unit'!$U153)</v>
      </c>
      <c r="H107" s="60" t="str">
        <f t="shared" si="28"/>
        <v>=SI(Upg!$AN153=1;0;'$ Unit'!$V153)+SI(Upg!$AO153=1;0;'$ Unit'!$V153)+SI(Upg!$AP153=1;0;'$ Unit'!$V153)+SI(Upg!$AQ153=1;0;'$ Unit'!$V153)</v>
      </c>
      <c r="I107" s="60" t="str">
        <f t="shared" si="29"/>
        <v>=SI(Upg!$AR153=1;0;'$ Unit'!$W153)+SI(Upg!$AS153=1;0;'$ Unit'!$W153)+SI(Upg!$AT153=1;0;'$ Unit'!$W153)+SI(Upg!$AU153=1;0;'$ Unit'!$W153)</v>
      </c>
      <c r="J107" s="60" t="str">
        <f t="shared" si="30"/>
        <v>=SI(Upg!$AV153=1;0;'$ Unit'!$X153)+SI(Upg!$AW153=1;0;'$ Unit'!$X153)+SI(Upg!$AX153=1;0;'$ Unit'!$X153)+SI(Upg!$AY153=1;0;'$ Unit'!$X153)</v>
      </c>
      <c r="K107" s="60" t="str">
        <f t="shared" si="31"/>
        <v>=SI(Upg!$AZ153=1;0;'$ Unit'!$Y153)+SI(Upg!$BA153=1;0;'$ Unit'!$Y153)+SI(Upg!$BB153=1;0;'$ Unit'!$Y153)+SI(Upg!$BC153=1;0;'$ Unit'!$Y153)</v>
      </c>
      <c r="L107" s="60" t="str">
        <f t="shared" si="32"/>
        <v>=SI(Upg!$BD153=1;0;'$ Unit'!$Z153)+SI(Upg!$BE153=1;0;'$ Unit'!$Z153)+SI(Upg!$BF153=1;0;'$ Unit'!$Z153)+SI(Upg!$BG153=1;0;'$ Unit'!$Z153)</v>
      </c>
      <c r="M107" s="60" t="str">
        <f t="shared" si="33"/>
        <v>=SI(Upg!$BH153=1;0;'$ Unit'!$AA153)+SI(Upg!$BI153=1;0;'$ Unit'!$AA153)+SI(Upg!$BJ153=1;0;'$ Unit'!$AA153)+SI(Upg!$BK153=1;0;'$ Unit'!$AA153)</v>
      </c>
      <c r="N107" s="60" t="str">
        <f t="shared" si="34"/>
        <v>=SI(Upg!$BL153=1;0;'$ Unit'!$AB153)+SI(Upg!$BM153=1;0;'$ Unit'!$AB153)+SI(Upg!$BN153=1;0;'$ Unit'!$AB153)+SI(Upg!$BO153=1;0;'$ Unit'!$AB153)</v>
      </c>
      <c r="Q107" t="str">
        <f t="shared" si="19"/>
        <v>='$ Unit'!AD153*Garage!AD153</v>
      </c>
      <c r="R107" t="str">
        <f t="shared" si="20"/>
        <v>='$ Unit'!AE153*Garage!AI153</v>
      </c>
      <c r="S107" t="str">
        <f t="shared" si="21"/>
        <v>='$ Unit'!AF153*Garage!AN153</v>
      </c>
    </row>
    <row r="108" spans="1:19" x14ac:dyDescent="0.2">
      <c r="A108" s="2">
        <v>154</v>
      </c>
      <c r="B108" s="60" t="str">
        <f t="shared" si="22"/>
        <v>=SI(Upg!$P154=1;0;'$ Unit'!$P154)+SI(Upg!$Q154=1;0;'$ Unit'!$P154)+SI(Upg!$R154=1;0;'$ Unit'!$P154)+SI(Upg!$S154=1;0;'$ Unit'!$P154)</v>
      </c>
      <c r="C108" s="60" t="str">
        <f t="shared" si="23"/>
        <v>=SI(Upg!$T154=1;0;'$ Unit'!$Q154)+SI(Upg!$U154=1;0;'$ Unit'!$Q154)+SI(Upg!$V154=1;0;'$ Unit'!$Q154)+SI(Upg!$W154=1;0;'$ Unit'!$Q154)</v>
      </c>
      <c r="D108" s="60" t="str">
        <f t="shared" si="24"/>
        <v>=SI(Upg!$X154=1;0;'$ Unit'!$R154)+SI(Upg!$Y154=1;0;'$ Unit'!$R154)+SI(Upg!$Z154=1;0;'$ Unit'!$R154)+SI(Upg!$AA154=1;0;'$ Unit'!$R154)</v>
      </c>
      <c r="E108" s="60" t="str">
        <f t="shared" si="25"/>
        <v>=SI(Upg!$AB154=1;0;'$ Unit'!$S154)+SI(Upg!$AC154=1;0;'$ Unit'!$S154)+SI(Upg!$AD154=1;0;'$ Unit'!$S154)+SI(Upg!$AE154=1;0;'$ Unit'!$S154)</v>
      </c>
      <c r="F108" s="60" t="str">
        <f t="shared" si="26"/>
        <v>=SI(Upg!$AF154=1;0;'$ Unit'!$T154)+SI(Upg!$AG154=1;0;'$ Unit'!$T154)+SI(Upg!$AH154=1;0;'$ Unit'!$T154)+SI(Upg!$AI154=1;0;'$ Unit'!$T154)</v>
      </c>
      <c r="G108" s="60" t="str">
        <f t="shared" si="27"/>
        <v>=SI(Upg!$AJ154=1;0;'$ Unit'!$U154)+SI(Upg!$AK154=1;0;'$ Unit'!$U154)+SI(Upg!$AL154=1;0;'$ Unit'!$U154)+SI(Upg!$AM154=1;0;'$ Unit'!$U154)</v>
      </c>
      <c r="H108" s="60" t="str">
        <f t="shared" si="28"/>
        <v>=SI(Upg!$AN154=1;0;'$ Unit'!$V154)+SI(Upg!$AO154=1;0;'$ Unit'!$V154)+SI(Upg!$AP154=1;0;'$ Unit'!$V154)+SI(Upg!$AQ154=1;0;'$ Unit'!$V154)</v>
      </c>
      <c r="I108" s="60" t="str">
        <f t="shared" si="29"/>
        <v>=SI(Upg!$AR154=1;0;'$ Unit'!$W154)+SI(Upg!$AS154=1;0;'$ Unit'!$W154)+SI(Upg!$AT154=1;0;'$ Unit'!$W154)+SI(Upg!$AU154=1;0;'$ Unit'!$W154)</v>
      </c>
      <c r="J108" s="60" t="str">
        <f t="shared" si="30"/>
        <v>=SI(Upg!$AV154=1;0;'$ Unit'!$X154)+SI(Upg!$AW154=1;0;'$ Unit'!$X154)+SI(Upg!$AX154=1;0;'$ Unit'!$X154)+SI(Upg!$AY154=1;0;'$ Unit'!$X154)</v>
      </c>
      <c r="K108" s="60" t="str">
        <f t="shared" si="31"/>
        <v>=SI(Upg!$AZ154=1;0;'$ Unit'!$Y154)+SI(Upg!$BA154=1;0;'$ Unit'!$Y154)+SI(Upg!$BB154=1;0;'$ Unit'!$Y154)+SI(Upg!$BC154=1;0;'$ Unit'!$Y154)</v>
      </c>
      <c r="L108" s="60" t="str">
        <f t="shared" si="32"/>
        <v>=SI(Upg!$BD154=1;0;'$ Unit'!$Z154)+SI(Upg!$BE154=1;0;'$ Unit'!$Z154)+SI(Upg!$BF154=1;0;'$ Unit'!$Z154)+SI(Upg!$BG154=1;0;'$ Unit'!$Z154)</v>
      </c>
      <c r="M108" s="60" t="str">
        <f t="shared" si="33"/>
        <v>=SI(Upg!$BH154=1;0;'$ Unit'!$AA154)+SI(Upg!$BI154=1;0;'$ Unit'!$AA154)+SI(Upg!$BJ154=1;0;'$ Unit'!$AA154)+SI(Upg!$BK154=1;0;'$ Unit'!$AA154)</v>
      </c>
      <c r="N108" s="60" t="str">
        <f t="shared" si="34"/>
        <v>=SI(Upg!$BL154=1;0;'$ Unit'!$AB154)+SI(Upg!$BM154=1;0;'$ Unit'!$AB154)+SI(Upg!$BN154=1;0;'$ Unit'!$AB154)+SI(Upg!$BO154=1;0;'$ Unit'!$AB154)</v>
      </c>
      <c r="Q108" t="str">
        <f t="shared" si="19"/>
        <v>='$ Unit'!AD154*Garage!AD154</v>
      </c>
      <c r="R108" t="str">
        <f t="shared" si="20"/>
        <v>='$ Unit'!AE154*Garage!AI154</v>
      </c>
      <c r="S108" t="str">
        <f t="shared" si="21"/>
        <v>='$ Unit'!AF154*Garage!AN154</v>
      </c>
    </row>
    <row r="109" spans="1:19" x14ac:dyDescent="0.2">
      <c r="A109" s="2">
        <v>155</v>
      </c>
      <c r="B109" s="60" t="str">
        <f t="shared" si="22"/>
        <v>=SI(Upg!$P155=1;0;'$ Unit'!$P155)+SI(Upg!$Q155=1;0;'$ Unit'!$P155)+SI(Upg!$R155=1;0;'$ Unit'!$P155)+SI(Upg!$S155=1;0;'$ Unit'!$P155)</v>
      </c>
      <c r="C109" s="60" t="str">
        <f t="shared" si="23"/>
        <v>=SI(Upg!$T155=1;0;'$ Unit'!$Q155)+SI(Upg!$U155=1;0;'$ Unit'!$Q155)+SI(Upg!$V155=1;0;'$ Unit'!$Q155)+SI(Upg!$W155=1;0;'$ Unit'!$Q155)</v>
      </c>
      <c r="D109" s="60" t="str">
        <f t="shared" si="24"/>
        <v>=SI(Upg!$X155=1;0;'$ Unit'!$R155)+SI(Upg!$Y155=1;0;'$ Unit'!$R155)+SI(Upg!$Z155=1;0;'$ Unit'!$R155)+SI(Upg!$AA155=1;0;'$ Unit'!$R155)</v>
      </c>
      <c r="E109" s="60" t="str">
        <f t="shared" si="25"/>
        <v>=SI(Upg!$AB155=1;0;'$ Unit'!$S155)+SI(Upg!$AC155=1;0;'$ Unit'!$S155)+SI(Upg!$AD155=1;0;'$ Unit'!$S155)+SI(Upg!$AE155=1;0;'$ Unit'!$S155)</v>
      </c>
      <c r="F109" s="60" t="str">
        <f t="shared" si="26"/>
        <v>=SI(Upg!$AF155=1;0;'$ Unit'!$T155)+SI(Upg!$AG155=1;0;'$ Unit'!$T155)+SI(Upg!$AH155=1;0;'$ Unit'!$T155)+SI(Upg!$AI155=1;0;'$ Unit'!$T155)</v>
      </c>
      <c r="G109" s="60" t="str">
        <f t="shared" si="27"/>
        <v>=SI(Upg!$AJ155=1;0;'$ Unit'!$U155)+SI(Upg!$AK155=1;0;'$ Unit'!$U155)+SI(Upg!$AL155=1;0;'$ Unit'!$U155)+SI(Upg!$AM155=1;0;'$ Unit'!$U155)</v>
      </c>
      <c r="H109" s="60" t="str">
        <f t="shared" si="28"/>
        <v>=SI(Upg!$AN155=1;0;'$ Unit'!$V155)+SI(Upg!$AO155=1;0;'$ Unit'!$V155)+SI(Upg!$AP155=1;0;'$ Unit'!$V155)+SI(Upg!$AQ155=1;0;'$ Unit'!$V155)</v>
      </c>
      <c r="I109" s="60" t="str">
        <f t="shared" si="29"/>
        <v>=SI(Upg!$AR155=1;0;'$ Unit'!$W155)+SI(Upg!$AS155=1;0;'$ Unit'!$W155)+SI(Upg!$AT155=1;0;'$ Unit'!$W155)+SI(Upg!$AU155=1;0;'$ Unit'!$W155)</v>
      </c>
      <c r="J109" s="60" t="str">
        <f t="shared" si="30"/>
        <v>=SI(Upg!$AV155=1;0;'$ Unit'!$X155)+SI(Upg!$AW155=1;0;'$ Unit'!$X155)+SI(Upg!$AX155=1;0;'$ Unit'!$X155)+SI(Upg!$AY155=1;0;'$ Unit'!$X155)</v>
      </c>
      <c r="K109" s="60" t="str">
        <f t="shared" si="31"/>
        <v>=SI(Upg!$AZ155=1;0;'$ Unit'!$Y155)+SI(Upg!$BA155=1;0;'$ Unit'!$Y155)+SI(Upg!$BB155=1;0;'$ Unit'!$Y155)+SI(Upg!$BC155=1;0;'$ Unit'!$Y155)</v>
      </c>
      <c r="L109" s="60" t="str">
        <f t="shared" si="32"/>
        <v>=SI(Upg!$BD155=1;0;'$ Unit'!$Z155)+SI(Upg!$BE155=1;0;'$ Unit'!$Z155)+SI(Upg!$BF155=1;0;'$ Unit'!$Z155)+SI(Upg!$BG155=1;0;'$ Unit'!$Z155)</v>
      </c>
      <c r="M109" s="60" t="str">
        <f t="shared" si="33"/>
        <v>=SI(Upg!$BH155=1;0;'$ Unit'!$AA155)+SI(Upg!$BI155=1;0;'$ Unit'!$AA155)+SI(Upg!$BJ155=1;0;'$ Unit'!$AA155)+SI(Upg!$BK155=1;0;'$ Unit'!$AA155)</v>
      </c>
      <c r="N109" s="60" t="str">
        <f t="shared" si="34"/>
        <v>=SI(Upg!$BL155=1;0;'$ Unit'!$AB155)+SI(Upg!$BM155=1;0;'$ Unit'!$AB155)+SI(Upg!$BN155=1;0;'$ Unit'!$AB155)+SI(Upg!$BO155=1;0;'$ Unit'!$AB155)</v>
      </c>
      <c r="Q109" t="str">
        <f t="shared" si="19"/>
        <v>='$ Unit'!AD155*Garage!AD155</v>
      </c>
      <c r="R109" t="str">
        <f t="shared" si="20"/>
        <v>='$ Unit'!AE155*Garage!AI155</v>
      </c>
      <c r="S109" t="str">
        <f t="shared" si="21"/>
        <v>='$ Unit'!AF155*Garage!AN155</v>
      </c>
    </row>
    <row r="110" spans="1:19" x14ac:dyDescent="0.2">
      <c r="A110" s="2">
        <v>158</v>
      </c>
      <c r="B110" s="60" t="str">
        <f t="shared" si="22"/>
        <v>=SI(Upg!$P158=1;0;'$ Unit'!$P158)+SI(Upg!$Q158=1;0;'$ Unit'!$P158)+SI(Upg!$R158=1;0;'$ Unit'!$P158)+SI(Upg!$S158=1;0;'$ Unit'!$P158)</v>
      </c>
      <c r="C110" s="60" t="str">
        <f t="shared" si="23"/>
        <v>=SI(Upg!$T158=1;0;'$ Unit'!$Q158)+SI(Upg!$U158=1;0;'$ Unit'!$Q158)+SI(Upg!$V158=1;0;'$ Unit'!$Q158)+SI(Upg!$W158=1;0;'$ Unit'!$Q158)</v>
      </c>
      <c r="D110" s="60" t="str">
        <f t="shared" si="24"/>
        <v>=SI(Upg!$X158=1;0;'$ Unit'!$R158)+SI(Upg!$Y158=1;0;'$ Unit'!$R158)+SI(Upg!$Z158=1;0;'$ Unit'!$R158)+SI(Upg!$AA158=1;0;'$ Unit'!$R158)</v>
      </c>
      <c r="E110" s="60" t="str">
        <f t="shared" si="25"/>
        <v>=SI(Upg!$AB158=1;0;'$ Unit'!$S158)+SI(Upg!$AC158=1;0;'$ Unit'!$S158)+SI(Upg!$AD158=1;0;'$ Unit'!$S158)+SI(Upg!$AE158=1;0;'$ Unit'!$S158)</v>
      </c>
      <c r="F110" s="60" t="str">
        <f t="shared" si="26"/>
        <v>=SI(Upg!$AF158=1;0;'$ Unit'!$T158)+SI(Upg!$AG158=1;0;'$ Unit'!$T158)+SI(Upg!$AH158=1;0;'$ Unit'!$T158)+SI(Upg!$AI158=1;0;'$ Unit'!$T158)</v>
      </c>
      <c r="G110" s="60" t="str">
        <f t="shared" si="27"/>
        <v>=SI(Upg!$AJ158=1;0;'$ Unit'!$U158)+SI(Upg!$AK158=1;0;'$ Unit'!$U158)+SI(Upg!$AL158=1;0;'$ Unit'!$U158)+SI(Upg!$AM158=1;0;'$ Unit'!$U158)</v>
      </c>
      <c r="H110" s="60" t="str">
        <f t="shared" si="28"/>
        <v>=SI(Upg!$AN158=1;0;'$ Unit'!$V158)+SI(Upg!$AO158=1;0;'$ Unit'!$V158)+SI(Upg!$AP158=1;0;'$ Unit'!$V158)+SI(Upg!$AQ158=1;0;'$ Unit'!$V158)</v>
      </c>
      <c r="I110" s="60" t="str">
        <f t="shared" si="29"/>
        <v>=SI(Upg!$AR158=1;0;'$ Unit'!$W158)+SI(Upg!$AS158=1;0;'$ Unit'!$W158)+SI(Upg!$AT158=1;0;'$ Unit'!$W158)+SI(Upg!$AU158=1;0;'$ Unit'!$W158)</v>
      </c>
      <c r="J110" s="60" t="str">
        <f t="shared" si="30"/>
        <v>=SI(Upg!$AV158=1;0;'$ Unit'!$X158)+SI(Upg!$AW158=1;0;'$ Unit'!$X158)+SI(Upg!$AX158=1;0;'$ Unit'!$X158)+SI(Upg!$AY158=1;0;'$ Unit'!$X158)</v>
      </c>
      <c r="K110" s="60" t="str">
        <f t="shared" si="31"/>
        <v>=SI(Upg!$AZ158=1;0;'$ Unit'!$Y158)+SI(Upg!$BA158=1;0;'$ Unit'!$Y158)+SI(Upg!$BB158=1;0;'$ Unit'!$Y158)+SI(Upg!$BC158=1;0;'$ Unit'!$Y158)</v>
      </c>
      <c r="L110" s="60" t="str">
        <f t="shared" si="32"/>
        <v>=SI(Upg!$BD158=1;0;'$ Unit'!$Z158)+SI(Upg!$BE158=1;0;'$ Unit'!$Z158)+SI(Upg!$BF158=1;0;'$ Unit'!$Z158)+SI(Upg!$BG158=1;0;'$ Unit'!$Z158)</v>
      </c>
      <c r="M110" s="60" t="str">
        <f t="shared" si="33"/>
        <v>=SI(Upg!$BH158=1;0;'$ Unit'!$AA158)+SI(Upg!$BI158=1;0;'$ Unit'!$AA158)+SI(Upg!$BJ158=1;0;'$ Unit'!$AA158)+SI(Upg!$BK158=1;0;'$ Unit'!$AA158)</v>
      </c>
      <c r="N110" s="60" t="str">
        <f t="shared" si="34"/>
        <v>=SI(Upg!$BL158=1;0;'$ Unit'!$AB158)+SI(Upg!$BM158=1;0;'$ Unit'!$AB158)+SI(Upg!$BN158=1;0;'$ Unit'!$AB158)+SI(Upg!$BO158=1;0;'$ Unit'!$AB158)</v>
      </c>
      <c r="Q110" t="str">
        <f t="shared" si="19"/>
        <v>='$ Unit'!AD158*Garage!AD158</v>
      </c>
      <c r="R110" t="str">
        <f t="shared" si="20"/>
        <v>='$ Unit'!AE158*Garage!AI158</v>
      </c>
      <c r="S110" t="str">
        <f t="shared" si="21"/>
        <v>='$ Unit'!AF158*Garage!AN158</v>
      </c>
    </row>
    <row r="111" spans="1:19" x14ac:dyDescent="0.2">
      <c r="A111" s="2">
        <v>159</v>
      </c>
      <c r="B111" s="60" t="str">
        <f t="shared" si="22"/>
        <v>=SI(Upg!$P159=1;0;'$ Unit'!$P159)+SI(Upg!$Q159=1;0;'$ Unit'!$P159)+SI(Upg!$R159=1;0;'$ Unit'!$P159)+SI(Upg!$S159=1;0;'$ Unit'!$P159)</v>
      </c>
      <c r="C111" s="60" t="str">
        <f t="shared" si="23"/>
        <v>=SI(Upg!$T159=1;0;'$ Unit'!$Q159)+SI(Upg!$U159=1;0;'$ Unit'!$Q159)+SI(Upg!$V159=1;0;'$ Unit'!$Q159)+SI(Upg!$W159=1;0;'$ Unit'!$Q159)</v>
      </c>
      <c r="D111" s="60" t="str">
        <f t="shared" si="24"/>
        <v>=SI(Upg!$X159=1;0;'$ Unit'!$R159)+SI(Upg!$Y159=1;0;'$ Unit'!$R159)+SI(Upg!$Z159=1;0;'$ Unit'!$R159)+SI(Upg!$AA159=1;0;'$ Unit'!$R159)</v>
      </c>
      <c r="E111" s="60" t="str">
        <f t="shared" si="25"/>
        <v>=SI(Upg!$AB159=1;0;'$ Unit'!$S159)+SI(Upg!$AC159=1;0;'$ Unit'!$S159)+SI(Upg!$AD159=1;0;'$ Unit'!$S159)+SI(Upg!$AE159=1;0;'$ Unit'!$S159)</v>
      </c>
      <c r="F111" s="60" t="str">
        <f t="shared" si="26"/>
        <v>=SI(Upg!$AF159=1;0;'$ Unit'!$T159)+SI(Upg!$AG159=1;0;'$ Unit'!$T159)+SI(Upg!$AH159=1;0;'$ Unit'!$T159)+SI(Upg!$AI159=1;0;'$ Unit'!$T159)</v>
      </c>
      <c r="G111" s="60" t="str">
        <f t="shared" si="27"/>
        <v>=SI(Upg!$AJ159=1;0;'$ Unit'!$U159)+SI(Upg!$AK159=1;0;'$ Unit'!$U159)+SI(Upg!$AL159=1;0;'$ Unit'!$U159)+SI(Upg!$AM159=1;0;'$ Unit'!$U159)</v>
      </c>
      <c r="H111" s="60" t="str">
        <f t="shared" si="28"/>
        <v>=SI(Upg!$AN159=1;0;'$ Unit'!$V159)+SI(Upg!$AO159=1;0;'$ Unit'!$V159)+SI(Upg!$AP159=1;0;'$ Unit'!$V159)+SI(Upg!$AQ159=1;0;'$ Unit'!$V159)</v>
      </c>
      <c r="I111" s="60" t="str">
        <f t="shared" si="29"/>
        <v>=SI(Upg!$AR159=1;0;'$ Unit'!$W159)+SI(Upg!$AS159=1;0;'$ Unit'!$W159)+SI(Upg!$AT159=1;0;'$ Unit'!$W159)+SI(Upg!$AU159=1;0;'$ Unit'!$W159)</v>
      </c>
      <c r="J111" s="60" t="str">
        <f t="shared" si="30"/>
        <v>=SI(Upg!$AV159=1;0;'$ Unit'!$X159)+SI(Upg!$AW159=1;0;'$ Unit'!$X159)+SI(Upg!$AX159=1;0;'$ Unit'!$X159)+SI(Upg!$AY159=1;0;'$ Unit'!$X159)</v>
      </c>
      <c r="K111" s="60" t="str">
        <f t="shared" si="31"/>
        <v>=SI(Upg!$AZ159=1;0;'$ Unit'!$Y159)+SI(Upg!$BA159=1;0;'$ Unit'!$Y159)+SI(Upg!$BB159=1;0;'$ Unit'!$Y159)+SI(Upg!$BC159=1;0;'$ Unit'!$Y159)</v>
      </c>
      <c r="L111" s="60" t="str">
        <f t="shared" si="32"/>
        <v>=SI(Upg!$BD159=1;0;'$ Unit'!$Z159)+SI(Upg!$BE159=1;0;'$ Unit'!$Z159)+SI(Upg!$BF159=1;0;'$ Unit'!$Z159)+SI(Upg!$BG159=1;0;'$ Unit'!$Z159)</v>
      </c>
      <c r="M111" s="60" t="str">
        <f t="shared" si="33"/>
        <v>=SI(Upg!$BH159=1;0;'$ Unit'!$AA159)+SI(Upg!$BI159=1;0;'$ Unit'!$AA159)+SI(Upg!$BJ159=1;0;'$ Unit'!$AA159)+SI(Upg!$BK159=1;0;'$ Unit'!$AA159)</v>
      </c>
      <c r="N111" s="60" t="str">
        <f t="shared" si="34"/>
        <v>=SI(Upg!$BL159=1;0;'$ Unit'!$AB159)+SI(Upg!$BM159=1;0;'$ Unit'!$AB159)+SI(Upg!$BN159=1;0;'$ Unit'!$AB159)+SI(Upg!$BO159=1;0;'$ Unit'!$AB159)</v>
      </c>
      <c r="Q111" t="str">
        <f t="shared" si="19"/>
        <v>='$ Unit'!AD159*Garage!AD159</v>
      </c>
      <c r="R111" t="str">
        <f t="shared" si="20"/>
        <v>='$ Unit'!AE159*Garage!AI159</v>
      </c>
      <c r="S111" t="str">
        <f t="shared" si="21"/>
        <v>='$ Unit'!AF159*Garage!AN159</v>
      </c>
    </row>
    <row r="112" spans="1:19" x14ac:dyDescent="0.2">
      <c r="A112" s="2">
        <v>160</v>
      </c>
      <c r="B112" s="60" t="str">
        <f t="shared" si="22"/>
        <v>=SI(Upg!$P160=1;0;'$ Unit'!$P160)+SI(Upg!$Q160=1;0;'$ Unit'!$P160)+SI(Upg!$R160=1;0;'$ Unit'!$P160)+SI(Upg!$S160=1;0;'$ Unit'!$P160)</v>
      </c>
      <c r="C112" s="60" t="str">
        <f t="shared" si="23"/>
        <v>=SI(Upg!$T160=1;0;'$ Unit'!$Q160)+SI(Upg!$U160=1;0;'$ Unit'!$Q160)+SI(Upg!$V160=1;0;'$ Unit'!$Q160)+SI(Upg!$W160=1;0;'$ Unit'!$Q160)</v>
      </c>
      <c r="D112" s="60" t="str">
        <f t="shared" si="24"/>
        <v>=SI(Upg!$X160=1;0;'$ Unit'!$R160)+SI(Upg!$Y160=1;0;'$ Unit'!$R160)+SI(Upg!$Z160=1;0;'$ Unit'!$R160)+SI(Upg!$AA160=1;0;'$ Unit'!$R160)</v>
      </c>
      <c r="E112" s="60" t="str">
        <f t="shared" si="25"/>
        <v>=SI(Upg!$AB160=1;0;'$ Unit'!$S160)+SI(Upg!$AC160=1;0;'$ Unit'!$S160)+SI(Upg!$AD160=1;0;'$ Unit'!$S160)+SI(Upg!$AE160=1;0;'$ Unit'!$S160)</v>
      </c>
      <c r="F112" s="60" t="str">
        <f t="shared" si="26"/>
        <v>=SI(Upg!$AF160=1;0;'$ Unit'!$T160)+SI(Upg!$AG160=1;0;'$ Unit'!$T160)+SI(Upg!$AH160=1;0;'$ Unit'!$T160)+SI(Upg!$AI160=1;0;'$ Unit'!$T160)</v>
      </c>
      <c r="G112" s="60" t="str">
        <f t="shared" si="27"/>
        <v>=SI(Upg!$AJ160=1;0;'$ Unit'!$U160)+SI(Upg!$AK160=1;0;'$ Unit'!$U160)+SI(Upg!$AL160=1;0;'$ Unit'!$U160)+SI(Upg!$AM160=1;0;'$ Unit'!$U160)</v>
      </c>
      <c r="H112" s="60" t="str">
        <f t="shared" si="28"/>
        <v>=SI(Upg!$AN160=1;0;'$ Unit'!$V160)+SI(Upg!$AO160=1;0;'$ Unit'!$V160)+SI(Upg!$AP160=1;0;'$ Unit'!$V160)+SI(Upg!$AQ160=1;0;'$ Unit'!$V160)</v>
      </c>
      <c r="I112" s="60" t="str">
        <f t="shared" si="29"/>
        <v>=SI(Upg!$AR160=1;0;'$ Unit'!$W160)+SI(Upg!$AS160=1;0;'$ Unit'!$W160)+SI(Upg!$AT160=1;0;'$ Unit'!$W160)+SI(Upg!$AU160=1;0;'$ Unit'!$W160)</v>
      </c>
      <c r="J112" s="60" t="str">
        <f t="shared" si="30"/>
        <v>=SI(Upg!$AV160=1;0;'$ Unit'!$X160)+SI(Upg!$AW160=1;0;'$ Unit'!$X160)+SI(Upg!$AX160=1;0;'$ Unit'!$X160)+SI(Upg!$AY160=1;0;'$ Unit'!$X160)</v>
      </c>
      <c r="K112" s="60" t="str">
        <f t="shared" si="31"/>
        <v>=SI(Upg!$AZ160=1;0;'$ Unit'!$Y160)+SI(Upg!$BA160=1;0;'$ Unit'!$Y160)+SI(Upg!$BB160=1;0;'$ Unit'!$Y160)+SI(Upg!$BC160=1;0;'$ Unit'!$Y160)</v>
      </c>
      <c r="L112" s="60" t="str">
        <f t="shared" si="32"/>
        <v>=SI(Upg!$BD160=1;0;'$ Unit'!$Z160)+SI(Upg!$BE160=1;0;'$ Unit'!$Z160)+SI(Upg!$BF160=1;0;'$ Unit'!$Z160)+SI(Upg!$BG160=1;0;'$ Unit'!$Z160)</v>
      </c>
      <c r="M112" s="60" t="str">
        <f t="shared" si="33"/>
        <v>=SI(Upg!$BH160=1;0;'$ Unit'!$AA160)+SI(Upg!$BI160=1;0;'$ Unit'!$AA160)+SI(Upg!$BJ160=1;0;'$ Unit'!$AA160)+SI(Upg!$BK160=1;0;'$ Unit'!$AA160)</v>
      </c>
      <c r="N112" s="60" t="str">
        <f t="shared" si="34"/>
        <v>=SI(Upg!$BL160=1;0;'$ Unit'!$AB160)+SI(Upg!$BM160=1;0;'$ Unit'!$AB160)+SI(Upg!$BN160=1;0;'$ Unit'!$AB160)+SI(Upg!$BO160=1;0;'$ Unit'!$AB160)</v>
      </c>
      <c r="Q112" t="str">
        <f t="shared" si="19"/>
        <v>='$ Unit'!AD160*Garage!AD160</v>
      </c>
      <c r="R112" t="str">
        <f t="shared" si="20"/>
        <v>='$ Unit'!AE160*Garage!AI160</v>
      </c>
      <c r="S112" t="str">
        <f t="shared" si="21"/>
        <v>='$ Unit'!AF160*Garage!AN160</v>
      </c>
    </row>
    <row r="113" spans="1:19" x14ac:dyDescent="0.2">
      <c r="A113" s="2">
        <v>162</v>
      </c>
      <c r="B113" s="60" t="str">
        <f t="shared" si="22"/>
        <v>=SI(Upg!$P162=1;0;'$ Unit'!$P162)+SI(Upg!$Q162=1;0;'$ Unit'!$P162)+SI(Upg!$R162=1;0;'$ Unit'!$P162)+SI(Upg!$S162=1;0;'$ Unit'!$P162)</v>
      </c>
      <c r="C113" s="60" t="str">
        <f t="shared" si="23"/>
        <v>=SI(Upg!$T162=1;0;'$ Unit'!$Q162)+SI(Upg!$U162=1;0;'$ Unit'!$Q162)+SI(Upg!$V162=1;0;'$ Unit'!$Q162)+SI(Upg!$W162=1;0;'$ Unit'!$Q162)</v>
      </c>
      <c r="D113" s="60" t="str">
        <f t="shared" si="24"/>
        <v>=SI(Upg!$X162=1;0;'$ Unit'!$R162)+SI(Upg!$Y162=1;0;'$ Unit'!$R162)+SI(Upg!$Z162=1;0;'$ Unit'!$R162)+SI(Upg!$AA162=1;0;'$ Unit'!$R162)</v>
      </c>
      <c r="E113" s="60" t="str">
        <f t="shared" si="25"/>
        <v>=SI(Upg!$AB162=1;0;'$ Unit'!$S162)+SI(Upg!$AC162=1;0;'$ Unit'!$S162)+SI(Upg!$AD162=1;0;'$ Unit'!$S162)+SI(Upg!$AE162=1;0;'$ Unit'!$S162)</v>
      </c>
      <c r="F113" s="60" t="str">
        <f t="shared" si="26"/>
        <v>=SI(Upg!$AF162=1;0;'$ Unit'!$T162)+SI(Upg!$AG162=1;0;'$ Unit'!$T162)+SI(Upg!$AH162=1;0;'$ Unit'!$T162)+SI(Upg!$AI162=1;0;'$ Unit'!$T162)</v>
      </c>
      <c r="G113" s="60" t="str">
        <f t="shared" si="27"/>
        <v>=SI(Upg!$AJ162=1;0;'$ Unit'!$U162)+SI(Upg!$AK162=1;0;'$ Unit'!$U162)+SI(Upg!$AL162=1;0;'$ Unit'!$U162)+SI(Upg!$AM162=1;0;'$ Unit'!$U162)</v>
      </c>
      <c r="H113" s="60" t="str">
        <f t="shared" si="28"/>
        <v>=SI(Upg!$AN162=1;0;'$ Unit'!$V162)+SI(Upg!$AO162=1;0;'$ Unit'!$V162)+SI(Upg!$AP162=1;0;'$ Unit'!$V162)+SI(Upg!$AQ162=1;0;'$ Unit'!$V162)</v>
      </c>
      <c r="I113" s="60" t="str">
        <f t="shared" si="29"/>
        <v>=SI(Upg!$AR162=1;0;'$ Unit'!$W162)+SI(Upg!$AS162=1;0;'$ Unit'!$W162)+SI(Upg!$AT162=1;0;'$ Unit'!$W162)+SI(Upg!$AU162=1;0;'$ Unit'!$W162)</v>
      </c>
      <c r="J113" s="60" t="str">
        <f t="shared" si="30"/>
        <v>=SI(Upg!$AV162=1;0;'$ Unit'!$X162)+SI(Upg!$AW162=1;0;'$ Unit'!$X162)+SI(Upg!$AX162=1;0;'$ Unit'!$X162)+SI(Upg!$AY162=1;0;'$ Unit'!$X162)</v>
      </c>
      <c r="K113" s="60" t="str">
        <f t="shared" si="31"/>
        <v>=SI(Upg!$AZ162=1;0;'$ Unit'!$Y162)+SI(Upg!$BA162=1;0;'$ Unit'!$Y162)+SI(Upg!$BB162=1;0;'$ Unit'!$Y162)+SI(Upg!$BC162=1;0;'$ Unit'!$Y162)</v>
      </c>
      <c r="L113" s="60" t="str">
        <f t="shared" si="32"/>
        <v>=SI(Upg!$BD162=1;0;'$ Unit'!$Z162)+SI(Upg!$BE162=1;0;'$ Unit'!$Z162)+SI(Upg!$BF162=1;0;'$ Unit'!$Z162)+SI(Upg!$BG162=1;0;'$ Unit'!$Z162)</v>
      </c>
      <c r="M113" s="60" t="str">
        <f t="shared" si="33"/>
        <v>=SI(Upg!$BH162=1;0;'$ Unit'!$AA162)+SI(Upg!$BI162=1;0;'$ Unit'!$AA162)+SI(Upg!$BJ162=1;0;'$ Unit'!$AA162)+SI(Upg!$BK162=1;0;'$ Unit'!$AA162)</v>
      </c>
      <c r="N113" s="60" t="str">
        <f t="shared" si="34"/>
        <v>=SI(Upg!$BL162=1;0;'$ Unit'!$AB162)+SI(Upg!$BM162=1;0;'$ Unit'!$AB162)+SI(Upg!$BN162=1;0;'$ Unit'!$AB162)+SI(Upg!$BO162=1;0;'$ Unit'!$AB162)</v>
      </c>
      <c r="Q113" t="str">
        <f t="shared" si="19"/>
        <v>='$ Unit'!AD162*Garage!AD162</v>
      </c>
      <c r="R113" t="str">
        <f t="shared" si="20"/>
        <v>='$ Unit'!AE162*Garage!AI162</v>
      </c>
      <c r="S113" t="str">
        <f t="shared" si="21"/>
        <v>='$ Unit'!AF162*Garage!AN162</v>
      </c>
    </row>
    <row r="114" spans="1:19" x14ac:dyDescent="0.2">
      <c r="A114" s="2">
        <v>163</v>
      </c>
      <c r="B114" s="60" t="str">
        <f t="shared" si="22"/>
        <v>=SI(Upg!$P163=1;0;'$ Unit'!$P163)+SI(Upg!$Q163=1;0;'$ Unit'!$P163)+SI(Upg!$R163=1;0;'$ Unit'!$P163)+SI(Upg!$S163=1;0;'$ Unit'!$P163)</v>
      </c>
      <c r="C114" s="60" t="str">
        <f t="shared" si="23"/>
        <v>=SI(Upg!$T163=1;0;'$ Unit'!$Q163)+SI(Upg!$U163=1;0;'$ Unit'!$Q163)+SI(Upg!$V163=1;0;'$ Unit'!$Q163)+SI(Upg!$W163=1;0;'$ Unit'!$Q163)</v>
      </c>
      <c r="D114" s="60" t="str">
        <f t="shared" si="24"/>
        <v>=SI(Upg!$X163=1;0;'$ Unit'!$R163)+SI(Upg!$Y163=1;0;'$ Unit'!$R163)+SI(Upg!$Z163=1;0;'$ Unit'!$R163)+SI(Upg!$AA163=1;0;'$ Unit'!$R163)</v>
      </c>
      <c r="E114" s="60" t="str">
        <f t="shared" si="25"/>
        <v>=SI(Upg!$AB163=1;0;'$ Unit'!$S163)+SI(Upg!$AC163=1;0;'$ Unit'!$S163)+SI(Upg!$AD163=1;0;'$ Unit'!$S163)+SI(Upg!$AE163=1;0;'$ Unit'!$S163)</v>
      </c>
      <c r="F114" s="60" t="str">
        <f t="shared" si="26"/>
        <v>=SI(Upg!$AF163=1;0;'$ Unit'!$T163)+SI(Upg!$AG163=1;0;'$ Unit'!$T163)+SI(Upg!$AH163=1;0;'$ Unit'!$T163)+SI(Upg!$AI163=1;0;'$ Unit'!$T163)</v>
      </c>
      <c r="G114" s="60" t="str">
        <f t="shared" si="27"/>
        <v>=SI(Upg!$AJ163=1;0;'$ Unit'!$U163)+SI(Upg!$AK163=1;0;'$ Unit'!$U163)+SI(Upg!$AL163=1;0;'$ Unit'!$U163)+SI(Upg!$AM163=1;0;'$ Unit'!$U163)</v>
      </c>
      <c r="H114" s="60" t="str">
        <f t="shared" si="28"/>
        <v>=SI(Upg!$AN163=1;0;'$ Unit'!$V163)+SI(Upg!$AO163=1;0;'$ Unit'!$V163)+SI(Upg!$AP163=1;0;'$ Unit'!$V163)+SI(Upg!$AQ163=1;0;'$ Unit'!$V163)</v>
      </c>
      <c r="I114" s="60" t="str">
        <f t="shared" si="29"/>
        <v>=SI(Upg!$AR163=1;0;'$ Unit'!$W163)+SI(Upg!$AS163=1;0;'$ Unit'!$W163)+SI(Upg!$AT163=1;0;'$ Unit'!$W163)+SI(Upg!$AU163=1;0;'$ Unit'!$W163)</v>
      </c>
      <c r="J114" s="60" t="str">
        <f t="shared" si="30"/>
        <v>=SI(Upg!$AV163=1;0;'$ Unit'!$X163)+SI(Upg!$AW163=1;0;'$ Unit'!$X163)+SI(Upg!$AX163=1;0;'$ Unit'!$X163)+SI(Upg!$AY163=1;0;'$ Unit'!$X163)</v>
      </c>
      <c r="K114" s="60" t="str">
        <f t="shared" si="31"/>
        <v>=SI(Upg!$AZ163=1;0;'$ Unit'!$Y163)+SI(Upg!$BA163=1;0;'$ Unit'!$Y163)+SI(Upg!$BB163=1;0;'$ Unit'!$Y163)+SI(Upg!$BC163=1;0;'$ Unit'!$Y163)</v>
      </c>
      <c r="L114" s="60" t="str">
        <f t="shared" si="32"/>
        <v>=SI(Upg!$BD163=1;0;'$ Unit'!$Z163)+SI(Upg!$BE163=1;0;'$ Unit'!$Z163)+SI(Upg!$BF163=1;0;'$ Unit'!$Z163)+SI(Upg!$BG163=1;0;'$ Unit'!$Z163)</v>
      </c>
      <c r="M114" s="60" t="str">
        <f t="shared" si="33"/>
        <v>=SI(Upg!$BH163=1;0;'$ Unit'!$AA163)+SI(Upg!$BI163=1;0;'$ Unit'!$AA163)+SI(Upg!$BJ163=1;0;'$ Unit'!$AA163)+SI(Upg!$BK163=1;0;'$ Unit'!$AA163)</v>
      </c>
      <c r="N114" s="60" t="str">
        <f t="shared" si="34"/>
        <v>=SI(Upg!$BL163=1;0;'$ Unit'!$AB163)+SI(Upg!$BM163=1;0;'$ Unit'!$AB163)+SI(Upg!$BN163=1;0;'$ Unit'!$AB163)+SI(Upg!$BO163=1;0;'$ Unit'!$AB163)</v>
      </c>
      <c r="Q114" t="str">
        <f t="shared" ref="Q114:Q139" si="35">CONCATENATE($Q$2,$A114,$R$2,$A114)</f>
        <v>='$ Unit'!AD163*Garage!AD163</v>
      </c>
      <c r="R114" t="str">
        <f t="shared" ref="R114:R139" si="36">CONCATENATE($Q$3,$A114,$R$3,$A114)</f>
        <v>='$ Unit'!AE163*Garage!AI163</v>
      </c>
      <c r="S114" t="str">
        <f t="shared" ref="S114:S139" si="37">CONCATENATE($Q$4,$A114,$R$4,$A114,)</f>
        <v>='$ Unit'!AF163*Garage!AN163</v>
      </c>
    </row>
    <row r="115" spans="1:19" x14ac:dyDescent="0.2">
      <c r="A115" s="2">
        <v>164</v>
      </c>
      <c r="B115" s="60" t="str">
        <f t="shared" si="22"/>
        <v>=SI(Upg!$P164=1;0;'$ Unit'!$P164)+SI(Upg!$Q164=1;0;'$ Unit'!$P164)+SI(Upg!$R164=1;0;'$ Unit'!$P164)+SI(Upg!$S164=1;0;'$ Unit'!$P164)</v>
      </c>
      <c r="C115" s="60" t="str">
        <f t="shared" si="23"/>
        <v>=SI(Upg!$T164=1;0;'$ Unit'!$Q164)+SI(Upg!$U164=1;0;'$ Unit'!$Q164)+SI(Upg!$V164=1;0;'$ Unit'!$Q164)+SI(Upg!$W164=1;0;'$ Unit'!$Q164)</v>
      </c>
      <c r="D115" s="60" t="str">
        <f t="shared" si="24"/>
        <v>=SI(Upg!$X164=1;0;'$ Unit'!$R164)+SI(Upg!$Y164=1;0;'$ Unit'!$R164)+SI(Upg!$Z164=1;0;'$ Unit'!$R164)+SI(Upg!$AA164=1;0;'$ Unit'!$R164)</v>
      </c>
      <c r="E115" s="60" t="str">
        <f t="shared" si="25"/>
        <v>=SI(Upg!$AB164=1;0;'$ Unit'!$S164)+SI(Upg!$AC164=1;0;'$ Unit'!$S164)+SI(Upg!$AD164=1;0;'$ Unit'!$S164)+SI(Upg!$AE164=1;0;'$ Unit'!$S164)</v>
      </c>
      <c r="F115" s="60" t="str">
        <f t="shared" si="26"/>
        <v>=SI(Upg!$AF164=1;0;'$ Unit'!$T164)+SI(Upg!$AG164=1;0;'$ Unit'!$T164)+SI(Upg!$AH164=1;0;'$ Unit'!$T164)+SI(Upg!$AI164=1;0;'$ Unit'!$T164)</v>
      </c>
      <c r="G115" s="60" t="str">
        <f t="shared" si="27"/>
        <v>=SI(Upg!$AJ164=1;0;'$ Unit'!$U164)+SI(Upg!$AK164=1;0;'$ Unit'!$U164)+SI(Upg!$AL164=1;0;'$ Unit'!$U164)+SI(Upg!$AM164=1;0;'$ Unit'!$U164)</v>
      </c>
      <c r="H115" s="60" t="str">
        <f t="shared" si="28"/>
        <v>=SI(Upg!$AN164=1;0;'$ Unit'!$V164)+SI(Upg!$AO164=1;0;'$ Unit'!$V164)+SI(Upg!$AP164=1;0;'$ Unit'!$V164)+SI(Upg!$AQ164=1;0;'$ Unit'!$V164)</v>
      </c>
      <c r="I115" s="60" t="str">
        <f t="shared" si="29"/>
        <v>=SI(Upg!$AR164=1;0;'$ Unit'!$W164)+SI(Upg!$AS164=1;0;'$ Unit'!$W164)+SI(Upg!$AT164=1;0;'$ Unit'!$W164)+SI(Upg!$AU164=1;0;'$ Unit'!$W164)</v>
      </c>
      <c r="J115" s="60" t="str">
        <f t="shared" si="30"/>
        <v>=SI(Upg!$AV164=1;0;'$ Unit'!$X164)+SI(Upg!$AW164=1;0;'$ Unit'!$X164)+SI(Upg!$AX164=1;0;'$ Unit'!$X164)+SI(Upg!$AY164=1;0;'$ Unit'!$X164)</v>
      </c>
      <c r="K115" s="60" t="str">
        <f t="shared" si="31"/>
        <v>=SI(Upg!$AZ164=1;0;'$ Unit'!$Y164)+SI(Upg!$BA164=1;0;'$ Unit'!$Y164)+SI(Upg!$BB164=1;0;'$ Unit'!$Y164)+SI(Upg!$BC164=1;0;'$ Unit'!$Y164)</v>
      </c>
      <c r="L115" s="60" t="str">
        <f t="shared" si="32"/>
        <v>=SI(Upg!$BD164=1;0;'$ Unit'!$Z164)+SI(Upg!$BE164=1;0;'$ Unit'!$Z164)+SI(Upg!$BF164=1;0;'$ Unit'!$Z164)+SI(Upg!$BG164=1;0;'$ Unit'!$Z164)</v>
      </c>
      <c r="M115" s="60" t="str">
        <f t="shared" si="33"/>
        <v>=SI(Upg!$BH164=1;0;'$ Unit'!$AA164)+SI(Upg!$BI164=1;0;'$ Unit'!$AA164)+SI(Upg!$BJ164=1;0;'$ Unit'!$AA164)+SI(Upg!$BK164=1;0;'$ Unit'!$AA164)</v>
      </c>
      <c r="N115" s="60" t="str">
        <f t="shared" si="34"/>
        <v>=SI(Upg!$BL164=1;0;'$ Unit'!$AB164)+SI(Upg!$BM164=1;0;'$ Unit'!$AB164)+SI(Upg!$BN164=1;0;'$ Unit'!$AB164)+SI(Upg!$BO164=1;0;'$ Unit'!$AB164)</v>
      </c>
      <c r="Q115" t="str">
        <f t="shared" si="35"/>
        <v>='$ Unit'!AD164*Garage!AD164</v>
      </c>
      <c r="R115" t="str">
        <f t="shared" si="36"/>
        <v>='$ Unit'!AE164*Garage!AI164</v>
      </c>
      <c r="S115" t="str">
        <f t="shared" si="37"/>
        <v>='$ Unit'!AF164*Garage!AN164</v>
      </c>
    </row>
    <row r="116" spans="1:19" x14ac:dyDescent="0.2">
      <c r="A116" s="2">
        <v>165</v>
      </c>
      <c r="B116" s="60" t="str">
        <f t="shared" si="22"/>
        <v>=SI(Upg!$P165=1;0;'$ Unit'!$P165)+SI(Upg!$Q165=1;0;'$ Unit'!$P165)+SI(Upg!$R165=1;0;'$ Unit'!$P165)+SI(Upg!$S165=1;0;'$ Unit'!$P165)</v>
      </c>
      <c r="C116" s="60" t="str">
        <f t="shared" si="23"/>
        <v>=SI(Upg!$T165=1;0;'$ Unit'!$Q165)+SI(Upg!$U165=1;0;'$ Unit'!$Q165)+SI(Upg!$V165=1;0;'$ Unit'!$Q165)+SI(Upg!$W165=1;0;'$ Unit'!$Q165)</v>
      </c>
      <c r="D116" s="60" t="str">
        <f t="shared" si="24"/>
        <v>=SI(Upg!$X165=1;0;'$ Unit'!$R165)+SI(Upg!$Y165=1;0;'$ Unit'!$R165)+SI(Upg!$Z165=1;0;'$ Unit'!$R165)+SI(Upg!$AA165=1;0;'$ Unit'!$R165)</v>
      </c>
      <c r="E116" s="60" t="str">
        <f t="shared" si="25"/>
        <v>=SI(Upg!$AB165=1;0;'$ Unit'!$S165)+SI(Upg!$AC165=1;0;'$ Unit'!$S165)+SI(Upg!$AD165=1;0;'$ Unit'!$S165)+SI(Upg!$AE165=1;0;'$ Unit'!$S165)</v>
      </c>
      <c r="F116" s="60" t="str">
        <f t="shared" si="26"/>
        <v>=SI(Upg!$AF165=1;0;'$ Unit'!$T165)+SI(Upg!$AG165=1;0;'$ Unit'!$T165)+SI(Upg!$AH165=1;0;'$ Unit'!$T165)+SI(Upg!$AI165=1;0;'$ Unit'!$T165)</v>
      </c>
      <c r="G116" s="60" t="str">
        <f t="shared" si="27"/>
        <v>=SI(Upg!$AJ165=1;0;'$ Unit'!$U165)+SI(Upg!$AK165=1;0;'$ Unit'!$U165)+SI(Upg!$AL165=1;0;'$ Unit'!$U165)+SI(Upg!$AM165=1;0;'$ Unit'!$U165)</v>
      </c>
      <c r="H116" s="60" t="str">
        <f t="shared" si="28"/>
        <v>=SI(Upg!$AN165=1;0;'$ Unit'!$V165)+SI(Upg!$AO165=1;0;'$ Unit'!$V165)+SI(Upg!$AP165=1;0;'$ Unit'!$V165)+SI(Upg!$AQ165=1;0;'$ Unit'!$V165)</v>
      </c>
      <c r="I116" s="60" t="str">
        <f t="shared" si="29"/>
        <v>=SI(Upg!$AR165=1;0;'$ Unit'!$W165)+SI(Upg!$AS165=1;0;'$ Unit'!$W165)+SI(Upg!$AT165=1;0;'$ Unit'!$W165)+SI(Upg!$AU165=1;0;'$ Unit'!$W165)</v>
      </c>
      <c r="J116" s="60" t="str">
        <f t="shared" si="30"/>
        <v>=SI(Upg!$AV165=1;0;'$ Unit'!$X165)+SI(Upg!$AW165=1;0;'$ Unit'!$X165)+SI(Upg!$AX165=1;0;'$ Unit'!$X165)+SI(Upg!$AY165=1;0;'$ Unit'!$X165)</v>
      </c>
      <c r="K116" s="60" t="str">
        <f t="shared" si="31"/>
        <v>=SI(Upg!$AZ165=1;0;'$ Unit'!$Y165)+SI(Upg!$BA165=1;0;'$ Unit'!$Y165)+SI(Upg!$BB165=1;0;'$ Unit'!$Y165)+SI(Upg!$BC165=1;0;'$ Unit'!$Y165)</v>
      </c>
      <c r="L116" s="60" t="str">
        <f t="shared" si="32"/>
        <v>=SI(Upg!$BD165=1;0;'$ Unit'!$Z165)+SI(Upg!$BE165=1;0;'$ Unit'!$Z165)+SI(Upg!$BF165=1;0;'$ Unit'!$Z165)+SI(Upg!$BG165=1;0;'$ Unit'!$Z165)</v>
      </c>
      <c r="M116" s="60" t="str">
        <f t="shared" si="33"/>
        <v>=SI(Upg!$BH165=1;0;'$ Unit'!$AA165)+SI(Upg!$BI165=1;0;'$ Unit'!$AA165)+SI(Upg!$BJ165=1;0;'$ Unit'!$AA165)+SI(Upg!$BK165=1;0;'$ Unit'!$AA165)</v>
      </c>
      <c r="N116" s="60" t="str">
        <f t="shared" si="34"/>
        <v>=SI(Upg!$BL165=1;0;'$ Unit'!$AB165)+SI(Upg!$BM165=1;0;'$ Unit'!$AB165)+SI(Upg!$BN165=1;0;'$ Unit'!$AB165)+SI(Upg!$BO165=1;0;'$ Unit'!$AB165)</v>
      </c>
      <c r="Q116" t="str">
        <f t="shared" si="35"/>
        <v>='$ Unit'!AD165*Garage!AD165</v>
      </c>
      <c r="R116" t="str">
        <f t="shared" si="36"/>
        <v>='$ Unit'!AE165*Garage!AI165</v>
      </c>
      <c r="S116" t="str">
        <f t="shared" si="37"/>
        <v>='$ Unit'!AF165*Garage!AN165</v>
      </c>
    </row>
    <row r="117" spans="1:19" x14ac:dyDescent="0.2">
      <c r="A117" s="2">
        <v>166</v>
      </c>
      <c r="B117" s="60" t="str">
        <f t="shared" si="22"/>
        <v>=SI(Upg!$P166=1;0;'$ Unit'!$P166)+SI(Upg!$Q166=1;0;'$ Unit'!$P166)+SI(Upg!$R166=1;0;'$ Unit'!$P166)+SI(Upg!$S166=1;0;'$ Unit'!$P166)</v>
      </c>
      <c r="C117" s="60" t="str">
        <f t="shared" si="23"/>
        <v>=SI(Upg!$T166=1;0;'$ Unit'!$Q166)+SI(Upg!$U166=1;0;'$ Unit'!$Q166)+SI(Upg!$V166=1;0;'$ Unit'!$Q166)+SI(Upg!$W166=1;0;'$ Unit'!$Q166)</v>
      </c>
      <c r="D117" s="60" t="str">
        <f t="shared" si="24"/>
        <v>=SI(Upg!$X166=1;0;'$ Unit'!$R166)+SI(Upg!$Y166=1;0;'$ Unit'!$R166)+SI(Upg!$Z166=1;0;'$ Unit'!$R166)+SI(Upg!$AA166=1;0;'$ Unit'!$R166)</v>
      </c>
      <c r="E117" s="60" t="str">
        <f t="shared" si="25"/>
        <v>=SI(Upg!$AB166=1;0;'$ Unit'!$S166)+SI(Upg!$AC166=1;0;'$ Unit'!$S166)+SI(Upg!$AD166=1;0;'$ Unit'!$S166)+SI(Upg!$AE166=1;0;'$ Unit'!$S166)</v>
      </c>
      <c r="F117" s="60" t="str">
        <f t="shared" si="26"/>
        <v>=SI(Upg!$AF166=1;0;'$ Unit'!$T166)+SI(Upg!$AG166=1;0;'$ Unit'!$T166)+SI(Upg!$AH166=1;0;'$ Unit'!$T166)+SI(Upg!$AI166=1;0;'$ Unit'!$T166)</v>
      </c>
      <c r="G117" s="60" t="str">
        <f t="shared" si="27"/>
        <v>=SI(Upg!$AJ166=1;0;'$ Unit'!$U166)+SI(Upg!$AK166=1;0;'$ Unit'!$U166)+SI(Upg!$AL166=1;0;'$ Unit'!$U166)+SI(Upg!$AM166=1;0;'$ Unit'!$U166)</v>
      </c>
      <c r="H117" s="60" t="str">
        <f t="shared" si="28"/>
        <v>=SI(Upg!$AN166=1;0;'$ Unit'!$V166)+SI(Upg!$AO166=1;0;'$ Unit'!$V166)+SI(Upg!$AP166=1;0;'$ Unit'!$V166)+SI(Upg!$AQ166=1;0;'$ Unit'!$V166)</v>
      </c>
      <c r="I117" s="60" t="str">
        <f t="shared" si="29"/>
        <v>=SI(Upg!$AR166=1;0;'$ Unit'!$W166)+SI(Upg!$AS166=1;0;'$ Unit'!$W166)+SI(Upg!$AT166=1;0;'$ Unit'!$W166)+SI(Upg!$AU166=1;0;'$ Unit'!$W166)</v>
      </c>
      <c r="J117" s="60" t="str">
        <f t="shared" si="30"/>
        <v>=SI(Upg!$AV166=1;0;'$ Unit'!$X166)+SI(Upg!$AW166=1;0;'$ Unit'!$X166)+SI(Upg!$AX166=1;0;'$ Unit'!$X166)+SI(Upg!$AY166=1;0;'$ Unit'!$X166)</v>
      </c>
      <c r="K117" s="60" t="str">
        <f t="shared" si="31"/>
        <v>=SI(Upg!$AZ166=1;0;'$ Unit'!$Y166)+SI(Upg!$BA166=1;0;'$ Unit'!$Y166)+SI(Upg!$BB166=1;0;'$ Unit'!$Y166)+SI(Upg!$BC166=1;0;'$ Unit'!$Y166)</v>
      </c>
      <c r="L117" s="60" t="str">
        <f t="shared" si="32"/>
        <v>=SI(Upg!$BD166=1;0;'$ Unit'!$Z166)+SI(Upg!$BE166=1;0;'$ Unit'!$Z166)+SI(Upg!$BF166=1;0;'$ Unit'!$Z166)+SI(Upg!$BG166=1;0;'$ Unit'!$Z166)</v>
      </c>
      <c r="M117" s="60" t="str">
        <f t="shared" si="33"/>
        <v>=SI(Upg!$BH166=1;0;'$ Unit'!$AA166)+SI(Upg!$BI166=1;0;'$ Unit'!$AA166)+SI(Upg!$BJ166=1;0;'$ Unit'!$AA166)+SI(Upg!$BK166=1;0;'$ Unit'!$AA166)</v>
      </c>
      <c r="N117" s="60" t="str">
        <f t="shared" si="34"/>
        <v>=SI(Upg!$BL166=1;0;'$ Unit'!$AB166)+SI(Upg!$BM166=1;0;'$ Unit'!$AB166)+SI(Upg!$BN166=1;0;'$ Unit'!$AB166)+SI(Upg!$BO166=1;0;'$ Unit'!$AB166)</v>
      </c>
      <c r="Q117" t="str">
        <f t="shared" si="35"/>
        <v>='$ Unit'!AD166*Garage!AD166</v>
      </c>
      <c r="R117" t="str">
        <f t="shared" si="36"/>
        <v>='$ Unit'!AE166*Garage!AI166</v>
      </c>
      <c r="S117" t="str">
        <f t="shared" si="37"/>
        <v>='$ Unit'!AF166*Garage!AN166</v>
      </c>
    </row>
    <row r="118" spans="1:19" x14ac:dyDescent="0.2">
      <c r="A118" s="2">
        <v>167</v>
      </c>
      <c r="B118" s="60" t="str">
        <f t="shared" si="22"/>
        <v>=SI(Upg!$P167=1;0;'$ Unit'!$P167)+SI(Upg!$Q167=1;0;'$ Unit'!$P167)+SI(Upg!$R167=1;0;'$ Unit'!$P167)+SI(Upg!$S167=1;0;'$ Unit'!$P167)</v>
      </c>
      <c r="C118" s="60" t="str">
        <f t="shared" si="23"/>
        <v>=SI(Upg!$T167=1;0;'$ Unit'!$Q167)+SI(Upg!$U167=1;0;'$ Unit'!$Q167)+SI(Upg!$V167=1;0;'$ Unit'!$Q167)+SI(Upg!$W167=1;0;'$ Unit'!$Q167)</v>
      </c>
      <c r="D118" s="60" t="str">
        <f t="shared" si="24"/>
        <v>=SI(Upg!$X167=1;0;'$ Unit'!$R167)+SI(Upg!$Y167=1;0;'$ Unit'!$R167)+SI(Upg!$Z167=1;0;'$ Unit'!$R167)+SI(Upg!$AA167=1;0;'$ Unit'!$R167)</v>
      </c>
      <c r="E118" s="60" t="str">
        <f t="shared" si="25"/>
        <v>=SI(Upg!$AB167=1;0;'$ Unit'!$S167)+SI(Upg!$AC167=1;0;'$ Unit'!$S167)+SI(Upg!$AD167=1;0;'$ Unit'!$S167)+SI(Upg!$AE167=1;0;'$ Unit'!$S167)</v>
      </c>
      <c r="F118" s="60" t="str">
        <f t="shared" si="26"/>
        <v>=SI(Upg!$AF167=1;0;'$ Unit'!$T167)+SI(Upg!$AG167=1;0;'$ Unit'!$T167)+SI(Upg!$AH167=1;0;'$ Unit'!$T167)+SI(Upg!$AI167=1;0;'$ Unit'!$T167)</v>
      </c>
      <c r="G118" s="60" t="str">
        <f t="shared" si="27"/>
        <v>=SI(Upg!$AJ167=1;0;'$ Unit'!$U167)+SI(Upg!$AK167=1;0;'$ Unit'!$U167)+SI(Upg!$AL167=1;0;'$ Unit'!$U167)+SI(Upg!$AM167=1;0;'$ Unit'!$U167)</v>
      </c>
      <c r="H118" s="60" t="str">
        <f t="shared" si="28"/>
        <v>=SI(Upg!$AN167=1;0;'$ Unit'!$V167)+SI(Upg!$AO167=1;0;'$ Unit'!$V167)+SI(Upg!$AP167=1;0;'$ Unit'!$V167)+SI(Upg!$AQ167=1;0;'$ Unit'!$V167)</v>
      </c>
      <c r="I118" s="60" t="str">
        <f t="shared" si="29"/>
        <v>=SI(Upg!$AR167=1;0;'$ Unit'!$W167)+SI(Upg!$AS167=1;0;'$ Unit'!$W167)+SI(Upg!$AT167=1;0;'$ Unit'!$W167)+SI(Upg!$AU167=1;0;'$ Unit'!$W167)</v>
      </c>
      <c r="J118" s="60" t="str">
        <f t="shared" si="30"/>
        <v>=SI(Upg!$AV167=1;0;'$ Unit'!$X167)+SI(Upg!$AW167=1;0;'$ Unit'!$X167)+SI(Upg!$AX167=1;0;'$ Unit'!$X167)+SI(Upg!$AY167=1;0;'$ Unit'!$X167)</v>
      </c>
      <c r="K118" s="60" t="str">
        <f t="shared" si="31"/>
        <v>=SI(Upg!$AZ167=1;0;'$ Unit'!$Y167)+SI(Upg!$BA167=1;0;'$ Unit'!$Y167)+SI(Upg!$BB167=1;0;'$ Unit'!$Y167)+SI(Upg!$BC167=1;0;'$ Unit'!$Y167)</v>
      </c>
      <c r="L118" s="60" t="str">
        <f t="shared" si="32"/>
        <v>=SI(Upg!$BD167=1;0;'$ Unit'!$Z167)+SI(Upg!$BE167=1;0;'$ Unit'!$Z167)+SI(Upg!$BF167=1;0;'$ Unit'!$Z167)+SI(Upg!$BG167=1;0;'$ Unit'!$Z167)</v>
      </c>
      <c r="M118" s="60" t="str">
        <f t="shared" si="33"/>
        <v>=SI(Upg!$BH167=1;0;'$ Unit'!$AA167)+SI(Upg!$BI167=1;0;'$ Unit'!$AA167)+SI(Upg!$BJ167=1;0;'$ Unit'!$AA167)+SI(Upg!$BK167=1;0;'$ Unit'!$AA167)</v>
      </c>
      <c r="N118" s="60" t="str">
        <f t="shared" si="34"/>
        <v>=SI(Upg!$BL167=1;0;'$ Unit'!$AB167)+SI(Upg!$BM167=1;0;'$ Unit'!$AB167)+SI(Upg!$BN167=1;0;'$ Unit'!$AB167)+SI(Upg!$BO167=1;0;'$ Unit'!$AB167)</v>
      </c>
      <c r="Q118" t="str">
        <f t="shared" si="35"/>
        <v>='$ Unit'!AD167*Garage!AD167</v>
      </c>
      <c r="R118" t="str">
        <f t="shared" si="36"/>
        <v>='$ Unit'!AE167*Garage!AI167</v>
      </c>
      <c r="S118" t="str">
        <f t="shared" si="37"/>
        <v>='$ Unit'!AF167*Garage!AN167</v>
      </c>
    </row>
    <row r="119" spans="1:19" x14ac:dyDescent="0.2">
      <c r="A119" s="2">
        <v>168</v>
      </c>
      <c r="B119" s="60" t="str">
        <f t="shared" si="22"/>
        <v>=SI(Upg!$P168=1;0;'$ Unit'!$P168)+SI(Upg!$Q168=1;0;'$ Unit'!$P168)+SI(Upg!$R168=1;0;'$ Unit'!$P168)+SI(Upg!$S168=1;0;'$ Unit'!$P168)</v>
      </c>
      <c r="C119" s="60" t="str">
        <f t="shared" si="23"/>
        <v>=SI(Upg!$T168=1;0;'$ Unit'!$Q168)+SI(Upg!$U168=1;0;'$ Unit'!$Q168)+SI(Upg!$V168=1;0;'$ Unit'!$Q168)+SI(Upg!$W168=1;0;'$ Unit'!$Q168)</v>
      </c>
      <c r="D119" s="60" t="str">
        <f t="shared" si="24"/>
        <v>=SI(Upg!$X168=1;0;'$ Unit'!$R168)+SI(Upg!$Y168=1;0;'$ Unit'!$R168)+SI(Upg!$Z168=1;0;'$ Unit'!$R168)+SI(Upg!$AA168=1;0;'$ Unit'!$R168)</v>
      </c>
      <c r="E119" s="60" t="str">
        <f t="shared" si="25"/>
        <v>=SI(Upg!$AB168=1;0;'$ Unit'!$S168)+SI(Upg!$AC168=1;0;'$ Unit'!$S168)+SI(Upg!$AD168=1;0;'$ Unit'!$S168)+SI(Upg!$AE168=1;0;'$ Unit'!$S168)</v>
      </c>
      <c r="F119" s="60" t="str">
        <f t="shared" si="26"/>
        <v>=SI(Upg!$AF168=1;0;'$ Unit'!$T168)+SI(Upg!$AG168=1;0;'$ Unit'!$T168)+SI(Upg!$AH168=1;0;'$ Unit'!$T168)+SI(Upg!$AI168=1;0;'$ Unit'!$T168)</v>
      </c>
      <c r="G119" s="60" t="str">
        <f t="shared" si="27"/>
        <v>=SI(Upg!$AJ168=1;0;'$ Unit'!$U168)+SI(Upg!$AK168=1;0;'$ Unit'!$U168)+SI(Upg!$AL168=1;0;'$ Unit'!$U168)+SI(Upg!$AM168=1;0;'$ Unit'!$U168)</v>
      </c>
      <c r="H119" s="60" t="str">
        <f t="shared" si="28"/>
        <v>=SI(Upg!$AN168=1;0;'$ Unit'!$V168)+SI(Upg!$AO168=1;0;'$ Unit'!$V168)+SI(Upg!$AP168=1;0;'$ Unit'!$V168)+SI(Upg!$AQ168=1;0;'$ Unit'!$V168)</v>
      </c>
      <c r="I119" s="60" t="str">
        <f t="shared" si="29"/>
        <v>=SI(Upg!$AR168=1;0;'$ Unit'!$W168)+SI(Upg!$AS168=1;0;'$ Unit'!$W168)+SI(Upg!$AT168=1;0;'$ Unit'!$W168)+SI(Upg!$AU168=1;0;'$ Unit'!$W168)</v>
      </c>
      <c r="J119" s="60" t="str">
        <f t="shared" si="30"/>
        <v>=SI(Upg!$AV168=1;0;'$ Unit'!$X168)+SI(Upg!$AW168=1;0;'$ Unit'!$X168)+SI(Upg!$AX168=1;0;'$ Unit'!$X168)+SI(Upg!$AY168=1;0;'$ Unit'!$X168)</v>
      </c>
      <c r="K119" s="60" t="str">
        <f t="shared" si="31"/>
        <v>=SI(Upg!$AZ168=1;0;'$ Unit'!$Y168)+SI(Upg!$BA168=1;0;'$ Unit'!$Y168)+SI(Upg!$BB168=1;0;'$ Unit'!$Y168)+SI(Upg!$BC168=1;0;'$ Unit'!$Y168)</v>
      </c>
      <c r="L119" s="60" t="str">
        <f t="shared" si="32"/>
        <v>=SI(Upg!$BD168=1;0;'$ Unit'!$Z168)+SI(Upg!$BE168=1;0;'$ Unit'!$Z168)+SI(Upg!$BF168=1;0;'$ Unit'!$Z168)+SI(Upg!$BG168=1;0;'$ Unit'!$Z168)</v>
      </c>
      <c r="M119" s="60" t="str">
        <f t="shared" si="33"/>
        <v>=SI(Upg!$BH168=1;0;'$ Unit'!$AA168)+SI(Upg!$BI168=1;0;'$ Unit'!$AA168)+SI(Upg!$BJ168=1;0;'$ Unit'!$AA168)+SI(Upg!$BK168=1;0;'$ Unit'!$AA168)</v>
      </c>
      <c r="N119" s="60" t="str">
        <f t="shared" si="34"/>
        <v>=SI(Upg!$BL168=1;0;'$ Unit'!$AB168)+SI(Upg!$BM168=1;0;'$ Unit'!$AB168)+SI(Upg!$BN168=1;0;'$ Unit'!$AB168)+SI(Upg!$BO168=1;0;'$ Unit'!$AB168)</v>
      </c>
      <c r="Q119" t="str">
        <f t="shared" si="35"/>
        <v>='$ Unit'!AD168*Garage!AD168</v>
      </c>
      <c r="R119" t="str">
        <f t="shared" si="36"/>
        <v>='$ Unit'!AE168*Garage!AI168</v>
      </c>
      <c r="S119" t="str">
        <f t="shared" si="37"/>
        <v>='$ Unit'!AF168*Garage!AN168</v>
      </c>
    </row>
    <row r="120" spans="1:19" x14ac:dyDescent="0.2">
      <c r="A120" s="2">
        <v>170</v>
      </c>
      <c r="B120" s="60" t="str">
        <f t="shared" si="22"/>
        <v>=SI(Upg!$P170=1;0;'$ Unit'!$P170)+SI(Upg!$Q170=1;0;'$ Unit'!$P170)+SI(Upg!$R170=1;0;'$ Unit'!$P170)+SI(Upg!$S170=1;0;'$ Unit'!$P170)</v>
      </c>
      <c r="C120" s="60" t="str">
        <f t="shared" si="23"/>
        <v>=SI(Upg!$T170=1;0;'$ Unit'!$Q170)+SI(Upg!$U170=1;0;'$ Unit'!$Q170)+SI(Upg!$V170=1;0;'$ Unit'!$Q170)+SI(Upg!$W170=1;0;'$ Unit'!$Q170)</v>
      </c>
      <c r="D120" s="60" t="str">
        <f t="shared" si="24"/>
        <v>=SI(Upg!$X170=1;0;'$ Unit'!$R170)+SI(Upg!$Y170=1;0;'$ Unit'!$R170)+SI(Upg!$Z170=1;0;'$ Unit'!$R170)+SI(Upg!$AA170=1;0;'$ Unit'!$R170)</v>
      </c>
      <c r="E120" s="60" t="str">
        <f t="shared" si="25"/>
        <v>=SI(Upg!$AB170=1;0;'$ Unit'!$S170)+SI(Upg!$AC170=1;0;'$ Unit'!$S170)+SI(Upg!$AD170=1;0;'$ Unit'!$S170)+SI(Upg!$AE170=1;0;'$ Unit'!$S170)</v>
      </c>
      <c r="F120" s="60" t="str">
        <f t="shared" si="26"/>
        <v>=SI(Upg!$AF170=1;0;'$ Unit'!$T170)+SI(Upg!$AG170=1;0;'$ Unit'!$T170)+SI(Upg!$AH170=1;0;'$ Unit'!$T170)+SI(Upg!$AI170=1;0;'$ Unit'!$T170)</v>
      </c>
      <c r="G120" s="60" t="str">
        <f t="shared" si="27"/>
        <v>=SI(Upg!$AJ170=1;0;'$ Unit'!$U170)+SI(Upg!$AK170=1;0;'$ Unit'!$U170)+SI(Upg!$AL170=1;0;'$ Unit'!$U170)+SI(Upg!$AM170=1;0;'$ Unit'!$U170)</v>
      </c>
      <c r="H120" s="60" t="str">
        <f t="shared" si="28"/>
        <v>=SI(Upg!$AN170=1;0;'$ Unit'!$V170)+SI(Upg!$AO170=1;0;'$ Unit'!$V170)+SI(Upg!$AP170=1;0;'$ Unit'!$V170)+SI(Upg!$AQ170=1;0;'$ Unit'!$V170)</v>
      </c>
      <c r="I120" s="60" t="str">
        <f t="shared" si="29"/>
        <v>=SI(Upg!$AR170=1;0;'$ Unit'!$W170)+SI(Upg!$AS170=1;0;'$ Unit'!$W170)+SI(Upg!$AT170=1;0;'$ Unit'!$W170)+SI(Upg!$AU170=1;0;'$ Unit'!$W170)</v>
      </c>
      <c r="J120" s="60" t="str">
        <f t="shared" si="30"/>
        <v>=SI(Upg!$AV170=1;0;'$ Unit'!$X170)+SI(Upg!$AW170=1;0;'$ Unit'!$X170)+SI(Upg!$AX170=1;0;'$ Unit'!$X170)+SI(Upg!$AY170=1;0;'$ Unit'!$X170)</v>
      </c>
      <c r="K120" s="60" t="str">
        <f t="shared" si="31"/>
        <v>=SI(Upg!$AZ170=1;0;'$ Unit'!$Y170)+SI(Upg!$BA170=1;0;'$ Unit'!$Y170)+SI(Upg!$BB170=1;0;'$ Unit'!$Y170)+SI(Upg!$BC170=1;0;'$ Unit'!$Y170)</v>
      </c>
      <c r="L120" s="60" t="str">
        <f t="shared" si="32"/>
        <v>=SI(Upg!$BD170=1;0;'$ Unit'!$Z170)+SI(Upg!$BE170=1;0;'$ Unit'!$Z170)+SI(Upg!$BF170=1;0;'$ Unit'!$Z170)+SI(Upg!$BG170=1;0;'$ Unit'!$Z170)</v>
      </c>
      <c r="M120" s="60" t="str">
        <f t="shared" si="33"/>
        <v>=SI(Upg!$BH170=1;0;'$ Unit'!$AA170)+SI(Upg!$BI170=1;0;'$ Unit'!$AA170)+SI(Upg!$BJ170=1;0;'$ Unit'!$AA170)+SI(Upg!$BK170=1;0;'$ Unit'!$AA170)</v>
      </c>
      <c r="N120" s="60" t="str">
        <f t="shared" si="34"/>
        <v>=SI(Upg!$BL170=1;0;'$ Unit'!$AB170)+SI(Upg!$BM170=1;0;'$ Unit'!$AB170)+SI(Upg!$BN170=1;0;'$ Unit'!$AB170)+SI(Upg!$BO170=1;0;'$ Unit'!$AB170)</v>
      </c>
      <c r="Q120" t="str">
        <f t="shared" si="35"/>
        <v>='$ Unit'!AD170*Garage!AD170</v>
      </c>
      <c r="R120" t="str">
        <f t="shared" si="36"/>
        <v>='$ Unit'!AE170*Garage!AI170</v>
      </c>
      <c r="S120" t="str">
        <f t="shared" si="37"/>
        <v>='$ Unit'!AF170*Garage!AN170</v>
      </c>
    </row>
    <row r="121" spans="1:19" x14ac:dyDescent="0.2">
      <c r="A121" s="2">
        <v>171</v>
      </c>
      <c r="B121" s="60" t="str">
        <f t="shared" si="22"/>
        <v>=SI(Upg!$P171=1;0;'$ Unit'!$P171)+SI(Upg!$Q171=1;0;'$ Unit'!$P171)+SI(Upg!$R171=1;0;'$ Unit'!$P171)+SI(Upg!$S171=1;0;'$ Unit'!$P171)</v>
      </c>
      <c r="C121" s="60" t="str">
        <f t="shared" si="23"/>
        <v>=SI(Upg!$T171=1;0;'$ Unit'!$Q171)+SI(Upg!$U171=1;0;'$ Unit'!$Q171)+SI(Upg!$V171=1;0;'$ Unit'!$Q171)+SI(Upg!$W171=1;0;'$ Unit'!$Q171)</v>
      </c>
      <c r="D121" s="60" t="str">
        <f t="shared" si="24"/>
        <v>=SI(Upg!$X171=1;0;'$ Unit'!$R171)+SI(Upg!$Y171=1;0;'$ Unit'!$R171)+SI(Upg!$Z171=1;0;'$ Unit'!$R171)+SI(Upg!$AA171=1;0;'$ Unit'!$R171)</v>
      </c>
      <c r="E121" s="60" t="str">
        <f t="shared" si="25"/>
        <v>=SI(Upg!$AB171=1;0;'$ Unit'!$S171)+SI(Upg!$AC171=1;0;'$ Unit'!$S171)+SI(Upg!$AD171=1;0;'$ Unit'!$S171)+SI(Upg!$AE171=1;0;'$ Unit'!$S171)</v>
      </c>
      <c r="F121" s="60" t="str">
        <f t="shared" si="26"/>
        <v>=SI(Upg!$AF171=1;0;'$ Unit'!$T171)+SI(Upg!$AG171=1;0;'$ Unit'!$T171)+SI(Upg!$AH171=1;0;'$ Unit'!$T171)+SI(Upg!$AI171=1;0;'$ Unit'!$T171)</v>
      </c>
      <c r="G121" s="60" t="str">
        <f t="shared" si="27"/>
        <v>=SI(Upg!$AJ171=1;0;'$ Unit'!$U171)+SI(Upg!$AK171=1;0;'$ Unit'!$U171)+SI(Upg!$AL171=1;0;'$ Unit'!$U171)+SI(Upg!$AM171=1;0;'$ Unit'!$U171)</v>
      </c>
      <c r="H121" s="60" t="str">
        <f t="shared" si="28"/>
        <v>=SI(Upg!$AN171=1;0;'$ Unit'!$V171)+SI(Upg!$AO171=1;0;'$ Unit'!$V171)+SI(Upg!$AP171=1;0;'$ Unit'!$V171)+SI(Upg!$AQ171=1;0;'$ Unit'!$V171)</v>
      </c>
      <c r="I121" s="60" t="str">
        <f t="shared" si="29"/>
        <v>=SI(Upg!$AR171=1;0;'$ Unit'!$W171)+SI(Upg!$AS171=1;0;'$ Unit'!$W171)+SI(Upg!$AT171=1;0;'$ Unit'!$W171)+SI(Upg!$AU171=1;0;'$ Unit'!$W171)</v>
      </c>
      <c r="J121" s="60" t="str">
        <f t="shared" si="30"/>
        <v>=SI(Upg!$AV171=1;0;'$ Unit'!$X171)+SI(Upg!$AW171=1;0;'$ Unit'!$X171)+SI(Upg!$AX171=1;0;'$ Unit'!$X171)+SI(Upg!$AY171=1;0;'$ Unit'!$X171)</v>
      </c>
      <c r="K121" s="60" t="str">
        <f t="shared" si="31"/>
        <v>=SI(Upg!$AZ171=1;0;'$ Unit'!$Y171)+SI(Upg!$BA171=1;0;'$ Unit'!$Y171)+SI(Upg!$BB171=1;0;'$ Unit'!$Y171)+SI(Upg!$BC171=1;0;'$ Unit'!$Y171)</v>
      </c>
      <c r="L121" s="60" t="str">
        <f t="shared" si="32"/>
        <v>=SI(Upg!$BD171=1;0;'$ Unit'!$Z171)+SI(Upg!$BE171=1;0;'$ Unit'!$Z171)+SI(Upg!$BF171=1;0;'$ Unit'!$Z171)+SI(Upg!$BG171=1;0;'$ Unit'!$Z171)</v>
      </c>
      <c r="M121" s="60" t="str">
        <f t="shared" si="33"/>
        <v>=SI(Upg!$BH171=1;0;'$ Unit'!$AA171)+SI(Upg!$BI171=1;0;'$ Unit'!$AA171)+SI(Upg!$BJ171=1;0;'$ Unit'!$AA171)+SI(Upg!$BK171=1;0;'$ Unit'!$AA171)</v>
      </c>
      <c r="N121" s="60" t="str">
        <f t="shared" si="34"/>
        <v>=SI(Upg!$BL171=1;0;'$ Unit'!$AB171)+SI(Upg!$BM171=1;0;'$ Unit'!$AB171)+SI(Upg!$BN171=1;0;'$ Unit'!$AB171)+SI(Upg!$BO171=1;0;'$ Unit'!$AB171)</v>
      </c>
      <c r="Q121" t="str">
        <f t="shared" si="35"/>
        <v>='$ Unit'!AD171*Garage!AD171</v>
      </c>
      <c r="R121" t="str">
        <f t="shared" si="36"/>
        <v>='$ Unit'!AE171*Garage!AI171</v>
      </c>
      <c r="S121" t="str">
        <f t="shared" si="37"/>
        <v>='$ Unit'!AF171*Garage!AN171</v>
      </c>
    </row>
    <row r="122" spans="1:19" x14ac:dyDescent="0.2">
      <c r="A122" s="2">
        <v>172</v>
      </c>
      <c r="B122" s="60" t="str">
        <f t="shared" si="22"/>
        <v>=SI(Upg!$P172=1;0;'$ Unit'!$P172)+SI(Upg!$Q172=1;0;'$ Unit'!$P172)+SI(Upg!$R172=1;0;'$ Unit'!$P172)+SI(Upg!$S172=1;0;'$ Unit'!$P172)</v>
      </c>
      <c r="C122" s="60" t="str">
        <f t="shared" si="23"/>
        <v>=SI(Upg!$T172=1;0;'$ Unit'!$Q172)+SI(Upg!$U172=1;0;'$ Unit'!$Q172)+SI(Upg!$V172=1;0;'$ Unit'!$Q172)+SI(Upg!$W172=1;0;'$ Unit'!$Q172)</v>
      </c>
      <c r="D122" s="60" t="str">
        <f t="shared" si="24"/>
        <v>=SI(Upg!$X172=1;0;'$ Unit'!$R172)+SI(Upg!$Y172=1;0;'$ Unit'!$R172)+SI(Upg!$Z172=1;0;'$ Unit'!$R172)+SI(Upg!$AA172=1;0;'$ Unit'!$R172)</v>
      </c>
      <c r="E122" s="60" t="str">
        <f t="shared" si="25"/>
        <v>=SI(Upg!$AB172=1;0;'$ Unit'!$S172)+SI(Upg!$AC172=1;0;'$ Unit'!$S172)+SI(Upg!$AD172=1;0;'$ Unit'!$S172)+SI(Upg!$AE172=1;0;'$ Unit'!$S172)</v>
      </c>
      <c r="F122" s="60" t="str">
        <f t="shared" si="26"/>
        <v>=SI(Upg!$AF172=1;0;'$ Unit'!$T172)+SI(Upg!$AG172=1;0;'$ Unit'!$T172)+SI(Upg!$AH172=1;0;'$ Unit'!$T172)+SI(Upg!$AI172=1;0;'$ Unit'!$T172)</v>
      </c>
      <c r="G122" s="60" t="str">
        <f t="shared" si="27"/>
        <v>=SI(Upg!$AJ172=1;0;'$ Unit'!$U172)+SI(Upg!$AK172=1;0;'$ Unit'!$U172)+SI(Upg!$AL172=1;0;'$ Unit'!$U172)+SI(Upg!$AM172=1;0;'$ Unit'!$U172)</v>
      </c>
      <c r="H122" s="60" t="str">
        <f t="shared" si="28"/>
        <v>=SI(Upg!$AN172=1;0;'$ Unit'!$V172)+SI(Upg!$AO172=1;0;'$ Unit'!$V172)+SI(Upg!$AP172=1;0;'$ Unit'!$V172)+SI(Upg!$AQ172=1;0;'$ Unit'!$V172)</v>
      </c>
      <c r="I122" s="60" t="str">
        <f t="shared" si="29"/>
        <v>=SI(Upg!$AR172=1;0;'$ Unit'!$W172)+SI(Upg!$AS172=1;0;'$ Unit'!$W172)+SI(Upg!$AT172=1;0;'$ Unit'!$W172)+SI(Upg!$AU172=1;0;'$ Unit'!$W172)</v>
      </c>
      <c r="J122" s="60" t="str">
        <f t="shared" si="30"/>
        <v>=SI(Upg!$AV172=1;0;'$ Unit'!$X172)+SI(Upg!$AW172=1;0;'$ Unit'!$X172)+SI(Upg!$AX172=1;0;'$ Unit'!$X172)+SI(Upg!$AY172=1;0;'$ Unit'!$X172)</v>
      </c>
      <c r="K122" s="60" t="str">
        <f t="shared" si="31"/>
        <v>=SI(Upg!$AZ172=1;0;'$ Unit'!$Y172)+SI(Upg!$BA172=1;0;'$ Unit'!$Y172)+SI(Upg!$BB172=1;0;'$ Unit'!$Y172)+SI(Upg!$BC172=1;0;'$ Unit'!$Y172)</v>
      </c>
      <c r="L122" s="60" t="str">
        <f t="shared" si="32"/>
        <v>=SI(Upg!$BD172=1;0;'$ Unit'!$Z172)+SI(Upg!$BE172=1;0;'$ Unit'!$Z172)+SI(Upg!$BF172=1;0;'$ Unit'!$Z172)+SI(Upg!$BG172=1;0;'$ Unit'!$Z172)</v>
      </c>
      <c r="M122" s="60" t="str">
        <f t="shared" si="33"/>
        <v>=SI(Upg!$BH172=1;0;'$ Unit'!$AA172)+SI(Upg!$BI172=1;0;'$ Unit'!$AA172)+SI(Upg!$BJ172=1;0;'$ Unit'!$AA172)+SI(Upg!$BK172=1;0;'$ Unit'!$AA172)</v>
      </c>
      <c r="N122" s="60" t="str">
        <f t="shared" si="34"/>
        <v>=SI(Upg!$BL172=1;0;'$ Unit'!$AB172)+SI(Upg!$BM172=1;0;'$ Unit'!$AB172)+SI(Upg!$BN172=1;0;'$ Unit'!$AB172)+SI(Upg!$BO172=1;0;'$ Unit'!$AB172)</v>
      </c>
      <c r="Q122" t="str">
        <f t="shared" si="35"/>
        <v>='$ Unit'!AD172*Garage!AD172</v>
      </c>
      <c r="R122" t="str">
        <f t="shared" si="36"/>
        <v>='$ Unit'!AE172*Garage!AI172</v>
      </c>
      <c r="S122" t="str">
        <f t="shared" si="37"/>
        <v>='$ Unit'!AF172*Garage!AN172</v>
      </c>
    </row>
    <row r="123" spans="1:19" x14ac:dyDescent="0.2">
      <c r="A123" s="2">
        <v>173</v>
      </c>
      <c r="B123" s="60" t="str">
        <f t="shared" si="22"/>
        <v>=SI(Upg!$P173=1;0;'$ Unit'!$P173)+SI(Upg!$Q173=1;0;'$ Unit'!$P173)+SI(Upg!$R173=1;0;'$ Unit'!$P173)+SI(Upg!$S173=1;0;'$ Unit'!$P173)</v>
      </c>
      <c r="C123" s="60" t="str">
        <f t="shared" si="23"/>
        <v>=SI(Upg!$T173=1;0;'$ Unit'!$Q173)+SI(Upg!$U173=1;0;'$ Unit'!$Q173)+SI(Upg!$V173=1;0;'$ Unit'!$Q173)+SI(Upg!$W173=1;0;'$ Unit'!$Q173)</v>
      </c>
      <c r="D123" s="60" t="str">
        <f t="shared" si="24"/>
        <v>=SI(Upg!$X173=1;0;'$ Unit'!$R173)+SI(Upg!$Y173=1;0;'$ Unit'!$R173)+SI(Upg!$Z173=1;0;'$ Unit'!$R173)+SI(Upg!$AA173=1;0;'$ Unit'!$R173)</v>
      </c>
      <c r="E123" s="60" t="str">
        <f t="shared" si="25"/>
        <v>=SI(Upg!$AB173=1;0;'$ Unit'!$S173)+SI(Upg!$AC173=1;0;'$ Unit'!$S173)+SI(Upg!$AD173=1;0;'$ Unit'!$S173)+SI(Upg!$AE173=1;0;'$ Unit'!$S173)</v>
      </c>
      <c r="F123" s="60" t="str">
        <f t="shared" si="26"/>
        <v>=SI(Upg!$AF173=1;0;'$ Unit'!$T173)+SI(Upg!$AG173=1;0;'$ Unit'!$T173)+SI(Upg!$AH173=1;0;'$ Unit'!$T173)+SI(Upg!$AI173=1;0;'$ Unit'!$T173)</v>
      </c>
      <c r="G123" s="60" t="str">
        <f t="shared" si="27"/>
        <v>=SI(Upg!$AJ173=1;0;'$ Unit'!$U173)+SI(Upg!$AK173=1;0;'$ Unit'!$U173)+SI(Upg!$AL173=1;0;'$ Unit'!$U173)+SI(Upg!$AM173=1;0;'$ Unit'!$U173)</v>
      </c>
      <c r="H123" s="60" t="str">
        <f t="shared" si="28"/>
        <v>=SI(Upg!$AN173=1;0;'$ Unit'!$V173)+SI(Upg!$AO173=1;0;'$ Unit'!$V173)+SI(Upg!$AP173=1;0;'$ Unit'!$V173)+SI(Upg!$AQ173=1;0;'$ Unit'!$V173)</v>
      </c>
      <c r="I123" s="60" t="str">
        <f t="shared" si="29"/>
        <v>=SI(Upg!$AR173=1;0;'$ Unit'!$W173)+SI(Upg!$AS173=1;0;'$ Unit'!$W173)+SI(Upg!$AT173=1;0;'$ Unit'!$W173)+SI(Upg!$AU173=1;0;'$ Unit'!$W173)</v>
      </c>
      <c r="J123" s="60" t="str">
        <f t="shared" si="30"/>
        <v>=SI(Upg!$AV173=1;0;'$ Unit'!$X173)+SI(Upg!$AW173=1;0;'$ Unit'!$X173)+SI(Upg!$AX173=1;0;'$ Unit'!$X173)+SI(Upg!$AY173=1;0;'$ Unit'!$X173)</v>
      </c>
      <c r="K123" s="60" t="str">
        <f t="shared" si="31"/>
        <v>=SI(Upg!$AZ173=1;0;'$ Unit'!$Y173)+SI(Upg!$BA173=1;0;'$ Unit'!$Y173)+SI(Upg!$BB173=1;0;'$ Unit'!$Y173)+SI(Upg!$BC173=1;0;'$ Unit'!$Y173)</v>
      </c>
      <c r="L123" s="60" t="str">
        <f t="shared" si="32"/>
        <v>=SI(Upg!$BD173=1;0;'$ Unit'!$Z173)+SI(Upg!$BE173=1;0;'$ Unit'!$Z173)+SI(Upg!$BF173=1;0;'$ Unit'!$Z173)+SI(Upg!$BG173=1;0;'$ Unit'!$Z173)</v>
      </c>
      <c r="M123" s="60" t="str">
        <f t="shared" si="33"/>
        <v>=SI(Upg!$BH173=1;0;'$ Unit'!$AA173)+SI(Upg!$BI173=1;0;'$ Unit'!$AA173)+SI(Upg!$BJ173=1;0;'$ Unit'!$AA173)+SI(Upg!$BK173=1;0;'$ Unit'!$AA173)</v>
      </c>
      <c r="N123" s="60" t="str">
        <f t="shared" si="34"/>
        <v>=SI(Upg!$BL173=1;0;'$ Unit'!$AB173)+SI(Upg!$BM173=1;0;'$ Unit'!$AB173)+SI(Upg!$BN173=1;0;'$ Unit'!$AB173)+SI(Upg!$BO173=1;0;'$ Unit'!$AB173)</v>
      </c>
      <c r="Q123" t="str">
        <f t="shared" si="35"/>
        <v>='$ Unit'!AD173*Garage!AD173</v>
      </c>
      <c r="R123" t="str">
        <f t="shared" si="36"/>
        <v>='$ Unit'!AE173*Garage!AI173</v>
      </c>
      <c r="S123" t="str">
        <f t="shared" si="37"/>
        <v>='$ Unit'!AF173*Garage!AN173</v>
      </c>
    </row>
    <row r="124" spans="1:19" x14ac:dyDescent="0.2">
      <c r="A124" s="2">
        <v>175</v>
      </c>
      <c r="B124" s="60" t="str">
        <f t="shared" si="22"/>
        <v>=SI(Upg!$P175=1;0;'$ Unit'!$P175)+SI(Upg!$Q175=1;0;'$ Unit'!$P175)+SI(Upg!$R175=1;0;'$ Unit'!$P175)+SI(Upg!$S175=1;0;'$ Unit'!$P175)</v>
      </c>
      <c r="C124" s="60" t="str">
        <f t="shared" si="23"/>
        <v>=SI(Upg!$T175=1;0;'$ Unit'!$Q175)+SI(Upg!$U175=1;0;'$ Unit'!$Q175)+SI(Upg!$V175=1;0;'$ Unit'!$Q175)+SI(Upg!$W175=1;0;'$ Unit'!$Q175)</v>
      </c>
      <c r="D124" s="60" t="str">
        <f t="shared" si="24"/>
        <v>=SI(Upg!$X175=1;0;'$ Unit'!$R175)+SI(Upg!$Y175=1;0;'$ Unit'!$R175)+SI(Upg!$Z175=1;0;'$ Unit'!$R175)+SI(Upg!$AA175=1;0;'$ Unit'!$R175)</v>
      </c>
      <c r="E124" s="60" t="str">
        <f t="shared" si="25"/>
        <v>=SI(Upg!$AB175=1;0;'$ Unit'!$S175)+SI(Upg!$AC175=1;0;'$ Unit'!$S175)+SI(Upg!$AD175=1;0;'$ Unit'!$S175)+SI(Upg!$AE175=1;0;'$ Unit'!$S175)</v>
      </c>
      <c r="F124" s="60" t="str">
        <f t="shared" si="26"/>
        <v>=SI(Upg!$AF175=1;0;'$ Unit'!$T175)+SI(Upg!$AG175=1;0;'$ Unit'!$T175)+SI(Upg!$AH175=1;0;'$ Unit'!$T175)+SI(Upg!$AI175=1;0;'$ Unit'!$T175)</v>
      </c>
      <c r="G124" s="60" t="str">
        <f t="shared" si="27"/>
        <v>=SI(Upg!$AJ175=1;0;'$ Unit'!$U175)+SI(Upg!$AK175=1;0;'$ Unit'!$U175)+SI(Upg!$AL175=1;0;'$ Unit'!$U175)+SI(Upg!$AM175=1;0;'$ Unit'!$U175)</v>
      </c>
      <c r="H124" s="60" t="str">
        <f t="shared" si="28"/>
        <v>=SI(Upg!$AN175=1;0;'$ Unit'!$V175)+SI(Upg!$AO175=1;0;'$ Unit'!$V175)+SI(Upg!$AP175=1;0;'$ Unit'!$V175)+SI(Upg!$AQ175=1;0;'$ Unit'!$V175)</v>
      </c>
      <c r="I124" s="60" t="str">
        <f t="shared" si="29"/>
        <v>=SI(Upg!$AR175=1;0;'$ Unit'!$W175)+SI(Upg!$AS175=1;0;'$ Unit'!$W175)+SI(Upg!$AT175=1;0;'$ Unit'!$W175)+SI(Upg!$AU175=1;0;'$ Unit'!$W175)</v>
      </c>
      <c r="J124" s="60" t="str">
        <f t="shared" si="30"/>
        <v>=SI(Upg!$AV175=1;0;'$ Unit'!$X175)+SI(Upg!$AW175=1;0;'$ Unit'!$X175)+SI(Upg!$AX175=1;0;'$ Unit'!$X175)+SI(Upg!$AY175=1;0;'$ Unit'!$X175)</v>
      </c>
      <c r="K124" s="60" t="str">
        <f t="shared" si="31"/>
        <v>=SI(Upg!$AZ175=1;0;'$ Unit'!$Y175)+SI(Upg!$BA175=1;0;'$ Unit'!$Y175)+SI(Upg!$BB175=1;0;'$ Unit'!$Y175)+SI(Upg!$BC175=1;0;'$ Unit'!$Y175)</v>
      </c>
      <c r="L124" s="60" t="str">
        <f t="shared" si="32"/>
        <v>=SI(Upg!$BD175=1;0;'$ Unit'!$Z175)+SI(Upg!$BE175=1;0;'$ Unit'!$Z175)+SI(Upg!$BF175=1;0;'$ Unit'!$Z175)+SI(Upg!$BG175=1;0;'$ Unit'!$Z175)</v>
      </c>
      <c r="M124" s="60" t="str">
        <f t="shared" si="33"/>
        <v>=SI(Upg!$BH175=1;0;'$ Unit'!$AA175)+SI(Upg!$BI175=1;0;'$ Unit'!$AA175)+SI(Upg!$BJ175=1;0;'$ Unit'!$AA175)+SI(Upg!$BK175=1;0;'$ Unit'!$AA175)</v>
      </c>
      <c r="N124" s="60" t="str">
        <f t="shared" si="34"/>
        <v>=SI(Upg!$BL175=1;0;'$ Unit'!$AB175)+SI(Upg!$BM175=1;0;'$ Unit'!$AB175)+SI(Upg!$BN175=1;0;'$ Unit'!$AB175)+SI(Upg!$BO175=1;0;'$ Unit'!$AB175)</v>
      </c>
      <c r="Q124" t="str">
        <f t="shared" si="35"/>
        <v>='$ Unit'!AD175*Garage!AD175</v>
      </c>
      <c r="R124" t="str">
        <f t="shared" si="36"/>
        <v>='$ Unit'!AE175*Garage!AI175</v>
      </c>
      <c r="S124" t="str">
        <f t="shared" si="37"/>
        <v>='$ Unit'!AF175*Garage!AN175</v>
      </c>
    </row>
    <row r="125" spans="1:19" x14ac:dyDescent="0.2">
      <c r="A125" s="2">
        <v>176</v>
      </c>
      <c r="B125" s="60" t="str">
        <f t="shared" si="22"/>
        <v>=SI(Upg!$P176=1;0;'$ Unit'!$P176)+SI(Upg!$Q176=1;0;'$ Unit'!$P176)+SI(Upg!$R176=1;0;'$ Unit'!$P176)+SI(Upg!$S176=1;0;'$ Unit'!$P176)</v>
      </c>
      <c r="C125" s="60" t="str">
        <f t="shared" si="23"/>
        <v>=SI(Upg!$T176=1;0;'$ Unit'!$Q176)+SI(Upg!$U176=1;0;'$ Unit'!$Q176)+SI(Upg!$V176=1;0;'$ Unit'!$Q176)+SI(Upg!$W176=1;0;'$ Unit'!$Q176)</v>
      </c>
      <c r="D125" s="60" t="str">
        <f t="shared" si="24"/>
        <v>=SI(Upg!$X176=1;0;'$ Unit'!$R176)+SI(Upg!$Y176=1;0;'$ Unit'!$R176)+SI(Upg!$Z176=1;0;'$ Unit'!$R176)+SI(Upg!$AA176=1;0;'$ Unit'!$R176)</v>
      </c>
      <c r="E125" s="60" t="str">
        <f t="shared" si="25"/>
        <v>=SI(Upg!$AB176=1;0;'$ Unit'!$S176)+SI(Upg!$AC176=1;0;'$ Unit'!$S176)+SI(Upg!$AD176=1;0;'$ Unit'!$S176)+SI(Upg!$AE176=1;0;'$ Unit'!$S176)</v>
      </c>
      <c r="F125" s="60" t="str">
        <f t="shared" si="26"/>
        <v>=SI(Upg!$AF176=1;0;'$ Unit'!$T176)+SI(Upg!$AG176=1;0;'$ Unit'!$T176)+SI(Upg!$AH176=1;0;'$ Unit'!$T176)+SI(Upg!$AI176=1;0;'$ Unit'!$T176)</v>
      </c>
      <c r="G125" s="60" t="str">
        <f t="shared" si="27"/>
        <v>=SI(Upg!$AJ176=1;0;'$ Unit'!$U176)+SI(Upg!$AK176=1;0;'$ Unit'!$U176)+SI(Upg!$AL176=1;0;'$ Unit'!$U176)+SI(Upg!$AM176=1;0;'$ Unit'!$U176)</v>
      </c>
      <c r="H125" s="60" t="str">
        <f t="shared" si="28"/>
        <v>=SI(Upg!$AN176=1;0;'$ Unit'!$V176)+SI(Upg!$AO176=1;0;'$ Unit'!$V176)+SI(Upg!$AP176=1;0;'$ Unit'!$V176)+SI(Upg!$AQ176=1;0;'$ Unit'!$V176)</v>
      </c>
      <c r="I125" s="60" t="str">
        <f t="shared" si="29"/>
        <v>=SI(Upg!$AR176=1;0;'$ Unit'!$W176)+SI(Upg!$AS176=1;0;'$ Unit'!$W176)+SI(Upg!$AT176=1;0;'$ Unit'!$W176)+SI(Upg!$AU176=1;0;'$ Unit'!$W176)</v>
      </c>
      <c r="J125" s="60" t="str">
        <f t="shared" si="30"/>
        <v>=SI(Upg!$AV176=1;0;'$ Unit'!$X176)+SI(Upg!$AW176=1;0;'$ Unit'!$X176)+SI(Upg!$AX176=1;0;'$ Unit'!$X176)+SI(Upg!$AY176=1;0;'$ Unit'!$X176)</v>
      </c>
      <c r="K125" s="60" t="str">
        <f t="shared" si="31"/>
        <v>=SI(Upg!$AZ176=1;0;'$ Unit'!$Y176)+SI(Upg!$BA176=1;0;'$ Unit'!$Y176)+SI(Upg!$BB176=1;0;'$ Unit'!$Y176)+SI(Upg!$BC176=1;0;'$ Unit'!$Y176)</v>
      </c>
      <c r="L125" s="60" t="str">
        <f t="shared" si="32"/>
        <v>=SI(Upg!$BD176=1;0;'$ Unit'!$Z176)+SI(Upg!$BE176=1;0;'$ Unit'!$Z176)+SI(Upg!$BF176=1;0;'$ Unit'!$Z176)+SI(Upg!$BG176=1;0;'$ Unit'!$Z176)</v>
      </c>
      <c r="M125" s="60" t="str">
        <f t="shared" si="33"/>
        <v>=SI(Upg!$BH176=1;0;'$ Unit'!$AA176)+SI(Upg!$BI176=1;0;'$ Unit'!$AA176)+SI(Upg!$BJ176=1;0;'$ Unit'!$AA176)+SI(Upg!$BK176=1;0;'$ Unit'!$AA176)</v>
      </c>
      <c r="N125" s="60" t="str">
        <f t="shared" si="34"/>
        <v>=SI(Upg!$BL176=1;0;'$ Unit'!$AB176)+SI(Upg!$BM176=1;0;'$ Unit'!$AB176)+SI(Upg!$BN176=1;0;'$ Unit'!$AB176)+SI(Upg!$BO176=1;0;'$ Unit'!$AB176)</v>
      </c>
      <c r="Q125" t="str">
        <f t="shared" si="35"/>
        <v>='$ Unit'!AD176*Garage!AD176</v>
      </c>
      <c r="R125" t="str">
        <f t="shared" si="36"/>
        <v>='$ Unit'!AE176*Garage!AI176</v>
      </c>
      <c r="S125" t="str">
        <f t="shared" si="37"/>
        <v>='$ Unit'!AF176*Garage!AN176</v>
      </c>
    </row>
    <row r="126" spans="1:19" x14ac:dyDescent="0.2">
      <c r="A126" s="2">
        <v>177</v>
      </c>
      <c r="B126" s="60" t="str">
        <f t="shared" si="22"/>
        <v>=SI(Upg!$P177=1;0;'$ Unit'!$P177)+SI(Upg!$Q177=1;0;'$ Unit'!$P177)+SI(Upg!$R177=1;0;'$ Unit'!$P177)+SI(Upg!$S177=1;0;'$ Unit'!$P177)</v>
      </c>
      <c r="C126" s="60" t="str">
        <f t="shared" si="23"/>
        <v>=SI(Upg!$T177=1;0;'$ Unit'!$Q177)+SI(Upg!$U177=1;0;'$ Unit'!$Q177)+SI(Upg!$V177=1;0;'$ Unit'!$Q177)+SI(Upg!$W177=1;0;'$ Unit'!$Q177)</v>
      </c>
      <c r="D126" s="60" t="str">
        <f t="shared" si="24"/>
        <v>=SI(Upg!$X177=1;0;'$ Unit'!$R177)+SI(Upg!$Y177=1;0;'$ Unit'!$R177)+SI(Upg!$Z177=1;0;'$ Unit'!$R177)+SI(Upg!$AA177=1;0;'$ Unit'!$R177)</v>
      </c>
      <c r="E126" s="60" t="str">
        <f t="shared" si="25"/>
        <v>=SI(Upg!$AB177=1;0;'$ Unit'!$S177)+SI(Upg!$AC177=1;0;'$ Unit'!$S177)+SI(Upg!$AD177=1;0;'$ Unit'!$S177)+SI(Upg!$AE177=1;0;'$ Unit'!$S177)</v>
      </c>
      <c r="F126" s="60" t="str">
        <f t="shared" si="26"/>
        <v>=SI(Upg!$AF177=1;0;'$ Unit'!$T177)+SI(Upg!$AG177=1;0;'$ Unit'!$T177)+SI(Upg!$AH177=1;0;'$ Unit'!$T177)+SI(Upg!$AI177=1;0;'$ Unit'!$T177)</v>
      </c>
      <c r="G126" s="60" t="str">
        <f t="shared" si="27"/>
        <v>=SI(Upg!$AJ177=1;0;'$ Unit'!$U177)+SI(Upg!$AK177=1;0;'$ Unit'!$U177)+SI(Upg!$AL177=1;0;'$ Unit'!$U177)+SI(Upg!$AM177=1;0;'$ Unit'!$U177)</v>
      </c>
      <c r="H126" s="60" t="str">
        <f t="shared" si="28"/>
        <v>=SI(Upg!$AN177=1;0;'$ Unit'!$V177)+SI(Upg!$AO177=1;0;'$ Unit'!$V177)+SI(Upg!$AP177=1;0;'$ Unit'!$V177)+SI(Upg!$AQ177=1;0;'$ Unit'!$V177)</v>
      </c>
      <c r="I126" s="60" t="str">
        <f t="shared" si="29"/>
        <v>=SI(Upg!$AR177=1;0;'$ Unit'!$W177)+SI(Upg!$AS177=1;0;'$ Unit'!$W177)+SI(Upg!$AT177=1;0;'$ Unit'!$W177)+SI(Upg!$AU177=1;0;'$ Unit'!$W177)</v>
      </c>
      <c r="J126" s="60" t="str">
        <f t="shared" si="30"/>
        <v>=SI(Upg!$AV177=1;0;'$ Unit'!$X177)+SI(Upg!$AW177=1;0;'$ Unit'!$X177)+SI(Upg!$AX177=1;0;'$ Unit'!$X177)+SI(Upg!$AY177=1;0;'$ Unit'!$X177)</v>
      </c>
      <c r="K126" s="60" t="str">
        <f t="shared" si="31"/>
        <v>=SI(Upg!$AZ177=1;0;'$ Unit'!$Y177)+SI(Upg!$BA177=1;0;'$ Unit'!$Y177)+SI(Upg!$BB177=1;0;'$ Unit'!$Y177)+SI(Upg!$BC177=1;0;'$ Unit'!$Y177)</v>
      </c>
      <c r="L126" s="60" t="str">
        <f t="shared" si="32"/>
        <v>=SI(Upg!$BD177=1;0;'$ Unit'!$Z177)+SI(Upg!$BE177=1;0;'$ Unit'!$Z177)+SI(Upg!$BF177=1;0;'$ Unit'!$Z177)+SI(Upg!$BG177=1;0;'$ Unit'!$Z177)</v>
      </c>
      <c r="M126" s="60" t="str">
        <f t="shared" si="33"/>
        <v>=SI(Upg!$BH177=1;0;'$ Unit'!$AA177)+SI(Upg!$BI177=1;0;'$ Unit'!$AA177)+SI(Upg!$BJ177=1;0;'$ Unit'!$AA177)+SI(Upg!$BK177=1;0;'$ Unit'!$AA177)</v>
      </c>
      <c r="N126" s="60" t="str">
        <f t="shared" si="34"/>
        <v>=SI(Upg!$BL177=1;0;'$ Unit'!$AB177)+SI(Upg!$BM177=1;0;'$ Unit'!$AB177)+SI(Upg!$BN177=1;0;'$ Unit'!$AB177)+SI(Upg!$BO177=1;0;'$ Unit'!$AB177)</v>
      </c>
      <c r="Q126" t="str">
        <f t="shared" si="35"/>
        <v>='$ Unit'!AD177*Garage!AD177</v>
      </c>
      <c r="R126" t="str">
        <f t="shared" si="36"/>
        <v>='$ Unit'!AE177*Garage!AI177</v>
      </c>
      <c r="S126" t="str">
        <f t="shared" si="37"/>
        <v>='$ Unit'!AF177*Garage!AN177</v>
      </c>
    </row>
    <row r="127" spans="1:19" x14ac:dyDescent="0.2">
      <c r="A127" s="2">
        <v>178</v>
      </c>
      <c r="B127" s="60" t="str">
        <f t="shared" si="22"/>
        <v>=SI(Upg!$P178=1;0;'$ Unit'!$P178)+SI(Upg!$Q178=1;0;'$ Unit'!$P178)+SI(Upg!$R178=1;0;'$ Unit'!$P178)+SI(Upg!$S178=1;0;'$ Unit'!$P178)</v>
      </c>
      <c r="C127" s="60" t="str">
        <f t="shared" si="23"/>
        <v>=SI(Upg!$T178=1;0;'$ Unit'!$Q178)+SI(Upg!$U178=1;0;'$ Unit'!$Q178)+SI(Upg!$V178=1;0;'$ Unit'!$Q178)+SI(Upg!$W178=1;0;'$ Unit'!$Q178)</v>
      </c>
      <c r="D127" s="60" t="str">
        <f t="shared" si="24"/>
        <v>=SI(Upg!$X178=1;0;'$ Unit'!$R178)+SI(Upg!$Y178=1;0;'$ Unit'!$R178)+SI(Upg!$Z178=1;0;'$ Unit'!$R178)+SI(Upg!$AA178=1;0;'$ Unit'!$R178)</v>
      </c>
      <c r="E127" s="60" t="str">
        <f t="shared" si="25"/>
        <v>=SI(Upg!$AB178=1;0;'$ Unit'!$S178)+SI(Upg!$AC178=1;0;'$ Unit'!$S178)+SI(Upg!$AD178=1;0;'$ Unit'!$S178)+SI(Upg!$AE178=1;0;'$ Unit'!$S178)</v>
      </c>
      <c r="F127" s="60" t="str">
        <f t="shared" si="26"/>
        <v>=SI(Upg!$AF178=1;0;'$ Unit'!$T178)+SI(Upg!$AG178=1;0;'$ Unit'!$T178)+SI(Upg!$AH178=1;0;'$ Unit'!$T178)+SI(Upg!$AI178=1;0;'$ Unit'!$T178)</v>
      </c>
      <c r="G127" s="60" t="str">
        <f t="shared" si="27"/>
        <v>=SI(Upg!$AJ178=1;0;'$ Unit'!$U178)+SI(Upg!$AK178=1;0;'$ Unit'!$U178)+SI(Upg!$AL178=1;0;'$ Unit'!$U178)+SI(Upg!$AM178=1;0;'$ Unit'!$U178)</v>
      </c>
      <c r="H127" s="60" t="str">
        <f t="shared" si="28"/>
        <v>=SI(Upg!$AN178=1;0;'$ Unit'!$V178)+SI(Upg!$AO178=1;0;'$ Unit'!$V178)+SI(Upg!$AP178=1;0;'$ Unit'!$V178)+SI(Upg!$AQ178=1;0;'$ Unit'!$V178)</v>
      </c>
      <c r="I127" s="60" t="str">
        <f t="shared" si="29"/>
        <v>=SI(Upg!$AR178=1;0;'$ Unit'!$W178)+SI(Upg!$AS178=1;0;'$ Unit'!$W178)+SI(Upg!$AT178=1;0;'$ Unit'!$W178)+SI(Upg!$AU178=1;0;'$ Unit'!$W178)</v>
      </c>
      <c r="J127" s="60" t="str">
        <f t="shared" si="30"/>
        <v>=SI(Upg!$AV178=1;0;'$ Unit'!$X178)+SI(Upg!$AW178=1;0;'$ Unit'!$X178)+SI(Upg!$AX178=1;0;'$ Unit'!$X178)+SI(Upg!$AY178=1;0;'$ Unit'!$X178)</v>
      </c>
      <c r="K127" s="60" t="str">
        <f t="shared" si="31"/>
        <v>=SI(Upg!$AZ178=1;0;'$ Unit'!$Y178)+SI(Upg!$BA178=1;0;'$ Unit'!$Y178)+SI(Upg!$BB178=1;0;'$ Unit'!$Y178)+SI(Upg!$BC178=1;0;'$ Unit'!$Y178)</v>
      </c>
      <c r="L127" s="60" t="str">
        <f t="shared" si="32"/>
        <v>=SI(Upg!$BD178=1;0;'$ Unit'!$Z178)+SI(Upg!$BE178=1;0;'$ Unit'!$Z178)+SI(Upg!$BF178=1;0;'$ Unit'!$Z178)+SI(Upg!$BG178=1;0;'$ Unit'!$Z178)</v>
      </c>
      <c r="M127" s="60" t="str">
        <f t="shared" si="33"/>
        <v>=SI(Upg!$BH178=1;0;'$ Unit'!$AA178)+SI(Upg!$BI178=1;0;'$ Unit'!$AA178)+SI(Upg!$BJ178=1;0;'$ Unit'!$AA178)+SI(Upg!$BK178=1;0;'$ Unit'!$AA178)</v>
      </c>
      <c r="N127" s="60" t="str">
        <f t="shared" si="34"/>
        <v>=SI(Upg!$BL178=1;0;'$ Unit'!$AB178)+SI(Upg!$BM178=1;0;'$ Unit'!$AB178)+SI(Upg!$BN178=1;0;'$ Unit'!$AB178)+SI(Upg!$BO178=1;0;'$ Unit'!$AB178)</v>
      </c>
      <c r="Q127" t="str">
        <f t="shared" si="35"/>
        <v>='$ Unit'!AD178*Garage!AD178</v>
      </c>
      <c r="R127" t="str">
        <f t="shared" si="36"/>
        <v>='$ Unit'!AE178*Garage!AI178</v>
      </c>
      <c r="S127" t="str">
        <f t="shared" si="37"/>
        <v>='$ Unit'!AF178*Garage!AN178</v>
      </c>
    </row>
    <row r="128" spans="1:19" x14ac:dyDescent="0.2">
      <c r="A128" s="2">
        <v>179</v>
      </c>
      <c r="B128" s="60" t="str">
        <f t="shared" si="22"/>
        <v>=SI(Upg!$P179=1;0;'$ Unit'!$P179)+SI(Upg!$Q179=1;0;'$ Unit'!$P179)+SI(Upg!$R179=1;0;'$ Unit'!$P179)+SI(Upg!$S179=1;0;'$ Unit'!$P179)</v>
      </c>
      <c r="C128" s="60" t="str">
        <f t="shared" si="23"/>
        <v>=SI(Upg!$T179=1;0;'$ Unit'!$Q179)+SI(Upg!$U179=1;0;'$ Unit'!$Q179)+SI(Upg!$V179=1;0;'$ Unit'!$Q179)+SI(Upg!$W179=1;0;'$ Unit'!$Q179)</v>
      </c>
      <c r="D128" s="60" t="str">
        <f t="shared" si="24"/>
        <v>=SI(Upg!$X179=1;0;'$ Unit'!$R179)+SI(Upg!$Y179=1;0;'$ Unit'!$R179)+SI(Upg!$Z179=1;0;'$ Unit'!$R179)+SI(Upg!$AA179=1;0;'$ Unit'!$R179)</v>
      </c>
      <c r="E128" s="60" t="str">
        <f t="shared" si="25"/>
        <v>=SI(Upg!$AB179=1;0;'$ Unit'!$S179)+SI(Upg!$AC179=1;0;'$ Unit'!$S179)+SI(Upg!$AD179=1;0;'$ Unit'!$S179)+SI(Upg!$AE179=1;0;'$ Unit'!$S179)</v>
      </c>
      <c r="F128" s="60" t="str">
        <f t="shared" si="26"/>
        <v>=SI(Upg!$AF179=1;0;'$ Unit'!$T179)+SI(Upg!$AG179=1;0;'$ Unit'!$T179)+SI(Upg!$AH179=1;0;'$ Unit'!$T179)+SI(Upg!$AI179=1;0;'$ Unit'!$T179)</v>
      </c>
      <c r="G128" s="60" t="str">
        <f t="shared" si="27"/>
        <v>=SI(Upg!$AJ179=1;0;'$ Unit'!$U179)+SI(Upg!$AK179=1;0;'$ Unit'!$U179)+SI(Upg!$AL179=1;0;'$ Unit'!$U179)+SI(Upg!$AM179=1;0;'$ Unit'!$U179)</v>
      </c>
      <c r="H128" s="60" t="str">
        <f t="shared" si="28"/>
        <v>=SI(Upg!$AN179=1;0;'$ Unit'!$V179)+SI(Upg!$AO179=1;0;'$ Unit'!$V179)+SI(Upg!$AP179=1;0;'$ Unit'!$V179)+SI(Upg!$AQ179=1;0;'$ Unit'!$V179)</v>
      </c>
      <c r="I128" s="60" t="str">
        <f t="shared" si="29"/>
        <v>=SI(Upg!$AR179=1;0;'$ Unit'!$W179)+SI(Upg!$AS179=1;0;'$ Unit'!$W179)+SI(Upg!$AT179=1;0;'$ Unit'!$W179)+SI(Upg!$AU179=1;0;'$ Unit'!$W179)</v>
      </c>
      <c r="J128" s="60" t="str">
        <f t="shared" si="30"/>
        <v>=SI(Upg!$AV179=1;0;'$ Unit'!$X179)+SI(Upg!$AW179=1;0;'$ Unit'!$X179)+SI(Upg!$AX179=1;0;'$ Unit'!$X179)+SI(Upg!$AY179=1;0;'$ Unit'!$X179)</v>
      </c>
      <c r="K128" s="60" t="str">
        <f t="shared" si="31"/>
        <v>=SI(Upg!$AZ179=1;0;'$ Unit'!$Y179)+SI(Upg!$BA179=1;0;'$ Unit'!$Y179)+SI(Upg!$BB179=1;0;'$ Unit'!$Y179)+SI(Upg!$BC179=1;0;'$ Unit'!$Y179)</v>
      </c>
      <c r="L128" s="60" t="str">
        <f t="shared" si="32"/>
        <v>=SI(Upg!$BD179=1;0;'$ Unit'!$Z179)+SI(Upg!$BE179=1;0;'$ Unit'!$Z179)+SI(Upg!$BF179=1;0;'$ Unit'!$Z179)+SI(Upg!$BG179=1;0;'$ Unit'!$Z179)</v>
      </c>
      <c r="M128" s="60" t="str">
        <f t="shared" si="33"/>
        <v>=SI(Upg!$BH179=1;0;'$ Unit'!$AA179)+SI(Upg!$BI179=1;0;'$ Unit'!$AA179)+SI(Upg!$BJ179=1;0;'$ Unit'!$AA179)+SI(Upg!$BK179=1;0;'$ Unit'!$AA179)</v>
      </c>
      <c r="N128" s="60" t="str">
        <f t="shared" si="34"/>
        <v>=SI(Upg!$BL179=1;0;'$ Unit'!$AB179)+SI(Upg!$BM179=1;0;'$ Unit'!$AB179)+SI(Upg!$BN179=1;0;'$ Unit'!$AB179)+SI(Upg!$BO179=1;0;'$ Unit'!$AB179)</v>
      </c>
      <c r="Q128" t="str">
        <f t="shared" si="35"/>
        <v>='$ Unit'!AD179*Garage!AD179</v>
      </c>
      <c r="R128" t="str">
        <f t="shared" si="36"/>
        <v>='$ Unit'!AE179*Garage!AI179</v>
      </c>
      <c r="S128" t="str">
        <f t="shared" si="37"/>
        <v>='$ Unit'!AF179*Garage!AN179</v>
      </c>
    </row>
    <row r="129" spans="1:19" x14ac:dyDescent="0.2">
      <c r="A129" s="2">
        <v>180</v>
      </c>
      <c r="B129" s="60" t="str">
        <f t="shared" si="22"/>
        <v>=SI(Upg!$P180=1;0;'$ Unit'!$P180)+SI(Upg!$Q180=1;0;'$ Unit'!$P180)+SI(Upg!$R180=1;0;'$ Unit'!$P180)+SI(Upg!$S180=1;0;'$ Unit'!$P180)</v>
      </c>
      <c r="C129" s="60" t="str">
        <f t="shared" si="23"/>
        <v>=SI(Upg!$T180=1;0;'$ Unit'!$Q180)+SI(Upg!$U180=1;0;'$ Unit'!$Q180)+SI(Upg!$V180=1;0;'$ Unit'!$Q180)+SI(Upg!$W180=1;0;'$ Unit'!$Q180)</v>
      </c>
      <c r="D129" s="60" t="str">
        <f t="shared" si="24"/>
        <v>=SI(Upg!$X180=1;0;'$ Unit'!$R180)+SI(Upg!$Y180=1;0;'$ Unit'!$R180)+SI(Upg!$Z180=1;0;'$ Unit'!$R180)+SI(Upg!$AA180=1;0;'$ Unit'!$R180)</v>
      </c>
      <c r="E129" s="60" t="str">
        <f t="shared" si="25"/>
        <v>=SI(Upg!$AB180=1;0;'$ Unit'!$S180)+SI(Upg!$AC180=1;0;'$ Unit'!$S180)+SI(Upg!$AD180=1;0;'$ Unit'!$S180)+SI(Upg!$AE180=1;0;'$ Unit'!$S180)</v>
      </c>
      <c r="F129" s="60" t="str">
        <f t="shared" si="26"/>
        <v>=SI(Upg!$AF180=1;0;'$ Unit'!$T180)+SI(Upg!$AG180=1;0;'$ Unit'!$T180)+SI(Upg!$AH180=1;0;'$ Unit'!$T180)+SI(Upg!$AI180=1;0;'$ Unit'!$T180)</v>
      </c>
      <c r="G129" s="60" t="str">
        <f t="shared" si="27"/>
        <v>=SI(Upg!$AJ180=1;0;'$ Unit'!$U180)+SI(Upg!$AK180=1;0;'$ Unit'!$U180)+SI(Upg!$AL180=1;0;'$ Unit'!$U180)+SI(Upg!$AM180=1;0;'$ Unit'!$U180)</v>
      </c>
      <c r="H129" s="60" t="str">
        <f t="shared" si="28"/>
        <v>=SI(Upg!$AN180=1;0;'$ Unit'!$V180)+SI(Upg!$AO180=1;0;'$ Unit'!$V180)+SI(Upg!$AP180=1;0;'$ Unit'!$V180)+SI(Upg!$AQ180=1;0;'$ Unit'!$V180)</v>
      </c>
      <c r="I129" s="60" t="str">
        <f t="shared" si="29"/>
        <v>=SI(Upg!$AR180=1;0;'$ Unit'!$W180)+SI(Upg!$AS180=1;0;'$ Unit'!$W180)+SI(Upg!$AT180=1;0;'$ Unit'!$W180)+SI(Upg!$AU180=1;0;'$ Unit'!$W180)</v>
      </c>
      <c r="J129" s="60" t="str">
        <f t="shared" si="30"/>
        <v>=SI(Upg!$AV180=1;0;'$ Unit'!$X180)+SI(Upg!$AW180=1;0;'$ Unit'!$X180)+SI(Upg!$AX180=1;0;'$ Unit'!$X180)+SI(Upg!$AY180=1;0;'$ Unit'!$X180)</v>
      </c>
      <c r="K129" s="60" t="str">
        <f t="shared" si="31"/>
        <v>=SI(Upg!$AZ180=1;0;'$ Unit'!$Y180)+SI(Upg!$BA180=1;0;'$ Unit'!$Y180)+SI(Upg!$BB180=1;0;'$ Unit'!$Y180)+SI(Upg!$BC180=1;0;'$ Unit'!$Y180)</v>
      </c>
      <c r="L129" s="60" t="str">
        <f t="shared" si="32"/>
        <v>=SI(Upg!$BD180=1;0;'$ Unit'!$Z180)+SI(Upg!$BE180=1;0;'$ Unit'!$Z180)+SI(Upg!$BF180=1;0;'$ Unit'!$Z180)+SI(Upg!$BG180=1;0;'$ Unit'!$Z180)</v>
      </c>
      <c r="M129" s="60" t="str">
        <f t="shared" si="33"/>
        <v>=SI(Upg!$BH180=1;0;'$ Unit'!$AA180)+SI(Upg!$BI180=1;0;'$ Unit'!$AA180)+SI(Upg!$BJ180=1;0;'$ Unit'!$AA180)+SI(Upg!$BK180=1;0;'$ Unit'!$AA180)</v>
      </c>
      <c r="N129" s="60" t="str">
        <f t="shared" si="34"/>
        <v>=SI(Upg!$BL180=1;0;'$ Unit'!$AB180)+SI(Upg!$BM180=1;0;'$ Unit'!$AB180)+SI(Upg!$BN180=1;0;'$ Unit'!$AB180)+SI(Upg!$BO180=1;0;'$ Unit'!$AB180)</v>
      </c>
      <c r="Q129" t="str">
        <f t="shared" si="35"/>
        <v>='$ Unit'!AD180*Garage!AD180</v>
      </c>
      <c r="R129" t="str">
        <f t="shared" si="36"/>
        <v>='$ Unit'!AE180*Garage!AI180</v>
      </c>
      <c r="S129" t="str">
        <f t="shared" si="37"/>
        <v>='$ Unit'!AF180*Garage!AN180</v>
      </c>
    </row>
    <row r="130" spans="1:19" x14ac:dyDescent="0.2">
      <c r="A130" s="2">
        <v>181</v>
      </c>
      <c r="B130" s="60" t="str">
        <f t="shared" si="22"/>
        <v>=SI(Upg!$P181=1;0;'$ Unit'!$P181)+SI(Upg!$Q181=1;0;'$ Unit'!$P181)+SI(Upg!$R181=1;0;'$ Unit'!$P181)+SI(Upg!$S181=1;0;'$ Unit'!$P181)</v>
      </c>
      <c r="C130" s="60" t="str">
        <f t="shared" si="23"/>
        <v>=SI(Upg!$T181=1;0;'$ Unit'!$Q181)+SI(Upg!$U181=1;0;'$ Unit'!$Q181)+SI(Upg!$V181=1;0;'$ Unit'!$Q181)+SI(Upg!$W181=1;0;'$ Unit'!$Q181)</v>
      </c>
      <c r="D130" s="60" t="str">
        <f t="shared" si="24"/>
        <v>=SI(Upg!$X181=1;0;'$ Unit'!$R181)+SI(Upg!$Y181=1;0;'$ Unit'!$R181)+SI(Upg!$Z181=1;0;'$ Unit'!$R181)+SI(Upg!$AA181=1;0;'$ Unit'!$R181)</v>
      </c>
      <c r="E130" s="60" t="str">
        <f t="shared" si="25"/>
        <v>=SI(Upg!$AB181=1;0;'$ Unit'!$S181)+SI(Upg!$AC181=1;0;'$ Unit'!$S181)+SI(Upg!$AD181=1;0;'$ Unit'!$S181)+SI(Upg!$AE181=1;0;'$ Unit'!$S181)</v>
      </c>
      <c r="F130" s="60" t="str">
        <f t="shared" si="26"/>
        <v>=SI(Upg!$AF181=1;0;'$ Unit'!$T181)+SI(Upg!$AG181=1;0;'$ Unit'!$T181)+SI(Upg!$AH181=1;0;'$ Unit'!$T181)+SI(Upg!$AI181=1;0;'$ Unit'!$T181)</v>
      </c>
      <c r="G130" s="60" t="str">
        <f t="shared" si="27"/>
        <v>=SI(Upg!$AJ181=1;0;'$ Unit'!$U181)+SI(Upg!$AK181=1;0;'$ Unit'!$U181)+SI(Upg!$AL181=1;0;'$ Unit'!$U181)+SI(Upg!$AM181=1;0;'$ Unit'!$U181)</v>
      </c>
      <c r="H130" s="60" t="str">
        <f t="shared" si="28"/>
        <v>=SI(Upg!$AN181=1;0;'$ Unit'!$V181)+SI(Upg!$AO181=1;0;'$ Unit'!$V181)+SI(Upg!$AP181=1;0;'$ Unit'!$V181)+SI(Upg!$AQ181=1;0;'$ Unit'!$V181)</v>
      </c>
      <c r="I130" s="60" t="str">
        <f t="shared" si="29"/>
        <v>=SI(Upg!$AR181=1;0;'$ Unit'!$W181)+SI(Upg!$AS181=1;0;'$ Unit'!$W181)+SI(Upg!$AT181=1;0;'$ Unit'!$W181)+SI(Upg!$AU181=1;0;'$ Unit'!$W181)</v>
      </c>
      <c r="J130" s="60" t="str">
        <f t="shared" si="30"/>
        <v>=SI(Upg!$AV181=1;0;'$ Unit'!$X181)+SI(Upg!$AW181=1;0;'$ Unit'!$X181)+SI(Upg!$AX181=1;0;'$ Unit'!$X181)+SI(Upg!$AY181=1;0;'$ Unit'!$X181)</v>
      </c>
      <c r="K130" s="60" t="str">
        <f t="shared" si="31"/>
        <v>=SI(Upg!$AZ181=1;0;'$ Unit'!$Y181)+SI(Upg!$BA181=1;0;'$ Unit'!$Y181)+SI(Upg!$BB181=1;0;'$ Unit'!$Y181)+SI(Upg!$BC181=1;0;'$ Unit'!$Y181)</v>
      </c>
      <c r="L130" s="60" t="str">
        <f t="shared" si="32"/>
        <v>=SI(Upg!$BD181=1;0;'$ Unit'!$Z181)+SI(Upg!$BE181=1;0;'$ Unit'!$Z181)+SI(Upg!$BF181=1;0;'$ Unit'!$Z181)+SI(Upg!$BG181=1;0;'$ Unit'!$Z181)</v>
      </c>
      <c r="M130" s="60" t="str">
        <f t="shared" si="33"/>
        <v>=SI(Upg!$BH181=1;0;'$ Unit'!$AA181)+SI(Upg!$BI181=1;0;'$ Unit'!$AA181)+SI(Upg!$BJ181=1;0;'$ Unit'!$AA181)+SI(Upg!$BK181=1;0;'$ Unit'!$AA181)</v>
      </c>
      <c r="N130" s="60" t="str">
        <f t="shared" si="34"/>
        <v>=SI(Upg!$BL181=1;0;'$ Unit'!$AB181)+SI(Upg!$BM181=1;0;'$ Unit'!$AB181)+SI(Upg!$BN181=1;0;'$ Unit'!$AB181)+SI(Upg!$BO181=1;0;'$ Unit'!$AB181)</v>
      </c>
      <c r="Q130" t="str">
        <f t="shared" si="35"/>
        <v>='$ Unit'!AD181*Garage!AD181</v>
      </c>
      <c r="R130" t="str">
        <f t="shared" si="36"/>
        <v>='$ Unit'!AE181*Garage!AI181</v>
      </c>
      <c r="S130" t="str">
        <f t="shared" si="37"/>
        <v>='$ Unit'!AF181*Garage!AN181</v>
      </c>
    </row>
    <row r="131" spans="1:19" x14ac:dyDescent="0.2">
      <c r="A131" s="2">
        <v>182</v>
      </c>
      <c r="B131" s="60" t="str">
        <f t="shared" si="22"/>
        <v>=SI(Upg!$P182=1;0;'$ Unit'!$P182)+SI(Upg!$Q182=1;0;'$ Unit'!$P182)+SI(Upg!$R182=1;0;'$ Unit'!$P182)+SI(Upg!$S182=1;0;'$ Unit'!$P182)</v>
      </c>
      <c r="C131" s="60" t="str">
        <f t="shared" si="23"/>
        <v>=SI(Upg!$T182=1;0;'$ Unit'!$Q182)+SI(Upg!$U182=1;0;'$ Unit'!$Q182)+SI(Upg!$V182=1;0;'$ Unit'!$Q182)+SI(Upg!$W182=1;0;'$ Unit'!$Q182)</v>
      </c>
      <c r="D131" s="60" t="str">
        <f t="shared" si="24"/>
        <v>=SI(Upg!$X182=1;0;'$ Unit'!$R182)+SI(Upg!$Y182=1;0;'$ Unit'!$R182)+SI(Upg!$Z182=1;0;'$ Unit'!$R182)+SI(Upg!$AA182=1;0;'$ Unit'!$R182)</v>
      </c>
      <c r="E131" s="60" t="str">
        <f t="shared" si="25"/>
        <v>=SI(Upg!$AB182=1;0;'$ Unit'!$S182)+SI(Upg!$AC182=1;0;'$ Unit'!$S182)+SI(Upg!$AD182=1;0;'$ Unit'!$S182)+SI(Upg!$AE182=1;0;'$ Unit'!$S182)</v>
      </c>
      <c r="F131" s="60" t="str">
        <f t="shared" si="26"/>
        <v>=SI(Upg!$AF182=1;0;'$ Unit'!$T182)+SI(Upg!$AG182=1;0;'$ Unit'!$T182)+SI(Upg!$AH182=1;0;'$ Unit'!$T182)+SI(Upg!$AI182=1;0;'$ Unit'!$T182)</v>
      </c>
      <c r="G131" s="60" t="str">
        <f t="shared" si="27"/>
        <v>=SI(Upg!$AJ182=1;0;'$ Unit'!$U182)+SI(Upg!$AK182=1;0;'$ Unit'!$U182)+SI(Upg!$AL182=1;0;'$ Unit'!$U182)+SI(Upg!$AM182=1;0;'$ Unit'!$U182)</v>
      </c>
      <c r="H131" s="60" t="str">
        <f t="shared" si="28"/>
        <v>=SI(Upg!$AN182=1;0;'$ Unit'!$V182)+SI(Upg!$AO182=1;0;'$ Unit'!$V182)+SI(Upg!$AP182=1;0;'$ Unit'!$V182)+SI(Upg!$AQ182=1;0;'$ Unit'!$V182)</v>
      </c>
      <c r="I131" s="60" t="str">
        <f t="shared" si="29"/>
        <v>=SI(Upg!$AR182=1;0;'$ Unit'!$W182)+SI(Upg!$AS182=1;0;'$ Unit'!$W182)+SI(Upg!$AT182=1;0;'$ Unit'!$W182)+SI(Upg!$AU182=1;0;'$ Unit'!$W182)</v>
      </c>
      <c r="J131" s="60" t="str">
        <f t="shared" si="30"/>
        <v>=SI(Upg!$AV182=1;0;'$ Unit'!$X182)+SI(Upg!$AW182=1;0;'$ Unit'!$X182)+SI(Upg!$AX182=1;0;'$ Unit'!$X182)+SI(Upg!$AY182=1;0;'$ Unit'!$X182)</v>
      </c>
      <c r="K131" s="60" t="str">
        <f t="shared" si="31"/>
        <v>=SI(Upg!$AZ182=1;0;'$ Unit'!$Y182)+SI(Upg!$BA182=1;0;'$ Unit'!$Y182)+SI(Upg!$BB182=1;0;'$ Unit'!$Y182)+SI(Upg!$BC182=1;0;'$ Unit'!$Y182)</v>
      </c>
      <c r="L131" s="60" t="str">
        <f t="shared" si="32"/>
        <v>=SI(Upg!$BD182=1;0;'$ Unit'!$Z182)+SI(Upg!$BE182=1;0;'$ Unit'!$Z182)+SI(Upg!$BF182=1;0;'$ Unit'!$Z182)+SI(Upg!$BG182=1;0;'$ Unit'!$Z182)</v>
      </c>
      <c r="M131" s="60" t="str">
        <f t="shared" si="33"/>
        <v>=SI(Upg!$BH182=1;0;'$ Unit'!$AA182)+SI(Upg!$BI182=1;0;'$ Unit'!$AA182)+SI(Upg!$BJ182=1;0;'$ Unit'!$AA182)+SI(Upg!$BK182=1;0;'$ Unit'!$AA182)</v>
      </c>
      <c r="N131" s="60" t="str">
        <f t="shared" si="34"/>
        <v>=SI(Upg!$BL182=1;0;'$ Unit'!$AB182)+SI(Upg!$BM182=1;0;'$ Unit'!$AB182)+SI(Upg!$BN182=1;0;'$ Unit'!$AB182)+SI(Upg!$BO182=1;0;'$ Unit'!$AB182)</v>
      </c>
      <c r="Q131" t="str">
        <f t="shared" si="35"/>
        <v>='$ Unit'!AD182*Garage!AD182</v>
      </c>
      <c r="R131" t="str">
        <f t="shared" si="36"/>
        <v>='$ Unit'!AE182*Garage!AI182</v>
      </c>
      <c r="S131" t="str">
        <f t="shared" si="37"/>
        <v>='$ Unit'!AF182*Garage!AN182</v>
      </c>
    </row>
    <row r="132" spans="1:19" x14ac:dyDescent="0.2">
      <c r="A132" s="2">
        <v>183</v>
      </c>
      <c r="B132" s="60" t="str">
        <f t="shared" si="22"/>
        <v>=SI(Upg!$P183=1;0;'$ Unit'!$P183)+SI(Upg!$Q183=1;0;'$ Unit'!$P183)+SI(Upg!$R183=1;0;'$ Unit'!$P183)+SI(Upg!$S183=1;0;'$ Unit'!$P183)</v>
      </c>
      <c r="C132" s="60" t="str">
        <f t="shared" si="23"/>
        <v>=SI(Upg!$T183=1;0;'$ Unit'!$Q183)+SI(Upg!$U183=1;0;'$ Unit'!$Q183)+SI(Upg!$V183=1;0;'$ Unit'!$Q183)+SI(Upg!$W183=1;0;'$ Unit'!$Q183)</v>
      </c>
      <c r="D132" s="60" t="str">
        <f t="shared" si="24"/>
        <v>=SI(Upg!$X183=1;0;'$ Unit'!$R183)+SI(Upg!$Y183=1;0;'$ Unit'!$R183)+SI(Upg!$Z183=1;0;'$ Unit'!$R183)+SI(Upg!$AA183=1;0;'$ Unit'!$R183)</v>
      </c>
      <c r="E132" s="60" t="str">
        <f t="shared" si="25"/>
        <v>=SI(Upg!$AB183=1;0;'$ Unit'!$S183)+SI(Upg!$AC183=1;0;'$ Unit'!$S183)+SI(Upg!$AD183=1;0;'$ Unit'!$S183)+SI(Upg!$AE183=1;0;'$ Unit'!$S183)</v>
      </c>
      <c r="F132" s="60" t="str">
        <f t="shared" si="26"/>
        <v>=SI(Upg!$AF183=1;0;'$ Unit'!$T183)+SI(Upg!$AG183=1;0;'$ Unit'!$T183)+SI(Upg!$AH183=1;0;'$ Unit'!$T183)+SI(Upg!$AI183=1;0;'$ Unit'!$T183)</v>
      </c>
      <c r="G132" s="60" t="str">
        <f t="shared" si="27"/>
        <v>=SI(Upg!$AJ183=1;0;'$ Unit'!$U183)+SI(Upg!$AK183=1;0;'$ Unit'!$U183)+SI(Upg!$AL183=1;0;'$ Unit'!$U183)+SI(Upg!$AM183=1;0;'$ Unit'!$U183)</v>
      </c>
      <c r="H132" s="60" t="str">
        <f t="shared" si="28"/>
        <v>=SI(Upg!$AN183=1;0;'$ Unit'!$V183)+SI(Upg!$AO183=1;0;'$ Unit'!$V183)+SI(Upg!$AP183=1;0;'$ Unit'!$V183)+SI(Upg!$AQ183=1;0;'$ Unit'!$V183)</v>
      </c>
      <c r="I132" s="60" t="str">
        <f t="shared" si="29"/>
        <v>=SI(Upg!$AR183=1;0;'$ Unit'!$W183)+SI(Upg!$AS183=1;0;'$ Unit'!$W183)+SI(Upg!$AT183=1;0;'$ Unit'!$W183)+SI(Upg!$AU183=1;0;'$ Unit'!$W183)</v>
      </c>
      <c r="J132" s="60" t="str">
        <f t="shared" si="30"/>
        <v>=SI(Upg!$AV183=1;0;'$ Unit'!$X183)+SI(Upg!$AW183=1;0;'$ Unit'!$X183)+SI(Upg!$AX183=1;0;'$ Unit'!$X183)+SI(Upg!$AY183=1;0;'$ Unit'!$X183)</v>
      </c>
      <c r="K132" s="60" t="str">
        <f t="shared" si="31"/>
        <v>=SI(Upg!$AZ183=1;0;'$ Unit'!$Y183)+SI(Upg!$BA183=1;0;'$ Unit'!$Y183)+SI(Upg!$BB183=1;0;'$ Unit'!$Y183)+SI(Upg!$BC183=1;0;'$ Unit'!$Y183)</v>
      </c>
      <c r="L132" s="60" t="str">
        <f t="shared" si="32"/>
        <v>=SI(Upg!$BD183=1;0;'$ Unit'!$Z183)+SI(Upg!$BE183=1;0;'$ Unit'!$Z183)+SI(Upg!$BF183=1;0;'$ Unit'!$Z183)+SI(Upg!$BG183=1;0;'$ Unit'!$Z183)</v>
      </c>
      <c r="M132" s="60" t="str">
        <f t="shared" si="33"/>
        <v>=SI(Upg!$BH183=1;0;'$ Unit'!$AA183)+SI(Upg!$BI183=1;0;'$ Unit'!$AA183)+SI(Upg!$BJ183=1;0;'$ Unit'!$AA183)+SI(Upg!$BK183=1;0;'$ Unit'!$AA183)</v>
      </c>
      <c r="N132" s="60" t="str">
        <f t="shared" si="34"/>
        <v>=SI(Upg!$BL183=1;0;'$ Unit'!$AB183)+SI(Upg!$BM183=1;0;'$ Unit'!$AB183)+SI(Upg!$BN183=1;0;'$ Unit'!$AB183)+SI(Upg!$BO183=1;0;'$ Unit'!$AB183)</v>
      </c>
      <c r="Q132" t="str">
        <f t="shared" si="35"/>
        <v>='$ Unit'!AD183*Garage!AD183</v>
      </c>
      <c r="R132" t="str">
        <f t="shared" si="36"/>
        <v>='$ Unit'!AE183*Garage!AI183</v>
      </c>
      <c r="S132" t="str">
        <f t="shared" si="37"/>
        <v>='$ Unit'!AF183*Garage!AN183</v>
      </c>
    </row>
    <row r="133" spans="1:19" x14ac:dyDescent="0.2">
      <c r="A133" s="2">
        <v>184</v>
      </c>
      <c r="B133" s="60" t="str">
        <f t="shared" si="22"/>
        <v>=SI(Upg!$P184=1;0;'$ Unit'!$P184)+SI(Upg!$Q184=1;0;'$ Unit'!$P184)+SI(Upg!$R184=1;0;'$ Unit'!$P184)+SI(Upg!$S184=1;0;'$ Unit'!$P184)</v>
      </c>
      <c r="C133" s="60" t="str">
        <f t="shared" si="23"/>
        <v>=SI(Upg!$T184=1;0;'$ Unit'!$Q184)+SI(Upg!$U184=1;0;'$ Unit'!$Q184)+SI(Upg!$V184=1;0;'$ Unit'!$Q184)+SI(Upg!$W184=1;0;'$ Unit'!$Q184)</v>
      </c>
      <c r="D133" s="60" t="str">
        <f t="shared" si="24"/>
        <v>=SI(Upg!$X184=1;0;'$ Unit'!$R184)+SI(Upg!$Y184=1;0;'$ Unit'!$R184)+SI(Upg!$Z184=1;0;'$ Unit'!$R184)+SI(Upg!$AA184=1;0;'$ Unit'!$R184)</v>
      </c>
      <c r="E133" s="60" t="str">
        <f t="shared" si="25"/>
        <v>=SI(Upg!$AB184=1;0;'$ Unit'!$S184)+SI(Upg!$AC184=1;0;'$ Unit'!$S184)+SI(Upg!$AD184=1;0;'$ Unit'!$S184)+SI(Upg!$AE184=1;0;'$ Unit'!$S184)</v>
      </c>
      <c r="F133" s="60" t="str">
        <f t="shared" si="26"/>
        <v>=SI(Upg!$AF184=1;0;'$ Unit'!$T184)+SI(Upg!$AG184=1;0;'$ Unit'!$T184)+SI(Upg!$AH184=1;0;'$ Unit'!$T184)+SI(Upg!$AI184=1;0;'$ Unit'!$T184)</v>
      </c>
      <c r="G133" s="60" t="str">
        <f t="shared" si="27"/>
        <v>=SI(Upg!$AJ184=1;0;'$ Unit'!$U184)+SI(Upg!$AK184=1;0;'$ Unit'!$U184)+SI(Upg!$AL184=1;0;'$ Unit'!$U184)+SI(Upg!$AM184=1;0;'$ Unit'!$U184)</v>
      </c>
      <c r="H133" s="60" t="str">
        <f t="shared" si="28"/>
        <v>=SI(Upg!$AN184=1;0;'$ Unit'!$V184)+SI(Upg!$AO184=1;0;'$ Unit'!$V184)+SI(Upg!$AP184=1;0;'$ Unit'!$V184)+SI(Upg!$AQ184=1;0;'$ Unit'!$V184)</v>
      </c>
      <c r="I133" s="60" t="str">
        <f t="shared" si="29"/>
        <v>=SI(Upg!$AR184=1;0;'$ Unit'!$W184)+SI(Upg!$AS184=1;0;'$ Unit'!$W184)+SI(Upg!$AT184=1;0;'$ Unit'!$W184)+SI(Upg!$AU184=1;0;'$ Unit'!$W184)</v>
      </c>
      <c r="J133" s="60" t="str">
        <f t="shared" si="30"/>
        <v>=SI(Upg!$AV184=1;0;'$ Unit'!$X184)+SI(Upg!$AW184=1;0;'$ Unit'!$X184)+SI(Upg!$AX184=1;0;'$ Unit'!$X184)+SI(Upg!$AY184=1;0;'$ Unit'!$X184)</v>
      </c>
      <c r="K133" s="60" t="str">
        <f t="shared" si="31"/>
        <v>=SI(Upg!$AZ184=1;0;'$ Unit'!$Y184)+SI(Upg!$BA184=1;0;'$ Unit'!$Y184)+SI(Upg!$BB184=1;0;'$ Unit'!$Y184)+SI(Upg!$BC184=1;0;'$ Unit'!$Y184)</v>
      </c>
      <c r="L133" s="60" t="str">
        <f t="shared" si="32"/>
        <v>=SI(Upg!$BD184=1;0;'$ Unit'!$Z184)+SI(Upg!$BE184=1;0;'$ Unit'!$Z184)+SI(Upg!$BF184=1;0;'$ Unit'!$Z184)+SI(Upg!$BG184=1;0;'$ Unit'!$Z184)</v>
      </c>
      <c r="M133" s="60" t="str">
        <f t="shared" si="33"/>
        <v>=SI(Upg!$BH184=1;0;'$ Unit'!$AA184)+SI(Upg!$BI184=1;0;'$ Unit'!$AA184)+SI(Upg!$BJ184=1;0;'$ Unit'!$AA184)+SI(Upg!$BK184=1;0;'$ Unit'!$AA184)</v>
      </c>
      <c r="N133" s="60" t="str">
        <f t="shared" si="34"/>
        <v>=SI(Upg!$BL184=1;0;'$ Unit'!$AB184)+SI(Upg!$BM184=1;0;'$ Unit'!$AB184)+SI(Upg!$BN184=1;0;'$ Unit'!$AB184)+SI(Upg!$BO184=1;0;'$ Unit'!$AB184)</v>
      </c>
      <c r="Q133" t="str">
        <f t="shared" si="35"/>
        <v>='$ Unit'!AD184*Garage!AD184</v>
      </c>
      <c r="R133" t="str">
        <f t="shared" si="36"/>
        <v>='$ Unit'!AE184*Garage!AI184</v>
      </c>
      <c r="S133" t="str">
        <f t="shared" si="37"/>
        <v>='$ Unit'!AF184*Garage!AN184</v>
      </c>
    </row>
    <row r="134" spans="1:19" x14ac:dyDescent="0.2">
      <c r="A134" s="2">
        <v>185</v>
      </c>
      <c r="B134" s="60" t="str">
        <f t="shared" si="22"/>
        <v>=SI(Upg!$P185=1;0;'$ Unit'!$P185)+SI(Upg!$Q185=1;0;'$ Unit'!$P185)+SI(Upg!$R185=1;0;'$ Unit'!$P185)+SI(Upg!$S185=1;0;'$ Unit'!$P185)</v>
      </c>
      <c r="C134" s="60" t="str">
        <f t="shared" si="23"/>
        <v>=SI(Upg!$T185=1;0;'$ Unit'!$Q185)+SI(Upg!$U185=1;0;'$ Unit'!$Q185)+SI(Upg!$V185=1;0;'$ Unit'!$Q185)+SI(Upg!$W185=1;0;'$ Unit'!$Q185)</v>
      </c>
      <c r="D134" s="60" t="str">
        <f t="shared" si="24"/>
        <v>=SI(Upg!$X185=1;0;'$ Unit'!$R185)+SI(Upg!$Y185=1;0;'$ Unit'!$R185)+SI(Upg!$Z185=1;0;'$ Unit'!$R185)+SI(Upg!$AA185=1;0;'$ Unit'!$R185)</v>
      </c>
      <c r="E134" s="60" t="str">
        <f t="shared" si="25"/>
        <v>=SI(Upg!$AB185=1;0;'$ Unit'!$S185)+SI(Upg!$AC185=1;0;'$ Unit'!$S185)+SI(Upg!$AD185=1;0;'$ Unit'!$S185)+SI(Upg!$AE185=1;0;'$ Unit'!$S185)</v>
      </c>
      <c r="F134" s="60" t="str">
        <f t="shared" si="26"/>
        <v>=SI(Upg!$AF185=1;0;'$ Unit'!$T185)+SI(Upg!$AG185=1;0;'$ Unit'!$T185)+SI(Upg!$AH185=1;0;'$ Unit'!$T185)+SI(Upg!$AI185=1;0;'$ Unit'!$T185)</v>
      </c>
      <c r="G134" s="60" t="str">
        <f t="shared" si="27"/>
        <v>=SI(Upg!$AJ185=1;0;'$ Unit'!$U185)+SI(Upg!$AK185=1;0;'$ Unit'!$U185)+SI(Upg!$AL185=1;0;'$ Unit'!$U185)+SI(Upg!$AM185=1;0;'$ Unit'!$U185)</v>
      </c>
      <c r="H134" s="60" t="str">
        <f t="shared" si="28"/>
        <v>=SI(Upg!$AN185=1;0;'$ Unit'!$V185)+SI(Upg!$AO185=1;0;'$ Unit'!$V185)+SI(Upg!$AP185=1;0;'$ Unit'!$V185)+SI(Upg!$AQ185=1;0;'$ Unit'!$V185)</v>
      </c>
      <c r="I134" s="60" t="str">
        <f t="shared" si="29"/>
        <v>=SI(Upg!$AR185=1;0;'$ Unit'!$W185)+SI(Upg!$AS185=1;0;'$ Unit'!$W185)+SI(Upg!$AT185=1;0;'$ Unit'!$W185)+SI(Upg!$AU185=1;0;'$ Unit'!$W185)</v>
      </c>
      <c r="J134" s="60" t="str">
        <f t="shared" si="30"/>
        <v>=SI(Upg!$AV185=1;0;'$ Unit'!$X185)+SI(Upg!$AW185=1;0;'$ Unit'!$X185)+SI(Upg!$AX185=1;0;'$ Unit'!$X185)+SI(Upg!$AY185=1;0;'$ Unit'!$X185)</v>
      </c>
      <c r="K134" s="60" t="str">
        <f t="shared" si="31"/>
        <v>=SI(Upg!$AZ185=1;0;'$ Unit'!$Y185)+SI(Upg!$BA185=1;0;'$ Unit'!$Y185)+SI(Upg!$BB185=1;0;'$ Unit'!$Y185)+SI(Upg!$BC185=1;0;'$ Unit'!$Y185)</v>
      </c>
      <c r="L134" s="60" t="str">
        <f t="shared" si="32"/>
        <v>=SI(Upg!$BD185=1;0;'$ Unit'!$Z185)+SI(Upg!$BE185=1;0;'$ Unit'!$Z185)+SI(Upg!$BF185=1;0;'$ Unit'!$Z185)+SI(Upg!$BG185=1;0;'$ Unit'!$Z185)</v>
      </c>
      <c r="M134" s="60" t="str">
        <f t="shared" si="33"/>
        <v>=SI(Upg!$BH185=1;0;'$ Unit'!$AA185)+SI(Upg!$BI185=1;0;'$ Unit'!$AA185)+SI(Upg!$BJ185=1;0;'$ Unit'!$AA185)+SI(Upg!$BK185=1;0;'$ Unit'!$AA185)</v>
      </c>
      <c r="N134" s="60" t="str">
        <f t="shared" si="34"/>
        <v>=SI(Upg!$BL185=1;0;'$ Unit'!$AB185)+SI(Upg!$BM185=1;0;'$ Unit'!$AB185)+SI(Upg!$BN185=1;0;'$ Unit'!$AB185)+SI(Upg!$BO185=1;0;'$ Unit'!$AB185)</v>
      </c>
      <c r="Q134" t="str">
        <f t="shared" si="35"/>
        <v>='$ Unit'!AD185*Garage!AD185</v>
      </c>
      <c r="R134" t="str">
        <f t="shared" si="36"/>
        <v>='$ Unit'!AE185*Garage!AI185</v>
      </c>
      <c r="S134" t="str">
        <f t="shared" si="37"/>
        <v>='$ Unit'!AF185*Garage!AN185</v>
      </c>
    </row>
    <row r="135" spans="1:19" x14ac:dyDescent="0.2">
      <c r="A135" s="2">
        <v>186</v>
      </c>
      <c r="B135" s="60" t="str">
        <f t="shared" si="22"/>
        <v>=SI(Upg!$P186=1;0;'$ Unit'!$P186)+SI(Upg!$Q186=1;0;'$ Unit'!$P186)+SI(Upg!$R186=1;0;'$ Unit'!$P186)+SI(Upg!$S186=1;0;'$ Unit'!$P186)</v>
      </c>
      <c r="C135" s="60" t="str">
        <f t="shared" si="23"/>
        <v>=SI(Upg!$T186=1;0;'$ Unit'!$Q186)+SI(Upg!$U186=1;0;'$ Unit'!$Q186)+SI(Upg!$V186=1;0;'$ Unit'!$Q186)+SI(Upg!$W186=1;0;'$ Unit'!$Q186)</v>
      </c>
      <c r="D135" s="60" t="str">
        <f t="shared" si="24"/>
        <v>=SI(Upg!$X186=1;0;'$ Unit'!$R186)+SI(Upg!$Y186=1;0;'$ Unit'!$R186)+SI(Upg!$Z186=1;0;'$ Unit'!$R186)+SI(Upg!$AA186=1;0;'$ Unit'!$R186)</v>
      </c>
      <c r="E135" s="60" t="str">
        <f t="shared" si="25"/>
        <v>=SI(Upg!$AB186=1;0;'$ Unit'!$S186)+SI(Upg!$AC186=1;0;'$ Unit'!$S186)+SI(Upg!$AD186=1;0;'$ Unit'!$S186)+SI(Upg!$AE186=1;0;'$ Unit'!$S186)</v>
      </c>
      <c r="F135" s="60" t="str">
        <f t="shared" si="26"/>
        <v>=SI(Upg!$AF186=1;0;'$ Unit'!$T186)+SI(Upg!$AG186=1;0;'$ Unit'!$T186)+SI(Upg!$AH186=1;0;'$ Unit'!$T186)+SI(Upg!$AI186=1;0;'$ Unit'!$T186)</v>
      </c>
      <c r="G135" s="60" t="str">
        <f t="shared" si="27"/>
        <v>=SI(Upg!$AJ186=1;0;'$ Unit'!$U186)+SI(Upg!$AK186=1;0;'$ Unit'!$U186)+SI(Upg!$AL186=1;0;'$ Unit'!$U186)+SI(Upg!$AM186=1;0;'$ Unit'!$U186)</v>
      </c>
      <c r="H135" s="60" t="str">
        <f t="shared" si="28"/>
        <v>=SI(Upg!$AN186=1;0;'$ Unit'!$V186)+SI(Upg!$AO186=1;0;'$ Unit'!$V186)+SI(Upg!$AP186=1;0;'$ Unit'!$V186)+SI(Upg!$AQ186=1;0;'$ Unit'!$V186)</v>
      </c>
      <c r="I135" s="60" t="str">
        <f t="shared" si="29"/>
        <v>=SI(Upg!$AR186=1;0;'$ Unit'!$W186)+SI(Upg!$AS186=1;0;'$ Unit'!$W186)+SI(Upg!$AT186=1;0;'$ Unit'!$W186)+SI(Upg!$AU186=1;0;'$ Unit'!$W186)</v>
      </c>
      <c r="J135" s="60" t="str">
        <f t="shared" si="30"/>
        <v>=SI(Upg!$AV186=1;0;'$ Unit'!$X186)+SI(Upg!$AW186=1;0;'$ Unit'!$X186)+SI(Upg!$AX186=1;0;'$ Unit'!$X186)+SI(Upg!$AY186=1;0;'$ Unit'!$X186)</v>
      </c>
      <c r="K135" s="60" t="str">
        <f t="shared" si="31"/>
        <v>=SI(Upg!$AZ186=1;0;'$ Unit'!$Y186)+SI(Upg!$BA186=1;0;'$ Unit'!$Y186)+SI(Upg!$BB186=1;0;'$ Unit'!$Y186)+SI(Upg!$BC186=1;0;'$ Unit'!$Y186)</v>
      </c>
      <c r="L135" s="60" t="str">
        <f t="shared" si="32"/>
        <v>=SI(Upg!$BD186=1;0;'$ Unit'!$Z186)+SI(Upg!$BE186=1;0;'$ Unit'!$Z186)+SI(Upg!$BF186=1;0;'$ Unit'!$Z186)+SI(Upg!$BG186=1;0;'$ Unit'!$Z186)</v>
      </c>
      <c r="M135" s="60" t="str">
        <f t="shared" si="33"/>
        <v>=SI(Upg!$BH186=1;0;'$ Unit'!$AA186)+SI(Upg!$BI186=1;0;'$ Unit'!$AA186)+SI(Upg!$BJ186=1;0;'$ Unit'!$AA186)+SI(Upg!$BK186=1;0;'$ Unit'!$AA186)</v>
      </c>
      <c r="N135" s="60" t="str">
        <f t="shared" si="34"/>
        <v>=SI(Upg!$BL186=1;0;'$ Unit'!$AB186)+SI(Upg!$BM186=1;0;'$ Unit'!$AB186)+SI(Upg!$BN186=1;0;'$ Unit'!$AB186)+SI(Upg!$BO186=1;0;'$ Unit'!$AB186)</v>
      </c>
      <c r="Q135" t="str">
        <f t="shared" si="35"/>
        <v>='$ Unit'!AD186*Garage!AD186</v>
      </c>
      <c r="R135" t="str">
        <f t="shared" si="36"/>
        <v>='$ Unit'!AE186*Garage!AI186</v>
      </c>
      <c r="S135" t="str">
        <f t="shared" si="37"/>
        <v>='$ Unit'!AF186*Garage!AN186</v>
      </c>
    </row>
    <row r="136" spans="1:19" x14ac:dyDescent="0.2">
      <c r="A136" s="2">
        <v>187</v>
      </c>
      <c r="B136" s="60" t="str">
        <f t="shared" si="22"/>
        <v>=SI(Upg!$P187=1;0;'$ Unit'!$P187)+SI(Upg!$Q187=1;0;'$ Unit'!$P187)+SI(Upg!$R187=1;0;'$ Unit'!$P187)+SI(Upg!$S187=1;0;'$ Unit'!$P187)</v>
      </c>
      <c r="C136" s="60" t="str">
        <f t="shared" si="23"/>
        <v>=SI(Upg!$T187=1;0;'$ Unit'!$Q187)+SI(Upg!$U187=1;0;'$ Unit'!$Q187)+SI(Upg!$V187=1;0;'$ Unit'!$Q187)+SI(Upg!$W187=1;0;'$ Unit'!$Q187)</v>
      </c>
      <c r="D136" s="60" t="str">
        <f t="shared" si="24"/>
        <v>=SI(Upg!$X187=1;0;'$ Unit'!$R187)+SI(Upg!$Y187=1;0;'$ Unit'!$R187)+SI(Upg!$Z187=1;0;'$ Unit'!$R187)+SI(Upg!$AA187=1;0;'$ Unit'!$R187)</v>
      </c>
      <c r="E136" s="60" t="str">
        <f t="shared" si="25"/>
        <v>=SI(Upg!$AB187=1;0;'$ Unit'!$S187)+SI(Upg!$AC187=1;0;'$ Unit'!$S187)+SI(Upg!$AD187=1;0;'$ Unit'!$S187)+SI(Upg!$AE187=1;0;'$ Unit'!$S187)</v>
      </c>
      <c r="F136" s="60" t="str">
        <f t="shared" si="26"/>
        <v>=SI(Upg!$AF187=1;0;'$ Unit'!$T187)+SI(Upg!$AG187=1;0;'$ Unit'!$T187)+SI(Upg!$AH187=1;0;'$ Unit'!$T187)+SI(Upg!$AI187=1;0;'$ Unit'!$T187)</v>
      </c>
      <c r="G136" s="60" t="str">
        <f t="shared" si="27"/>
        <v>=SI(Upg!$AJ187=1;0;'$ Unit'!$U187)+SI(Upg!$AK187=1;0;'$ Unit'!$U187)+SI(Upg!$AL187=1;0;'$ Unit'!$U187)+SI(Upg!$AM187=1;0;'$ Unit'!$U187)</v>
      </c>
      <c r="H136" s="60" t="str">
        <f t="shared" si="28"/>
        <v>=SI(Upg!$AN187=1;0;'$ Unit'!$V187)+SI(Upg!$AO187=1;0;'$ Unit'!$V187)+SI(Upg!$AP187=1;0;'$ Unit'!$V187)+SI(Upg!$AQ187=1;0;'$ Unit'!$V187)</v>
      </c>
      <c r="I136" s="60" t="str">
        <f t="shared" si="29"/>
        <v>=SI(Upg!$AR187=1;0;'$ Unit'!$W187)+SI(Upg!$AS187=1;0;'$ Unit'!$W187)+SI(Upg!$AT187=1;0;'$ Unit'!$W187)+SI(Upg!$AU187=1;0;'$ Unit'!$W187)</v>
      </c>
      <c r="J136" s="60" t="str">
        <f t="shared" si="30"/>
        <v>=SI(Upg!$AV187=1;0;'$ Unit'!$X187)+SI(Upg!$AW187=1;0;'$ Unit'!$X187)+SI(Upg!$AX187=1;0;'$ Unit'!$X187)+SI(Upg!$AY187=1;0;'$ Unit'!$X187)</v>
      </c>
      <c r="K136" s="60" t="str">
        <f t="shared" si="31"/>
        <v>=SI(Upg!$AZ187=1;0;'$ Unit'!$Y187)+SI(Upg!$BA187=1;0;'$ Unit'!$Y187)+SI(Upg!$BB187=1;0;'$ Unit'!$Y187)+SI(Upg!$BC187=1;0;'$ Unit'!$Y187)</v>
      </c>
      <c r="L136" s="60" t="str">
        <f t="shared" si="32"/>
        <v>=SI(Upg!$BD187=1;0;'$ Unit'!$Z187)+SI(Upg!$BE187=1;0;'$ Unit'!$Z187)+SI(Upg!$BF187=1;0;'$ Unit'!$Z187)+SI(Upg!$BG187=1;0;'$ Unit'!$Z187)</v>
      </c>
      <c r="M136" s="60" t="str">
        <f t="shared" si="33"/>
        <v>=SI(Upg!$BH187=1;0;'$ Unit'!$AA187)+SI(Upg!$BI187=1;0;'$ Unit'!$AA187)+SI(Upg!$BJ187=1;0;'$ Unit'!$AA187)+SI(Upg!$BK187=1;0;'$ Unit'!$AA187)</v>
      </c>
      <c r="N136" s="60" t="str">
        <f t="shared" si="34"/>
        <v>=SI(Upg!$BL187=1;0;'$ Unit'!$AB187)+SI(Upg!$BM187=1;0;'$ Unit'!$AB187)+SI(Upg!$BN187=1;0;'$ Unit'!$AB187)+SI(Upg!$BO187=1;0;'$ Unit'!$AB187)</v>
      </c>
      <c r="Q136" t="str">
        <f t="shared" si="35"/>
        <v>='$ Unit'!AD187*Garage!AD187</v>
      </c>
      <c r="R136" t="str">
        <f t="shared" si="36"/>
        <v>='$ Unit'!AE187*Garage!AI187</v>
      </c>
      <c r="S136" t="str">
        <f t="shared" si="37"/>
        <v>='$ Unit'!AF187*Garage!AN187</v>
      </c>
    </row>
    <row r="137" spans="1:19" x14ac:dyDescent="0.2">
      <c r="A137" s="2">
        <v>188</v>
      </c>
      <c r="B137" s="60" t="str">
        <f t="shared" si="22"/>
        <v>=SI(Upg!$P188=1;0;'$ Unit'!$P188)+SI(Upg!$Q188=1;0;'$ Unit'!$P188)+SI(Upg!$R188=1;0;'$ Unit'!$P188)+SI(Upg!$S188=1;0;'$ Unit'!$P188)</v>
      </c>
      <c r="C137" s="60" t="str">
        <f t="shared" si="23"/>
        <v>=SI(Upg!$T188=1;0;'$ Unit'!$Q188)+SI(Upg!$U188=1;0;'$ Unit'!$Q188)+SI(Upg!$V188=1;0;'$ Unit'!$Q188)+SI(Upg!$W188=1;0;'$ Unit'!$Q188)</v>
      </c>
      <c r="D137" s="60" t="str">
        <f t="shared" si="24"/>
        <v>=SI(Upg!$X188=1;0;'$ Unit'!$R188)+SI(Upg!$Y188=1;0;'$ Unit'!$R188)+SI(Upg!$Z188=1;0;'$ Unit'!$R188)+SI(Upg!$AA188=1;0;'$ Unit'!$R188)</v>
      </c>
      <c r="E137" s="60" t="str">
        <f t="shared" si="25"/>
        <v>=SI(Upg!$AB188=1;0;'$ Unit'!$S188)+SI(Upg!$AC188=1;0;'$ Unit'!$S188)+SI(Upg!$AD188=1;0;'$ Unit'!$S188)+SI(Upg!$AE188=1;0;'$ Unit'!$S188)</v>
      </c>
      <c r="F137" s="60" t="str">
        <f t="shared" si="26"/>
        <v>=SI(Upg!$AF188=1;0;'$ Unit'!$T188)+SI(Upg!$AG188=1;0;'$ Unit'!$T188)+SI(Upg!$AH188=1;0;'$ Unit'!$T188)+SI(Upg!$AI188=1;0;'$ Unit'!$T188)</v>
      </c>
      <c r="G137" s="60" t="str">
        <f t="shared" si="27"/>
        <v>=SI(Upg!$AJ188=1;0;'$ Unit'!$U188)+SI(Upg!$AK188=1;0;'$ Unit'!$U188)+SI(Upg!$AL188=1;0;'$ Unit'!$U188)+SI(Upg!$AM188=1;0;'$ Unit'!$U188)</v>
      </c>
      <c r="H137" s="60" t="str">
        <f t="shared" si="28"/>
        <v>=SI(Upg!$AN188=1;0;'$ Unit'!$V188)+SI(Upg!$AO188=1;0;'$ Unit'!$V188)+SI(Upg!$AP188=1;0;'$ Unit'!$V188)+SI(Upg!$AQ188=1;0;'$ Unit'!$V188)</v>
      </c>
      <c r="I137" s="60" t="str">
        <f t="shared" si="29"/>
        <v>=SI(Upg!$AR188=1;0;'$ Unit'!$W188)+SI(Upg!$AS188=1;0;'$ Unit'!$W188)+SI(Upg!$AT188=1;0;'$ Unit'!$W188)+SI(Upg!$AU188=1;0;'$ Unit'!$W188)</v>
      </c>
      <c r="J137" s="60" t="str">
        <f t="shared" si="30"/>
        <v>=SI(Upg!$AV188=1;0;'$ Unit'!$X188)+SI(Upg!$AW188=1;0;'$ Unit'!$X188)+SI(Upg!$AX188=1;0;'$ Unit'!$X188)+SI(Upg!$AY188=1;0;'$ Unit'!$X188)</v>
      </c>
      <c r="K137" s="60" t="str">
        <f t="shared" si="31"/>
        <v>=SI(Upg!$AZ188=1;0;'$ Unit'!$Y188)+SI(Upg!$BA188=1;0;'$ Unit'!$Y188)+SI(Upg!$BB188=1;0;'$ Unit'!$Y188)+SI(Upg!$BC188=1;0;'$ Unit'!$Y188)</v>
      </c>
      <c r="L137" s="60" t="str">
        <f t="shared" si="32"/>
        <v>=SI(Upg!$BD188=1;0;'$ Unit'!$Z188)+SI(Upg!$BE188=1;0;'$ Unit'!$Z188)+SI(Upg!$BF188=1;0;'$ Unit'!$Z188)+SI(Upg!$BG188=1;0;'$ Unit'!$Z188)</v>
      </c>
      <c r="M137" s="60" t="str">
        <f t="shared" si="33"/>
        <v>=SI(Upg!$BH188=1;0;'$ Unit'!$AA188)+SI(Upg!$BI188=1;0;'$ Unit'!$AA188)+SI(Upg!$BJ188=1;0;'$ Unit'!$AA188)+SI(Upg!$BK188=1;0;'$ Unit'!$AA188)</v>
      </c>
      <c r="N137" s="60" t="str">
        <f t="shared" si="34"/>
        <v>=SI(Upg!$BL188=1;0;'$ Unit'!$AB188)+SI(Upg!$BM188=1;0;'$ Unit'!$AB188)+SI(Upg!$BN188=1;0;'$ Unit'!$AB188)+SI(Upg!$BO188=1;0;'$ Unit'!$AB188)</v>
      </c>
      <c r="Q137" t="str">
        <f t="shared" si="35"/>
        <v>='$ Unit'!AD188*Garage!AD188</v>
      </c>
      <c r="R137" t="str">
        <f t="shared" si="36"/>
        <v>='$ Unit'!AE188*Garage!AI188</v>
      </c>
      <c r="S137" t="str">
        <f t="shared" si="37"/>
        <v>='$ Unit'!AF188*Garage!AN188</v>
      </c>
    </row>
    <row r="138" spans="1:19" x14ac:dyDescent="0.2">
      <c r="A138" s="2">
        <v>189</v>
      </c>
      <c r="B138" s="60" t="str">
        <f t="shared" si="22"/>
        <v>=SI(Upg!$P189=1;0;'$ Unit'!$P189)+SI(Upg!$Q189=1;0;'$ Unit'!$P189)+SI(Upg!$R189=1;0;'$ Unit'!$P189)+SI(Upg!$S189=1;0;'$ Unit'!$P189)</v>
      </c>
      <c r="C138" s="60" t="str">
        <f t="shared" si="23"/>
        <v>=SI(Upg!$T189=1;0;'$ Unit'!$Q189)+SI(Upg!$U189=1;0;'$ Unit'!$Q189)+SI(Upg!$V189=1;0;'$ Unit'!$Q189)+SI(Upg!$W189=1;0;'$ Unit'!$Q189)</v>
      </c>
      <c r="D138" s="60" t="str">
        <f t="shared" si="24"/>
        <v>=SI(Upg!$X189=1;0;'$ Unit'!$R189)+SI(Upg!$Y189=1;0;'$ Unit'!$R189)+SI(Upg!$Z189=1;0;'$ Unit'!$R189)+SI(Upg!$AA189=1;0;'$ Unit'!$R189)</v>
      </c>
      <c r="E138" s="60" t="str">
        <f t="shared" si="25"/>
        <v>=SI(Upg!$AB189=1;0;'$ Unit'!$S189)+SI(Upg!$AC189=1;0;'$ Unit'!$S189)+SI(Upg!$AD189=1;0;'$ Unit'!$S189)+SI(Upg!$AE189=1;0;'$ Unit'!$S189)</v>
      </c>
      <c r="F138" s="60" t="str">
        <f t="shared" si="26"/>
        <v>=SI(Upg!$AF189=1;0;'$ Unit'!$T189)+SI(Upg!$AG189=1;0;'$ Unit'!$T189)+SI(Upg!$AH189=1;0;'$ Unit'!$T189)+SI(Upg!$AI189=1;0;'$ Unit'!$T189)</v>
      </c>
      <c r="G138" s="60" t="str">
        <f t="shared" si="27"/>
        <v>=SI(Upg!$AJ189=1;0;'$ Unit'!$U189)+SI(Upg!$AK189=1;0;'$ Unit'!$U189)+SI(Upg!$AL189=1;0;'$ Unit'!$U189)+SI(Upg!$AM189=1;0;'$ Unit'!$U189)</v>
      </c>
      <c r="H138" s="60" t="str">
        <f t="shared" si="28"/>
        <v>=SI(Upg!$AN189=1;0;'$ Unit'!$V189)+SI(Upg!$AO189=1;0;'$ Unit'!$V189)+SI(Upg!$AP189=1;0;'$ Unit'!$V189)+SI(Upg!$AQ189=1;0;'$ Unit'!$V189)</v>
      </c>
      <c r="I138" s="60" t="str">
        <f t="shared" si="29"/>
        <v>=SI(Upg!$AR189=1;0;'$ Unit'!$W189)+SI(Upg!$AS189=1;0;'$ Unit'!$W189)+SI(Upg!$AT189=1;0;'$ Unit'!$W189)+SI(Upg!$AU189=1;0;'$ Unit'!$W189)</v>
      </c>
      <c r="J138" s="60" t="str">
        <f t="shared" si="30"/>
        <v>=SI(Upg!$AV189=1;0;'$ Unit'!$X189)+SI(Upg!$AW189=1;0;'$ Unit'!$X189)+SI(Upg!$AX189=1;0;'$ Unit'!$X189)+SI(Upg!$AY189=1;0;'$ Unit'!$X189)</v>
      </c>
      <c r="K138" s="60" t="str">
        <f t="shared" si="31"/>
        <v>=SI(Upg!$AZ189=1;0;'$ Unit'!$Y189)+SI(Upg!$BA189=1;0;'$ Unit'!$Y189)+SI(Upg!$BB189=1;0;'$ Unit'!$Y189)+SI(Upg!$BC189=1;0;'$ Unit'!$Y189)</v>
      </c>
      <c r="L138" s="60" t="str">
        <f t="shared" si="32"/>
        <v>=SI(Upg!$BD189=1;0;'$ Unit'!$Z189)+SI(Upg!$BE189=1;0;'$ Unit'!$Z189)+SI(Upg!$BF189=1;0;'$ Unit'!$Z189)+SI(Upg!$BG189=1;0;'$ Unit'!$Z189)</v>
      </c>
      <c r="M138" s="60" t="str">
        <f t="shared" si="33"/>
        <v>=SI(Upg!$BH189=1;0;'$ Unit'!$AA189)+SI(Upg!$BI189=1;0;'$ Unit'!$AA189)+SI(Upg!$BJ189=1;0;'$ Unit'!$AA189)+SI(Upg!$BK189=1;0;'$ Unit'!$AA189)</v>
      </c>
      <c r="N138" s="60" t="str">
        <f t="shared" si="34"/>
        <v>=SI(Upg!$BL189=1;0;'$ Unit'!$AB189)+SI(Upg!$BM189=1;0;'$ Unit'!$AB189)+SI(Upg!$BN189=1;0;'$ Unit'!$AB189)+SI(Upg!$BO189=1;0;'$ Unit'!$AB189)</v>
      </c>
      <c r="Q138" t="str">
        <f t="shared" si="35"/>
        <v>='$ Unit'!AD189*Garage!AD189</v>
      </c>
      <c r="R138" t="str">
        <f t="shared" si="36"/>
        <v>='$ Unit'!AE189*Garage!AI189</v>
      </c>
      <c r="S138" t="str">
        <f t="shared" si="37"/>
        <v>='$ Unit'!AF189*Garage!AN189</v>
      </c>
    </row>
    <row r="139" spans="1:19" x14ac:dyDescent="0.2">
      <c r="A139" s="2">
        <v>190</v>
      </c>
      <c r="B139" s="60" t="str">
        <f t="shared" si="22"/>
        <v>=SI(Upg!$P190=1;0;'$ Unit'!$P190)+SI(Upg!$Q190=1;0;'$ Unit'!$P190)+SI(Upg!$R190=1;0;'$ Unit'!$P190)+SI(Upg!$S190=1;0;'$ Unit'!$P190)</v>
      </c>
      <c r="C139" s="60" t="str">
        <f t="shared" si="23"/>
        <v>=SI(Upg!$T190=1;0;'$ Unit'!$Q190)+SI(Upg!$U190=1;0;'$ Unit'!$Q190)+SI(Upg!$V190=1;0;'$ Unit'!$Q190)+SI(Upg!$W190=1;0;'$ Unit'!$Q190)</v>
      </c>
      <c r="D139" s="60" t="str">
        <f t="shared" si="24"/>
        <v>=SI(Upg!$X190=1;0;'$ Unit'!$R190)+SI(Upg!$Y190=1;0;'$ Unit'!$R190)+SI(Upg!$Z190=1;0;'$ Unit'!$R190)+SI(Upg!$AA190=1;0;'$ Unit'!$R190)</v>
      </c>
      <c r="E139" s="60" t="str">
        <f t="shared" si="25"/>
        <v>=SI(Upg!$AB190=1;0;'$ Unit'!$S190)+SI(Upg!$AC190=1;0;'$ Unit'!$S190)+SI(Upg!$AD190=1;0;'$ Unit'!$S190)+SI(Upg!$AE190=1;0;'$ Unit'!$S190)</v>
      </c>
      <c r="F139" s="60" t="str">
        <f t="shared" si="26"/>
        <v>=SI(Upg!$AF190=1;0;'$ Unit'!$T190)+SI(Upg!$AG190=1;0;'$ Unit'!$T190)+SI(Upg!$AH190=1;0;'$ Unit'!$T190)+SI(Upg!$AI190=1;0;'$ Unit'!$T190)</v>
      </c>
      <c r="G139" s="60" t="str">
        <f t="shared" si="27"/>
        <v>=SI(Upg!$AJ190=1;0;'$ Unit'!$U190)+SI(Upg!$AK190=1;0;'$ Unit'!$U190)+SI(Upg!$AL190=1;0;'$ Unit'!$U190)+SI(Upg!$AM190=1;0;'$ Unit'!$U190)</v>
      </c>
      <c r="H139" s="60" t="str">
        <f t="shared" si="28"/>
        <v>=SI(Upg!$AN190=1;0;'$ Unit'!$V190)+SI(Upg!$AO190=1;0;'$ Unit'!$V190)+SI(Upg!$AP190=1;0;'$ Unit'!$V190)+SI(Upg!$AQ190=1;0;'$ Unit'!$V190)</v>
      </c>
      <c r="I139" s="60" t="str">
        <f t="shared" si="29"/>
        <v>=SI(Upg!$AR190=1;0;'$ Unit'!$W190)+SI(Upg!$AS190=1;0;'$ Unit'!$W190)+SI(Upg!$AT190=1;0;'$ Unit'!$W190)+SI(Upg!$AU190=1;0;'$ Unit'!$W190)</v>
      </c>
      <c r="J139" s="60" t="str">
        <f t="shared" si="30"/>
        <v>=SI(Upg!$AV190=1;0;'$ Unit'!$X190)+SI(Upg!$AW190=1;0;'$ Unit'!$X190)+SI(Upg!$AX190=1;0;'$ Unit'!$X190)+SI(Upg!$AY190=1;0;'$ Unit'!$X190)</v>
      </c>
      <c r="K139" s="60" t="str">
        <f t="shared" si="31"/>
        <v>=SI(Upg!$AZ190=1;0;'$ Unit'!$Y190)+SI(Upg!$BA190=1;0;'$ Unit'!$Y190)+SI(Upg!$BB190=1;0;'$ Unit'!$Y190)+SI(Upg!$BC190=1;0;'$ Unit'!$Y190)</v>
      </c>
      <c r="L139" s="60" t="str">
        <f t="shared" si="32"/>
        <v>=SI(Upg!$BD190=1;0;'$ Unit'!$Z190)+SI(Upg!$BE190=1;0;'$ Unit'!$Z190)+SI(Upg!$BF190=1;0;'$ Unit'!$Z190)+SI(Upg!$BG190=1;0;'$ Unit'!$Z190)</v>
      </c>
      <c r="M139" s="60" t="str">
        <f t="shared" si="33"/>
        <v>=SI(Upg!$BH190=1;0;'$ Unit'!$AA190)+SI(Upg!$BI190=1;0;'$ Unit'!$AA190)+SI(Upg!$BJ190=1;0;'$ Unit'!$AA190)+SI(Upg!$BK190=1;0;'$ Unit'!$AA190)</v>
      </c>
      <c r="N139" s="60" t="str">
        <f t="shared" si="34"/>
        <v>=SI(Upg!$BL190=1;0;'$ Unit'!$AB190)+SI(Upg!$BM190=1;0;'$ Unit'!$AB190)+SI(Upg!$BN190=1;0;'$ Unit'!$AB190)+SI(Upg!$BO190=1;0;'$ Unit'!$AB190)</v>
      </c>
      <c r="Q139" t="str">
        <f t="shared" si="35"/>
        <v>='$ Unit'!AD190*Garage!AD190</v>
      </c>
      <c r="R139" t="str">
        <f t="shared" si="36"/>
        <v>='$ Unit'!AE190*Garage!AI190</v>
      </c>
      <c r="S139" t="str">
        <f t="shared" si="37"/>
        <v>='$ Unit'!AF190*Garage!AN190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Cars</vt:lpstr>
      <vt:lpstr>Resume</vt:lpstr>
      <vt:lpstr>|</vt:lpstr>
      <vt:lpstr>garage</vt:lpstr>
      <vt:lpstr>blueprint</vt:lpstr>
      <vt:lpstr>upgrade</vt:lpstr>
      <vt:lpstr>rank</vt:lpstr>
      <vt:lpstr>stat max</vt:lpstr>
      <vt:lpstr>stat min</vt:lpstr>
      <vt:lpstr>upg-form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Giancarlo PALUMBO</dc:creator>
  <cp:keywords/>
  <dc:description/>
  <cp:lastModifiedBy>Giancarlo PALUMBO</cp:lastModifiedBy>
  <cp:revision/>
  <dcterms:created xsi:type="dcterms:W3CDTF">2020-09-24T18:33:55Z</dcterms:created>
  <dcterms:modified xsi:type="dcterms:W3CDTF">2024-12-07T23:06:44Z</dcterms:modified>
  <cp:category/>
  <cp:contentStatus/>
</cp:coreProperties>
</file>